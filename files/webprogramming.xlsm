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ThisWorkbook" defaultThemeVersion="124226"/>
  <workbookProtection lockStructure="1"/>
  <bookViews>
    <workbookView xWindow="-120" yWindow="-120" windowWidth="19350" windowHeight="7575" activeTab="4"/>
  </bookViews>
  <sheets>
    <sheet name="INPUT" sheetId="18" r:id="rId1"/>
    <sheet name="1" sheetId="1" r:id="rId2"/>
    <sheet name="2" sheetId="13" r:id="rId3"/>
    <sheet name="AssgQuiz" sheetId="6" r:id="rId4"/>
    <sheet name="External" sheetId="14" r:id="rId5"/>
    <sheet name="Studentwise" sheetId="17" state="hidden" r:id="rId6"/>
  </sheets>
  <definedNames>
    <definedName name="_xlnm._FilterDatabase" localSheetId="1" hidden="1">'1'!$B$15:$P$165</definedName>
    <definedName name="_xlnm._FilterDatabase" localSheetId="2" hidden="1">'2'!$B$15:$P$165</definedName>
    <definedName name="_xlnm._FilterDatabase" localSheetId="4" hidden="1">External!$B$18:$AC$164</definedName>
    <definedName name="_xlnm._FilterDatabase" localSheetId="5" hidden="1">Studentwise!$B$15:$O$165</definedName>
    <definedName name="_xlnm.Print_Area" localSheetId="1">'1'!$A$1:$AL$194</definedName>
    <definedName name="_xlnm.Print_Area" localSheetId="2">'2'!$A$1:$AL$194</definedName>
    <definedName name="_xlnm.Print_Area" localSheetId="3">AssgQuiz!$A$1:$K$182</definedName>
    <definedName name="_xlnm.Print_Area" localSheetId="4">External!$A$1:$BD$189</definedName>
    <definedName name="_xlnm.Print_Area" localSheetId="0">INPUT!$A$1:$W$28</definedName>
    <definedName name="_xlnm.Print_Area" localSheetId="5">Studentwise!$A$1:$BI$193</definedName>
    <definedName name="_xlnm.Print_Titles" localSheetId="3">AssgQuiz!$16:$16</definedName>
    <definedName name="_xlnm.Print_Titles" localSheetId="4">External!$14:$18</definedName>
  </definedName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88" i="14"/>
  <c r="G187"/>
  <c r="G186"/>
  <c r="G185"/>
  <c r="G184"/>
  <c r="E189"/>
  <c r="I189"/>
  <c r="G189"/>
  <c r="AB173"/>
  <c r="AA173"/>
  <c r="Z173"/>
  <c r="Y173"/>
  <c r="X173"/>
  <c r="W173"/>
  <c r="V173"/>
  <c r="U173"/>
  <c r="T173"/>
  <c r="S173"/>
  <c r="R173"/>
  <c r="Q173"/>
  <c r="P173"/>
  <c r="O173"/>
  <c r="N173"/>
  <c r="D172"/>
  <c r="N172" i="13"/>
  <c r="Z17" i="18"/>
  <c r="Z16"/>
  <c r="Z15"/>
  <c r="Z14"/>
  <c r="Z13"/>
  <c r="Z12"/>
  <c r="U19"/>
  <c r="T19"/>
  <c r="S19"/>
  <c r="Q19"/>
  <c r="P19"/>
  <c r="O19"/>
  <c r="N4" i="14" l="1"/>
  <c r="X9" i="18"/>
  <c r="X8"/>
  <c r="X7"/>
  <c r="X6"/>
  <c r="X5"/>
  <c r="N180" i="1" l="1"/>
  <c r="M180"/>
  <c r="L180"/>
  <c r="K180"/>
  <c r="J180"/>
  <c r="H180"/>
  <c r="G180"/>
  <c r="F180"/>
  <c r="E180"/>
  <c r="D180"/>
  <c r="M181" i="14"/>
  <c r="L181"/>
  <c r="K181"/>
  <c r="J181"/>
  <c r="I181"/>
  <c r="H181"/>
  <c r="G181"/>
  <c r="F181"/>
  <c r="E181"/>
  <c r="K180"/>
  <c r="J180"/>
  <c r="I180"/>
  <c r="H180"/>
  <c r="G180"/>
  <c r="F180"/>
  <c r="E180"/>
  <c r="M179"/>
  <c r="L179"/>
  <c r="I179"/>
  <c r="H179"/>
  <c r="G179"/>
  <c r="F179"/>
  <c r="E179"/>
  <c r="M178"/>
  <c r="L178"/>
  <c r="K178"/>
  <c r="J178"/>
  <c r="G178"/>
  <c r="F178"/>
  <c r="E178"/>
  <c r="M177"/>
  <c r="L177"/>
  <c r="K177"/>
  <c r="J177"/>
  <c r="I177"/>
  <c r="H177"/>
  <c r="E177"/>
  <c r="D180"/>
  <c r="D179"/>
  <c r="D178"/>
  <c r="D177"/>
  <c r="M176"/>
  <c r="L176"/>
  <c r="K176"/>
  <c r="H176"/>
  <c r="G176"/>
  <c r="F176"/>
  <c r="AA181"/>
  <c r="Z181"/>
  <c r="W181"/>
  <c r="V181"/>
  <c r="U181"/>
  <c r="T181"/>
  <c r="S181"/>
  <c r="R181"/>
  <c r="Q181"/>
  <c r="P181"/>
  <c r="O181"/>
  <c r="N181"/>
  <c r="H19" i="18"/>
  <c r="D6" i="6"/>
  <c r="K211" i="14" l="1"/>
  <c r="N180" i="13"/>
  <c r="M180"/>
  <c r="L180"/>
  <c r="K180"/>
  <c r="J180"/>
  <c r="H180"/>
  <c r="G180"/>
  <c r="F180"/>
  <c r="E180"/>
  <c r="D180"/>
  <c r="AC169" i="14" l="1"/>
  <c r="B2"/>
  <c r="B2" i="6"/>
  <c r="B2" i="13"/>
  <c r="B2" i="1"/>
  <c r="H28" i="18" l="1"/>
  <c r="AD20" i="1" l="1"/>
  <c r="AC20"/>
  <c r="AB20"/>
  <c r="AA20"/>
  <c r="Z20"/>
  <c r="Y20"/>
  <c r="V188" i="13"/>
  <c r="V187"/>
  <c r="V186"/>
  <c r="V185"/>
  <c r="V184"/>
  <c r="V168"/>
  <c r="U168"/>
  <c r="T168"/>
  <c r="S168"/>
  <c r="R168"/>
  <c r="V167"/>
  <c r="U167"/>
  <c r="T167"/>
  <c r="S167"/>
  <c r="R167"/>
  <c r="V166"/>
  <c r="U166"/>
  <c r="T166"/>
  <c r="S166"/>
  <c r="R166"/>
  <c r="V165"/>
  <c r="U165"/>
  <c r="T165"/>
  <c r="S165"/>
  <c r="R165"/>
  <c r="V164"/>
  <c r="U164"/>
  <c r="T164"/>
  <c r="S164"/>
  <c r="R164"/>
  <c r="V163"/>
  <c r="U163"/>
  <c r="T163"/>
  <c r="S163"/>
  <c r="R163"/>
  <c r="V162"/>
  <c r="U162"/>
  <c r="T162"/>
  <c r="S162"/>
  <c r="R162"/>
  <c r="AO20" i="17"/>
  <c r="R20" i="13" s="1"/>
  <c r="E13" i="17"/>
  <c r="D13"/>
  <c r="E12"/>
  <c r="D12"/>
  <c r="E11"/>
  <c r="D11"/>
  <c r="E10"/>
  <c r="D10"/>
  <c r="E9"/>
  <c r="D9"/>
  <c r="E6"/>
  <c r="I13" s="1"/>
  <c r="N5"/>
  <c r="L5"/>
  <c r="G5"/>
  <c r="E5"/>
  <c r="N4"/>
  <c r="L4"/>
  <c r="E4"/>
  <c r="M3"/>
  <c r="H3"/>
  <c r="C3"/>
  <c r="P21"/>
  <c r="Q21"/>
  <c r="R21"/>
  <c r="S21"/>
  <c r="T21"/>
  <c r="U21"/>
  <c r="V21"/>
  <c r="W21"/>
  <c r="X21"/>
  <c r="Y21"/>
  <c r="Z21"/>
  <c r="AA21"/>
  <c r="P22"/>
  <c r="Q22"/>
  <c r="R22"/>
  <c r="S22"/>
  <c r="T22"/>
  <c r="U22"/>
  <c r="V22"/>
  <c r="W22"/>
  <c r="X22"/>
  <c r="Y22"/>
  <c r="Z22"/>
  <c r="AA22"/>
  <c r="P23"/>
  <c r="Q23"/>
  <c r="R23"/>
  <c r="S23"/>
  <c r="T23"/>
  <c r="U23"/>
  <c r="V23"/>
  <c r="W23"/>
  <c r="X23"/>
  <c r="Y23"/>
  <c r="Z23"/>
  <c r="AA23"/>
  <c r="P24"/>
  <c r="Q24"/>
  <c r="R24"/>
  <c r="S24"/>
  <c r="T24"/>
  <c r="U24"/>
  <c r="V24"/>
  <c r="W24"/>
  <c r="X24"/>
  <c r="Y24"/>
  <c r="Z24"/>
  <c r="AA24"/>
  <c r="P25"/>
  <c r="Q25"/>
  <c r="R25"/>
  <c r="S25"/>
  <c r="T25"/>
  <c r="U25"/>
  <c r="V25"/>
  <c r="W25"/>
  <c r="X25"/>
  <c r="Y25"/>
  <c r="Z25"/>
  <c r="AA25"/>
  <c r="P26"/>
  <c r="Q26"/>
  <c r="R26"/>
  <c r="S26"/>
  <c r="T26"/>
  <c r="U26"/>
  <c r="V26"/>
  <c r="W26"/>
  <c r="X26"/>
  <c r="Y26"/>
  <c r="Z26"/>
  <c r="AA26"/>
  <c r="P27"/>
  <c r="Q27"/>
  <c r="R27"/>
  <c r="S27"/>
  <c r="T27"/>
  <c r="U27"/>
  <c r="V27"/>
  <c r="W27"/>
  <c r="X27"/>
  <c r="Y27"/>
  <c r="Z27"/>
  <c r="AA27"/>
  <c r="P28"/>
  <c r="Q28"/>
  <c r="R28"/>
  <c r="S28"/>
  <c r="T28"/>
  <c r="U28"/>
  <c r="V28"/>
  <c r="W28"/>
  <c r="X28"/>
  <c r="Y28"/>
  <c r="Z28"/>
  <c r="AA28"/>
  <c r="P29"/>
  <c r="Q29"/>
  <c r="R29"/>
  <c r="S29"/>
  <c r="T29"/>
  <c r="U29"/>
  <c r="V29"/>
  <c r="W29"/>
  <c r="X29"/>
  <c r="Y29"/>
  <c r="Z29"/>
  <c r="AA29"/>
  <c r="P30"/>
  <c r="Q30"/>
  <c r="R30"/>
  <c r="S30"/>
  <c r="T30"/>
  <c r="U30"/>
  <c r="V30"/>
  <c r="W30"/>
  <c r="X30"/>
  <c r="Y30"/>
  <c r="Z30"/>
  <c r="AA30"/>
  <c r="P31"/>
  <c r="Q31"/>
  <c r="R31"/>
  <c r="S31"/>
  <c r="T31"/>
  <c r="U31"/>
  <c r="V31"/>
  <c r="W31"/>
  <c r="X31"/>
  <c r="Y31"/>
  <c r="Z31"/>
  <c r="AA31"/>
  <c r="P32"/>
  <c r="Q32"/>
  <c r="R32"/>
  <c r="S32"/>
  <c r="T32"/>
  <c r="U32"/>
  <c r="V32"/>
  <c r="W32"/>
  <c r="X32"/>
  <c r="Y32"/>
  <c r="Z32"/>
  <c r="AA32"/>
  <c r="P33"/>
  <c r="Q33"/>
  <c r="R33"/>
  <c r="S33"/>
  <c r="T33"/>
  <c r="U33"/>
  <c r="V33"/>
  <c r="W33"/>
  <c r="X33"/>
  <c r="Y33"/>
  <c r="Z33"/>
  <c r="AA33"/>
  <c r="P34"/>
  <c r="Q34"/>
  <c r="R34"/>
  <c r="S34"/>
  <c r="T34"/>
  <c r="U34"/>
  <c r="V34"/>
  <c r="W34"/>
  <c r="X34"/>
  <c r="Y34"/>
  <c r="Z34"/>
  <c r="AA34"/>
  <c r="P35"/>
  <c r="Q35"/>
  <c r="R35"/>
  <c r="S35"/>
  <c r="T35"/>
  <c r="U35"/>
  <c r="V35"/>
  <c r="W35"/>
  <c r="X35"/>
  <c r="Y35"/>
  <c r="Z35"/>
  <c r="AA35"/>
  <c r="P36"/>
  <c r="Q36"/>
  <c r="R36"/>
  <c r="S36"/>
  <c r="T36"/>
  <c r="U36"/>
  <c r="V36"/>
  <c r="W36"/>
  <c r="X36"/>
  <c r="Y36"/>
  <c r="Z36"/>
  <c r="AA36"/>
  <c r="P37"/>
  <c r="Q37"/>
  <c r="R37"/>
  <c r="S37"/>
  <c r="T37"/>
  <c r="U37"/>
  <c r="V37"/>
  <c r="W37"/>
  <c r="X37"/>
  <c r="Y37"/>
  <c r="Z37"/>
  <c r="AA37"/>
  <c r="P38"/>
  <c r="Q38"/>
  <c r="R38"/>
  <c r="S38"/>
  <c r="T38"/>
  <c r="U38"/>
  <c r="V38"/>
  <c r="W38"/>
  <c r="X38"/>
  <c r="Y38"/>
  <c r="Z38"/>
  <c r="AA38"/>
  <c r="P39"/>
  <c r="Q39"/>
  <c r="R39"/>
  <c r="S39"/>
  <c r="T39"/>
  <c r="U39"/>
  <c r="V39"/>
  <c r="W39"/>
  <c r="X39"/>
  <c r="Y39"/>
  <c r="Z39"/>
  <c r="AA39"/>
  <c r="P40"/>
  <c r="Q40"/>
  <c r="R40"/>
  <c r="S40"/>
  <c r="T40"/>
  <c r="U40"/>
  <c r="V40"/>
  <c r="W40"/>
  <c r="X40"/>
  <c r="Y40"/>
  <c r="Z40"/>
  <c r="AA40"/>
  <c r="P41"/>
  <c r="Q41"/>
  <c r="R41"/>
  <c r="S41"/>
  <c r="T41"/>
  <c r="U41"/>
  <c r="V41"/>
  <c r="W41"/>
  <c r="X41"/>
  <c r="Y41"/>
  <c r="Z41"/>
  <c r="AA41"/>
  <c r="P42"/>
  <c r="Q42"/>
  <c r="R42"/>
  <c r="S42"/>
  <c r="T42"/>
  <c r="U42"/>
  <c r="V42"/>
  <c r="W42"/>
  <c r="X42"/>
  <c r="Y42"/>
  <c r="Z42"/>
  <c r="AA42"/>
  <c r="P43"/>
  <c r="Q43"/>
  <c r="R43"/>
  <c r="S43"/>
  <c r="T43"/>
  <c r="U43"/>
  <c r="V43"/>
  <c r="W43"/>
  <c r="X43"/>
  <c r="Y43"/>
  <c r="Z43"/>
  <c r="AA43"/>
  <c r="P44"/>
  <c r="Q44"/>
  <c r="R44"/>
  <c r="S44"/>
  <c r="T44"/>
  <c r="U44"/>
  <c r="V44"/>
  <c r="W44"/>
  <c r="X44"/>
  <c r="Y44"/>
  <c r="Z44"/>
  <c r="AA44"/>
  <c r="P45"/>
  <c r="Q45"/>
  <c r="R45"/>
  <c r="S45"/>
  <c r="T45"/>
  <c r="U45"/>
  <c r="V45"/>
  <c r="W45"/>
  <c r="X45"/>
  <c r="Y45"/>
  <c r="Z45"/>
  <c r="AA45"/>
  <c r="P46"/>
  <c r="Q46"/>
  <c r="R46"/>
  <c r="S46"/>
  <c r="T46"/>
  <c r="U46"/>
  <c r="V46"/>
  <c r="W46"/>
  <c r="X46"/>
  <c r="Y46"/>
  <c r="Z46"/>
  <c r="AA46"/>
  <c r="P47"/>
  <c r="Q47"/>
  <c r="R47"/>
  <c r="S47"/>
  <c r="T47"/>
  <c r="U47"/>
  <c r="V47"/>
  <c r="W47"/>
  <c r="X47"/>
  <c r="Y47"/>
  <c r="Z47"/>
  <c r="AA47"/>
  <c r="P48"/>
  <c r="Q48"/>
  <c r="R48"/>
  <c r="S48"/>
  <c r="T48"/>
  <c r="U48"/>
  <c r="V48"/>
  <c r="W48"/>
  <c r="X48"/>
  <c r="Y48"/>
  <c r="Z48"/>
  <c r="AA48"/>
  <c r="P49"/>
  <c r="Q49"/>
  <c r="R49"/>
  <c r="S49"/>
  <c r="T49"/>
  <c r="U49"/>
  <c r="V49"/>
  <c r="W49"/>
  <c r="X49"/>
  <c r="Y49"/>
  <c r="Z49"/>
  <c r="AA49"/>
  <c r="P50"/>
  <c r="Q50"/>
  <c r="R50"/>
  <c r="S50"/>
  <c r="T50"/>
  <c r="U50"/>
  <c r="V50"/>
  <c r="W50"/>
  <c r="X50"/>
  <c r="Y50"/>
  <c r="Z50"/>
  <c r="AA50"/>
  <c r="P51"/>
  <c r="Q51"/>
  <c r="R51"/>
  <c r="S51"/>
  <c r="T51"/>
  <c r="U51"/>
  <c r="V51"/>
  <c r="W51"/>
  <c r="X51"/>
  <c r="Y51"/>
  <c r="Z51"/>
  <c r="AA51"/>
  <c r="P52"/>
  <c r="Q52"/>
  <c r="R52"/>
  <c r="S52"/>
  <c r="T52"/>
  <c r="U52"/>
  <c r="V52"/>
  <c r="W52"/>
  <c r="X52"/>
  <c r="Y52"/>
  <c r="Z52"/>
  <c r="AA52"/>
  <c r="P53"/>
  <c r="Q53"/>
  <c r="R53"/>
  <c r="S53"/>
  <c r="T53"/>
  <c r="U53"/>
  <c r="V53"/>
  <c r="W53"/>
  <c r="X53"/>
  <c r="Y53"/>
  <c r="Z53"/>
  <c r="AA53"/>
  <c r="P54"/>
  <c r="Q54"/>
  <c r="R54"/>
  <c r="S54"/>
  <c r="T54"/>
  <c r="U54"/>
  <c r="V54"/>
  <c r="W54"/>
  <c r="X54"/>
  <c r="Y54"/>
  <c r="Z54"/>
  <c r="AA54"/>
  <c r="P55"/>
  <c r="Q55"/>
  <c r="R55"/>
  <c r="S55"/>
  <c r="T55"/>
  <c r="U55"/>
  <c r="V55"/>
  <c r="W55"/>
  <c r="X55"/>
  <c r="Y55"/>
  <c r="Z55"/>
  <c r="AA55"/>
  <c r="P56"/>
  <c r="Q56"/>
  <c r="R56"/>
  <c r="S56"/>
  <c r="T56"/>
  <c r="U56"/>
  <c r="V56"/>
  <c r="W56"/>
  <c r="X56"/>
  <c r="Y56"/>
  <c r="Z56"/>
  <c r="AA56"/>
  <c r="P57"/>
  <c r="Q57"/>
  <c r="R57"/>
  <c r="S57"/>
  <c r="T57"/>
  <c r="U57"/>
  <c r="V57"/>
  <c r="W57"/>
  <c r="X57"/>
  <c r="Y57"/>
  <c r="Z57"/>
  <c r="AA57"/>
  <c r="P58"/>
  <c r="Q58"/>
  <c r="R58"/>
  <c r="S58"/>
  <c r="T58"/>
  <c r="U58"/>
  <c r="V58"/>
  <c r="W58"/>
  <c r="X58"/>
  <c r="Y58"/>
  <c r="Z58"/>
  <c r="AA58"/>
  <c r="P59"/>
  <c r="Q59"/>
  <c r="R59"/>
  <c r="S59"/>
  <c r="T59"/>
  <c r="U59"/>
  <c r="V59"/>
  <c r="W59"/>
  <c r="X59"/>
  <c r="Y59"/>
  <c r="Z59"/>
  <c r="AA59"/>
  <c r="P60"/>
  <c r="Q60"/>
  <c r="R60"/>
  <c r="S60"/>
  <c r="T60"/>
  <c r="U60"/>
  <c r="V60"/>
  <c r="W60"/>
  <c r="X60"/>
  <c r="Y60"/>
  <c r="Z60"/>
  <c r="AA60"/>
  <c r="P61"/>
  <c r="Q61"/>
  <c r="R61"/>
  <c r="S61"/>
  <c r="T61"/>
  <c r="U61"/>
  <c r="V61"/>
  <c r="W61"/>
  <c r="X61"/>
  <c r="Y61"/>
  <c r="Z61"/>
  <c r="AA61"/>
  <c r="P62"/>
  <c r="Q62"/>
  <c r="R62"/>
  <c r="S62"/>
  <c r="T62"/>
  <c r="U62"/>
  <c r="V62"/>
  <c r="W62"/>
  <c r="X62"/>
  <c r="Y62"/>
  <c r="Z62"/>
  <c r="AA62"/>
  <c r="P63"/>
  <c r="Q63"/>
  <c r="R63"/>
  <c r="S63"/>
  <c r="T63"/>
  <c r="U63"/>
  <c r="V63"/>
  <c r="W63"/>
  <c r="X63"/>
  <c r="Y63"/>
  <c r="Z63"/>
  <c r="AA63"/>
  <c r="P64"/>
  <c r="Q64"/>
  <c r="R64"/>
  <c r="S64"/>
  <c r="T64"/>
  <c r="U64"/>
  <c r="V64"/>
  <c r="W64"/>
  <c r="X64"/>
  <c r="Y64"/>
  <c r="Z64"/>
  <c r="AA64"/>
  <c r="P65"/>
  <c r="Q65"/>
  <c r="R65"/>
  <c r="S65"/>
  <c r="T65"/>
  <c r="U65"/>
  <c r="V65"/>
  <c r="W65"/>
  <c r="X65"/>
  <c r="Y65"/>
  <c r="Z65"/>
  <c r="AA65"/>
  <c r="P66"/>
  <c r="Q66"/>
  <c r="R66"/>
  <c r="S66"/>
  <c r="T66"/>
  <c r="U66"/>
  <c r="V66"/>
  <c r="W66"/>
  <c r="X66"/>
  <c r="Y66"/>
  <c r="Z66"/>
  <c r="AA66"/>
  <c r="P67"/>
  <c r="Q67"/>
  <c r="R67"/>
  <c r="S67"/>
  <c r="T67"/>
  <c r="U67"/>
  <c r="V67"/>
  <c r="W67"/>
  <c r="X67"/>
  <c r="Y67"/>
  <c r="Z67"/>
  <c r="AA67"/>
  <c r="P68"/>
  <c r="Q68"/>
  <c r="R68"/>
  <c r="S68"/>
  <c r="T68"/>
  <c r="U68"/>
  <c r="V68"/>
  <c r="W68"/>
  <c r="X68"/>
  <c r="Y68"/>
  <c r="Z68"/>
  <c r="AA68"/>
  <c r="P69"/>
  <c r="Q69"/>
  <c r="R69"/>
  <c r="S69"/>
  <c r="T69"/>
  <c r="U69"/>
  <c r="V69"/>
  <c r="W69"/>
  <c r="X69"/>
  <c r="Y69"/>
  <c r="Z69"/>
  <c r="AA69"/>
  <c r="P70"/>
  <c r="Q70"/>
  <c r="R70"/>
  <c r="S70"/>
  <c r="T70"/>
  <c r="U70"/>
  <c r="V70"/>
  <c r="W70"/>
  <c r="X70"/>
  <c r="Y70"/>
  <c r="Z70"/>
  <c r="AA70"/>
  <c r="P71"/>
  <c r="Q71"/>
  <c r="R71"/>
  <c r="S71"/>
  <c r="T71"/>
  <c r="U71"/>
  <c r="V71"/>
  <c r="W71"/>
  <c r="X71"/>
  <c r="Y71"/>
  <c r="Z71"/>
  <c r="AA71"/>
  <c r="P72"/>
  <c r="Q72"/>
  <c r="R72"/>
  <c r="S72"/>
  <c r="T72"/>
  <c r="U72"/>
  <c r="V72"/>
  <c r="W72"/>
  <c r="X72"/>
  <c r="Y72"/>
  <c r="Z72"/>
  <c r="AA72"/>
  <c r="P73"/>
  <c r="Q73"/>
  <c r="R73"/>
  <c r="S73"/>
  <c r="T73"/>
  <c r="U73"/>
  <c r="V73"/>
  <c r="W73"/>
  <c r="X73"/>
  <c r="Y73"/>
  <c r="Z73"/>
  <c r="AA73"/>
  <c r="P74"/>
  <c r="Q74"/>
  <c r="R74"/>
  <c r="S74"/>
  <c r="T74"/>
  <c r="U74"/>
  <c r="V74"/>
  <c r="W74"/>
  <c r="X74"/>
  <c r="Y74"/>
  <c r="Z74"/>
  <c r="AA74"/>
  <c r="P75"/>
  <c r="Q75"/>
  <c r="R75"/>
  <c r="S75"/>
  <c r="T75"/>
  <c r="U75"/>
  <c r="V75"/>
  <c r="W75"/>
  <c r="X75"/>
  <c r="Y75"/>
  <c r="Z75"/>
  <c r="AA75"/>
  <c r="P76"/>
  <c r="Q76"/>
  <c r="R76"/>
  <c r="S76"/>
  <c r="T76"/>
  <c r="U76"/>
  <c r="V76"/>
  <c r="W76"/>
  <c r="X76"/>
  <c r="Y76"/>
  <c r="Z76"/>
  <c r="AA76"/>
  <c r="P77"/>
  <c r="Q77"/>
  <c r="R77"/>
  <c r="S77"/>
  <c r="T77"/>
  <c r="U77"/>
  <c r="V77"/>
  <c r="W77"/>
  <c r="X77"/>
  <c r="Y77"/>
  <c r="Z77"/>
  <c r="AA77"/>
  <c r="P78"/>
  <c r="Q78"/>
  <c r="R78"/>
  <c r="S78"/>
  <c r="T78"/>
  <c r="U78"/>
  <c r="V78"/>
  <c r="W78"/>
  <c r="X78"/>
  <c r="Y78"/>
  <c r="Z78"/>
  <c r="AA78"/>
  <c r="P79"/>
  <c r="Q79"/>
  <c r="R79"/>
  <c r="S79"/>
  <c r="T79"/>
  <c r="U79"/>
  <c r="V79"/>
  <c r="W79"/>
  <c r="X79"/>
  <c r="Y79"/>
  <c r="Z79"/>
  <c r="AA79"/>
  <c r="P80"/>
  <c r="Q80"/>
  <c r="R80"/>
  <c r="S80"/>
  <c r="T80"/>
  <c r="U80"/>
  <c r="V80"/>
  <c r="W80"/>
  <c r="X80"/>
  <c r="Y80"/>
  <c r="Z80"/>
  <c r="AA80"/>
  <c r="P81"/>
  <c r="Q81"/>
  <c r="R81"/>
  <c r="S81"/>
  <c r="T81"/>
  <c r="U81"/>
  <c r="V81"/>
  <c r="W81"/>
  <c r="X81"/>
  <c r="Y81"/>
  <c r="Z81"/>
  <c r="AA81"/>
  <c r="P82"/>
  <c r="Q82"/>
  <c r="R82"/>
  <c r="S82"/>
  <c r="T82"/>
  <c r="U82"/>
  <c r="V82"/>
  <c r="W82"/>
  <c r="X82"/>
  <c r="Y82"/>
  <c r="Z82"/>
  <c r="AA82"/>
  <c r="P83"/>
  <c r="Q83"/>
  <c r="R83"/>
  <c r="S83"/>
  <c r="T83"/>
  <c r="U83"/>
  <c r="V83"/>
  <c r="W83"/>
  <c r="X83"/>
  <c r="Y83"/>
  <c r="Z83"/>
  <c r="AA83"/>
  <c r="P84"/>
  <c r="Q84"/>
  <c r="R84"/>
  <c r="S84"/>
  <c r="T84"/>
  <c r="U84"/>
  <c r="V84"/>
  <c r="W84"/>
  <c r="X84"/>
  <c r="Y84"/>
  <c r="Z84"/>
  <c r="AA84"/>
  <c r="P85"/>
  <c r="Q85"/>
  <c r="R85"/>
  <c r="S85"/>
  <c r="T85"/>
  <c r="U85"/>
  <c r="V85"/>
  <c r="W85"/>
  <c r="X85"/>
  <c r="Y85"/>
  <c r="Z85"/>
  <c r="AA85"/>
  <c r="P86"/>
  <c r="Q86"/>
  <c r="R86"/>
  <c r="S86"/>
  <c r="T86"/>
  <c r="U86"/>
  <c r="V86"/>
  <c r="W86"/>
  <c r="X86"/>
  <c r="Y86"/>
  <c r="Z86"/>
  <c r="AA86"/>
  <c r="P87"/>
  <c r="Q87"/>
  <c r="R87"/>
  <c r="S87"/>
  <c r="T87"/>
  <c r="U87"/>
  <c r="V87"/>
  <c r="W87"/>
  <c r="X87"/>
  <c r="Y87"/>
  <c r="Z87"/>
  <c r="AA87"/>
  <c r="P88"/>
  <c r="Q88"/>
  <c r="R88"/>
  <c r="S88"/>
  <c r="T88"/>
  <c r="U88"/>
  <c r="V88"/>
  <c r="W88"/>
  <c r="X88"/>
  <c r="Y88"/>
  <c r="Z88"/>
  <c r="AA88"/>
  <c r="P89"/>
  <c r="Q89"/>
  <c r="R89"/>
  <c r="S89"/>
  <c r="T89"/>
  <c r="U89"/>
  <c r="V89"/>
  <c r="W89"/>
  <c r="X89"/>
  <c r="Y89"/>
  <c r="Z89"/>
  <c r="AA89"/>
  <c r="P90"/>
  <c r="Q90"/>
  <c r="R90"/>
  <c r="S90"/>
  <c r="T90"/>
  <c r="U90"/>
  <c r="V90"/>
  <c r="W90"/>
  <c r="X90"/>
  <c r="Y90"/>
  <c r="Z90"/>
  <c r="AA90"/>
  <c r="P91"/>
  <c r="Q91"/>
  <c r="R91"/>
  <c r="S91"/>
  <c r="T91"/>
  <c r="U91"/>
  <c r="V91"/>
  <c r="W91"/>
  <c r="X91"/>
  <c r="Y91"/>
  <c r="Z91"/>
  <c r="AA91"/>
  <c r="P92"/>
  <c r="Q92"/>
  <c r="R92"/>
  <c r="S92"/>
  <c r="T92"/>
  <c r="U92"/>
  <c r="V92"/>
  <c r="W92"/>
  <c r="X92"/>
  <c r="Y92"/>
  <c r="Z92"/>
  <c r="AA92"/>
  <c r="P93"/>
  <c r="Q93"/>
  <c r="R93"/>
  <c r="S93"/>
  <c r="T93"/>
  <c r="U93"/>
  <c r="V93"/>
  <c r="W93"/>
  <c r="X93"/>
  <c r="Y93"/>
  <c r="Z93"/>
  <c r="AA93"/>
  <c r="P94"/>
  <c r="Q94"/>
  <c r="R94"/>
  <c r="S94"/>
  <c r="T94"/>
  <c r="U94"/>
  <c r="V94"/>
  <c r="W94"/>
  <c r="X94"/>
  <c r="Y94"/>
  <c r="Z94"/>
  <c r="AA94"/>
  <c r="P95"/>
  <c r="Q95"/>
  <c r="R95"/>
  <c r="S95"/>
  <c r="T95"/>
  <c r="U95"/>
  <c r="V95"/>
  <c r="W95"/>
  <c r="X95"/>
  <c r="Y95"/>
  <c r="Z95"/>
  <c r="AA95"/>
  <c r="P96"/>
  <c r="Q96"/>
  <c r="R96"/>
  <c r="S96"/>
  <c r="T96"/>
  <c r="U96"/>
  <c r="V96"/>
  <c r="W96"/>
  <c r="X96"/>
  <c r="Y96"/>
  <c r="Z96"/>
  <c r="AA96"/>
  <c r="P97"/>
  <c r="Q97"/>
  <c r="R97"/>
  <c r="S97"/>
  <c r="T97"/>
  <c r="U97"/>
  <c r="V97"/>
  <c r="W97"/>
  <c r="X97"/>
  <c r="Y97"/>
  <c r="Z97"/>
  <c r="AA97"/>
  <c r="P98"/>
  <c r="Q98"/>
  <c r="R98"/>
  <c r="S98"/>
  <c r="T98"/>
  <c r="U98"/>
  <c r="V98"/>
  <c r="W98"/>
  <c r="X98"/>
  <c r="Y98"/>
  <c r="Z98"/>
  <c r="AA98"/>
  <c r="P99"/>
  <c r="Q99"/>
  <c r="R99"/>
  <c r="S99"/>
  <c r="T99"/>
  <c r="U99"/>
  <c r="V99"/>
  <c r="W99"/>
  <c r="X99"/>
  <c r="Y99"/>
  <c r="Z99"/>
  <c r="AA99"/>
  <c r="P100"/>
  <c r="Q100"/>
  <c r="R100"/>
  <c r="S100"/>
  <c r="T100"/>
  <c r="U100"/>
  <c r="V100"/>
  <c r="W100"/>
  <c r="X100"/>
  <c r="Y100"/>
  <c r="Z100"/>
  <c r="AA100"/>
  <c r="P101"/>
  <c r="Q101"/>
  <c r="R101"/>
  <c r="S101"/>
  <c r="T101"/>
  <c r="U101"/>
  <c r="V101"/>
  <c r="W101"/>
  <c r="X101"/>
  <c r="Y101"/>
  <c r="Z101"/>
  <c r="AA101"/>
  <c r="P102"/>
  <c r="Q102"/>
  <c r="R102"/>
  <c r="S102"/>
  <c r="T102"/>
  <c r="U102"/>
  <c r="V102"/>
  <c r="W102"/>
  <c r="X102"/>
  <c r="Y102"/>
  <c r="Z102"/>
  <c r="AA102"/>
  <c r="P103"/>
  <c r="Q103"/>
  <c r="R103"/>
  <c r="S103"/>
  <c r="T103"/>
  <c r="U103"/>
  <c r="V103"/>
  <c r="W103"/>
  <c r="X103"/>
  <c r="Y103"/>
  <c r="Z103"/>
  <c r="AA103"/>
  <c r="P104"/>
  <c r="Q104"/>
  <c r="R104"/>
  <c r="S104"/>
  <c r="T104"/>
  <c r="U104"/>
  <c r="V104"/>
  <c r="W104"/>
  <c r="X104"/>
  <c r="Y104"/>
  <c r="Z104"/>
  <c r="AA104"/>
  <c r="P105"/>
  <c r="Q105"/>
  <c r="R105"/>
  <c r="S105"/>
  <c r="T105"/>
  <c r="U105"/>
  <c r="V105"/>
  <c r="W105"/>
  <c r="X105"/>
  <c r="Y105"/>
  <c r="Z105"/>
  <c r="AA105"/>
  <c r="P106"/>
  <c r="Q106"/>
  <c r="R106"/>
  <c r="S106"/>
  <c r="T106"/>
  <c r="U106"/>
  <c r="V106"/>
  <c r="W106"/>
  <c r="X106"/>
  <c r="Y106"/>
  <c r="Z106"/>
  <c r="AA106"/>
  <c r="P107"/>
  <c r="Q107"/>
  <c r="R107"/>
  <c r="S107"/>
  <c r="T107"/>
  <c r="U107"/>
  <c r="V107"/>
  <c r="W107"/>
  <c r="X107"/>
  <c r="Y107"/>
  <c r="Z107"/>
  <c r="AA107"/>
  <c r="P108"/>
  <c r="Q108"/>
  <c r="R108"/>
  <c r="S108"/>
  <c r="T108"/>
  <c r="U108"/>
  <c r="V108"/>
  <c r="W108"/>
  <c r="X108"/>
  <c r="Y108"/>
  <c r="Z108"/>
  <c r="AA108"/>
  <c r="P109"/>
  <c r="Q109"/>
  <c r="R109"/>
  <c r="S109"/>
  <c r="T109"/>
  <c r="U109"/>
  <c r="V109"/>
  <c r="W109"/>
  <c r="X109"/>
  <c r="Y109"/>
  <c r="Z109"/>
  <c r="AA109"/>
  <c r="P110"/>
  <c r="Q110"/>
  <c r="R110"/>
  <c r="S110"/>
  <c r="T110"/>
  <c r="U110"/>
  <c r="V110"/>
  <c r="W110"/>
  <c r="X110"/>
  <c r="Y110"/>
  <c r="Z110"/>
  <c r="AA110"/>
  <c r="P111"/>
  <c r="Q111"/>
  <c r="R111"/>
  <c r="S111"/>
  <c r="T111"/>
  <c r="U111"/>
  <c r="V111"/>
  <c r="W111"/>
  <c r="X111"/>
  <c r="Y111"/>
  <c r="Z111"/>
  <c r="AA111"/>
  <c r="P112"/>
  <c r="Q112"/>
  <c r="R112"/>
  <c r="S112"/>
  <c r="T112"/>
  <c r="U112"/>
  <c r="V112"/>
  <c r="W112"/>
  <c r="X112"/>
  <c r="Y112"/>
  <c r="Z112"/>
  <c r="AA112"/>
  <c r="P113"/>
  <c r="Q113"/>
  <c r="R113"/>
  <c r="S113"/>
  <c r="T113"/>
  <c r="U113"/>
  <c r="V113"/>
  <c r="W113"/>
  <c r="X113"/>
  <c r="Y113"/>
  <c r="Z113"/>
  <c r="AA113"/>
  <c r="P114"/>
  <c r="Q114"/>
  <c r="R114"/>
  <c r="S114"/>
  <c r="T114"/>
  <c r="U114"/>
  <c r="V114"/>
  <c r="W114"/>
  <c r="X114"/>
  <c r="Y114"/>
  <c r="Z114"/>
  <c r="AA114"/>
  <c r="P115"/>
  <c r="Q115"/>
  <c r="R115"/>
  <c r="S115"/>
  <c r="T115"/>
  <c r="U115"/>
  <c r="V115"/>
  <c r="W115"/>
  <c r="X115"/>
  <c r="Y115"/>
  <c r="Z115"/>
  <c r="AA115"/>
  <c r="P116"/>
  <c r="Q116"/>
  <c r="R116"/>
  <c r="S116"/>
  <c r="T116"/>
  <c r="U116"/>
  <c r="V116"/>
  <c r="W116"/>
  <c r="X116"/>
  <c r="Y116"/>
  <c r="Z116"/>
  <c r="AA116"/>
  <c r="P117"/>
  <c r="Q117"/>
  <c r="R117"/>
  <c r="S117"/>
  <c r="T117"/>
  <c r="U117"/>
  <c r="V117"/>
  <c r="W117"/>
  <c r="X117"/>
  <c r="Y117"/>
  <c r="Z117"/>
  <c r="AA117"/>
  <c r="P118"/>
  <c r="Q118"/>
  <c r="R118"/>
  <c r="S118"/>
  <c r="T118"/>
  <c r="U118"/>
  <c r="V118"/>
  <c r="W118"/>
  <c r="X118"/>
  <c r="Y118"/>
  <c r="Z118"/>
  <c r="AA118"/>
  <c r="P119"/>
  <c r="Q119"/>
  <c r="R119"/>
  <c r="S119"/>
  <c r="T119"/>
  <c r="U119"/>
  <c r="V119"/>
  <c r="W119"/>
  <c r="X119"/>
  <c r="Y119"/>
  <c r="Z119"/>
  <c r="AA119"/>
  <c r="P120"/>
  <c r="Q120"/>
  <c r="R120"/>
  <c r="S120"/>
  <c r="T120"/>
  <c r="U120"/>
  <c r="V120"/>
  <c r="W120"/>
  <c r="X120"/>
  <c r="Y120"/>
  <c r="Z120"/>
  <c r="AA120"/>
  <c r="P121"/>
  <c r="Q121"/>
  <c r="R121"/>
  <c r="S121"/>
  <c r="T121"/>
  <c r="U121"/>
  <c r="V121"/>
  <c r="W121"/>
  <c r="X121"/>
  <c r="Y121"/>
  <c r="Z121"/>
  <c r="AA121"/>
  <c r="P122"/>
  <c r="Q122"/>
  <c r="R122"/>
  <c r="S122"/>
  <c r="T122"/>
  <c r="U122"/>
  <c r="V122"/>
  <c r="W122"/>
  <c r="X122"/>
  <c r="Y122"/>
  <c r="Z122"/>
  <c r="AA122"/>
  <c r="P123"/>
  <c r="Q123"/>
  <c r="R123"/>
  <c r="S123"/>
  <c r="T123"/>
  <c r="U123"/>
  <c r="V123"/>
  <c r="W123"/>
  <c r="X123"/>
  <c r="Y123"/>
  <c r="Z123"/>
  <c r="AA123"/>
  <c r="P124"/>
  <c r="Q124"/>
  <c r="R124"/>
  <c r="S124"/>
  <c r="T124"/>
  <c r="U124"/>
  <c r="V124"/>
  <c r="W124"/>
  <c r="X124"/>
  <c r="Y124"/>
  <c r="Z124"/>
  <c r="AA124"/>
  <c r="P125"/>
  <c r="Q125"/>
  <c r="R125"/>
  <c r="S125"/>
  <c r="T125"/>
  <c r="U125"/>
  <c r="V125"/>
  <c r="W125"/>
  <c r="X125"/>
  <c r="Y125"/>
  <c r="Z125"/>
  <c r="AA125"/>
  <c r="P126"/>
  <c r="Q126"/>
  <c r="R126"/>
  <c r="S126"/>
  <c r="T126"/>
  <c r="U126"/>
  <c r="V126"/>
  <c r="W126"/>
  <c r="X126"/>
  <c r="Y126"/>
  <c r="Z126"/>
  <c r="AA126"/>
  <c r="P127"/>
  <c r="Q127"/>
  <c r="R127"/>
  <c r="S127"/>
  <c r="T127"/>
  <c r="U127"/>
  <c r="V127"/>
  <c r="W127"/>
  <c r="X127"/>
  <c r="Y127"/>
  <c r="Z127"/>
  <c r="AA127"/>
  <c r="P128"/>
  <c r="Q128"/>
  <c r="R128"/>
  <c r="S128"/>
  <c r="T128"/>
  <c r="U128"/>
  <c r="V128"/>
  <c r="W128"/>
  <c r="X128"/>
  <c r="Y128"/>
  <c r="Z128"/>
  <c r="AA128"/>
  <c r="P129"/>
  <c r="Q129"/>
  <c r="R129"/>
  <c r="S129"/>
  <c r="T129"/>
  <c r="U129"/>
  <c r="V129"/>
  <c r="W129"/>
  <c r="X129"/>
  <c r="Y129"/>
  <c r="Z129"/>
  <c r="AA129"/>
  <c r="P130"/>
  <c r="Q130"/>
  <c r="R130"/>
  <c r="S130"/>
  <c r="T130"/>
  <c r="U130"/>
  <c r="V130"/>
  <c r="W130"/>
  <c r="X130"/>
  <c r="Y130"/>
  <c r="Z130"/>
  <c r="AA130"/>
  <c r="P131"/>
  <c r="Q131"/>
  <c r="R131"/>
  <c r="S131"/>
  <c r="T131"/>
  <c r="U131"/>
  <c r="V131"/>
  <c r="W131"/>
  <c r="X131"/>
  <c r="Y131"/>
  <c r="Z131"/>
  <c r="AA131"/>
  <c r="P132"/>
  <c r="Q132"/>
  <c r="R132"/>
  <c r="S132"/>
  <c r="T132"/>
  <c r="U132"/>
  <c r="V132"/>
  <c r="W132"/>
  <c r="X132"/>
  <c r="Y132"/>
  <c r="Z132"/>
  <c r="AA132"/>
  <c r="P133"/>
  <c r="Q133"/>
  <c r="R133"/>
  <c r="S133"/>
  <c r="T133"/>
  <c r="U133"/>
  <c r="V133"/>
  <c r="W133"/>
  <c r="X133"/>
  <c r="Y133"/>
  <c r="Z133"/>
  <c r="AA133"/>
  <c r="P134"/>
  <c r="Q134"/>
  <c r="R134"/>
  <c r="S134"/>
  <c r="T134"/>
  <c r="U134"/>
  <c r="V134"/>
  <c r="W134"/>
  <c r="X134"/>
  <c r="Y134"/>
  <c r="Z134"/>
  <c r="AA134"/>
  <c r="P135"/>
  <c r="Q135"/>
  <c r="R135"/>
  <c r="S135"/>
  <c r="T135"/>
  <c r="U135"/>
  <c r="V135"/>
  <c r="W135"/>
  <c r="X135"/>
  <c r="Y135"/>
  <c r="Z135"/>
  <c r="AA135"/>
  <c r="P136"/>
  <c r="Q136"/>
  <c r="R136"/>
  <c r="S136"/>
  <c r="T136"/>
  <c r="U136"/>
  <c r="V136"/>
  <c r="W136"/>
  <c r="X136"/>
  <c r="Y136"/>
  <c r="Z136"/>
  <c r="AA136"/>
  <c r="P137"/>
  <c r="Q137"/>
  <c r="R137"/>
  <c r="S137"/>
  <c r="T137"/>
  <c r="U137"/>
  <c r="V137"/>
  <c r="W137"/>
  <c r="X137"/>
  <c r="Y137"/>
  <c r="Z137"/>
  <c r="AA137"/>
  <c r="P138"/>
  <c r="Q138"/>
  <c r="R138"/>
  <c r="S138"/>
  <c r="T138"/>
  <c r="U138"/>
  <c r="V138"/>
  <c r="W138"/>
  <c r="X138"/>
  <c r="Y138"/>
  <c r="Z138"/>
  <c r="AA138"/>
  <c r="P139"/>
  <c r="Q139"/>
  <c r="R139"/>
  <c r="S139"/>
  <c r="T139"/>
  <c r="U139"/>
  <c r="V139"/>
  <c r="W139"/>
  <c r="X139"/>
  <c r="Y139"/>
  <c r="Z139"/>
  <c r="AA139"/>
  <c r="P140"/>
  <c r="Q140"/>
  <c r="R140"/>
  <c r="S140"/>
  <c r="T140"/>
  <c r="U140"/>
  <c r="V140"/>
  <c r="W140"/>
  <c r="X140"/>
  <c r="Y140"/>
  <c r="Z140"/>
  <c r="AA140"/>
  <c r="P141"/>
  <c r="Q141"/>
  <c r="R141"/>
  <c r="S141"/>
  <c r="T141"/>
  <c r="U141"/>
  <c r="V141"/>
  <c r="W141"/>
  <c r="X141"/>
  <c r="Y141"/>
  <c r="Z141"/>
  <c r="AA141"/>
  <c r="P142"/>
  <c r="Q142"/>
  <c r="R142"/>
  <c r="S142"/>
  <c r="T142"/>
  <c r="U142"/>
  <c r="V142"/>
  <c r="W142"/>
  <c r="X142"/>
  <c r="Y142"/>
  <c r="Z142"/>
  <c r="AA142"/>
  <c r="P143"/>
  <c r="Q143"/>
  <c r="R143"/>
  <c r="S143"/>
  <c r="T143"/>
  <c r="U143"/>
  <c r="V143"/>
  <c r="W143"/>
  <c r="X143"/>
  <c r="Y143"/>
  <c r="Z143"/>
  <c r="AA143"/>
  <c r="P144"/>
  <c r="Q144"/>
  <c r="R144"/>
  <c r="S144"/>
  <c r="T144"/>
  <c r="U144"/>
  <c r="V144"/>
  <c r="W144"/>
  <c r="X144"/>
  <c r="Y144"/>
  <c r="Z144"/>
  <c r="AA144"/>
  <c r="P145"/>
  <c r="Q145"/>
  <c r="R145"/>
  <c r="S145"/>
  <c r="T145"/>
  <c r="U145"/>
  <c r="V145"/>
  <c r="W145"/>
  <c r="X145"/>
  <c r="Y145"/>
  <c r="Z145"/>
  <c r="AA145"/>
  <c r="P146"/>
  <c r="Q146"/>
  <c r="R146"/>
  <c r="S146"/>
  <c r="T146"/>
  <c r="U146"/>
  <c r="V146"/>
  <c r="W146"/>
  <c r="X146"/>
  <c r="Y146"/>
  <c r="Z146"/>
  <c r="AA146"/>
  <c r="P147"/>
  <c r="Q147"/>
  <c r="R147"/>
  <c r="S147"/>
  <c r="T147"/>
  <c r="U147"/>
  <c r="V147"/>
  <c r="W147"/>
  <c r="X147"/>
  <c r="Y147"/>
  <c r="Z147"/>
  <c r="AA147"/>
  <c r="P148"/>
  <c r="Q148"/>
  <c r="R148"/>
  <c r="S148"/>
  <c r="T148"/>
  <c r="U148"/>
  <c r="V148"/>
  <c r="W148"/>
  <c r="X148"/>
  <c r="Y148"/>
  <c r="Z148"/>
  <c r="AA148"/>
  <c r="P149"/>
  <c r="Q149"/>
  <c r="R149"/>
  <c r="S149"/>
  <c r="T149"/>
  <c r="U149"/>
  <c r="V149"/>
  <c r="W149"/>
  <c r="X149"/>
  <c r="Y149"/>
  <c r="Z149"/>
  <c r="AA149"/>
  <c r="P150"/>
  <c r="Q150"/>
  <c r="R150"/>
  <c r="S150"/>
  <c r="T150"/>
  <c r="U150"/>
  <c r="V150"/>
  <c r="W150"/>
  <c r="X150"/>
  <c r="Y150"/>
  <c r="Z150"/>
  <c r="AA150"/>
  <c r="P151"/>
  <c r="Q151"/>
  <c r="R151"/>
  <c r="S151"/>
  <c r="T151"/>
  <c r="U151"/>
  <c r="V151"/>
  <c r="W151"/>
  <c r="X151"/>
  <c r="Y151"/>
  <c r="Z151"/>
  <c r="AA151"/>
  <c r="P152"/>
  <c r="Q152"/>
  <c r="R152"/>
  <c r="S152"/>
  <c r="T152"/>
  <c r="U152"/>
  <c r="V152"/>
  <c r="W152"/>
  <c r="X152"/>
  <c r="Y152"/>
  <c r="Z152"/>
  <c r="AA152"/>
  <c r="P153"/>
  <c r="Q153"/>
  <c r="R153"/>
  <c r="S153"/>
  <c r="T153"/>
  <c r="U153"/>
  <c r="V153"/>
  <c r="W153"/>
  <c r="X153"/>
  <c r="Y153"/>
  <c r="Z153"/>
  <c r="AA153"/>
  <c r="P154"/>
  <c r="Q154"/>
  <c r="R154"/>
  <c r="S154"/>
  <c r="T154"/>
  <c r="U154"/>
  <c r="V154"/>
  <c r="W154"/>
  <c r="X154"/>
  <c r="Y154"/>
  <c r="Z154"/>
  <c r="AA154"/>
  <c r="P155"/>
  <c r="Q155"/>
  <c r="R155"/>
  <c r="S155"/>
  <c r="T155"/>
  <c r="U155"/>
  <c r="V155"/>
  <c r="W155"/>
  <c r="X155"/>
  <c r="Y155"/>
  <c r="Z155"/>
  <c r="AA155"/>
  <c r="P156"/>
  <c r="Q156"/>
  <c r="R156"/>
  <c r="S156"/>
  <c r="T156"/>
  <c r="U156"/>
  <c r="V156"/>
  <c r="W156"/>
  <c r="X156"/>
  <c r="Y156"/>
  <c r="Z156"/>
  <c r="AA156"/>
  <c r="P157"/>
  <c r="Q157"/>
  <c r="R157"/>
  <c r="S157"/>
  <c r="T157"/>
  <c r="U157"/>
  <c r="V157"/>
  <c r="W157"/>
  <c r="X157"/>
  <c r="Y157"/>
  <c r="Z157"/>
  <c r="AA157"/>
  <c r="P158"/>
  <c r="Q158"/>
  <c r="R158"/>
  <c r="S158"/>
  <c r="T158"/>
  <c r="U158"/>
  <c r="V158"/>
  <c r="W158"/>
  <c r="X158"/>
  <c r="Y158"/>
  <c r="Z158"/>
  <c r="AA158"/>
  <c r="P159"/>
  <c r="Q159"/>
  <c r="R159"/>
  <c r="S159"/>
  <c r="T159"/>
  <c r="U159"/>
  <c r="V159"/>
  <c r="W159"/>
  <c r="X159"/>
  <c r="Y159"/>
  <c r="Z159"/>
  <c r="AA159"/>
  <c r="P160"/>
  <c r="Q160"/>
  <c r="R160"/>
  <c r="S160"/>
  <c r="T160"/>
  <c r="U160"/>
  <c r="V160"/>
  <c r="W160"/>
  <c r="X160"/>
  <c r="Y160"/>
  <c r="Z160"/>
  <c r="AA160"/>
  <c r="P161"/>
  <c r="Q161"/>
  <c r="R161"/>
  <c r="S161"/>
  <c r="T161"/>
  <c r="U161"/>
  <c r="V161"/>
  <c r="W161"/>
  <c r="X161"/>
  <c r="Y161"/>
  <c r="Z161"/>
  <c r="AA161"/>
  <c r="P162"/>
  <c r="Q162"/>
  <c r="R162"/>
  <c r="S162"/>
  <c r="T162"/>
  <c r="U162"/>
  <c r="V162"/>
  <c r="W162"/>
  <c r="X162"/>
  <c r="Y162"/>
  <c r="Z162"/>
  <c r="AA162"/>
  <c r="P163"/>
  <c r="Q163"/>
  <c r="R163"/>
  <c r="S163"/>
  <c r="T163"/>
  <c r="U163"/>
  <c r="V163"/>
  <c r="W163"/>
  <c r="X163"/>
  <c r="Y163"/>
  <c r="Z163"/>
  <c r="AA163"/>
  <c r="P164"/>
  <c r="Q164"/>
  <c r="R164"/>
  <c r="S164"/>
  <c r="T164"/>
  <c r="U164"/>
  <c r="V164"/>
  <c r="W164"/>
  <c r="X164"/>
  <c r="Y164"/>
  <c r="Z164"/>
  <c r="AA164"/>
  <c r="P165"/>
  <c r="Q165"/>
  <c r="R165"/>
  <c r="S165"/>
  <c r="T165"/>
  <c r="U165"/>
  <c r="V165"/>
  <c r="W165"/>
  <c r="X165"/>
  <c r="Y165"/>
  <c r="Z165"/>
  <c r="AA165"/>
  <c r="P166"/>
  <c r="Q166"/>
  <c r="R166"/>
  <c r="S166"/>
  <c r="T166"/>
  <c r="U166"/>
  <c r="V166"/>
  <c r="W166"/>
  <c r="X166"/>
  <c r="Y166"/>
  <c r="Z166"/>
  <c r="AA166"/>
  <c r="P167"/>
  <c r="Q167"/>
  <c r="R167"/>
  <c r="S167"/>
  <c r="T167"/>
  <c r="U167"/>
  <c r="V167"/>
  <c r="W167"/>
  <c r="X167"/>
  <c r="Y167"/>
  <c r="Z167"/>
  <c r="AA167"/>
  <c r="P168"/>
  <c r="Q168"/>
  <c r="R168"/>
  <c r="S168"/>
  <c r="T168"/>
  <c r="U168"/>
  <c r="V168"/>
  <c r="W168"/>
  <c r="X168"/>
  <c r="Y168"/>
  <c r="Z168"/>
  <c r="AA168"/>
  <c r="P169"/>
  <c r="Q169"/>
  <c r="R169"/>
  <c r="S169"/>
  <c r="T169"/>
  <c r="U169"/>
  <c r="V169"/>
  <c r="W169"/>
  <c r="X169"/>
  <c r="Y169"/>
  <c r="Z169"/>
  <c r="AA169"/>
  <c r="Q20"/>
  <c r="R20"/>
  <c r="S20"/>
  <c r="T20"/>
  <c r="U20"/>
  <c r="V20"/>
  <c r="W20"/>
  <c r="X20"/>
  <c r="Y20"/>
  <c r="Z20"/>
  <c r="AA20"/>
  <c r="P20"/>
  <c r="D21"/>
  <c r="E21"/>
  <c r="F21"/>
  <c r="G21"/>
  <c r="H21"/>
  <c r="I21"/>
  <c r="J21"/>
  <c r="K21"/>
  <c r="L21"/>
  <c r="M21"/>
  <c r="N21"/>
  <c r="O21"/>
  <c r="D22"/>
  <c r="E22"/>
  <c r="F22"/>
  <c r="G22"/>
  <c r="H22"/>
  <c r="I22"/>
  <c r="J22"/>
  <c r="K22"/>
  <c r="L22"/>
  <c r="M22"/>
  <c r="N22"/>
  <c r="O22"/>
  <c r="D23"/>
  <c r="E23"/>
  <c r="F23"/>
  <c r="G23"/>
  <c r="H23"/>
  <c r="I23"/>
  <c r="J23"/>
  <c r="K23"/>
  <c r="L23"/>
  <c r="M23"/>
  <c r="N23"/>
  <c r="O23"/>
  <c r="D24"/>
  <c r="E24"/>
  <c r="F24"/>
  <c r="G24"/>
  <c r="H24"/>
  <c r="I24"/>
  <c r="J24"/>
  <c r="K24"/>
  <c r="L24"/>
  <c r="M24"/>
  <c r="N24"/>
  <c r="O24"/>
  <c r="D25"/>
  <c r="E25"/>
  <c r="F25"/>
  <c r="G25"/>
  <c r="H25"/>
  <c r="I25"/>
  <c r="J25"/>
  <c r="K25"/>
  <c r="L25"/>
  <c r="M25"/>
  <c r="N25"/>
  <c r="O25"/>
  <c r="D26"/>
  <c r="E26"/>
  <c r="F26"/>
  <c r="G26"/>
  <c r="H26"/>
  <c r="I26"/>
  <c r="J26"/>
  <c r="K26"/>
  <c r="L26"/>
  <c r="M26"/>
  <c r="N26"/>
  <c r="O26"/>
  <c r="D27"/>
  <c r="E27"/>
  <c r="F27"/>
  <c r="G27"/>
  <c r="H27"/>
  <c r="I27"/>
  <c r="J27"/>
  <c r="K27"/>
  <c r="L27"/>
  <c r="M27"/>
  <c r="N27"/>
  <c r="O27"/>
  <c r="D28"/>
  <c r="E28"/>
  <c r="F28"/>
  <c r="G28"/>
  <c r="H28"/>
  <c r="I28"/>
  <c r="J28"/>
  <c r="K28"/>
  <c r="L28"/>
  <c r="M28"/>
  <c r="N28"/>
  <c r="O28"/>
  <c r="D29"/>
  <c r="E29"/>
  <c r="F29"/>
  <c r="G29"/>
  <c r="H29"/>
  <c r="I29"/>
  <c r="J29"/>
  <c r="K29"/>
  <c r="L29"/>
  <c r="M29"/>
  <c r="N29"/>
  <c r="O29"/>
  <c r="D30"/>
  <c r="E30"/>
  <c r="F30"/>
  <c r="G30"/>
  <c r="H30"/>
  <c r="I30"/>
  <c r="J30"/>
  <c r="K30"/>
  <c r="L30"/>
  <c r="M30"/>
  <c r="N30"/>
  <c r="O30"/>
  <c r="D31"/>
  <c r="E31"/>
  <c r="F31"/>
  <c r="G31"/>
  <c r="H31"/>
  <c r="I31"/>
  <c r="J31"/>
  <c r="K31"/>
  <c r="L31"/>
  <c r="M31"/>
  <c r="N31"/>
  <c r="O31"/>
  <c r="D32"/>
  <c r="E32"/>
  <c r="F32"/>
  <c r="G32"/>
  <c r="H32"/>
  <c r="I32"/>
  <c r="J32"/>
  <c r="K32"/>
  <c r="L32"/>
  <c r="M32"/>
  <c r="N32"/>
  <c r="O32"/>
  <c r="D33"/>
  <c r="E33"/>
  <c r="F33"/>
  <c r="G33"/>
  <c r="H33"/>
  <c r="I33"/>
  <c r="J33"/>
  <c r="K33"/>
  <c r="L33"/>
  <c r="M33"/>
  <c r="N33"/>
  <c r="O33"/>
  <c r="D34"/>
  <c r="E34"/>
  <c r="F34"/>
  <c r="G34"/>
  <c r="H34"/>
  <c r="I34"/>
  <c r="J34"/>
  <c r="K34"/>
  <c r="L34"/>
  <c r="M34"/>
  <c r="N34"/>
  <c r="O34"/>
  <c r="D35"/>
  <c r="E35"/>
  <c r="F35"/>
  <c r="G35"/>
  <c r="H35"/>
  <c r="I35"/>
  <c r="J35"/>
  <c r="K35"/>
  <c r="L35"/>
  <c r="M35"/>
  <c r="N35"/>
  <c r="O35"/>
  <c r="D36"/>
  <c r="E36"/>
  <c r="F36"/>
  <c r="G36"/>
  <c r="H36"/>
  <c r="I36"/>
  <c r="J36"/>
  <c r="K36"/>
  <c r="L36"/>
  <c r="M36"/>
  <c r="N36"/>
  <c r="O36"/>
  <c r="D37"/>
  <c r="E37"/>
  <c r="F37"/>
  <c r="G37"/>
  <c r="H37"/>
  <c r="I37"/>
  <c r="J37"/>
  <c r="K37"/>
  <c r="L37"/>
  <c r="M37"/>
  <c r="N37"/>
  <c r="O37"/>
  <c r="D38"/>
  <c r="E38"/>
  <c r="F38"/>
  <c r="G38"/>
  <c r="H38"/>
  <c r="I38"/>
  <c r="J38"/>
  <c r="K38"/>
  <c r="L38"/>
  <c r="M38"/>
  <c r="N38"/>
  <c r="O38"/>
  <c r="D39"/>
  <c r="E39"/>
  <c r="F39"/>
  <c r="G39"/>
  <c r="H39"/>
  <c r="I39"/>
  <c r="J39"/>
  <c r="K39"/>
  <c r="L39"/>
  <c r="M39"/>
  <c r="N39"/>
  <c r="O39"/>
  <c r="D40"/>
  <c r="E40"/>
  <c r="F40"/>
  <c r="G40"/>
  <c r="H40"/>
  <c r="I40"/>
  <c r="J40"/>
  <c r="K40"/>
  <c r="L40"/>
  <c r="M40"/>
  <c r="N40"/>
  <c r="O40"/>
  <c r="D41"/>
  <c r="E41"/>
  <c r="F41"/>
  <c r="G41"/>
  <c r="H41"/>
  <c r="I41"/>
  <c r="J41"/>
  <c r="K41"/>
  <c r="L41"/>
  <c r="M41"/>
  <c r="N41"/>
  <c r="O41"/>
  <c r="D42"/>
  <c r="E42"/>
  <c r="F42"/>
  <c r="G42"/>
  <c r="H42"/>
  <c r="I42"/>
  <c r="J42"/>
  <c r="K42"/>
  <c r="L42"/>
  <c r="M42"/>
  <c r="N42"/>
  <c r="O42"/>
  <c r="D43"/>
  <c r="E43"/>
  <c r="F43"/>
  <c r="G43"/>
  <c r="H43"/>
  <c r="I43"/>
  <c r="J43"/>
  <c r="K43"/>
  <c r="L43"/>
  <c r="M43"/>
  <c r="N43"/>
  <c r="O43"/>
  <c r="D44"/>
  <c r="E44"/>
  <c r="F44"/>
  <c r="G44"/>
  <c r="H44"/>
  <c r="I44"/>
  <c r="J44"/>
  <c r="K44"/>
  <c r="L44"/>
  <c r="M44"/>
  <c r="N44"/>
  <c r="O44"/>
  <c r="D45"/>
  <c r="E45"/>
  <c r="F45"/>
  <c r="G45"/>
  <c r="H45"/>
  <c r="I45"/>
  <c r="J45"/>
  <c r="K45"/>
  <c r="L45"/>
  <c r="M45"/>
  <c r="N45"/>
  <c r="O45"/>
  <c r="D46"/>
  <c r="E46"/>
  <c r="F46"/>
  <c r="G46"/>
  <c r="H46"/>
  <c r="I46"/>
  <c r="J46"/>
  <c r="K46"/>
  <c r="L46"/>
  <c r="M46"/>
  <c r="N46"/>
  <c r="O46"/>
  <c r="D47"/>
  <c r="E47"/>
  <c r="F47"/>
  <c r="G47"/>
  <c r="H47"/>
  <c r="I47"/>
  <c r="J47"/>
  <c r="K47"/>
  <c r="L47"/>
  <c r="M47"/>
  <c r="N47"/>
  <c r="O47"/>
  <c r="D48"/>
  <c r="E48"/>
  <c r="F48"/>
  <c r="G48"/>
  <c r="H48"/>
  <c r="I48"/>
  <c r="J48"/>
  <c r="K48"/>
  <c r="L48"/>
  <c r="M48"/>
  <c r="N48"/>
  <c r="O48"/>
  <c r="D49"/>
  <c r="E49"/>
  <c r="F49"/>
  <c r="G49"/>
  <c r="H49"/>
  <c r="I49"/>
  <c r="J49"/>
  <c r="K49"/>
  <c r="L49"/>
  <c r="M49"/>
  <c r="N49"/>
  <c r="O49"/>
  <c r="D50"/>
  <c r="E50"/>
  <c r="F50"/>
  <c r="G50"/>
  <c r="H50"/>
  <c r="I50"/>
  <c r="J50"/>
  <c r="K50"/>
  <c r="L50"/>
  <c r="M50"/>
  <c r="N50"/>
  <c r="O50"/>
  <c r="D51"/>
  <c r="E51"/>
  <c r="F51"/>
  <c r="G51"/>
  <c r="H51"/>
  <c r="I51"/>
  <c r="J51"/>
  <c r="K51"/>
  <c r="L51"/>
  <c r="M51"/>
  <c r="N51"/>
  <c r="O51"/>
  <c r="D52"/>
  <c r="E52"/>
  <c r="F52"/>
  <c r="G52"/>
  <c r="H52"/>
  <c r="I52"/>
  <c r="J52"/>
  <c r="K52"/>
  <c r="L52"/>
  <c r="M52"/>
  <c r="N52"/>
  <c r="O52"/>
  <c r="D53"/>
  <c r="E53"/>
  <c r="F53"/>
  <c r="G53"/>
  <c r="H53"/>
  <c r="I53"/>
  <c r="J53"/>
  <c r="K53"/>
  <c r="L53"/>
  <c r="M53"/>
  <c r="N53"/>
  <c r="O53"/>
  <c r="D54"/>
  <c r="E54"/>
  <c r="F54"/>
  <c r="G54"/>
  <c r="H54"/>
  <c r="I54"/>
  <c r="J54"/>
  <c r="K54"/>
  <c r="L54"/>
  <c r="M54"/>
  <c r="N54"/>
  <c r="O54"/>
  <c r="D55"/>
  <c r="E55"/>
  <c r="F55"/>
  <c r="G55"/>
  <c r="H55"/>
  <c r="I55"/>
  <c r="J55"/>
  <c r="K55"/>
  <c r="L55"/>
  <c r="M55"/>
  <c r="N55"/>
  <c r="O55"/>
  <c r="D56"/>
  <c r="E56"/>
  <c r="F56"/>
  <c r="G56"/>
  <c r="H56"/>
  <c r="I56"/>
  <c r="J56"/>
  <c r="K56"/>
  <c r="L56"/>
  <c r="M56"/>
  <c r="N56"/>
  <c r="O56"/>
  <c r="D57"/>
  <c r="E57"/>
  <c r="F57"/>
  <c r="G57"/>
  <c r="H57"/>
  <c r="I57"/>
  <c r="J57"/>
  <c r="K57"/>
  <c r="L57"/>
  <c r="M57"/>
  <c r="N57"/>
  <c r="O57"/>
  <c r="D58"/>
  <c r="E58"/>
  <c r="F58"/>
  <c r="G58"/>
  <c r="H58"/>
  <c r="I58"/>
  <c r="J58"/>
  <c r="K58"/>
  <c r="L58"/>
  <c r="M58"/>
  <c r="N58"/>
  <c r="O58"/>
  <c r="D59"/>
  <c r="E59"/>
  <c r="F59"/>
  <c r="G59"/>
  <c r="H59"/>
  <c r="I59"/>
  <c r="J59"/>
  <c r="K59"/>
  <c r="L59"/>
  <c r="M59"/>
  <c r="N59"/>
  <c r="O59"/>
  <c r="D60"/>
  <c r="E60"/>
  <c r="F60"/>
  <c r="G60"/>
  <c r="H60"/>
  <c r="I60"/>
  <c r="J60"/>
  <c r="K60"/>
  <c r="L60"/>
  <c r="M60"/>
  <c r="N60"/>
  <c r="O60"/>
  <c r="D61"/>
  <c r="E61"/>
  <c r="F61"/>
  <c r="G61"/>
  <c r="H61"/>
  <c r="I61"/>
  <c r="J61"/>
  <c r="K61"/>
  <c r="L61"/>
  <c r="M61"/>
  <c r="N61"/>
  <c r="O61"/>
  <c r="D62"/>
  <c r="E62"/>
  <c r="F62"/>
  <c r="G62"/>
  <c r="H62"/>
  <c r="I62"/>
  <c r="J62"/>
  <c r="K62"/>
  <c r="L62"/>
  <c r="M62"/>
  <c r="N62"/>
  <c r="O62"/>
  <c r="D63"/>
  <c r="E63"/>
  <c r="F63"/>
  <c r="G63"/>
  <c r="H63"/>
  <c r="I63"/>
  <c r="J63"/>
  <c r="K63"/>
  <c r="L63"/>
  <c r="M63"/>
  <c r="N63"/>
  <c r="O63"/>
  <c r="D64"/>
  <c r="E64"/>
  <c r="F64"/>
  <c r="G64"/>
  <c r="H64"/>
  <c r="I64"/>
  <c r="J64"/>
  <c r="K64"/>
  <c r="L64"/>
  <c r="M64"/>
  <c r="N64"/>
  <c r="O64"/>
  <c r="D65"/>
  <c r="E65"/>
  <c r="F65"/>
  <c r="G65"/>
  <c r="H65"/>
  <c r="I65"/>
  <c r="J65"/>
  <c r="K65"/>
  <c r="L65"/>
  <c r="M65"/>
  <c r="N65"/>
  <c r="O65"/>
  <c r="D66"/>
  <c r="E66"/>
  <c r="F66"/>
  <c r="G66"/>
  <c r="H66"/>
  <c r="I66"/>
  <c r="J66"/>
  <c r="K66"/>
  <c r="L66"/>
  <c r="M66"/>
  <c r="N66"/>
  <c r="O66"/>
  <c r="D67"/>
  <c r="E67"/>
  <c r="F67"/>
  <c r="G67"/>
  <c r="H67"/>
  <c r="I67"/>
  <c r="J67"/>
  <c r="K67"/>
  <c r="L67"/>
  <c r="M67"/>
  <c r="N67"/>
  <c r="O67"/>
  <c r="D68"/>
  <c r="E68"/>
  <c r="F68"/>
  <c r="G68"/>
  <c r="H68"/>
  <c r="I68"/>
  <c r="J68"/>
  <c r="K68"/>
  <c r="L68"/>
  <c r="M68"/>
  <c r="N68"/>
  <c r="O68"/>
  <c r="D69"/>
  <c r="E69"/>
  <c r="F69"/>
  <c r="G69"/>
  <c r="H69"/>
  <c r="I69"/>
  <c r="J69"/>
  <c r="K69"/>
  <c r="L69"/>
  <c r="M69"/>
  <c r="N69"/>
  <c r="O69"/>
  <c r="D70"/>
  <c r="E70"/>
  <c r="F70"/>
  <c r="G70"/>
  <c r="H70"/>
  <c r="I70"/>
  <c r="J70"/>
  <c r="K70"/>
  <c r="L70"/>
  <c r="M70"/>
  <c r="N70"/>
  <c r="O70"/>
  <c r="D71"/>
  <c r="E71"/>
  <c r="F71"/>
  <c r="G71"/>
  <c r="H71"/>
  <c r="I71"/>
  <c r="J71"/>
  <c r="K71"/>
  <c r="L71"/>
  <c r="M71"/>
  <c r="N71"/>
  <c r="O71"/>
  <c r="D72"/>
  <c r="E72"/>
  <c r="F72"/>
  <c r="G72"/>
  <c r="H72"/>
  <c r="I72"/>
  <c r="J72"/>
  <c r="K72"/>
  <c r="L72"/>
  <c r="M72"/>
  <c r="N72"/>
  <c r="O72"/>
  <c r="D73"/>
  <c r="E73"/>
  <c r="F73"/>
  <c r="G73"/>
  <c r="H73"/>
  <c r="I73"/>
  <c r="J73"/>
  <c r="K73"/>
  <c r="L73"/>
  <c r="M73"/>
  <c r="N73"/>
  <c r="O73"/>
  <c r="D74"/>
  <c r="E74"/>
  <c r="F74"/>
  <c r="G74"/>
  <c r="H74"/>
  <c r="I74"/>
  <c r="J74"/>
  <c r="K74"/>
  <c r="L74"/>
  <c r="M74"/>
  <c r="N74"/>
  <c r="O74"/>
  <c r="D75"/>
  <c r="E75"/>
  <c r="F75"/>
  <c r="G75"/>
  <c r="H75"/>
  <c r="I75"/>
  <c r="J75"/>
  <c r="K75"/>
  <c r="L75"/>
  <c r="M75"/>
  <c r="N75"/>
  <c r="O75"/>
  <c r="D76"/>
  <c r="E76"/>
  <c r="F76"/>
  <c r="G76"/>
  <c r="H76"/>
  <c r="I76"/>
  <c r="J76"/>
  <c r="K76"/>
  <c r="L76"/>
  <c r="M76"/>
  <c r="N76"/>
  <c r="O76"/>
  <c r="D77"/>
  <c r="E77"/>
  <c r="F77"/>
  <c r="G77"/>
  <c r="H77"/>
  <c r="I77"/>
  <c r="J77"/>
  <c r="K77"/>
  <c r="L77"/>
  <c r="M77"/>
  <c r="N77"/>
  <c r="O77"/>
  <c r="D78"/>
  <c r="E78"/>
  <c r="F78"/>
  <c r="G78"/>
  <c r="H78"/>
  <c r="I78"/>
  <c r="J78"/>
  <c r="K78"/>
  <c r="L78"/>
  <c r="M78"/>
  <c r="N78"/>
  <c r="O78"/>
  <c r="D79"/>
  <c r="E79"/>
  <c r="F79"/>
  <c r="G79"/>
  <c r="H79"/>
  <c r="I79"/>
  <c r="J79"/>
  <c r="K79"/>
  <c r="L79"/>
  <c r="M79"/>
  <c r="N79"/>
  <c r="O79"/>
  <c r="D80"/>
  <c r="E80"/>
  <c r="F80"/>
  <c r="G80"/>
  <c r="H80"/>
  <c r="I80"/>
  <c r="J80"/>
  <c r="K80"/>
  <c r="L80"/>
  <c r="M80"/>
  <c r="N80"/>
  <c r="O80"/>
  <c r="D81"/>
  <c r="E81"/>
  <c r="F81"/>
  <c r="G81"/>
  <c r="H81"/>
  <c r="I81"/>
  <c r="J81"/>
  <c r="K81"/>
  <c r="L81"/>
  <c r="M81"/>
  <c r="N81"/>
  <c r="O81"/>
  <c r="D82"/>
  <c r="E82"/>
  <c r="F82"/>
  <c r="G82"/>
  <c r="H82"/>
  <c r="I82"/>
  <c r="J82"/>
  <c r="K82"/>
  <c r="L82"/>
  <c r="M82"/>
  <c r="N82"/>
  <c r="O82"/>
  <c r="D83"/>
  <c r="E83"/>
  <c r="F83"/>
  <c r="G83"/>
  <c r="H83"/>
  <c r="I83"/>
  <c r="J83"/>
  <c r="K83"/>
  <c r="L83"/>
  <c r="M83"/>
  <c r="N83"/>
  <c r="O83"/>
  <c r="D84"/>
  <c r="E84"/>
  <c r="F84"/>
  <c r="G84"/>
  <c r="H84"/>
  <c r="I84"/>
  <c r="J84"/>
  <c r="K84"/>
  <c r="L84"/>
  <c r="M84"/>
  <c r="N84"/>
  <c r="O84"/>
  <c r="D85"/>
  <c r="E85"/>
  <c r="F85"/>
  <c r="G85"/>
  <c r="H85"/>
  <c r="I85"/>
  <c r="J85"/>
  <c r="K85"/>
  <c r="L85"/>
  <c r="M85"/>
  <c r="N85"/>
  <c r="O85"/>
  <c r="D86"/>
  <c r="E86"/>
  <c r="F86"/>
  <c r="G86"/>
  <c r="H86"/>
  <c r="I86"/>
  <c r="J86"/>
  <c r="K86"/>
  <c r="L86"/>
  <c r="M86"/>
  <c r="N86"/>
  <c r="O86"/>
  <c r="D87"/>
  <c r="E87"/>
  <c r="F87"/>
  <c r="G87"/>
  <c r="H87"/>
  <c r="I87"/>
  <c r="J87"/>
  <c r="K87"/>
  <c r="L87"/>
  <c r="M87"/>
  <c r="N87"/>
  <c r="O87"/>
  <c r="D88"/>
  <c r="E88"/>
  <c r="F88"/>
  <c r="G88"/>
  <c r="H88"/>
  <c r="I88"/>
  <c r="J88"/>
  <c r="K88"/>
  <c r="L88"/>
  <c r="M88"/>
  <c r="N88"/>
  <c r="O88"/>
  <c r="D89"/>
  <c r="E89"/>
  <c r="F89"/>
  <c r="G89"/>
  <c r="H89"/>
  <c r="I89"/>
  <c r="J89"/>
  <c r="K89"/>
  <c r="L89"/>
  <c r="M89"/>
  <c r="N89"/>
  <c r="O89"/>
  <c r="D90"/>
  <c r="E90"/>
  <c r="F90"/>
  <c r="G90"/>
  <c r="H90"/>
  <c r="I90"/>
  <c r="J90"/>
  <c r="K90"/>
  <c r="L90"/>
  <c r="M90"/>
  <c r="N90"/>
  <c r="O90"/>
  <c r="D91"/>
  <c r="E91"/>
  <c r="F91"/>
  <c r="G91"/>
  <c r="H91"/>
  <c r="I91"/>
  <c r="J91"/>
  <c r="K91"/>
  <c r="L91"/>
  <c r="M91"/>
  <c r="N91"/>
  <c r="O91"/>
  <c r="D92"/>
  <c r="E92"/>
  <c r="F92"/>
  <c r="G92"/>
  <c r="H92"/>
  <c r="I92"/>
  <c r="J92"/>
  <c r="K92"/>
  <c r="L92"/>
  <c r="M92"/>
  <c r="N92"/>
  <c r="O92"/>
  <c r="D93"/>
  <c r="E93"/>
  <c r="F93"/>
  <c r="G93"/>
  <c r="H93"/>
  <c r="I93"/>
  <c r="J93"/>
  <c r="K93"/>
  <c r="L93"/>
  <c r="M93"/>
  <c r="N93"/>
  <c r="O93"/>
  <c r="D94"/>
  <c r="E94"/>
  <c r="F94"/>
  <c r="G94"/>
  <c r="H94"/>
  <c r="I94"/>
  <c r="J94"/>
  <c r="K94"/>
  <c r="L94"/>
  <c r="M94"/>
  <c r="N94"/>
  <c r="O94"/>
  <c r="D95"/>
  <c r="E95"/>
  <c r="F95"/>
  <c r="G95"/>
  <c r="H95"/>
  <c r="I95"/>
  <c r="J95"/>
  <c r="K95"/>
  <c r="L95"/>
  <c r="M95"/>
  <c r="N95"/>
  <c r="O95"/>
  <c r="D96"/>
  <c r="E96"/>
  <c r="F96"/>
  <c r="G96"/>
  <c r="H96"/>
  <c r="I96"/>
  <c r="J96"/>
  <c r="K96"/>
  <c r="L96"/>
  <c r="M96"/>
  <c r="N96"/>
  <c r="O96"/>
  <c r="D97"/>
  <c r="E97"/>
  <c r="F97"/>
  <c r="G97"/>
  <c r="H97"/>
  <c r="I97"/>
  <c r="J97"/>
  <c r="K97"/>
  <c r="L97"/>
  <c r="M97"/>
  <c r="N97"/>
  <c r="O97"/>
  <c r="D98"/>
  <c r="E98"/>
  <c r="F98"/>
  <c r="G98"/>
  <c r="H98"/>
  <c r="I98"/>
  <c r="J98"/>
  <c r="K98"/>
  <c r="L98"/>
  <c r="M98"/>
  <c r="N98"/>
  <c r="O98"/>
  <c r="D99"/>
  <c r="E99"/>
  <c r="F99"/>
  <c r="G99"/>
  <c r="H99"/>
  <c r="I99"/>
  <c r="J99"/>
  <c r="K99"/>
  <c r="L99"/>
  <c r="M99"/>
  <c r="N99"/>
  <c r="O99"/>
  <c r="D100"/>
  <c r="E100"/>
  <c r="F100"/>
  <c r="G100"/>
  <c r="H100"/>
  <c r="I100"/>
  <c r="J100"/>
  <c r="K100"/>
  <c r="L100"/>
  <c r="M100"/>
  <c r="N100"/>
  <c r="O100"/>
  <c r="D101"/>
  <c r="E101"/>
  <c r="F101"/>
  <c r="G101"/>
  <c r="H101"/>
  <c r="I101"/>
  <c r="J101"/>
  <c r="K101"/>
  <c r="L101"/>
  <c r="M101"/>
  <c r="N101"/>
  <c r="O101"/>
  <c r="D102"/>
  <c r="E102"/>
  <c r="F102"/>
  <c r="G102"/>
  <c r="H102"/>
  <c r="I102"/>
  <c r="J102"/>
  <c r="K102"/>
  <c r="L102"/>
  <c r="M102"/>
  <c r="N102"/>
  <c r="O102"/>
  <c r="D103"/>
  <c r="E103"/>
  <c r="F103"/>
  <c r="G103"/>
  <c r="H103"/>
  <c r="I103"/>
  <c r="J103"/>
  <c r="K103"/>
  <c r="L103"/>
  <c r="M103"/>
  <c r="N103"/>
  <c r="O103"/>
  <c r="D104"/>
  <c r="E104"/>
  <c r="F104"/>
  <c r="G104"/>
  <c r="H104"/>
  <c r="I104"/>
  <c r="J104"/>
  <c r="K104"/>
  <c r="L104"/>
  <c r="M104"/>
  <c r="N104"/>
  <c r="O104"/>
  <c r="D105"/>
  <c r="E105"/>
  <c r="F105"/>
  <c r="G105"/>
  <c r="H105"/>
  <c r="I105"/>
  <c r="J105"/>
  <c r="K105"/>
  <c r="L105"/>
  <c r="M105"/>
  <c r="N105"/>
  <c r="O105"/>
  <c r="D106"/>
  <c r="E106"/>
  <c r="F106"/>
  <c r="G106"/>
  <c r="H106"/>
  <c r="I106"/>
  <c r="J106"/>
  <c r="K106"/>
  <c r="L106"/>
  <c r="M106"/>
  <c r="N106"/>
  <c r="O106"/>
  <c r="D107"/>
  <c r="E107"/>
  <c r="F107"/>
  <c r="G107"/>
  <c r="H107"/>
  <c r="I107"/>
  <c r="J107"/>
  <c r="K107"/>
  <c r="L107"/>
  <c r="M107"/>
  <c r="N107"/>
  <c r="O107"/>
  <c r="D108"/>
  <c r="E108"/>
  <c r="F108"/>
  <c r="G108"/>
  <c r="H108"/>
  <c r="I108"/>
  <c r="J108"/>
  <c r="K108"/>
  <c r="L108"/>
  <c r="M108"/>
  <c r="N108"/>
  <c r="O108"/>
  <c r="D109"/>
  <c r="E109"/>
  <c r="F109"/>
  <c r="G109"/>
  <c r="H109"/>
  <c r="I109"/>
  <c r="J109"/>
  <c r="K109"/>
  <c r="L109"/>
  <c r="M109"/>
  <c r="N109"/>
  <c r="O109"/>
  <c r="D110"/>
  <c r="E110"/>
  <c r="F110"/>
  <c r="G110"/>
  <c r="H110"/>
  <c r="I110"/>
  <c r="J110"/>
  <c r="K110"/>
  <c r="L110"/>
  <c r="M110"/>
  <c r="N110"/>
  <c r="O110"/>
  <c r="D111"/>
  <c r="E111"/>
  <c r="F111"/>
  <c r="G111"/>
  <c r="H111"/>
  <c r="I111"/>
  <c r="J111"/>
  <c r="K111"/>
  <c r="L111"/>
  <c r="M111"/>
  <c r="N111"/>
  <c r="O111"/>
  <c r="D112"/>
  <c r="E112"/>
  <c r="F112"/>
  <c r="G112"/>
  <c r="H112"/>
  <c r="I112"/>
  <c r="J112"/>
  <c r="K112"/>
  <c r="L112"/>
  <c r="M112"/>
  <c r="N112"/>
  <c r="O112"/>
  <c r="D113"/>
  <c r="E113"/>
  <c r="F113"/>
  <c r="G113"/>
  <c r="H113"/>
  <c r="I113"/>
  <c r="J113"/>
  <c r="K113"/>
  <c r="L113"/>
  <c r="M113"/>
  <c r="N113"/>
  <c r="O113"/>
  <c r="D114"/>
  <c r="E114"/>
  <c r="F114"/>
  <c r="G114"/>
  <c r="H114"/>
  <c r="I114"/>
  <c r="J114"/>
  <c r="K114"/>
  <c r="L114"/>
  <c r="M114"/>
  <c r="N114"/>
  <c r="O114"/>
  <c r="D115"/>
  <c r="E115"/>
  <c r="F115"/>
  <c r="G115"/>
  <c r="H115"/>
  <c r="I115"/>
  <c r="J115"/>
  <c r="K115"/>
  <c r="L115"/>
  <c r="M115"/>
  <c r="N115"/>
  <c r="O115"/>
  <c r="D116"/>
  <c r="E116"/>
  <c r="F116"/>
  <c r="G116"/>
  <c r="H116"/>
  <c r="I116"/>
  <c r="J116"/>
  <c r="K116"/>
  <c r="L116"/>
  <c r="M116"/>
  <c r="N116"/>
  <c r="O116"/>
  <c r="D117"/>
  <c r="E117"/>
  <c r="F117"/>
  <c r="G117"/>
  <c r="H117"/>
  <c r="I117"/>
  <c r="J117"/>
  <c r="K117"/>
  <c r="L117"/>
  <c r="M117"/>
  <c r="N117"/>
  <c r="O117"/>
  <c r="D118"/>
  <c r="E118"/>
  <c r="F118"/>
  <c r="G118"/>
  <c r="H118"/>
  <c r="I118"/>
  <c r="J118"/>
  <c r="K118"/>
  <c r="L118"/>
  <c r="M118"/>
  <c r="N118"/>
  <c r="O118"/>
  <c r="D119"/>
  <c r="E119"/>
  <c r="F119"/>
  <c r="G119"/>
  <c r="H119"/>
  <c r="I119"/>
  <c r="J119"/>
  <c r="K119"/>
  <c r="L119"/>
  <c r="M119"/>
  <c r="N119"/>
  <c r="O119"/>
  <c r="D120"/>
  <c r="E120"/>
  <c r="F120"/>
  <c r="G120"/>
  <c r="H120"/>
  <c r="I120"/>
  <c r="J120"/>
  <c r="K120"/>
  <c r="L120"/>
  <c r="M120"/>
  <c r="N120"/>
  <c r="O120"/>
  <c r="D121"/>
  <c r="E121"/>
  <c r="F121"/>
  <c r="G121"/>
  <c r="H121"/>
  <c r="I121"/>
  <c r="J121"/>
  <c r="K121"/>
  <c r="L121"/>
  <c r="M121"/>
  <c r="N121"/>
  <c r="O121"/>
  <c r="D122"/>
  <c r="E122"/>
  <c r="F122"/>
  <c r="G122"/>
  <c r="H122"/>
  <c r="I122"/>
  <c r="J122"/>
  <c r="K122"/>
  <c r="L122"/>
  <c r="M122"/>
  <c r="N122"/>
  <c r="O122"/>
  <c r="D123"/>
  <c r="E123"/>
  <c r="F123"/>
  <c r="G123"/>
  <c r="H123"/>
  <c r="I123"/>
  <c r="J123"/>
  <c r="K123"/>
  <c r="L123"/>
  <c r="M123"/>
  <c r="N123"/>
  <c r="O123"/>
  <c r="D124"/>
  <c r="E124"/>
  <c r="F124"/>
  <c r="G124"/>
  <c r="H124"/>
  <c r="I124"/>
  <c r="J124"/>
  <c r="K124"/>
  <c r="L124"/>
  <c r="M124"/>
  <c r="N124"/>
  <c r="O124"/>
  <c r="D125"/>
  <c r="E125"/>
  <c r="F125"/>
  <c r="G125"/>
  <c r="H125"/>
  <c r="I125"/>
  <c r="J125"/>
  <c r="K125"/>
  <c r="L125"/>
  <c r="M125"/>
  <c r="N125"/>
  <c r="O125"/>
  <c r="D126"/>
  <c r="E126"/>
  <c r="F126"/>
  <c r="G126"/>
  <c r="H126"/>
  <c r="I126"/>
  <c r="J126"/>
  <c r="K126"/>
  <c r="L126"/>
  <c r="M126"/>
  <c r="N126"/>
  <c r="O126"/>
  <c r="D127"/>
  <c r="E127"/>
  <c r="F127"/>
  <c r="G127"/>
  <c r="H127"/>
  <c r="I127"/>
  <c r="J127"/>
  <c r="K127"/>
  <c r="L127"/>
  <c r="M127"/>
  <c r="N127"/>
  <c r="O127"/>
  <c r="D128"/>
  <c r="E128"/>
  <c r="F128"/>
  <c r="G128"/>
  <c r="H128"/>
  <c r="I128"/>
  <c r="J128"/>
  <c r="K128"/>
  <c r="L128"/>
  <c r="M128"/>
  <c r="N128"/>
  <c r="O128"/>
  <c r="D129"/>
  <c r="E129"/>
  <c r="F129"/>
  <c r="G129"/>
  <c r="H129"/>
  <c r="I129"/>
  <c r="J129"/>
  <c r="K129"/>
  <c r="L129"/>
  <c r="M129"/>
  <c r="N129"/>
  <c r="O129"/>
  <c r="D130"/>
  <c r="E130"/>
  <c r="F130"/>
  <c r="G130"/>
  <c r="H130"/>
  <c r="I130"/>
  <c r="J130"/>
  <c r="K130"/>
  <c r="L130"/>
  <c r="M130"/>
  <c r="N130"/>
  <c r="O130"/>
  <c r="D131"/>
  <c r="E131"/>
  <c r="F131"/>
  <c r="G131"/>
  <c r="H131"/>
  <c r="I131"/>
  <c r="J131"/>
  <c r="K131"/>
  <c r="L131"/>
  <c r="M131"/>
  <c r="N131"/>
  <c r="O131"/>
  <c r="D132"/>
  <c r="E132"/>
  <c r="F132"/>
  <c r="G132"/>
  <c r="H132"/>
  <c r="I132"/>
  <c r="J132"/>
  <c r="K132"/>
  <c r="L132"/>
  <c r="M132"/>
  <c r="N132"/>
  <c r="O132"/>
  <c r="D133"/>
  <c r="E133"/>
  <c r="F133"/>
  <c r="G133"/>
  <c r="H133"/>
  <c r="I133"/>
  <c r="J133"/>
  <c r="K133"/>
  <c r="L133"/>
  <c r="M133"/>
  <c r="N133"/>
  <c r="O133"/>
  <c r="D134"/>
  <c r="E134"/>
  <c r="F134"/>
  <c r="G134"/>
  <c r="H134"/>
  <c r="I134"/>
  <c r="J134"/>
  <c r="K134"/>
  <c r="L134"/>
  <c r="M134"/>
  <c r="N134"/>
  <c r="O134"/>
  <c r="D135"/>
  <c r="E135"/>
  <c r="F135"/>
  <c r="G135"/>
  <c r="H135"/>
  <c r="I135"/>
  <c r="J135"/>
  <c r="K135"/>
  <c r="L135"/>
  <c r="M135"/>
  <c r="N135"/>
  <c r="O135"/>
  <c r="D136"/>
  <c r="E136"/>
  <c r="F136"/>
  <c r="G136"/>
  <c r="H136"/>
  <c r="I136"/>
  <c r="J136"/>
  <c r="K136"/>
  <c r="L136"/>
  <c r="M136"/>
  <c r="N136"/>
  <c r="O136"/>
  <c r="D137"/>
  <c r="E137"/>
  <c r="F137"/>
  <c r="G137"/>
  <c r="H137"/>
  <c r="I137"/>
  <c r="J137"/>
  <c r="K137"/>
  <c r="L137"/>
  <c r="M137"/>
  <c r="N137"/>
  <c r="O137"/>
  <c r="D138"/>
  <c r="E138"/>
  <c r="F138"/>
  <c r="G138"/>
  <c r="H138"/>
  <c r="I138"/>
  <c r="J138"/>
  <c r="K138"/>
  <c r="L138"/>
  <c r="M138"/>
  <c r="N138"/>
  <c r="O138"/>
  <c r="D139"/>
  <c r="E139"/>
  <c r="F139"/>
  <c r="G139"/>
  <c r="H139"/>
  <c r="I139"/>
  <c r="J139"/>
  <c r="K139"/>
  <c r="L139"/>
  <c r="M139"/>
  <c r="N139"/>
  <c r="O139"/>
  <c r="D140"/>
  <c r="E140"/>
  <c r="F140"/>
  <c r="G140"/>
  <c r="H140"/>
  <c r="I140"/>
  <c r="J140"/>
  <c r="K140"/>
  <c r="L140"/>
  <c r="M140"/>
  <c r="N140"/>
  <c r="O140"/>
  <c r="D141"/>
  <c r="E141"/>
  <c r="F141"/>
  <c r="G141"/>
  <c r="H141"/>
  <c r="I141"/>
  <c r="J141"/>
  <c r="K141"/>
  <c r="L141"/>
  <c r="M141"/>
  <c r="N141"/>
  <c r="O141"/>
  <c r="D142"/>
  <c r="E142"/>
  <c r="F142"/>
  <c r="G142"/>
  <c r="H142"/>
  <c r="I142"/>
  <c r="J142"/>
  <c r="K142"/>
  <c r="L142"/>
  <c r="M142"/>
  <c r="N142"/>
  <c r="O142"/>
  <c r="D143"/>
  <c r="E143"/>
  <c r="F143"/>
  <c r="G143"/>
  <c r="H143"/>
  <c r="I143"/>
  <c r="J143"/>
  <c r="K143"/>
  <c r="L143"/>
  <c r="M143"/>
  <c r="N143"/>
  <c r="O143"/>
  <c r="D144"/>
  <c r="E144"/>
  <c r="F144"/>
  <c r="G144"/>
  <c r="H144"/>
  <c r="I144"/>
  <c r="J144"/>
  <c r="K144"/>
  <c r="L144"/>
  <c r="M144"/>
  <c r="N144"/>
  <c r="O144"/>
  <c r="D145"/>
  <c r="E145"/>
  <c r="F145"/>
  <c r="G145"/>
  <c r="H145"/>
  <c r="I145"/>
  <c r="J145"/>
  <c r="K145"/>
  <c r="L145"/>
  <c r="M145"/>
  <c r="N145"/>
  <c r="O145"/>
  <c r="D146"/>
  <c r="E146"/>
  <c r="F146"/>
  <c r="G146"/>
  <c r="H146"/>
  <c r="I146"/>
  <c r="J146"/>
  <c r="K146"/>
  <c r="L146"/>
  <c r="M146"/>
  <c r="N146"/>
  <c r="O146"/>
  <c r="D147"/>
  <c r="E147"/>
  <c r="F147"/>
  <c r="G147"/>
  <c r="H147"/>
  <c r="I147"/>
  <c r="J147"/>
  <c r="K147"/>
  <c r="L147"/>
  <c r="M147"/>
  <c r="N147"/>
  <c r="O147"/>
  <c r="D148"/>
  <c r="E148"/>
  <c r="F148"/>
  <c r="G148"/>
  <c r="H148"/>
  <c r="I148"/>
  <c r="J148"/>
  <c r="K148"/>
  <c r="L148"/>
  <c r="M148"/>
  <c r="N148"/>
  <c r="O148"/>
  <c r="D149"/>
  <c r="E149"/>
  <c r="F149"/>
  <c r="G149"/>
  <c r="H149"/>
  <c r="I149"/>
  <c r="J149"/>
  <c r="K149"/>
  <c r="L149"/>
  <c r="M149"/>
  <c r="N149"/>
  <c r="O149"/>
  <c r="D150"/>
  <c r="E150"/>
  <c r="F150"/>
  <c r="G150"/>
  <c r="H150"/>
  <c r="I150"/>
  <c r="J150"/>
  <c r="K150"/>
  <c r="L150"/>
  <c r="M150"/>
  <c r="N150"/>
  <c r="O150"/>
  <c r="D151"/>
  <c r="E151"/>
  <c r="F151"/>
  <c r="G151"/>
  <c r="H151"/>
  <c r="I151"/>
  <c r="J151"/>
  <c r="K151"/>
  <c r="L151"/>
  <c r="M151"/>
  <c r="N151"/>
  <c r="O151"/>
  <c r="D152"/>
  <c r="E152"/>
  <c r="F152"/>
  <c r="G152"/>
  <c r="H152"/>
  <c r="I152"/>
  <c r="J152"/>
  <c r="K152"/>
  <c r="L152"/>
  <c r="M152"/>
  <c r="N152"/>
  <c r="O152"/>
  <c r="D153"/>
  <c r="E153"/>
  <c r="F153"/>
  <c r="G153"/>
  <c r="H153"/>
  <c r="I153"/>
  <c r="J153"/>
  <c r="K153"/>
  <c r="L153"/>
  <c r="M153"/>
  <c r="N153"/>
  <c r="O153"/>
  <c r="D154"/>
  <c r="E154"/>
  <c r="F154"/>
  <c r="G154"/>
  <c r="H154"/>
  <c r="I154"/>
  <c r="J154"/>
  <c r="K154"/>
  <c r="L154"/>
  <c r="M154"/>
  <c r="N154"/>
  <c r="O154"/>
  <c r="D155"/>
  <c r="E155"/>
  <c r="F155"/>
  <c r="G155"/>
  <c r="H155"/>
  <c r="I155"/>
  <c r="J155"/>
  <c r="K155"/>
  <c r="L155"/>
  <c r="M155"/>
  <c r="N155"/>
  <c r="O155"/>
  <c r="D156"/>
  <c r="E156"/>
  <c r="F156"/>
  <c r="G156"/>
  <c r="H156"/>
  <c r="I156"/>
  <c r="J156"/>
  <c r="K156"/>
  <c r="L156"/>
  <c r="M156"/>
  <c r="N156"/>
  <c r="O156"/>
  <c r="D157"/>
  <c r="E157"/>
  <c r="F157"/>
  <c r="G157"/>
  <c r="H157"/>
  <c r="I157"/>
  <c r="J157"/>
  <c r="K157"/>
  <c r="L157"/>
  <c r="M157"/>
  <c r="N157"/>
  <c r="O157"/>
  <c r="D158"/>
  <c r="E158"/>
  <c r="F158"/>
  <c r="G158"/>
  <c r="H158"/>
  <c r="I158"/>
  <c r="J158"/>
  <c r="K158"/>
  <c r="L158"/>
  <c r="M158"/>
  <c r="N158"/>
  <c r="O158"/>
  <c r="D159"/>
  <c r="E159"/>
  <c r="F159"/>
  <c r="G159"/>
  <c r="H159"/>
  <c r="I159"/>
  <c r="J159"/>
  <c r="K159"/>
  <c r="L159"/>
  <c r="M159"/>
  <c r="N159"/>
  <c r="O159"/>
  <c r="D160"/>
  <c r="E160"/>
  <c r="F160"/>
  <c r="G160"/>
  <c r="H160"/>
  <c r="I160"/>
  <c r="J160"/>
  <c r="K160"/>
  <c r="L160"/>
  <c r="M160"/>
  <c r="N160"/>
  <c r="O160"/>
  <c r="D161"/>
  <c r="E161"/>
  <c r="F161"/>
  <c r="G161"/>
  <c r="H161"/>
  <c r="I161"/>
  <c r="J161"/>
  <c r="K161"/>
  <c r="L161"/>
  <c r="M161"/>
  <c r="N161"/>
  <c r="O161"/>
  <c r="D162"/>
  <c r="E162"/>
  <c r="F162"/>
  <c r="G162"/>
  <c r="H162"/>
  <c r="I162"/>
  <c r="J162"/>
  <c r="K162"/>
  <c r="L162"/>
  <c r="M162"/>
  <c r="N162"/>
  <c r="O162"/>
  <c r="D163"/>
  <c r="E163"/>
  <c r="F163"/>
  <c r="G163"/>
  <c r="H163"/>
  <c r="I163"/>
  <c r="J163"/>
  <c r="K163"/>
  <c r="L163"/>
  <c r="M163"/>
  <c r="N163"/>
  <c r="O163"/>
  <c r="D164"/>
  <c r="E164"/>
  <c r="F164"/>
  <c r="G164"/>
  <c r="H164"/>
  <c r="I164"/>
  <c r="J164"/>
  <c r="K164"/>
  <c r="L164"/>
  <c r="M164"/>
  <c r="N164"/>
  <c r="O164"/>
  <c r="D165"/>
  <c r="E165"/>
  <c r="F165"/>
  <c r="G165"/>
  <c r="H165"/>
  <c r="I165"/>
  <c r="J165"/>
  <c r="K165"/>
  <c r="L165"/>
  <c r="M165"/>
  <c r="N165"/>
  <c r="O165"/>
  <c r="D166"/>
  <c r="E166"/>
  <c r="F166"/>
  <c r="G166"/>
  <c r="H166"/>
  <c r="I166"/>
  <c r="J166"/>
  <c r="K166"/>
  <c r="L166"/>
  <c r="M166"/>
  <c r="N166"/>
  <c r="O166"/>
  <c r="D167"/>
  <c r="E167"/>
  <c r="F167"/>
  <c r="G167"/>
  <c r="H167"/>
  <c r="I167"/>
  <c r="J167"/>
  <c r="K167"/>
  <c r="L167"/>
  <c r="M167"/>
  <c r="N167"/>
  <c r="O167"/>
  <c r="D168"/>
  <c r="E168"/>
  <c r="F168"/>
  <c r="G168"/>
  <c r="H168"/>
  <c r="I168"/>
  <c r="J168"/>
  <c r="K168"/>
  <c r="L168"/>
  <c r="M168"/>
  <c r="N168"/>
  <c r="O168"/>
  <c r="D169"/>
  <c r="E169"/>
  <c r="F169"/>
  <c r="G169"/>
  <c r="H169"/>
  <c r="I169"/>
  <c r="J169"/>
  <c r="K169"/>
  <c r="L169"/>
  <c r="M169"/>
  <c r="N169"/>
  <c r="O169"/>
  <c r="E20"/>
  <c r="F20"/>
  <c r="G20"/>
  <c r="H20"/>
  <c r="I20"/>
  <c r="J20"/>
  <c r="K20"/>
  <c r="L20"/>
  <c r="M20"/>
  <c r="N20"/>
  <c r="O20"/>
  <c r="D20"/>
  <c r="AE20" i="1" l="1"/>
  <c r="I11" i="17"/>
  <c r="I9"/>
  <c r="I12"/>
  <c r="I10"/>
  <c r="AQ141"/>
  <c r="AR141"/>
  <c r="AS141"/>
  <c r="AQ142"/>
  <c r="AR142"/>
  <c r="AS142"/>
  <c r="AQ143"/>
  <c r="AR143"/>
  <c r="AS143"/>
  <c r="AQ144"/>
  <c r="AR144"/>
  <c r="AS144"/>
  <c r="AQ145"/>
  <c r="AR145"/>
  <c r="AS145"/>
  <c r="AQ146"/>
  <c r="T146" i="13" s="1"/>
  <c r="AR146" i="17"/>
  <c r="U146" i="13" s="1"/>
  <c r="AS146" i="17"/>
  <c r="V146" i="13" s="1"/>
  <c r="AQ147" i="17"/>
  <c r="T147" i="13" s="1"/>
  <c r="AR147" i="17"/>
  <c r="U147" i="13" s="1"/>
  <c r="AS147" i="17"/>
  <c r="V147" i="13" s="1"/>
  <c r="AQ148" i="17"/>
  <c r="T148" i="13" s="1"/>
  <c r="AR148" i="17"/>
  <c r="U148" i="13" s="1"/>
  <c r="AS148" i="17"/>
  <c r="V148" i="13" s="1"/>
  <c r="AQ149" i="17"/>
  <c r="T149" i="13" s="1"/>
  <c r="AR149" i="17"/>
  <c r="U149" i="13" s="1"/>
  <c r="AS149" i="17"/>
  <c r="V149" i="13" s="1"/>
  <c r="AQ150" i="17"/>
  <c r="T150" i="13" s="1"/>
  <c r="AR150" i="17"/>
  <c r="U150" i="13" s="1"/>
  <c r="AS150" i="17"/>
  <c r="V150" i="13" s="1"/>
  <c r="AQ151" i="17"/>
  <c r="T151" i="13" s="1"/>
  <c r="AR151" i="17"/>
  <c r="U151" i="13" s="1"/>
  <c r="AS151" i="17"/>
  <c r="V151" i="13" s="1"/>
  <c r="AQ152" i="17"/>
  <c r="T152" i="13" s="1"/>
  <c r="AR152" i="17"/>
  <c r="U152" i="13" s="1"/>
  <c r="AS152" i="17"/>
  <c r="V152" i="13" s="1"/>
  <c r="AQ153" i="17"/>
  <c r="T153" i="13" s="1"/>
  <c r="AR153" i="17"/>
  <c r="U153" i="13" s="1"/>
  <c r="AS153" i="17"/>
  <c r="V153" i="13" s="1"/>
  <c r="AQ154" i="17"/>
  <c r="T154" i="13" s="1"/>
  <c r="AR154" i="17"/>
  <c r="U154" i="13" s="1"/>
  <c r="AS154" i="17"/>
  <c r="V154" i="13" s="1"/>
  <c r="AQ155" i="17"/>
  <c r="T155" i="13" s="1"/>
  <c r="AR155" i="17"/>
  <c r="U155" i="13" s="1"/>
  <c r="AS155" i="17"/>
  <c r="V155" i="13" s="1"/>
  <c r="AQ156" i="17"/>
  <c r="T156" i="13" s="1"/>
  <c r="AR156" i="17"/>
  <c r="U156" i="13" s="1"/>
  <c r="AS156" i="17"/>
  <c r="V156" i="13" s="1"/>
  <c r="AQ157" i="17"/>
  <c r="T157" i="13" s="1"/>
  <c r="AR157" i="17"/>
  <c r="U157" i="13" s="1"/>
  <c r="AS157" i="17"/>
  <c r="V157" i="13" s="1"/>
  <c r="AQ158" i="17"/>
  <c r="T158" i="13" s="1"/>
  <c r="AR158" i="17"/>
  <c r="U158" i="13" s="1"/>
  <c r="AS158" i="17"/>
  <c r="V158" i="13" s="1"/>
  <c r="AQ159" i="17"/>
  <c r="T159" i="13" s="1"/>
  <c r="AR159" i="17"/>
  <c r="U159" i="13" s="1"/>
  <c r="AS159" i="17"/>
  <c r="V159" i="13" s="1"/>
  <c r="AQ160" i="17"/>
  <c r="T160" i="13" s="1"/>
  <c r="AR160" i="17"/>
  <c r="U160" i="13" s="1"/>
  <c r="AS160" i="17"/>
  <c r="V160" i="13" s="1"/>
  <c r="AQ161" i="17"/>
  <c r="T161" i="13" s="1"/>
  <c r="AR161" i="17"/>
  <c r="U161" i="13" s="1"/>
  <c r="AS161" i="17"/>
  <c r="V161" i="13" s="1"/>
  <c r="AQ162" i="17"/>
  <c r="AR162"/>
  <c r="AS162"/>
  <c r="AQ163"/>
  <c r="AR163"/>
  <c r="AS163"/>
  <c r="AQ164"/>
  <c r="AR164"/>
  <c r="AS164"/>
  <c r="AQ165"/>
  <c r="AR165"/>
  <c r="AS165"/>
  <c r="AQ166"/>
  <c r="AR166"/>
  <c r="AS166"/>
  <c r="AQ167"/>
  <c r="AR167"/>
  <c r="AS167"/>
  <c r="AQ168"/>
  <c r="AR168"/>
  <c r="AS168"/>
  <c r="AQ169"/>
  <c r="AR169"/>
  <c r="AS169"/>
  <c r="AP141"/>
  <c r="AP142"/>
  <c r="AP143"/>
  <c r="AP144"/>
  <c r="AP145"/>
  <c r="AP146"/>
  <c r="S146" i="13" s="1"/>
  <c r="AP147" i="17"/>
  <c r="S147" i="13" s="1"/>
  <c r="AP148" i="17"/>
  <c r="S148" i="13" s="1"/>
  <c r="AP149" i="17"/>
  <c r="S149" i="13" s="1"/>
  <c r="AP150" i="17"/>
  <c r="S150" i="13" s="1"/>
  <c r="AP151" i="17"/>
  <c r="S151" i="13" s="1"/>
  <c r="AP152" i="17"/>
  <c r="S152" i="13" s="1"/>
  <c r="AP153" i="17"/>
  <c r="S153" i="13" s="1"/>
  <c r="AP154" i="17"/>
  <c r="S154" i="13" s="1"/>
  <c r="AP155" i="17"/>
  <c r="S155" i="13" s="1"/>
  <c r="AP156" i="17"/>
  <c r="S156" i="13" s="1"/>
  <c r="AP157" i="17"/>
  <c r="S157" i="13" s="1"/>
  <c r="AP158" i="17"/>
  <c r="S158" i="13" s="1"/>
  <c r="AP159" i="17"/>
  <c r="S159" i="13" s="1"/>
  <c r="AP160" i="17"/>
  <c r="S160" i="13" s="1"/>
  <c r="AP161" i="17"/>
  <c r="S161" i="13" s="1"/>
  <c r="AP162" i="17"/>
  <c r="AP163"/>
  <c r="AP164"/>
  <c r="AP165"/>
  <c r="AP166"/>
  <c r="AP167"/>
  <c r="AP168"/>
  <c r="AP169"/>
  <c r="AH140"/>
  <c r="AH141"/>
  <c r="AH142"/>
  <c r="AH143"/>
  <c r="AH144"/>
  <c r="AH145"/>
  <c r="AH146"/>
  <c r="AH147"/>
  <c r="AH148"/>
  <c r="AH149"/>
  <c r="AH150"/>
  <c r="AH151"/>
  <c r="AH152"/>
  <c r="AH153"/>
  <c r="AH154"/>
  <c r="AH155"/>
  <c r="AH156"/>
  <c r="AH157"/>
  <c r="AH158"/>
  <c r="AH159"/>
  <c r="AH160"/>
  <c r="AH161"/>
  <c r="AH162"/>
  <c r="AH163"/>
  <c r="AH164"/>
  <c r="AH165"/>
  <c r="AH166"/>
  <c r="AH167"/>
  <c r="AH168"/>
  <c r="AH169"/>
  <c r="AO141"/>
  <c r="AO142"/>
  <c r="AO143"/>
  <c r="AO144"/>
  <c r="AO145"/>
  <c r="AO146"/>
  <c r="R146" i="13" s="1"/>
  <c r="AO147" i="17"/>
  <c r="R147" i="13" s="1"/>
  <c r="AO148" i="17"/>
  <c r="R148" i="13" s="1"/>
  <c r="AO149" i="17"/>
  <c r="R149" i="13" s="1"/>
  <c r="AO150" i="17"/>
  <c r="R150" i="13" s="1"/>
  <c r="AO151" i="17"/>
  <c r="R151" i="13" s="1"/>
  <c r="AO152" i="17"/>
  <c r="R152" i="13" s="1"/>
  <c r="AO153" i="17"/>
  <c r="R153" i="13" s="1"/>
  <c r="AO154" i="17"/>
  <c r="R154" i="13" s="1"/>
  <c r="AO155" i="17"/>
  <c r="R155" i="13" s="1"/>
  <c r="AO156" i="17"/>
  <c r="R156" i="13" s="1"/>
  <c r="AO157" i="17"/>
  <c r="R157" i="13" s="1"/>
  <c r="AO158" i="17"/>
  <c r="R158" i="13" s="1"/>
  <c r="AO159" i="17"/>
  <c r="R159" i="13" s="1"/>
  <c r="AO160" i="17"/>
  <c r="R160" i="13" s="1"/>
  <c r="AO161" i="17"/>
  <c r="R161" i="13" s="1"/>
  <c r="AO162" i="17"/>
  <c r="AO163"/>
  <c r="AO164"/>
  <c r="AO165"/>
  <c r="AO166"/>
  <c r="AO167"/>
  <c r="AO168"/>
  <c r="AO169"/>
  <c r="K186" i="1"/>
  <c r="K187"/>
  <c r="K188"/>
  <c r="D15" i="17" l="1"/>
  <c r="E15"/>
  <c r="F15"/>
  <c r="G15"/>
  <c r="H15"/>
  <c r="I15"/>
  <c r="J15"/>
  <c r="K15"/>
  <c r="L15"/>
  <c r="M15"/>
  <c r="N15"/>
  <c r="O15"/>
  <c r="D16"/>
  <c r="D178" s="1"/>
  <c r="E16"/>
  <c r="E179" s="1"/>
  <c r="F16"/>
  <c r="G16"/>
  <c r="G179" s="1"/>
  <c r="H16"/>
  <c r="I16"/>
  <c r="I178" s="1"/>
  <c r="J16"/>
  <c r="J178" s="1"/>
  <c r="K16"/>
  <c r="L16"/>
  <c r="L179" s="1"/>
  <c r="M16"/>
  <c r="M175" s="1"/>
  <c r="N16"/>
  <c r="N177" s="1"/>
  <c r="O16"/>
  <c r="O177" s="1"/>
  <c r="D17"/>
  <c r="E17"/>
  <c r="F17"/>
  <c r="G17"/>
  <c r="H17"/>
  <c r="I17"/>
  <c r="J17"/>
  <c r="K17"/>
  <c r="L17"/>
  <c r="M17"/>
  <c r="N17"/>
  <c r="O17"/>
  <c r="P15"/>
  <c r="Q15"/>
  <c r="R15"/>
  <c r="S15"/>
  <c r="T15"/>
  <c r="U15"/>
  <c r="V15"/>
  <c r="W15"/>
  <c r="X15"/>
  <c r="Y15"/>
  <c r="Z15"/>
  <c r="AA15"/>
  <c r="P16"/>
  <c r="Q16"/>
  <c r="R16"/>
  <c r="S16"/>
  <c r="T16"/>
  <c r="U16"/>
  <c r="V16"/>
  <c r="W16"/>
  <c r="X16"/>
  <c r="Y16"/>
  <c r="Z16"/>
  <c r="AA16"/>
  <c r="P17"/>
  <c r="Q17"/>
  <c r="R17"/>
  <c r="S17"/>
  <c r="T17"/>
  <c r="U17"/>
  <c r="V17"/>
  <c r="W17"/>
  <c r="X17"/>
  <c r="Y17"/>
  <c r="Z17"/>
  <c r="AA17"/>
  <c r="B20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V146" i="1"/>
  <c r="V147"/>
  <c r="V148"/>
  <c r="V149"/>
  <c r="V150"/>
  <c r="V151"/>
  <c r="V152"/>
  <c r="V153"/>
  <c r="V154"/>
  <c r="V155"/>
  <c r="V156"/>
  <c r="V157"/>
  <c r="V158"/>
  <c r="V159"/>
  <c r="V160"/>
  <c r="V161"/>
  <c r="V162"/>
  <c r="V163"/>
  <c r="V164"/>
  <c r="V165"/>
  <c r="V166"/>
  <c r="V167"/>
  <c r="V168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W20"/>
  <c r="X20"/>
  <c r="AD30"/>
  <c r="AC30"/>
  <c r="AD29"/>
  <c r="AC29"/>
  <c r="AD28"/>
  <c r="AC28"/>
  <c r="AD27"/>
  <c r="AC27"/>
  <c r="AD26"/>
  <c r="AC26"/>
  <c r="AD25"/>
  <c r="AC25"/>
  <c r="AD24"/>
  <c r="AC24"/>
  <c r="AD23"/>
  <c r="AC23"/>
  <c r="AD22"/>
  <c r="AC22"/>
  <c r="AD21"/>
  <c r="AC21"/>
  <c r="H4" i="6"/>
  <c r="J5"/>
  <c r="J4"/>
  <c r="I3"/>
  <c r="F4"/>
  <c r="F3"/>
  <c r="D5"/>
  <c r="D4"/>
  <c r="C3"/>
  <c r="D174"/>
  <c r="E13" i="14"/>
  <c r="D13"/>
  <c r="E12"/>
  <c r="D12"/>
  <c r="E11"/>
  <c r="D11"/>
  <c r="E10"/>
  <c r="D10"/>
  <c r="E9"/>
  <c r="D9"/>
  <c r="G5"/>
  <c r="L4"/>
  <c r="M3"/>
  <c r="H3"/>
  <c r="C3"/>
  <c r="E13" i="13"/>
  <c r="D13"/>
  <c r="E12"/>
  <c r="D12"/>
  <c r="E11"/>
  <c r="D11"/>
  <c r="E10"/>
  <c r="D10"/>
  <c r="E9"/>
  <c r="D9"/>
  <c r="E6"/>
  <c r="I12" s="1"/>
  <c r="N5"/>
  <c r="L5"/>
  <c r="G5"/>
  <c r="E5"/>
  <c r="N4"/>
  <c r="L4"/>
  <c r="E4"/>
  <c r="M3"/>
  <c r="H3"/>
  <c r="C3"/>
  <c r="L5" i="1"/>
  <c r="L4"/>
  <c r="N4"/>
  <c r="N5"/>
  <c r="H3"/>
  <c r="E6"/>
  <c r="E10"/>
  <c r="E11"/>
  <c r="E12"/>
  <c r="E13"/>
  <c r="E9"/>
  <c r="D10"/>
  <c r="D11"/>
  <c r="D12"/>
  <c r="D13"/>
  <c r="D9"/>
  <c r="M3"/>
  <c r="G5"/>
  <c r="E5"/>
  <c r="E4"/>
  <c r="C3"/>
  <c r="F20" i="18"/>
  <c r="F19"/>
  <c r="F18"/>
  <c r="F17"/>
  <c r="F16"/>
  <c r="AH31" i="17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5"/>
  <c r="AH56"/>
  <c r="AH57"/>
  <c r="AH58"/>
  <c r="AH59"/>
  <c r="AH60"/>
  <c r="AH61"/>
  <c r="AH62"/>
  <c r="AH63"/>
  <c r="AH64"/>
  <c r="AH65"/>
  <c r="AH66"/>
  <c r="AH67"/>
  <c r="AH68"/>
  <c r="AH69"/>
  <c r="AH70"/>
  <c r="AH71"/>
  <c r="AH72"/>
  <c r="AH73"/>
  <c r="AH74"/>
  <c r="AH75"/>
  <c r="AH76"/>
  <c r="AH77"/>
  <c r="AH78"/>
  <c r="AH79"/>
  <c r="AH80"/>
  <c r="AH81"/>
  <c r="AH82"/>
  <c r="AH83"/>
  <c r="AH84"/>
  <c r="AH85"/>
  <c r="AH86"/>
  <c r="AH87"/>
  <c r="AH88"/>
  <c r="AH89"/>
  <c r="AH90"/>
  <c r="AH91"/>
  <c r="AH92"/>
  <c r="AH93"/>
  <c r="AH94"/>
  <c r="AH95"/>
  <c r="AH96"/>
  <c r="AH97"/>
  <c r="AH98"/>
  <c r="AH99"/>
  <c r="AH100"/>
  <c r="AH101"/>
  <c r="AH102"/>
  <c r="AH103"/>
  <c r="AH104"/>
  <c r="AH105"/>
  <c r="AH106"/>
  <c r="AH107"/>
  <c r="AH108"/>
  <c r="AH109"/>
  <c r="AH110"/>
  <c r="AH111"/>
  <c r="AH112"/>
  <c r="AH113"/>
  <c r="AH114"/>
  <c r="AH115"/>
  <c r="AH116"/>
  <c r="AH117"/>
  <c r="AH118"/>
  <c r="AH119"/>
  <c r="AH120"/>
  <c r="AH121"/>
  <c r="AH122"/>
  <c r="AH123"/>
  <c r="AH124"/>
  <c r="AH125"/>
  <c r="AH126"/>
  <c r="AH127"/>
  <c r="AH128"/>
  <c r="AH129"/>
  <c r="AH130"/>
  <c r="AH131"/>
  <c r="AH132"/>
  <c r="AH133"/>
  <c r="AH134"/>
  <c r="AH135"/>
  <c r="AH136"/>
  <c r="AH137"/>
  <c r="AH138"/>
  <c r="AH139"/>
  <c r="AS140"/>
  <c r="AR140"/>
  <c r="AQ140"/>
  <c r="AP140"/>
  <c r="AO140"/>
  <c r="AS21"/>
  <c r="AS22"/>
  <c r="AS23"/>
  <c r="AS24"/>
  <c r="AS25"/>
  <c r="AS26"/>
  <c r="AS27"/>
  <c r="AS28"/>
  <c r="AS29"/>
  <c r="AS30"/>
  <c r="AS31"/>
  <c r="AS32"/>
  <c r="AS33"/>
  <c r="AS34"/>
  <c r="AS35"/>
  <c r="AS36"/>
  <c r="AS37"/>
  <c r="AS38"/>
  <c r="AS39"/>
  <c r="AS40"/>
  <c r="AS41"/>
  <c r="AS42"/>
  <c r="AS43"/>
  <c r="AS44"/>
  <c r="AS45"/>
  <c r="AS46"/>
  <c r="AS47"/>
  <c r="AS48"/>
  <c r="AS49"/>
  <c r="AS50"/>
  <c r="AS51"/>
  <c r="AS52"/>
  <c r="AS53"/>
  <c r="AS54"/>
  <c r="AS55"/>
  <c r="AS56"/>
  <c r="AS57"/>
  <c r="AS58"/>
  <c r="AS59"/>
  <c r="AS60"/>
  <c r="AS61"/>
  <c r="AS62"/>
  <c r="AS63"/>
  <c r="AS64"/>
  <c r="AS65"/>
  <c r="AS66"/>
  <c r="AS67"/>
  <c r="AS68"/>
  <c r="AS69"/>
  <c r="AS70"/>
  <c r="AS71"/>
  <c r="AS72"/>
  <c r="AS73"/>
  <c r="AS74"/>
  <c r="AS75"/>
  <c r="AS76"/>
  <c r="AS77"/>
  <c r="AS78"/>
  <c r="AS79"/>
  <c r="AS80"/>
  <c r="AS81"/>
  <c r="AS82"/>
  <c r="AS83"/>
  <c r="AS84"/>
  <c r="AS85"/>
  <c r="AS86"/>
  <c r="AS87"/>
  <c r="AS88"/>
  <c r="AS89"/>
  <c r="AS90"/>
  <c r="AS91"/>
  <c r="AS92"/>
  <c r="AS93"/>
  <c r="AS94"/>
  <c r="AS95"/>
  <c r="AS96"/>
  <c r="AS97"/>
  <c r="AS98"/>
  <c r="AS99"/>
  <c r="AS100"/>
  <c r="AS101"/>
  <c r="AS102"/>
  <c r="AS103"/>
  <c r="AS104"/>
  <c r="AS105"/>
  <c r="AS106"/>
  <c r="AS107"/>
  <c r="AS108"/>
  <c r="AS109"/>
  <c r="AS110"/>
  <c r="AS111"/>
  <c r="AS112"/>
  <c r="AS113"/>
  <c r="AS114"/>
  <c r="AS115"/>
  <c r="AS116"/>
  <c r="AS117"/>
  <c r="AS118"/>
  <c r="AS119"/>
  <c r="AS120"/>
  <c r="AS121"/>
  <c r="AS122"/>
  <c r="AS123"/>
  <c r="AS124"/>
  <c r="AS125"/>
  <c r="AS126"/>
  <c r="AS127"/>
  <c r="AS128"/>
  <c r="AS129"/>
  <c r="AS130"/>
  <c r="AS131"/>
  <c r="AS132"/>
  <c r="AS133"/>
  <c r="AS134"/>
  <c r="AS135"/>
  <c r="AS136"/>
  <c r="AS137"/>
  <c r="AS138"/>
  <c r="AS139"/>
  <c r="AR21"/>
  <c r="AR22"/>
  <c r="AR23"/>
  <c r="AR24"/>
  <c r="AR25"/>
  <c r="AR26"/>
  <c r="AR27"/>
  <c r="AR28"/>
  <c r="AR29"/>
  <c r="AR30"/>
  <c r="AR31"/>
  <c r="AR32"/>
  <c r="AR33"/>
  <c r="AR34"/>
  <c r="AR35"/>
  <c r="AR36"/>
  <c r="AR37"/>
  <c r="AR38"/>
  <c r="AR39"/>
  <c r="AR40"/>
  <c r="AR41"/>
  <c r="AR42"/>
  <c r="AR43"/>
  <c r="AR44"/>
  <c r="AR45"/>
  <c r="AR46"/>
  <c r="AR47"/>
  <c r="AR48"/>
  <c r="AR49"/>
  <c r="AR50"/>
  <c r="AR51"/>
  <c r="AR52"/>
  <c r="AR53"/>
  <c r="AR54"/>
  <c r="AR55"/>
  <c r="AR56"/>
  <c r="AR57"/>
  <c r="AR58"/>
  <c r="AR59"/>
  <c r="AR60"/>
  <c r="AR61"/>
  <c r="AR62"/>
  <c r="AR63"/>
  <c r="AR64"/>
  <c r="AR65"/>
  <c r="AR66"/>
  <c r="AR67"/>
  <c r="AR68"/>
  <c r="AR69"/>
  <c r="AR70"/>
  <c r="AR71"/>
  <c r="AR72"/>
  <c r="AR73"/>
  <c r="AR74"/>
  <c r="AR75"/>
  <c r="AR76"/>
  <c r="AR77"/>
  <c r="AR78"/>
  <c r="AR79"/>
  <c r="AR80"/>
  <c r="AR81"/>
  <c r="AR82"/>
  <c r="AR83"/>
  <c r="AR84"/>
  <c r="AR85"/>
  <c r="AR86"/>
  <c r="AR87"/>
  <c r="AR88"/>
  <c r="AR89"/>
  <c r="AR90"/>
  <c r="AR91"/>
  <c r="AR92"/>
  <c r="AR93"/>
  <c r="AR94"/>
  <c r="AR95"/>
  <c r="AR96"/>
  <c r="AR97"/>
  <c r="AR98"/>
  <c r="AR99"/>
  <c r="AR100"/>
  <c r="AR101"/>
  <c r="AR102"/>
  <c r="AR103"/>
  <c r="AR104"/>
  <c r="AR105"/>
  <c r="AR106"/>
  <c r="AR107"/>
  <c r="AR108"/>
  <c r="AR109"/>
  <c r="AR110"/>
  <c r="AR111"/>
  <c r="AR112"/>
  <c r="AR113"/>
  <c r="AR114"/>
  <c r="AR115"/>
  <c r="AR116"/>
  <c r="AR117"/>
  <c r="AR118"/>
  <c r="AR119"/>
  <c r="AR120"/>
  <c r="AR121"/>
  <c r="AR122"/>
  <c r="AR123"/>
  <c r="AR124"/>
  <c r="AR125"/>
  <c r="AR126"/>
  <c r="AR127"/>
  <c r="AR128"/>
  <c r="AR129"/>
  <c r="AR130"/>
  <c r="AR131"/>
  <c r="AR132"/>
  <c r="AR133"/>
  <c r="AR134"/>
  <c r="AR135"/>
  <c r="AR136"/>
  <c r="AR137"/>
  <c r="AR138"/>
  <c r="AR139"/>
  <c r="AQ21"/>
  <c r="AQ22"/>
  <c r="AQ23"/>
  <c r="AQ24"/>
  <c r="AQ25"/>
  <c r="AQ26"/>
  <c r="AQ27"/>
  <c r="AQ28"/>
  <c r="AQ29"/>
  <c r="AQ30"/>
  <c r="AQ31"/>
  <c r="AQ32"/>
  <c r="AQ33"/>
  <c r="AQ34"/>
  <c r="AQ35"/>
  <c r="AQ36"/>
  <c r="AQ37"/>
  <c r="AQ38"/>
  <c r="AQ39"/>
  <c r="AQ40"/>
  <c r="AQ41"/>
  <c r="AQ42"/>
  <c r="AQ43"/>
  <c r="AQ44"/>
  <c r="AQ45"/>
  <c r="AQ46"/>
  <c r="AQ47"/>
  <c r="AQ48"/>
  <c r="AQ49"/>
  <c r="AQ50"/>
  <c r="AQ51"/>
  <c r="AQ52"/>
  <c r="AQ53"/>
  <c r="AQ54"/>
  <c r="AQ55"/>
  <c r="AQ56"/>
  <c r="AQ57"/>
  <c r="AQ58"/>
  <c r="AQ59"/>
  <c r="AQ60"/>
  <c r="AQ61"/>
  <c r="AQ62"/>
  <c r="AQ63"/>
  <c r="AQ64"/>
  <c r="AQ65"/>
  <c r="AQ66"/>
  <c r="AQ67"/>
  <c r="AQ68"/>
  <c r="AQ69"/>
  <c r="AQ70"/>
  <c r="AQ71"/>
  <c r="AQ72"/>
  <c r="AQ73"/>
  <c r="AQ74"/>
  <c r="AQ75"/>
  <c r="AQ76"/>
  <c r="AQ77"/>
  <c r="AQ78"/>
  <c r="AQ79"/>
  <c r="AQ80"/>
  <c r="AQ81"/>
  <c r="AQ82"/>
  <c r="AQ83"/>
  <c r="AQ84"/>
  <c r="AQ85"/>
  <c r="AQ86"/>
  <c r="AQ87"/>
  <c r="AQ88"/>
  <c r="AQ89"/>
  <c r="AQ90"/>
  <c r="AQ91"/>
  <c r="AQ92"/>
  <c r="AQ93"/>
  <c r="AQ94"/>
  <c r="AQ95"/>
  <c r="AQ96"/>
  <c r="AQ97"/>
  <c r="AQ98"/>
  <c r="AQ99"/>
  <c r="AQ100"/>
  <c r="AQ101"/>
  <c r="AQ102"/>
  <c r="AQ103"/>
  <c r="AQ104"/>
  <c r="AQ105"/>
  <c r="AQ106"/>
  <c r="AQ107"/>
  <c r="AQ108"/>
  <c r="AQ109"/>
  <c r="AQ110"/>
  <c r="AQ111"/>
  <c r="AQ112"/>
  <c r="AQ113"/>
  <c r="AQ114"/>
  <c r="AQ115"/>
  <c r="AQ116"/>
  <c r="AQ117"/>
  <c r="AQ118"/>
  <c r="AQ119"/>
  <c r="AQ120"/>
  <c r="AQ121"/>
  <c r="AQ122"/>
  <c r="AQ123"/>
  <c r="AQ124"/>
  <c r="AQ125"/>
  <c r="AQ126"/>
  <c r="AQ127"/>
  <c r="AQ128"/>
  <c r="AQ129"/>
  <c r="AQ130"/>
  <c r="AQ131"/>
  <c r="AQ132"/>
  <c r="AQ133"/>
  <c r="AQ134"/>
  <c r="AQ135"/>
  <c r="AQ136"/>
  <c r="AQ137"/>
  <c r="AQ138"/>
  <c r="AQ139"/>
  <c r="AP21"/>
  <c r="AP22"/>
  <c r="AP23"/>
  <c r="AP24"/>
  <c r="AP25"/>
  <c r="AP26"/>
  <c r="AP27"/>
  <c r="AP28"/>
  <c r="AP29"/>
  <c r="AP30"/>
  <c r="AP31"/>
  <c r="AP32"/>
  <c r="AP33"/>
  <c r="AP34"/>
  <c r="AP35"/>
  <c r="AP36"/>
  <c r="AP37"/>
  <c r="AP38"/>
  <c r="AP39"/>
  <c r="AP40"/>
  <c r="AP41"/>
  <c r="AP42"/>
  <c r="AP43"/>
  <c r="AP44"/>
  <c r="AP45"/>
  <c r="AP46"/>
  <c r="AP47"/>
  <c r="AP48"/>
  <c r="AP49"/>
  <c r="AP50"/>
  <c r="AP51"/>
  <c r="AP52"/>
  <c r="AP53"/>
  <c r="AP54"/>
  <c r="AP55"/>
  <c r="AP56"/>
  <c r="AP57"/>
  <c r="AP58"/>
  <c r="AP59"/>
  <c r="AP60"/>
  <c r="AP61"/>
  <c r="AP62"/>
  <c r="AP63"/>
  <c r="AP64"/>
  <c r="AP65"/>
  <c r="AP66"/>
  <c r="AP67"/>
  <c r="AP68"/>
  <c r="AP69"/>
  <c r="AP70"/>
  <c r="AP71"/>
  <c r="AP72"/>
  <c r="AP73"/>
  <c r="AP74"/>
  <c r="AP75"/>
  <c r="AP76"/>
  <c r="AP77"/>
  <c r="AP78"/>
  <c r="AP79"/>
  <c r="AP80"/>
  <c r="AP81"/>
  <c r="AP82"/>
  <c r="AP83"/>
  <c r="AP84"/>
  <c r="AP85"/>
  <c r="AP86"/>
  <c r="AP87"/>
  <c r="AP88"/>
  <c r="AP89"/>
  <c r="AP90"/>
  <c r="AP91"/>
  <c r="AP92"/>
  <c r="AP93"/>
  <c r="AP94"/>
  <c r="AP95"/>
  <c r="AP96"/>
  <c r="AP97"/>
  <c r="AP98"/>
  <c r="AP99"/>
  <c r="AP100"/>
  <c r="AP101"/>
  <c r="AP102"/>
  <c r="AP103"/>
  <c r="AP104"/>
  <c r="AP105"/>
  <c r="AP106"/>
  <c r="AP107"/>
  <c r="AP108"/>
  <c r="AP109"/>
  <c r="AP110"/>
  <c r="AP111"/>
  <c r="AP112"/>
  <c r="AP113"/>
  <c r="AP114"/>
  <c r="AP115"/>
  <c r="AP116"/>
  <c r="AP117"/>
  <c r="AP118"/>
  <c r="AP119"/>
  <c r="AP120"/>
  <c r="AP121"/>
  <c r="AP122"/>
  <c r="AP123"/>
  <c r="AP124"/>
  <c r="AP125"/>
  <c r="AP126"/>
  <c r="AP127"/>
  <c r="AP128"/>
  <c r="AP129"/>
  <c r="AP130"/>
  <c r="AP131"/>
  <c r="AP132"/>
  <c r="AP133"/>
  <c r="AP134"/>
  <c r="AP135"/>
  <c r="AP136"/>
  <c r="AP137"/>
  <c r="AP138"/>
  <c r="AP139"/>
  <c r="AO31"/>
  <c r="AO32"/>
  <c r="AO33"/>
  <c r="AO34"/>
  <c r="AO35"/>
  <c r="AO36"/>
  <c r="AO37"/>
  <c r="AO38"/>
  <c r="AO39"/>
  <c r="AO40"/>
  <c r="AO41"/>
  <c r="AO42"/>
  <c r="AO43"/>
  <c r="AO44"/>
  <c r="AO45"/>
  <c r="AO46"/>
  <c r="AO47"/>
  <c r="AO48"/>
  <c r="AO49"/>
  <c r="AO50"/>
  <c r="AO51"/>
  <c r="AO52"/>
  <c r="AO53"/>
  <c r="AO54"/>
  <c r="AO55"/>
  <c r="AO56"/>
  <c r="AO57"/>
  <c r="AO58"/>
  <c r="AO59"/>
  <c r="AO60"/>
  <c r="AO61"/>
  <c r="AO62"/>
  <c r="AO63"/>
  <c r="AO64"/>
  <c r="AO65"/>
  <c r="AO66"/>
  <c r="AO67"/>
  <c r="AO68"/>
  <c r="AO69"/>
  <c r="AO70"/>
  <c r="AO71"/>
  <c r="AO72"/>
  <c r="AO73"/>
  <c r="AO74"/>
  <c r="AO75"/>
  <c r="AO76"/>
  <c r="AO77"/>
  <c r="AO78"/>
  <c r="AO79"/>
  <c r="AO80"/>
  <c r="AO81"/>
  <c r="AO82"/>
  <c r="AO83"/>
  <c r="AO84"/>
  <c r="AO85"/>
  <c r="AO86"/>
  <c r="AO87"/>
  <c r="AO88"/>
  <c r="AO89"/>
  <c r="AO90"/>
  <c r="AO91"/>
  <c r="AO92"/>
  <c r="AO93"/>
  <c r="AO94"/>
  <c r="AO95"/>
  <c r="AO96"/>
  <c r="AO97"/>
  <c r="AO98"/>
  <c r="AO99"/>
  <c r="AO100"/>
  <c r="AO101"/>
  <c r="AO102"/>
  <c r="AO103"/>
  <c r="AO104"/>
  <c r="AO105"/>
  <c r="AO106"/>
  <c r="AO107"/>
  <c r="AO108"/>
  <c r="AO109"/>
  <c r="AO110"/>
  <c r="AO111"/>
  <c r="AO112"/>
  <c r="AO113"/>
  <c r="AO114"/>
  <c r="AO115"/>
  <c r="AO116"/>
  <c r="AO117"/>
  <c r="AO118"/>
  <c r="AO119"/>
  <c r="AO120"/>
  <c r="AO121"/>
  <c r="AO122"/>
  <c r="AO123"/>
  <c r="AO124"/>
  <c r="AO125"/>
  <c r="AO126"/>
  <c r="AO127"/>
  <c r="AO128"/>
  <c r="AO129"/>
  <c r="AO130"/>
  <c r="AO131"/>
  <c r="AO132"/>
  <c r="AO133"/>
  <c r="AO134"/>
  <c r="AO135"/>
  <c r="AO136"/>
  <c r="AO137"/>
  <c r="AO138"/>
  <c r="AO139"/>
  <c r="AO21"/>
  <c r="AO22"/>
  <c r="AO23"/>
  <c r="AO24"/>
  <c r="AO25"/>
  <c r="AO26"/>
  <c r="AO27"/>
  <c r="AO28"/>
  <c r="AO29"/>
  <c r="AO30"/>
  <c r="AP20"/>
  <c r="AQ20"/>
  <c r="AR20"/>
  <c r="AS20"/>
  <c r="R20" i="1"/>
  <c r="AH30" i="17"/>
  <c r="AH29"/>
  <c r="AH28"/>
  <c r="AH27"/>
  <c r="AH26"/>
  <c r="AH25"/>
  <c r="AH24"/>
  <c r="AH23"/>
  <c r="AH22"/>
  <c r="AH21"/>
  <c r="AH20"/>
  <c r="K197"/>
  <c r="K187"/>
  <c r="K186"/>
  <c r="K185"/>
  <c r="D185"/>
  <c r="K184"/>
  <c r="D184"/>
  <c r="K183"/>
  <c r="D183"/>
  <c r="D182"/>
  <c r="M181"/>
  <c r="D181"/>
  <c r="B173"/>
  <c r="B172"/>
  <c r="J177" l="1"/>
  <c r="M182" i="14"/>
  <c r="G175" i="17"/>
  <c r="E182" i="13"/>
  <c r="E186"/>
  <c r="E183"/>
  <c r="E185"/>
  <c r="E184"/>
  <c r="F194" i="14"/>
  <c r="R133" i="1"/>
  <c r="R133" i="13"/>
  <c r="R85" i="1"/>
  <c r="R85" i="13"/>
  <c r="S138" i="1"/>
  <c r="S138" i="13"/>
  <c r="S74" i="1"/>
  <c r="S74" i="13"/>
  <c r="T129" i="1"/>
  <c r="T129" i="13"/>
  <c r="T73" i="1"/>
  <c r="T73" i="13"/>
  <c r="U136" i="1"/>
  <c r="U136" i="13"/>
  <c r="U88" i="1"/>
  <c r="U88" i="13"/>
  <c r="U32" i="1"/>
  <c r="U32" i="13"/>
  <c r="V87" i="1"/>
  <c r="V87" i="13"/>
  <c r="V55" i="1"/>
  <c r="V55" i="13"/>
  <c r="R29" i="1"/>
  <c r="R29" i="13"/>
  <c r="R132" i="1"/>
  <c r="R132" i="13"/>
  <c r="R108" i="1"/>
  <c r="R108" i="13"/>
  <c r="R92" i="1"/>
  <c r="R92" i="13"/>
  <c r="R76" i="1"/>
  <c r="R76" i="13"/>
  <c r="R68" i="1"/>
  <c r="R68" i="13"/>
  <c r="R52" i="1"/>
  <c r="R52" i="13"/>
  <c r="R44" i="1"/>
  <c r="R44" i="13"/>
  <c r="R36" i="1"/>
  <c r="R36" i="13"/>
  <c r="S137" i="1"/>
  <c r="S137" i="13"/>
  <c r="S129" i="1"/>
  <c r="S129" i="13"/>
  <c r="S121" i="1"/>
  <c r="S121" i="13"/>
  <c r="S113" i="1"/>
  <c r="S113" i="13"/>
  <c r="S97" i="1"/>
  <c r="S97" i="13"/>
  <c r="S89" i="1"/>
  <c r="S89" i="13"/>
  <c r="S81" i="1"/>
  <c r="S81" i="13"/>
  <c r="S73" i="1"/>
  <c r="S73" i="13"/>
  <c r="S65" i="1"/>
  <c r="S65" i="13"/>
  <c r="S57" i="1"/>
  <c r="S57" i="13"/>
  <c r="S49" i="1"/>
  <c r="S49" i="13"/>
  <c r="S41" i="1"/>
  <c r="S41" i="13"/>
  <c r="S33" i="1"/>
  <c r="S33" i="13"/>
  <c r="S25" i="1"/>
  <c r="S25" i="13"/>
  <c r="T136" i="1"/>
  <c r="T136" i="13"/>
  <c r="T128" i="1"/>
  <c r="T128" i="13"/>
  <c r="T120" i="1"/>
  <c r="T120" i="13"/>
  <c r="T112" i="1"/>
  <c r="T112" i="13"/>
  <c r="T104" i="1"/>
  <c r="T104" i="13"/>
  <c r="T96" i="1"/>
  <c r="T96" i="13"/>
  <c r="T88" i="1"/>
  <c r="T88" i="13"/>
  <c r="T80" i="1"/>
  <c r="T80" i="13"/>
  <c r="T72" i="1"/>
  <c r="T72" i="13"/>
  <c r="T64" i="1"/>
  <c r="T64" i="13"/>
  <c r="T56" i="1"/>
  <c r="T56" i="13"/>
  <c r="T48" i="1"/>
  <c r="T48" i="13"/>
  <c r="T40" i="1"/>
  <c r="T40" i="13"/>
  <c r="T32" i="1"/>
  <c r="T32" i="13"/>
  <c r="T24" i="1"/>
  <c r="T24" i="13"/>
  <c r="U135" i="1"/>
  <c r="U135" i="13"/>
  <c r="U127" i="1"/>
  <c r="U127" i="13"/>
  <c r="U119" i="1"/>
  <c r="U119" i="13"/>
  <c r="U111" i="1"/>
  <c r="U111" i="13"/>
  <c r="U103" i="1"/>
  <c r="U103" i="13"/>
  <c r="U95" i="1"/>
  <c r="U95" i="13"/>
  <c r="U87" i="1"/>
  <c r="U87" i="13"/>
  <c r="U79" i="1"/>
  <c r="U79" i="13"/>
  <c r="U71" i="1"/>
  <c r="U71" i="13"/>
  <c r="U63" i="1"/>
  <c r="U63" i="13"/>
  <c r="U55" i="1"/>
  <c r="U55" i="13"/>
  <c r="U47" i="1"/>
  <c r="U47" i="13"/>
  <c r="U39" i="1"/>
  <c r="U39" i="13"/>
  <c r="U31" i="1"/>
  <c r="U31" i="13"/>
  <c r="U23" i="1"/>
  <c r="U23" i="13"/>
  <c r="V134" i="1"/>
  <c r="V134" i="13"/>
  <c r="V126" i="1"/>
  <c r="V126" i="13"/>
  <c r="V118" i="1"/>
  <c r="V118" i="13"/>
  <c r="V110" i="1"/>
  <c r="V110" i="13"/>
  <c r="V102" i="1"/>
  <c r="V102" i="13"/>
  <c r="V94" i="1"/>
  <c r="V94" i="13"/>
  <c r="V86" i="1"/>
  <c r="V86" i="13"/>
  <c r="V78" i="1"/>
  <c r="V78" i="13"/>
  <c r="V70" i="1"/>
  <c r="V70" i="13"/>
  <c r="V62" i="1"/>
  <c r="V62" i="13"/>
  <c r="V54" i="1"/>
  <c r="V54" i="13"/>
  <c r="V46" i="1"/>
  <c r="V46" i="13"/>
  <c r="V38" i="1"/>
  <c r="V38" i="13"/>
  <c r="V30" i="1"/>
  <c r="V30" i="13"/>
  <c r="V22" i="1"/>
  <c r="V22" i="13"/>
  <c r="R117" i="1"/>
  <c r="R117" i="13"/>
  <c r="R69" i="1"/>
  <c r="R69" i="13"/>
  <c r="S130" i="1"/>
  <c r="S130" i="13"/>
  <c r="S90" i="1"/>
  <c r="S90" i="13"/>
  <c r="S42" i="1"/>
  <c r="S42" i="13"/>
  <c r="T113" i="1"/>
  <c r="T113" i="13"/>
  <c r="T65" i="1"/>
  <c r="T65" i="13"/>
  <c r="U128" i="1"/>
  <c r="U128" i="13"/>
  <c r="U72" i="1"/>
  <c r="U72" i="13"/>
  <c r="V127" i="1"/>
  <c r="V127" i="13"/>
  <c r="V47" i="1"/>
  <c r="V47" i="13"/>
  <c r="G177" i="17"/>
  <c r="R21" i="1"/>
  <c r="AO170" i="17"/>
  <c r="R21" i="13"/>
  <c r="R124" i="1"/>
  <c r="R124" i="13"/>
  <c r="R116" i="1"/>
  <c r="R116" i="13"/>
  <c r="R100" i="1"/>
  <c r="R100" i="13"/>
  <c r="R84" i="1"/>
  <c r="R84" i="13"/>
  <c r="R60" i="1"/>
  <c r="R60" i="13"/>
  <c r="S105" i="1"/>
  <c r="S105" i="13"/>
  <c r="R28" i="1"/>
  <c r="R28" i="13"/>
  <c r="R139" i="1"/>
  <c r="R139" i="13"/>
  <c r="R131" i="1"/>
  <c r="R131" i="13"/>
  <c r="R123" i="1"/>
  <c r="R123" i="13"/>
  <c r="R115" i="1"/>
  <c r="R115" i="13"/>
  <c r="R107" i="1"/>
  <c r="R107" i="13"/>
  <c r="R99" i="1"/>
  <c r="R99" i="13"/>
  <c r="R91" i="1"/>
  <c r="R91" i="13"/>
  <c r="R83" i="1"/>
  <c r="R83" i="13"/>
  <c r="R75" i="1"/>
  <c r="R75" i="13"/>
  <c r="R67" i="1"/>
  <c r="R67" i="13"/>
  <c r="R59" i="1"/>
  <c r="R59" i="13"/>
  <c r="R51" i="1"/>
  <c r="R51" i="13"/>
  <c r="R43" i="1"/>
  <c r="R43" i="13"/>
  <c r="R35" i="1"/>
  <c r="R35" i="13"/>
  <c r="S136" i="1"/>
  <c r="S136" i="13"/>
  <c r="S128" i="1"/>
  <c r="S128" i="13"/>
  <c r="S120" i="1"/>
  <c r="S120" i="13"/>
  <c r="S112" i="1"/>
  <c r="S112" i="13"/>
  <c r="S104" i="1"/>
  <c r="S104" i="13"/>
  <c r="S96" i="1"/>
  <c r="S96" i="13"/>
  <c r="S88" i="1"/>
  <c r="S88" i="13"/>
  <c r="S80" i="1"/>
  <c r="S80" i="13"/>
  <c r="S72" i="1"/>
  <c r="S72" i="13"/>
  <c r="S64" i="1"/>
  <c r="S64" i="13"/>
  <c r="S56" i="1"/>
  <c r="S56" i="13"/>
  <c r="S48" i="1"/>
  <c r="S48" i="13"/>
  <c r="S40" i="1"/>
  <c r="S40" i="13"/>
  <c r="S32" i="1"/>
  <c r="S32" i="13"/>
  <c r="S24" i="1"/>
  <c r="S24" i="13"/>
  <c r="T135" i="1"/>
  <c r="T135" i="13"/>
  <c r="T127" i="1"/>
  <c r="T127" i="13"/>
  <c r="T119" i="1"/>
  <c r="T119" i="13"/>
  <c r="T111" i="1"/>
  <c r="T111" i="13"/>
  <c r="T103" i="1"/>
  <c r="T103" i="13"/>
  <c r="T95" i="1"/>
  <c r="T95" i="13"/>
  <c r="T87" i="1"/>
  <c r="T87" i="13"/>
  <c r="T79" i="1"/>
  <c r="T79" i="13"/>
  <c r="T71" i="1"/>
  <c r="T71" i="13"/>
  <c r="T63" i="1"/>
  <c r="T63" i="13"/>
  <c r="T55" i="1"/>
  <c r="T55" i="13"/>
  <c r="T47" i="1"/>
  <c r="T47" i="13"/>
  <c r="T39" i="1"/>
  <c r="T39" i="13"/>
  <c r="T31" i="1"/>
  <c r="T31" i="13"/>
  <c r="T23" i="1"/>
  <c r="T23" i="13"/>
  <c r="U134" i="1"/>
  <c r="U134" i="13"/>
  <c r="U126" i="1"/>
  <c r="U126" i="13"/>
  <c r="U118" i="1"/>
  <c r="U118" i="13"/>
  <c r="U110" i="1"/>
  <c r="U110" i="13"/>
  <c r="U102" i="1"/>
  <c r="U102" i="13"/>
  <c r="U94" i="1"/>
  <c r="U94" i="13"/>
  <c r="U86" i="1"/>
  <c r="U86" i="13"/>
  <c r="U78" i="1"/>
  <c r="U78" i="13"/>
  <c r="U70" i="1"/>
  <c r="U70" i="13"/>
  <c r="U62" i="1"/>
  <c r="U62" i="13"/>
  <c r="U54" i="1"/>
  <c r="U54" i="13"/>
  <c r="U46" i="1"/>
  <c r="U46" i="13"/>
  <c r="U38" i="1"/>
  <c r="U38" i="13"/>
  <c r="U30" i="1"/>
  <c r="U30" i="13"/>
  <c r="U22" i="1"/>
  <c r="U22" i="13"/>
  <c r="V133" i="1"/>
  <c r="V133" i="13"/>
  <c r="V125" i="1"/>
  <c r="V125" i="13"/>
  <c r="V117" i="1"/>
  <c r="V117" i="13"/>
  <c r="V109" i="1"/>
  <c r="V109" i="13"/>
  <c r="V101" i="1"/>
  <c r="V101" i="13"/>
  <c r="V93" i="1"/>
  <c r="V93" i="13"/>
  <c r="V85" i="1"/>
  <c r="V85" i="13"/>
  <c r="V77" i="1"/>
  <c r="V77" i="13"/>
  <c r="V69" i="1"/>
  <c r="V69" i="13"/>
  <c r="V61" i="1"/>
  <c r="V61" i="13"/>
  <c r="V53" i="1"/>
  <c r="V53" i="13"/>
  <c r="V45" i="1"/>
  <c r="V45" i="13"/>
  <c r="V37" i="1"/>
  <c r="V37" i="13"/>
  <c r="V29" i="1"/>
  <c r="V29" i="13"/>
  <c r="V21" i="1"/>
  <c r="V21" i="13"/>
  <c r="R125" i="1"/>
  <c r="R125" i="13"/>
  <c r="R61" i="1"/>
  <c r="R61" i="13"/>
  <c r="S114" i="1"/>
  <c r="S114" i="13"/>
  <c r="S66" i="1"/>
  <c r="S66" i="13"/>
  <c r="T137" i="1"/>
  <c r="T137" i="13"/>
  <c r="T97" i="1"/>
  <c r="T97" i="13"/>
  <c r="T41" i="1"/>
  <c r="T41" i="13"/>
  <c r="U120" i="1"/>
  <c r="U120" i="13"/>
  <c r="U80" i="1"/>
  <c r="U80" i="13"/>
  <c r="U40" i="1"/>
  <c r="U40" i="13"/>
  <c r="V119" i="1"/>
  <c r="V119" i="13"/>
  <c r="V71" i="1"/>
  <c r="V71" i="13"/>
  <c r="V23" i="1"/>
  <c r="V23" i="13"/>
  <c r="R122" i="1"/>
  <c r="R122" i="13"/>
  <c r="R98" i="1"/>
  <c r="R98" i="13"/>
  <c r="R66" i="1"/>
  <c r="R66" i="13"/>
  <c r="R34" i="1"/>
  <c r="R34" i="13"/>
  <c r="S127" i="1"/>
  <c r="S127" i="13"/>
  <c r="S87" i="1"/>
  <c r="S87" i="13"/>
  <c r="S63" i="1"/>
  <c r="S63" i="13"/>
  <c r="S31" i="1"/>
  <c r="S31" i="13"/>
  <c r="T134" i="1"/>
  <c r="T134" i="13"/>
  <c r="T118" i="1"/>
  <c r="T118" i="13"/>
  <c r="T110" i="1"/>
  <c r="T110" i="13"/>
  <c r="T102" i="1"/>
  <c r="T102" i="13"/>
  <c r="T86" i="1"/>
  <c r="T86" i="13"/>
  <c r="T70" i="1"/>
  <c r="T70" i="13"/>
  <c r="T54" i="1"/>
  <c r="T54" i="13"/>
  <c r="T46" i="1"/>
  <c r="T46" i="13"/>
  <c r="T38" i="1"/>
  <c r="T38" i="13"/>
  <c r="T30" i="1"/>
  <c r="T30" i="13"/>
  <c r="T22" i="1"/>
  <c r="T22" i="13"/>
  <c r="U133" i="1"/>
  <c r="U133" i="13"/>
  <c r="U125" i="1"/>
  <c r="U125" i="13"/>
  <c r="U117" i="1"/>
  <c r="U117" i="13"/>
  <c r="U109" i="1"/>
  <c r="U109" i="13"/>
  <c r="U101" i="1"/>
  <c r="U101" i="13"/>
  <c r="U93" i="1"/>
  <c r="U93" i="13"/>
  <c r="U85" i="1"/>
  <c r="U85" i="13"/>
  <c r="U77" i="1"/>
  <c r="U77" i="13"/>
  <c r="U69" i="1"/>
  <c r="U69" i="13"/>
  <c r="U61" i="1"/>
  <c r="U61" i="13"/>
  <c r="U53" i="1"/>
  <c r="U53" i="13"/>
  <c r="U45" i="1"/>
  <c r="U45" i="13"/>
  <c r="U37" i="1"/>
  <c r="U37" i="13"/>
  <c r="U29" i="1"/>
  <c r="U29" i="13"/>
  <c r="U21" i="1"/>
  <c r="U21" i="13"/>
  <c r="V132" i="1"/>
  <c r="V132" i="13"/>
  <c r="V124" i="1"/>
  <c r="V124" i="13"/>
  <c r="V116" i="1"/>
  <c r="V116" i="13"/>
  <c r="V108" i="1"/>
  <c r="V108" i="13"/>
  <c r="V100" i="1"/>
  <c r="V100" i="13"/>
  <c r="V92" i="1"/>
  <c r="V92" i="13"/>
  <c r="V84" i="1"/>
  <c r="V84" i="13"/>
  <c r="V76" i="1"/>
  <c r="V76" i="13"/>
  <c r="V68" i="1"/>
  <c r="V68" i="13"/>
  <c r="V60" i="1"/>
  <c r="V60" i="13"/>
  <c r="V52" i="1"/>
  <c r="V52" i="13"/>
  <c r="V44" i="1"/>
  <c r="V44" i="13"/>
  <c r="V36" i="1"/>
  <c r="V36" i="13"/>
  <c r="V28" i="1"/>
  <c r="V28" i="13"/>
  <c r="R140" i="1"/>
  <c r="R140" i="13"/>
  <c r="R77" i="1"/>
  <c r="R77" i="13"/>
  <c r="S58" i="1"/>
  <c r="S58" i="13"/>
  <c r="T49" i="1"/>
  <c r="T49" i="13"/>
  <c r="V135" i="1"/>
  <c r="V135" i="13"/>
  <c r="R114" i="1"/>
  <c r="R114" i="13"/>
  <c r="S79" i="1"/>
  <c r="S79" i="13"/>
  <c r="R26" i="1"/>
  <c r="R26" i="13"/>
  <c r="R113" i="1"/>
  <c r="R113" i="13"/>
  <c r="R89" i="1"/>
  <c r="R89" i="13"/>
  <c r="R57" i="1"/>
  <c r="R57" i="13"/>
  <c r="S134" i="1"/>
  <c r="S134" i="13"/>
  <c r="S102" i="1"/>
  <c r="S102" i="13"/>
  <c r="S70" i="1"/>
  <c r="S70" i="13"/>
  <c r="S46" i="1"/>
  <c r="S46" i="13"/>
  <c r="S22" i="1"/>
  <c r="S22" i="13"/>
  <c r="T109" i="1"/>
  <c r="T109" i="13"/>
  <c r="T77" i="1"/>
  <c r="T77" i="13"/>
  <c r="T53" i="1"/>
  <c r="T53" i="13"/>
  <c r="T37" i="1"/>
  <c r="T37" i="13"/>
  <c r="T29" i="1"/>
  <c r="T29" i="13"/>
  <c r="T21" i="1"/>
  <c r="T21" i="13"/>
  <c r="U132" i="1"/>
  <c r="U132" i="13"/>
  <c r="U124" i="1"/>
  <c r="U124" i="13"/>
  <c r="U116" i="1"/>
  <c r="U116" i="13"/>
  <c r="U108" i="1"/>
  <c r="U108" i="13"/>
  <c r="U92" i="1"/>
  <c r="U92" i="13"/>
  <c r="U76" i="1"/>
  <c r="U76" i="13"/>
  <c r="U68" i="1"/>
  <c r="U68" i="13"/>
  <c r="U60" i="1"/>
  <c r="U60" i="13"/>
  <c r="U52" i="1"/>
  <c r="U52" i="13"/>
  <c r="U44" i="1"/>
  <c r="U44" i="13"/>
  <c r="U36" i="1"/>
  <c r="U36" i="13"/>
  <c r="U28" i="1"/>
  <c r="U28" i="13"/>
  <c r="V139" i="1"/>
  <c r="V139" i="13"/>
  <c r="V131" i="1"/>
  <c r="V131" i="13"/>
  <c r="V123" i="1"/>
  <c r="V123" i="13"/>
  <c r="V115" i="1"/>
  <c r="V115" i="13"/>
  <c r="V107" i="1"/>
  <c r="V107" i="13"/>
  <c r="V99" i="1"/>
  <c r="V99" i="13"/>
  <c r="V91" i="1"/>
  <c r="V91" i="13"/>
  <c r="V83" i="1"/>
  <c r="V83" i="13"/>
  <c r="V75" i="1"/>
  <c r="V75" i="13"/>
  <c r="V67" i="1"/>
  <c r="V67" i="13"/>
  <c r="V59" i="1"/>
  <c r="V59" i="13"/>
  <c r="V51" i="1"/>
  <c r="V51" i="13"/>
  <c r="V43" i="1"/>
  <c r="V43" i="13"/>
  <c r="V35" i="1"/>
  <c r="V35" i="13"/>
  <c r="V27" i="1"/>
  <c r="V27" i="13"/>
  <c r="S140" i="1"/>
  <c r="S140" i="13"/>
  <c r="R22" i="1"/>
  <c r="R22" i="13"/>
  <c r="R93" i="1"/>
  <c r="R93" i="13"/>
  <c r="R37" i="1"/>
  <c r="R37" i="13"/>
  <c r="S98" i="1"/>
  <c r="S98" i="13"/>
  <c r="S26" i="1"/>
  <c r="S26" i="13"/>
  <c r="T89" i="1"/>
  <c r="T89" i="13"/>
  <c r="T25" i="1"/>
  <c r="T25" i="13"/>
  <c r="U96" i="1"/>
  <c r="U96" i="13"/>
  <c r="U48" i="1"/>
  <c r="U48" i="13"/>
  <c r="V111" i="1"/>
  <c r="V111" i="13"/>
  <c r="V63" i="1"/>
  <c r="V63" i="13"/>
  <c r="R138" i="1"/>
  <c r="R138" i="13"/>
  <c r="R82" i="1"/>
  <c r="R82" i="13"/>
  <c r="R42" i="1"/>
  <c r="R42" i="13"/>
  <c r="S103" i="1"/>
  <c r="S103" i="13"/>
  <c r="S47" i="1"/>
  <c r="S47" i="13"/>
  <c r="T78" i="1"/>
  <c r="T78" i="13"/>
  <c r="V20" i="1"/>
  <c r="V20" i="13"/>
  <c r="AS170" i="17"/>
  <c r="R121" i="1"/>
  <c r="R121" i="13"/>
  <c r="R97" i="1"/>
  <c r="R97" i="13"/>
  <c r="R65" i="1"/>
  <c r="R65" i="13"/>
  <c r="R41" i="1"/>
  <c r="R41" i="13"/>
  <c r="S126" i="1"/>
  <c r="S126" i="13"/>
  <c r="S110" i="1"/>
  <c r="S110" i="13"/>
  <c r="S78" i="1"/>
  <c r="S78" i="13"/>
  <c r="S54" i="1"/>
  <c r="S54" i="13"/>
  <c r="S30" i="1"/>
  <c r="S30" i="13"/>
  <c r="T125" i="1"/>
  <c r="T125" i="13"/>
  <c r="T93" i="1"/>
  <c r="T93" i="13"/>
  <c r="T61" i="1"/>
  <c r="T61" i="13"/>
  <c r="U84" i="1"/>
  <c r="U84" i="13"/>
  <c r="U20" i="1"/>
  <c r="U20" i="13"/>
  <c r="AR170" i="17"/>
  <c r="U141" i="13" s="1"/>
  <c r="R136" i="1"/>
  <c r="R136" i="13"/>
  <c r="R120" i="1"/>
  <c r="R120" i="13"/>
  <c r="R104" i="1"/>
  <c r="R104" i="13"/>
  <c r="R80" i="1"/>
  <c r="R80" i="13"/>
  <c r="R64" i="1"/>
  <c r="R64" i="13"/>
  <c r="R56" i="1"/>
  <c r="R56" i="13"/>
  <c r="R40" i="1"/>
  <c r="R40" i="13"/>
  <c r="R32" i="1"/>
  <c r="R32" i="13"/>
  <c r="S133" i="1"/>
  <c r="S133" i="13"/>
  <c r="S125" i="1"/>
  <c r="S125" i="13"/>
  <c r="S109" i="1"/>
  <c r="S109" i="13"/>
  <c r="S101" i="1"/>
  <c r="S101" i="13"/>
  <c r="S93" i="1"/>
  <c r="S93" i="13"/>
  <c r="S85" i="1"/>
  <c r="S85" i="13"/>
  <c r="S77" i="1"/>
  <c r="S77" i="13"/>
  <c r="S69" i="1"/>
  <c r="S69" i="13"/>
  <c r="S61" i="1"/>
  <c r="S61" i="13"/>
  <c r="S53" i="1"/>
  <c r="S53" i="13"/>
  <c r="S45" i="1"/>
  <c r="S45" i="13"/>
  <c r="S37" i="1"/>
  <c r="S37" i="13"/>
  <c r="S29" i="1"/>
  <c r="S29" i="13"/>
  <c r="S21" i="1"/>
  <c r="S21" i="13"/>
  <c r="T132" i="1"/>
  <c r="T132" i="13"/>
  <c r="T124" i="1"/>
  <c r="T124" i="13"/>
  <c r="T116" i="1"/>
  <c r="T116" i="13"/>
  <c r="T108" i="1"/>
  <c r="T108" i="13"/>
  <c r="T100" i="1"/>
  <c r="T100" i="13"/>
  <c r="T92" i="1"/>
  <c r="T92" i="13"/>
  <c r="T84" i="1"/>
  <c r="T84" i="13"/>
  <c r="T76" i="1"/>
  <c r="T76" i="13"/>
  <c r="T68" i="1"/>
  <c r="T68" i="13"/>
  <c r="T60" i="1"/>
  <c r="T60" i="13"/>
  <c r="T52" i="1"/>
  <c r="T52" i="13"/>
  <c r="T44" i="1"/>
  <c r="T44" i="13"/>
  <c r="T36" i="1"/>
  <c r="T36" i="13"/>
  <c r="T28" i="1"/>
  <c r="T28" i="13"/>
  <c r="U139" i="1"/>
  <c r="U139" i="13"/>
  <c r="U131" i="1"/>
  <c r="U131" i="13"/>
  <c r="U123" i="1"/>
  <c r="U123" i="13"/>
  <c r="U115" i="1"/>
  <c r="U115" i="13"/>
  <c r="U107" i="1"/>
  <c r="U107" i="13"/>
  <c r="U99" i="1"/>
  <c r="U99" i="13"/>
  <c r="U91" i="1"/>
  <c r="U91" i="13"/>
  <c r="U83" i="1"/>
  <c r="U83" i="13"/>
  <c r="U75" i="1"/>
  <c r="U75" i="13"/>
  <c r="U67" i="1"/>
  <c r="U67" i="13"/>
  <c r="U59" i="1"/>
  <c r="U59" i="13"/>
  <c r="U51" i="1"/>
  <c r="U51" i="13"/>
  <c r="U43" i="1"/>
  <c r="U43" i="13"/>
  <c r="U35" i="1"/>
  <c r="U35" i="13"/>
  <c r="U27" i="1"/>
  <c r="U27" i="13"/>
  <c r="V138" i="1"/>
  <c r="V138" i="13"/>
  <c r="V130" i="1"/>
  <c r="V130" i="13"/>
  <c r="V122" i="1"/>
  <c r="V122" i="13"/>
  <c r="V114" i="1"/>
  <c r="V114" i="13"/>
  <c r="V106" i="1"/>
  <c r="V106" i="13"/>
  <c r="V98" i="1"/>
  <c r="V98" i="13"/>
  <c r="V90" i="1"/>
  <c r="V90" i="13"/>
  <c r="V82" i="1"/>
  <c r="V82" i="13"/>
  <c r="V74" i="1"/>
  <c r="V74" i="13"/>
  <c r="V66" i="1"/>
  <c r="V66" i="13"/>
  <c r="V58" i="1"/>
  <c r="V58" i="13"/>
  <c r="V50" i="1"/>
  <c r="V50" i="13"/>
  <c r="V42" i="1"/>
  <c r="V42" i="13"/>
  <c r="V34" i="1"/>
  <c r="V34" i="13"/>
  <c r="V26" i="1"/>
  <c r="V26" i="13"/>
  <c r="T140" i="1"/>
  <c r="T140" i="13"/>
  <c r="R30" i="1"/>
  <c r="R30" i="13"/>
  <c r="R109" i="1"/>
  <c r="R109" i="13"/>
  <c r="R53" i="1"/>
  <c r="R53" i="13"/>
  <c r="S122" i="1"/>
  <c r="S122" i="13"/>
  <c r="S82" i="1"/>
  <c r="S82" i="13"/>
  <c r="S34" i="1"/>
  <c r="S34" i="13"/>
  <c r="T105" i="1"/>
  <c r="T105" i="13"/>
  <c r="T57" i="1"/>
  <c r="T57" i="13"/>
  <c r="U112" i="1"/>
  <c r="U112" i="13"/>
  <c r="U56" i="1"/>
  <c r="U56" i="13"/>
  <c r="V95" i="1"/>
  <c r="V95" i="13"/>
  <c r="V39" i="1"/>
  <c r="V39" i="13"/>
  <c r="R130" i="1"/>
  <c r="R130" i="13"/>
  <c r="R90" i="1"/>
  <c r="R90" i="13"/>
  <c r="R50" i="1"/>
  <c r="R50" i="13"/>
  <c r="S111" i="1"/>
  <c r="S111" i="13"/>
  <c r="S55" i="1"/>
  <c r="S55" i="13"/>
  <c r="T94" i="1"/>
  <c r="T94" i="13"/>
  <c r="R137" i="1"/>
  <c r="R137" i="13"/>
  <c r="R105" i="1"/>
  <c r="R105" i="13"/>
  <c r="R73" i="1"/>
  <c r="R73" i="13"/>
  <c r="R49" i="1"/>
  <c r="R49" i="13"/>
  <c r="R33" i="1"/>
  <c r="R33" i="13"/>
  <c r="S118" i="1"/>
  <c r="S118" i="13"/>
  <c r="S94" i="1"/>
  <c r="S94" i="13"/>
  <c r="S86" i="1"/>
  <c r="S86" i="13"/>
  <c r="S62" i="1"/>
  <c r="S62" i="13"/>
  <c r="S38" i="1"/>
  <c r="S38" i="13"/>
  <c r="T133" i="1"/>
  <c r="T133" i="13"/>
  <c r="T117" i="1"/>
  <c r="T117" i="13"/>
  <c r="T101" i="1"/>
  <c r="T101" i="13"/>
  <c r="T85" i="1"/>
  <c r="T85" i="13"/>
  <c r="T69" i="1"/>
  <c r="T69" i="13"/>
  <c r="T45" i="1"/>
  <c r="T45" i="13"/>
  <c r="U100" i="1"/>
  <c r="U100" i="13"/>
  <c r="R25" i="1"/>
  <c r="R25" i="13"/>
  <c r="R128" i="1"/>
  <c r="R128" i="13"/>
  <c r="R112" i="1"/>
  <c r="R112" i="13"/>
  <c r="R96" i="1"/>
  <c r="R96" i="13"/>
  <c r="R88" i="1"/>
  <c r="R88" i="13"/>
  <c r="R72" i="1"/>
  <c r="R72" i="13"/>
  <c r="R48" i="1"/>
  <c r="R48" i="13"/>
  <c r="S117" i="1"/>
  <c r="S117" i="13"/>
  <c r="T20" i="1"/>
  <c r="T20" i="13"/>
  <c r="AQ170" i="17"/>
  <c r="T141" i="13" s="1"/>
  <c r="R24" i="1"/>
  <c r="R24" i="13"/>
  <c r="R135" i="1"/>
  <c r="R135" i="13"/>
  <c r="R127" i="1"/>
  <c r="R127" i="13"/>
  <c r="R119" i="1"/>
  <c r="R119" i="13"/>
  <c r="R111" i="1"/>
  <c r="R111" i="13"/>
  <c r="R103" i="1"/>
  <c r="R103" i="13"/>
  <c r="R95" i="1"/>
  <c r="R95" i="13"/>
  <c r="R87" i="1"/>
  <c r="R87" i="13"/>
  <c r="R79" i="1"/>
  <c r="R79" i="13"/>
  <c r="R71" i="1"/>
  <c r="R71" i="13"/>
  <c r="R63" i="1"/>
  <c r="R63" i="13"/>
  <c r="R55" i="1"/>
  <c r="R55" i="13"/>
  <c r="R47" i="1"/>
  <c r="R47" i="13"/>
  <c r="R39" i="1"/>
  <c r="R39" i="13"/>
  <c r="R31" i="1"/>
  <c r="R31" i="13"/>
  <c r="S132" i="1"/>
  <c r="S132" i="13"/>
  <c r="S124" i="1"/>
  <c r="S124" i="13"/>
  <c r="S116" i="1"/>
  <c r="S116" i="13"/>
  <c r="S108" i="1"/>
  <c r="S108" i="13"/>
  <c r="S100" i="1"/>
  <c r="S100" i="13"/>
  <c r="S92" i="1"/>
  <c r="S92" i="13"/>
  <c r="S84" i="1"/>
  <c r="S84" i="13"/>
  <c r="S76" i="1"/>
  <c r="S76" i="13"/>
  <c r="S68" i="1"/>
  <c r="S68" i="13"/>
  <c r="S60" i="1"/>
  <c r="S60" i="13"/>
  <c r="S52" i="1"/>
  <c r="S52" i="13"/>
  <c r="S44" i="1"/>
  <c r="S44" i="13"/>
  <c r="S36" i="1"/>
  <c r="S36" i="13"/>
  <c r="S28" i="1"/>
  <c r="S28" i="13"/>
  <c r="T139" i="1"/>
  <c r="T139" i="13"/>
  <c r="T131" i="1"/>
  <c r="T131" i="13"/>
  <c r="T123" i="1"/>
  <c r="T123" i="13"/>
  <c r="T115" i="1"/>
  <c r="T115" i="13"/>
  <c r="T107" i="1"/>
  <c r="T107" i="13"/>
  <c r="T99" i="1"/>
  <c r="T99" i="13"/>
  <c r="T91" i="1"/>
  <c r="T91" i="13"/>
  <c r="T83" i="1"/>
  <c r="T83" i="13"/>
  <c r="T75" i="1"/>
  <c r="T75" i="13"/>
  <c r="T67" i="1"/>
  <c r="T67" i="13"/>
  <c r="T59" i="1"/>
  <c r="T59" i="13"/>
  <c r="T51" i="1"/>
  <c r="T51" i="13"/>
  <c r="T43" i="1"/>
  <c r="T43" i="13"/>
  <c r="T35" i="1"/>
  <c r="T35" i="13"/>
  <c r="T27" i="1"/>
  <c r="T27" i="13"/>
  <c r="U138" i="1"/>
  <c r="U138" i="13"/>
  <c r="U130" i="1"/>
  <c r="U130" i="13"/>
  <c r="U122" i="1"/>
  <c r="U122" i="13"/>
  <c r="U114" i="1"/>
  <c r="U114" i="13"/>
  <c r="U106" i="1"/>
  <c r="U106" i="13"/>
  <c r="U98" i="1"/>
  <c r="U98" i="13"/>
  <c r="U90" i="1"/>
  <c r="U90" i="13"/>
  <c r="U82" i="1"/>
  <c r="U82" i="13"/>
  <c r="U74" i="1"/>
  <c r="U74" i="13"/>
  <c r="U66" i="1"/>
  <c r="U66" i="13"/>
  <c r="U58" i="1"/>
  <c r="U58" i="13"/>
  <c r="U50" i="1"/>
  <c r="U50" i="13"/>
  <c r="U42" i="1"/>
  <c r="U42" i="13"/>
  <c r="U34" i="1"/>
  <c r="U34" i="13"/>
  <c r="U26" i="1"/>
  <c r="U26" i="13"/>
  <c r="V137" i="1"/>
  <c r="V137" i="13"/>
  <c r="V129" i="1"/>
  <c r="V129" i="13"/>
  <c r="V121" i="1"/>
  <c r="V121" i="13"/>
  <c r="V113" i="1"/>
  <c r="V113" i="13"/>
  <c r="V105" i="1"/>
  <c r="V105" i="13"/>
  <c r="V97" i="1"/>
  <c r="V97" i="13"/>
  <c r="V89" i="1"/>
  <c r="V89" i="13"/>
  <c r="V81" i="1"/>
  <c r="V81" i="13"/>
  <c r="V73" i="1"/>
  <c r="V73" i="13"/>
  <c r="V65" i="1"/>
  <c r="V65" i="13"/>
  <c r="V57" i="1"/>
  <c r="V57" i="13"/>
  <c r="V49" i="1"/>
  <c r="V49" i="13"/>
  <c r="V41" i="1"/>
  <c r="V41" i="13"/>
  <c r="V33" i="1"/>
  <c r="V33" i="13"/>
  <c r="V25" i="1"/>
  <c r="V25" i="13"/>
  <c r="U140" i="1"/>
  <c r="U140" i="13"/>
  <c r="R101" i="1"/>
  <c r="R101" i="13"/>
  <c r="R45" i="1"/>
  <c r="R45" i="13"/>
  <c r="S106" i="1"/>
  <c r="S106" i="13"/>
  <c r="S50" i="1"/>
  <c r="S50" i="13"/>
  <c r="T121" i="1"/>
  <c r="T121" i="13"/>
  <c r="T81" i="1"/>
  <c r="T81" i="13"/>
  <c r="T33" i="1"/>
  <c r="T33" i="13"/>
  <c r="U104" i="1"/>
  <c r="U104" i="13"/>
  <c r="U64" i="1"/>
  <c r="U64" i="13"/>
  <c r="U24" i="1"/>
  <c r="U24" i="13"/>
  <c r="V103" i="1"/>
  <c r="V103" i="13"/>
  <c r="V79" i="1"/>
  <c r="V79" i="13"/>
  <c r="V31" i="1"/>
  <c r="V31" i="13"/>
  <c r="R27" i="1"/>
  <c r="R27" i="13"/>
  <c r="R106" i="1"/>
  <c r="R106" i="13"/>
  <c r="R74" i="1"/>
  <c r="R74" i="13"/>
  <c r="R58" i="1"/>
  <c r="R58" i="13"/>
  <c r="S135" i="1"/>
  <c r="S135" i="13"/>
  <c r="S119" i="1"/>
  <c r="S119" i="13"/>
  <c r="S95" i="1"/>
  <c r="S95" i="13"/>
  <c r="S71" i="1"/>
  <c r="S71" i="13"/>
  <c r="S39" i="1"/>
  <c r="S39" i="13"/>
  <c r="S23" i="1"/>
  <c r="S23" i="13"/>
  <c r="T126" i="1"/>
  <c r="T126" i="13"/>
  <c r="T62" i="1"/>
  <c r="T62" i="13"/>
  <c r="R129" i="1"/>
  <c r="R129" i="13"/>
  <c r="R81" i="1"/>
  <c r="R81" i="13"/>
  <c r="S20" i="1"/>
  <c r="AP170" i="17"/>
  <c r="S20" i="13"/>
  <c r="R23" i="1"/>
  <c r="R23" i="13"/>
  <c r="R134" i="1"/>
  <c r="R134" i="13"/>
  <c r="R126" i="1"/>
  <c r="R126" i="13"/>
  <c r="R118" i="1"/>
  <c r="R118" i="13"/>
  <c r="R110" i="1"/>
  <c r="R110" i="13"/>
  <c r="R102" i="1"/>
  <c r="R102" i="13"/>
  <c r="R94" i="1"/>
  <c r="R94" i="13"/>
  <c r="R86" i="1"/>
  <c r="R86" i="13"/>
  <c r="R78" i="1"/>
  <c r="R78" i="13"/>
  <c r="R70" i="1"/>
  <c r="R70" i="13"/>
  <c r="R62" i="1"/>
  <c r="R62" i="13"/>
  <c r="R54" i="1"/>
  <c r="R54" i="13"/>
  <c r="R46" i="1"/>
  <c r="R46" i="13"/>
  <c r="R38" i="1"/>
  <c r="R38" i="13"/>
  <c r="S139" i="1"/>
  <c r="S139" i="13"/>
  <c r="S131" i="1"/>
  <c r="S131" i="13"/>
  <c r="S123" i="1"/>
  <c r="S123" i="13"/>
  <c r="S115" i="1"/>
  <c r="S115" i="13"/>
  <c r="S107" i="1"/>
  <c r="S107" i="13"/>
  <c r="S99" i="1"/>
  <c r="S99" i="13"/>
  <c r="S91" i="1"/>
  <c r="S91" i="13"/>
  <c r="S83" i="1"/>
  <c r="S83" i="13"/>
  <c r="S75" i="1"/>
  <c r="S75" i="13"/>
  <c r="S67" i="1"/>
  <c r="S67" i="13"/>
  <c r="S59" i="1"/>
  <c r="S59" i="13"/>
  <c r="S51" i="1"/>
  <c r="S51" i="13"/>
  <c r="S43" i="1"/>
  <c r="S43" i="13"/>
  <c r="S35" i="1"/>
  <c r="S35" i="13"/>
  <c r="S27" i="1"/>
  <c r="S27" i="13"/>
  <c r="T138" i="1"/>
  <c r="T138" i="13"/>
  <c r="T130" i="1"/>
  <c r="T130" i="13"/>
  <c r="T122" i="1"/>
  <c r="T122" i="13"/>
  <c r="T114" i="1"/>
  <c r="T114" i="13"/>
  <c r="T106" i="1"/>
  <c r="T106" i="13"/>
  <c r="T98" i="1"/>
  <c r="T98" i="13"/>
  <c r="T90" i="1"/>
  <c r="T90" i="13"/>
  <c r="T82" i="1"/>
  <c r="T82" i="13"/>
  <c r="T74" i="1"/>
  <c r="T74" i="13"/>
  <c r="T66" i="1"/>
  <c r="T66" i="13"/>
  <c r="T58" i="1"/>
  <c r="T58" i="13"/>
  <c r="T50" i="1"/>
  <c r="T50" i="13"/>
  <c r="T42" i="1"/>
  <c r="T42" i="13"/>
  <c r="T34" i="1"/>
  <c r="T34" i="13"/>
  <c r="T26" i="1"/>
  <c r="T26" i="13"/>
  <c r="U137" i="1"/>
  <c r="U137" i="13"/>
  <c r="U129" i="1"/>
  <c r="U129" i="13"/>
  <c r="U121" i="1"/>
  <c r="U121" i="13"/>
  <c r="U113" i="1"/>
  <c r="U113" i="13"/>
  <c r="U105" i="1"/>
  <c r="U105" i="13"/>
  <c r="U97" i="1"/>
  <c r="U97" i="13"/>
  <c r="U89" i="1"/>
  <c r="U89" i="13"/>
  <c r="U81" i="1"/>
  <c r="U81" i="13"/>
  <c r="U73" i="1"/>
  <c r="U73" i="13"/>
  <c r="U65" i="1"/>
  <c r="U65" i="13"/>
  <c r="U57" i="1"/>
  <c r="U57" i="13"/>
  <c r="U49" i="1"/>
  <c r="U49" i="13"/>
  <c r="U41" i="1"/>
  <c r="U41" i="13"/>
  <c r="U33" i="1"/>
  <c r="U33" i="13"/>
  <c r="U25" i="1"/>
  <c r="U25" i="13"/>
  <c r="V136" i="1"/>
  <c r="V136" i="13"/>
  <c r="V128" i="1"/>
  <c r="V128" i="13"/>
  <c r="V120" i="1"/>
  <c r="V120" i="13"/>
  <c r="V112" i="1"/>
  <c r="V112" i="13"/>
  <c r="V104" i="1"/>
  <c r="V104" i="13"/>
  <c r="V96" i="1"/>
  <c r="V96" i="13"/>
  <c r="V88" i="1"/>
  <c r="V88" i="13"/>
  <c r="V80" i="1"/>
  <c r="V80" i="13"/>
  <c r="V72" i="1"/>
  <c r="V72" i="13"/>
  <c r="V64" i="1"/>
  <c r="V64" i="13"/>
  <c r="V56" i="1"/>
  <c r="V56" i="13"/>
  <c r="V48" i="1"/>
  <c r="V48" i="13"/>
  <c r="V40" i="1"/>
  <c r="V40" i="13"/>
  <c r="V32" i="1"/>
  <c r="V32" i="13"/>
  <c r="V24" i="1"/>
  <c r="V24" i="13"/>
  <c r="V140" i="1"/>
  <c r="V140" i="13"/>
  <c r="I12" i="14"/>
  <c r="C17"/>
  <c r="AW139" i="17"/>
  <c r="AX139"/>
  <c r="AY139"/>
  <c r="BA139"/>
  <c r="AB139"/>
  <c r="AV139"/>
  <c r="AZ139"/>
  <c r="AB99"/>
  <c r="AY99"/>
  <c r="AZ99"/>
  <c r="BA99"/>
  <c r="AW99"/>
  <c r="AX99"/>
  <c r="AV99"/>
  <c r="AY43"/>
  <c r="AB43"/>
  <c r="AZ43"/>
  <c r="BA43"/>
  <c r="AW43"/>
  <c r="AX43"/>
  <c r="AV43"/>
  <c r="AB163"/>
  <c r="AW163"/>
  <c r="AY163"/>
  <c r="AX163"/>
  <c r="BA163"/>
  <c r="AV163"/>
  <c r="AZ163"/>
  <c r="AB132"/>
  <c r="AY132"/>
  <c r="AZ132"/>
  <c r="BA132"/>
  <c r="AW132"/>
  <c r="AV132"/>
  <c r="AX132"/>
  <c r="AB124"/>
  <c r="AY124"/>
  <c r="AZ124"/>
  <c r="BA124"/>
  <c r="AW124"/>
  <c r="AV124"/>
  <c r="AX124"/>
  <c r="AB116"/>
  <c r="AY116"/>
  <c r="AZ116"/>
  <c r="BA116"/>
  <c r="AW116"/>
  <c r="AX116"/>
  <c r="AV116"/>
  <c r="AB108"/>
  <c r="BA108"/>
  <c r="AW108"/>
  <c r="AY108"/>
  <c r="AX108"/>
  <c r="AZ108"/>
  <c r="AV108"/>
  <c r="AB100"/>
  <c r="BA100"/>
  <c r="AW100"/>
  <c r="AY100"/>
  <c r="AX100"/>
  <c r="AV100"/>
  <c r="AZ100"/>
  <c r="AB92"/>
  <c r="BA92"/>
  <c r="AW92"/>
  <c r="AY92"/>
  <c r="AX92"/>
  <c r="AV92"/>
  <c r="AZ92"/>
  <c r="AB84"/>
  <c r="BA84"/>
  <c r="AW84"/>
  <c r="AY84"/>
  <c r="AV84"/>
  <c r="AX84"/>
  <c r="AZ84"/>
  <c r="AB76"/>
  <c r="BA76"/>
  <c r="AW76"/>
  <c r="AY76"/>
  <c r="AX76"/>
  <c r="AZ76"/>
  <c r="AV76"/>
  <c r="AB68"/>
  <c r="BA68"/>
  <c r="AW68"/>
  <c r="AY68"/>
  <c r="AX68"/>
  <c r="AV68"/>
  <c r="AZ68"/>
  <c r="AB60"/>
  <c r="BA60"/>
  <c r="AW60"/>
  <c r="AY60"/>
  <c r="AX60"/>
  <c r="AV60"/>
  <c r="AZ60"/>
  <c r="AB52"/>
  <c r="BA52"/>
  <c r="AW52"/>
  <c r="AY52"/>
  <c r="AV52"/>
  <c r="AX52"/>
  <c r="AZ52"/>
  <c r="AB44"/>
  <c r="BA44"/>
  <c r="AW44"/>
  <c r="AY44"/>
  <c r="AX44"/>
  <c r="AZ44"/>
  <c r="AV44"/>
  <c r="AB36"/>
  <c r="BA36"/>
  <c r="AW36"/>
  <c r="AY36"/>
  <c r="AX36"/>
  <c r="AZ36"/>
  <c r="AV36"/>
  <c r="AB28"/>
  <c r="BA28"/>
  <c r="AW28"/>
  <c r="AY28"/>
  <c r="AX28"/>
  <c r="AV28"/>
  <c r="AZ28"/>
  <c r="AB164"/>
  <c r="AY164"/>
  <c r="AZ164"/>
  <c r="AV164"/>
  <c r="AW164"/>
  <c r="AX164"/>
  <c r="BA164"/>
  <c r="AB156"/>
  <c r="AY156"/>
  <c r="AZ156"/>
  <c r="BA156"/>
  <c r="AW156"/>
  <c r="AV156"/>
  <c r="AX156"/>
  <c r="AB148"/>
  <c r="AY148"/>
  <c r="BA148"/>
  <c r="AZ148"/>
  <c r="AW148"/>
  <c r="AX148"/>
  <c r="AV148"/>
  <c r="AB140"/>
  <c r="AY140"/>
  <c r="AZ140"/>
  <c r="BA140"/>
  <c r="AW140"/>
  <c r="AV140"/>
  <c r="AX140"/>
  <c r="AY107"/>
  <c r="AB107"/>
  <c r="AZ107"/>
  <c r="BA107"/>
  <c r="AW107"/>
  <c r="AX107"/>
  <c r="AV107"/>
  <c r="AY51"/>
  <c r="AZ51"/>
  <c r="AB51"/>
  <c r="BA51"/>
  <c r="AW51"/>
  <c r="AX51"/>
  <c r="AV51"/>
  <c r="AB138"/>
  <c r="AV138"/>
  <c r="AW138"/>
  <c r="AY138"/>
  <c r="BA138"/>
  <c r="AX138"/>
  <c r="AZ138"/>
  <c r="AB130"/>
  <c r="AV130"/>
  <c r="AW130"/>
  <c r="AY130"/>
  <c r="BA130"/>
  <c r="AX130"/>
  <c r="AZ130"/>
  <c r="AB122"/>
  <c r="AV122"/>
  <c r="AW122"/>
  <c r="AY122"/>
  <c r="BA122"/>
  <c r="AX122"/>
  <c r="AZ122"/>
  <c r="AB114"/>
  <c r="AV114"/>
  <c r="AW114"/>
  <c r="AY114"/>
  <c r="BA114"/>
  <c r="AX114"/>
  <c r="AZ114"/>
  <c r="AW106"/>
  <c r="AX106"/>
  <c r="AB106"/>
  <c r="AY106"/>
  <c r="BA106"/>
  <c r="AZ106"/>
  <c r="AV106"/>
  <c r="AW98"/>
  <c r="AB98"/>
  <c r="AX98"/>
  <c r="AY98"/>
  <c r="BA98"/>
  <c r="AV98"/>
  <c r="AZ98"/>
  <c r="AB90"/>
  <c r="AW90"/>
  <c r="AX90"/>
  <c r="AY90"/>
  <c r="BA90"/>
  <c r="AZ90"/>
  <c r="AV90"/>
  <c r="AW82"/>
  <c r="AX82"/>
  <c r="AY82"/>
  <c r="BA82"/>
  <c r="AB82"/>
  <c r="AZ82"/>
  <c r="AV82"/>
  <c r="AW74"/>
  <c r="AX74"/>
  <c r="AY74"/>
  <c r="BA74"/>
  <c r="AB74"/>
  <c r="AZ74"/>
  <c r="AV74"/>
  <c r="AW66"/>
  <c r="AX66"/>
  <c r="AY66"/>
  <c r="BA66"/>
  <c r="AB66"/>
  <c r="AV66"/>
  <c r="AZ66"/>
  <c r="AW58"/>
  <c r="AX58"/>
  <c r="AY58"/>
  <c r="AB58"/>
  <c r="BA58"/>
  <c r="AZ58"/>
  <c r="AV58"/>
  <c r="AW50"/>
  <c r="AX50"/>
  <c r="AY50"/>
  <c r="BA50"/>
  <c r="AB50"/>
  <c r="AZ50"/>
  <c r="AV50"/>
  <c r="AW42"/>
  <c r="AX42"/>
  <c r="AB42"/>
  <c r="AY42"/>
  <c r="BA42"/>
  <c r="AZ42"/>
  <c r="AV42"/>
  <c r="AW34"/>
  <c r="AB34"/>
  <c r="AX34"/>
  <c r="AY34"/>
  <c r="BA34"/>
  <c r="AV34"/>
  <c r="AZ34"/>
  <c r="AB26"/>
  <c r="AW26"/>
  <c r="AX26"/>
  <c r="AY26"/>
  <c r="BA26"/>
  <c r="AZ26"/>
  <c r="AV26"/>
  <c r="AB162"/>
  <c r="AV162"/>
  <c r="AW162"/>
  <c r="AY162"/>
  <c r="BA162"/>
  <c r="AZ162"/>
  <c r="AX162"/>
  <c r="AB154"/>
  <c r="AW154"/>
  <c r="AV154"/>
  <c r="AY154"/>
  <c r="BA154"/>
  <c r="AX154"/>
  <c r="AZ154"/>
  <c r="AB146"/>
  <c r="AV146"/>
  <c r="AW146"/>
  <c r="AY146"/>
  <c r="BA146"/>
  <c r="AZ146"/>
  <c r="AX146"/>
  <c r="AB131"/>
  <c r="AW131"/>
  <c r="AX131"/>
  <c r="AY131"/>
  <c r="BA131"/>
  <c r="AV131"/>
  <c r="AZ131"/>
  <c r="AY83"/>
  <c r="AZ83"/>
  <c r="BA83"/>
  <c r="AB83"/>
  <c r="AW83"/>
  <c r="AX83"/>
  <c r="AV83"/>
  <c r="AB35"/>
  <c r="AY35"/>
  <c r="AZ35"/>
  <c r="BA35"/>
  <c r="AW35"/>
  <c r="AX35"/>
  <c r="AV35"/>
  <c r="AB147"/>
  <c r="AW147"/>
  <c r="AX147"/>
  <c r="AY147"/>
  <c r="BA147"/>
  <c r="AV147"/>
  <c r="AZ147"/>
  <c r="AB137"/>
  <c r="BA137"/>
  <c r="AW137"/>
  <c r="AY137"/>
  <c r="AV137"/>
  <c r="AZ137"/>
  <c r="AX137"/>
  <c r="AB129"/>
  <c r="BA129"/>
  <c r="AW129"/>
  <c r="AY129"/>
  <c r="AX129"/>
  <c r="AZ129"/>
  <c r="AV129"/>
  <c r="BA121"/>
  <c r="AW121"/>
  <c r="AY121"/>
  <c r="AZ121"/>
  <c r="AB121"/>
  <c r="AV121"/>
  <c r="AX121"/>
  <c r="AB113"/>
  <c r="BA113"/>
  <c r="AW113"/>
  <c r="AY113"/>
  <c r="AV113"/>
  <c r="AX113"/>
  <c r="AZ113"/>
  <c r="AV105"/>
  <c r="AW105"/>
  <c r="AY105"/>
  <c r="BA105"/>
  <c r="AX105"/>
  <c r="AZ105"/>
  <c r="AB105"/>
  <c r="AV97"/>
  <c r="AB97"/>
  <c r="AW97"/>
  <c r="AY97"/>
  <c r="BA97"/>
  <c r="AZ97"/>
  <c r="AX97"/>
  <c r="AB89"/>
  <c r="AV89"/>
  <c r="AW89"/>
  <c r="AY89"/>
  <c r="BA89"/>
  <c r="AZ89"/>
  <c r="AX89"/>
  <c r="AB81"/>
  <c r="AV81"/>
  <c r="AW81"/>
  <c r="AY81"/>
  <c r="BA81"/>
  <c r="AZ81"/>
  <c r="AX81"/>
  <c r="AV73"/>
  <c r="AW73"/>
  <c r="AY73"/>
  <c r="BA73"/>
  <c r="AX73"/>
  <c r="AZ73"/>
  <c r="AB73"/>
  <c r="AV65"/>
  <c r="AW65"/>
  <c r="AY65"/>
  <c r="AB65"/>
  <c r="BA65"/>
  <c r="AZ65"/>
  <c r="AX65"/>
  <c r="AV57"/>
  <c r="AW57"/>
  <c r="AY57"/>
  <c r="BA57"/>
  <c r="AB57"/>
  <c r="AZ57"/>
  <c r="AX57"/>
  <c r="AV49"/>
  <c r="AW49"/>
  <c r="AB49"/>
  <c r="AY49"/>
  <c r="BA49"/>
  <c r="AZ49"/>
  <c r="AX49"/>
  <c r="AV41"/>
  <c r="AW41"/>
  <c r="AY41"/>
  <c r="BA41"/>
  <c r="AB41"/>
  <c r="AX41"/>
  <c r="AZ41"/>
  <c r="AV33"/>
  <c r="AB33"/>
  <c r="AW33"/>
  <c r="AY33"/>
  <c r="BA33"/>
  <c r="AZ33"/>
  <c r="AX33"/>
  <c r="AB25"/>
  <c r="AV25"/>
  <c r="AW25"/>
  <c r="AY25"/>
  <c r="BA25"/>
  <c r="AZ25"/>
  <c r="AX25"/>
  <c r="AB169"/>
  <c r="BA169"/>
  <c r="AW169"/>
  <c r="AY169"/>
  <c r="AZ169"/>
  <c r="AX169"/>
  <c r="AV169"/>
  <c r="BA161"/>
  <c r="AW161"/>
  <c r="AX161"/>
  <c r="AV161"/>
  <c r="AB161"/>
  <c r="AY161"/>
  <c r="AZ161"/>
  <c r="BA153"/>
  <c r="AW153"/>
  <c r="AB153"/>
  <c r="AY153"/>
  <c r="AX153"/>
  <c r="AV153"/>
  <c r="AZ153"/>
  <c r="AB145"/>
  <c r="BA145"/>
  <c r="AW145"/>
  <c r="AY145"/>
  <c r="AV145"/>
  <c r="AX145"/>
  <c r="AZ145"/>
  <c r="AY91"/>
  <c r="AZ91"/>
  <c r="BA91"/>
  <c r="AW91"/>
  <c r="AB91"/>
  <c r="AV91"/>
  <c r="AX91"/>
  <c r="AB155"/>
  <c r="AW155"/>
  <c r="AX155"/>
  <c r="AY155"/>
  <c r="BA155"/>
  <c r="AZ155"/>
  <c r="AV155"/>
  <c r="AB136"/>
  <c r="AY136"/>
  <c r="AZ136"/>
  <c r="BA136"/>
  <c r="AW136"/>
  <c r="AX136"/>
  <c r="AV136"/>
  <c r="AB128"/>
  <c r="AY128"/>
  <c r="AZ128"/>
  <c r="BA128"/>
  <c r="AW128"/>
  <c r="AX128"/>
  <c r="AV128"/>
  <c r="AB120"/>
  <c r="AY120"/>
  <c r="AZ120"/>
  <c r="BA120"/>
  <c r="AW120"/>
  <c r="AV120"/>
  <c r="AX120"/>
  <c r="BA112"/>
  <c r="AW112"/>
  <c r="AY112"/>
  <c r="AV112"/>
  <c r="AX112"/>
  <c r="AB112"/>
  <c r="AZ112"/>
  <c r="BA104"/>
  <c r="AB104"/>
  <c r="AW104"/>
  <c r="AY104"/>
  <c r="AZ104"/>
  <c r="AV104"/>
  <c r="AX104"/>
  <c r="BA96"/>
  <c r="AW96"/>
  <c r="AY96"/>
  <c r="AV96"/>
  <c r="AZ96"/>
  <c r="AB96"/>
  <c r="AX96"/>
  <c r="BA88"/>
  <c r="AB88"/>
  <c r="AW88"/>
  <c r="AY88"/>
  <c r="AV88"/>
  <c r="AZ88"/>
  <c r="AX88"/>
  <c r="BA80"/>
  <c r="AB80"/>
  <c r="AW80"/>
  <c r="AY80"/>
  <c r="AV80"/>
  <c r="AX80"/>
  <c r="AZ80"/>
  <c r="AB72"/>
  <c r="BA72"/>
  <c r="AW72"/>
  <c r="AY72"/>
  <c r="AZ72"/>
  <c r="AV72"/>
  <c r="AX72"/>
  <c r="BA64"/>
  <c r="AW64"/>
  <c r="AY64"/>
  <c r="AB64"/>
  <c r="AV64"/>
  <c r="AZ64"/>
  <c r="AX64"/>
  <c r="BA56"/>
  <c r="AW56"/>
  <c r="AB56"/>
  <c r="AY56"/>
  <c r="AV56"/>
  <c r="AZ56"/>
  <c r="AX56"/>
  <c r="BA48"/>
  <c r="AW48"/>
  <c r="AY48"/>
  <c r="AV48"/>
  <c r="AX48"/>
  <c r="AZ48"/>
  <c r="AB48"/>
  <c r="BA40"/>
  <c r="AB40"/>
  <c r="AW40"/>
  <c r="AY40"/>
  <c r="AZ40"/>
  <c r="AV40"/>
  <c r="AX40"/>
  <c r="BA32"/>
  <c r="AW32"/>
  <c r="AY32"/>
  <c r="AB32"/>
  <c r="AV32"/>
  <c r="AZ32"/>
  <c r="AX32"/>
  <c r="BA24"/>
  <c r="AB24"/>
  <c r="AW24"/>
  <c r="AY24"/>
  <c r="AV24"/>
  <c r="AZ24"/>
  <c r="AX24"/>
  <c r="AB168"/>
  <c r="AY168"/>
  <c r="AZ168"/>
  <c r="AW168"/>
  <c r="BA168"/>
  <c r="AV168"/>
  <c r="AX168"/>
  <c r="AY160"/>
  <c r="AZ160"/>
  <c r="BA160"/>
  <c r="AB160"/>
  <c r="AW160"/>
  <c r="AX160"/>
  <c r="AV160"/>
  <c r="AB152"/>
  <c r="AY152"/>
  <c r="AZ152"/>
  <c r="BA152"/>
  <c r="AW152"/>
  <c r="AV152"/>
  <c r="AX152"/>
  <c r="AY144"/>
  <c r="AZ144"/>
  <c r="BA144"/>
  <c r="AW144"/>
  <c r="AB144"/>
  <c r="AV144"/>
  <c r="AX144"/>
  <c r="AY67"/>
  <c r="AZ67"/>
  <c r="BA67"/>
  <c r="AB67"/>
  <c r="AW67"/>
  <c r="AX67"/>
  <c r="AV67"/>
  <c r="AW135"/>
  <c r="AX135"/>
  <c r="AY135"/>
  <c r="BA135"/>
  <c r="AB135"/>
  <c r="AZ135"/>
  <c r="AV135"/>
  <c r="AB127"/>
  <c r="AW127"/>
  <c r="AX127"/>
  <c r="AY127"/>
  <c r="BA127"/>
  <c r="AV127"/>
  <c r="AZ127"/>
  <c r="AB119"/>
  <c r="AW119"/>
  <c r="AX119"/>
  <c r="AY119"/>
  <c r="BA119"/>
  <c r="AV119"/>
  <c r="AZ119"/>
  <c r="AY111"/>
  <c r="AZ111"/>
  <c r="BA111"/>
  <c r="AB111"/>
  <c r="AW111"/>
  <c r="AV111"/>
  <c r="AX111"/>
  <c r="AY103"/>
  <c r="AZ103"/>
  <c r="BA103"/>
  <c r="AW103"/>
  <c r="AV103"/>
  <c r="AB103"/>
  <c r="AX103"/>
  <c r="AY95"/>
  <c r="AZ95"/>
  <c r="BA95"/>
  <c r="AB95"/>
  <c r="AW95"/>
  <c r="AV95"/>
  <c r="AX95"/>
  <c r="AY87"/>
  <c r="AZ87"/>
  <c r="BA87"/>
  <c r="AW87"/>
  <c r="AV87"/>
  <c r="AX87"/>
  <c r="AB87"/>
  <c r="AY79"/>
  <c r="AZ79"/>
  <c r="AB79"/>
  <c r="BA79"/>
  <c r="AW79"/>
  <c r="AV79"/>
  <c r="AX79"/>
  <c r="AY71"/>
  <c r="AB71"/>
  <c r="AZ71"/>
  <c r="BA71"/>
  <c r="AW71"/>
  <c r="AV71"/>
  <c r="AX71"/>
  <c r="AB63"/>
  <c r="AY63"/>
  <c r="AZ63"/>
  <c r="BA63"/>
  <c r="AW63"/>
  <c r="AV63"/>
  <c r="AX63"/>
  <c r="AY55"/>
  <c r="AZ55"/>
  <c r="BA55"/>
  <c r="AW55"/>
  <c r="AV55"/>
  <c r="AX55"/>
  <c r="AB55"/>
  <c r="AY47"/>
  <c r="AZ47"/>
  <c r="BA47"/>
  <c r="AB47"/>
  <c r="AW47"/>
  <c r="AV47"/>
  <c r="AX47"/>
  <c r="AY39"/>
  <c r="AZ39"/>
  <c r="BA39"/>
  <c r="AW39"/>
  <c r="AB39"/>
  <c r="AV39"/>
  <c r="AX39"/>
  <c r="AY31"/>
  <c r="AZ31"/>
  <c r="BA31"/>
  <c r="AB31"/>
  <c r="AW31"/>
  <c r="AV31"/>
  <c r="AX31"/>
  <c r="AY23"/>
  <c r="AZ23"/>
  <c r="BA23"/>
  <c r="AW23"/>
  <c r="AV23"/>
  <c r="AX23"/>
  <c r="AB23"/>
  <c r="AB167"/>
  <c r="AW167"/>
  <c r="AX167"/>
  <c r="BA167"/>
  <c r="AY167"/>
  <c r="AZ167"/>
  <c r="AV167"/>
  <c r="AB159"/>
  <c r="AW159"/>
  <c r="AY159"/>
  <c r="AX159"/>
  <c r="BA159"/>
  <c r="AZ159"/>
  <c r="AV159"/>
  <c r="AW151"/>
  <c r="AB151"/>
  <c r="AX151"/>
  <c r="AY151"/>
  <c r="BA151"/>
  <c r="AV151"/>
  <c r="AZ151"/>
  <c r="AB143"/>
  <c r="AW143"/>
  <c r="AX143"/>
  <c r="AY143"/>
  <c r="BA143"/>
  <c r="AZ143"/>
  <c r="AV143"/>
  <c r="AW123"/>
  <c r="AX123"/>
  <c r="AY123"/>
  <c r="AB123"/>
  <c r="BA123"/>
  <c r="AZ123"/>
  <c r="AV123"/>
  <c r="AY75"/>
  <c r="AZ75"/>
  <c r="BA75"/>
  <c r="AW75"/>
  <c r="AB75"/>
  <c r="AX75"/>
  <c r="AV75"/>
  <c r="AY27"/>
  <c r="AZ27"/>
  <c r="BA27"/>
  <c r="AW27"/>
  <c r="AV27"/>
  <c r="AX27"/>
  <c r="AB27"/>
  <c r="AB134"/>
  <c r="AV134"/>
  <c r="AW134"/>
  <c r="AY134"/>
  <c r="BA134"/>
  <c r="AX134"/>
  <c r="AZ134"/>
  <c r="AB126"/>
  <c r="AV126"/>
  <c r="AW126"/>
  <c r="AY126"/>
  <c r="BA126"/>
  <c r="AX126"/>
  <c r="AZ126"/>
  <c r="AB118"/>
  <c r="AV118"/>
  <c r="AW118"/>
  <c r="AY118"/>
  <c r="BA118"/>
  <c r="AZ118"/>
  <c r="AX118"/>
  <c r="AW110"/>
  <c r="AX110"/>
  <c r="AY110"/>
  <c r="BA110"/>
  <c r="AV110"/>
  <c r="AB110"/>
  <c r="AZ110"/>
  <c r="AW102"/>
  <c r="AX102"/>
  <c r="AY102"/>
  <c r="BA102"/>
  <c r="AB102"/>
  <c r="AV102"/>
  <c r="AZ102"/>
  <c r="AW94"/>
  <c r="AX94"/>
  <c r="AY94"/>
  <c r="BA94"/>
  <c r="AB94"/>
  <c r="AV94"/>
  <c r="AZ94"/>
  <c r="AW86"/>
  <c r="AX86"/>
  <c r="AY86"/>
  <c r="AB86"/>
  <c r="BA86"/>
  <c r="AV86"/>
  <c r="AZ86"/>
  <c r="AW78"/>
  <c r="AX78"/>
  <c r="AY78"/>
  <c r="BA78"/>
  <c r="AV78"/>
  <c r="AB78"/>
  <c r="AZ78"/>
  <c r="AW70"/>
  <c r="AX70"/>
  <c r="AB70"/>
  <c r="AY70"/>
  <c r="BA70"/>
  <c r="AV70"/>
  <c r="AZ70"/>
  <c r="AW62"/>
  <c r="AB62"/>
  <c r="AX62"/>
  <c r="AY62"/>
  <c r="BA62"/>
  <c r="AV62"/>
  <c r="AZ62"/>
  <c r="AB54"/>
  <c r="AW54"/>
  <c r="AX54"/>
  <c r="AY54"/>
  <c r="BA54"/>
  <c r="AV54"/>
  <c r="AZ54"/>
  <c r="AW46"/>
  <c r="AX46"/>
  <c r="AY46"/>
  <c r="BA46"/>
  <c r="AB46"/>
  <c r="AV46"/>
  <c r="AZ46"/>
  <c r="AW38"/>
  <c r="AX38"/>
  <c r="AY38"/>
  <c r="BA38"/>
  <c r="AB38"/>
  <c r="AV38"/>
  <c r="AZ38"/>
  <c r="AW30"/>
  <c r="AX30"/>
  <c r="AY30"/>
  <c r="BA30"/>
  <c r="AV30"/>
  <c r="AZ30"/>
  <c r="AB30"/>
  <c r="AW22"/>
  <c r="AX22"/>
  <c r="AY22"/>
  <c r="AB22"/>
  <c r="BA22"/>
  <c r="AV22"/>
  <c r="AZ22"/>
  <c r="AB166"/>
  <c r="AV166"/>
  <c r="AY166"/>
  <c r="BA166"/>
  <c r="AW166"/>
  <c r="AX166"/>
  <c r="AZ166"/>
  <c r="AB158"/>
  <c r="AV158"/>
  <c r="AW158"/>
  <c r="AY158"/>
  <c r="AX158"/>
  <c r="AZ158"/>
  <c r="BA158"/>
  <c r="AB150"/>
  <c r="AV150"/>
  <c r="AW150"/>
  <c r="AY150"/>
  <c r="BA150"/>
  <c r="AZ150"/>
  <c r="AX150"/>
  <c r="AW142"/>
  <c r="AV142"/>
  <c r="AB142"/>
  <c r="AY142"/>
  <c r="BA142"/>
  <c r="AX142"/>
  <c r="AZ142"/>
  <c r="AB115"/>
  <c r="AW115"/>
  <c r="AX115"/>
  <c r="AY115"/>
  <c r="BA115"/>
  <c r="AV115"/>
  <c r="AZ115"/>
  <c r="AY59"/>
  <c r="AZ59"/>
  <c r="BA59"/>
  <c r="AW59"/>
  <c r="AV59"/>
  <c r="AX59"/>
  <c r="AB59"/>
  <c r="BA133"/>
  <c r="AW133"/>
  <c r="AY133"/>
  <c r="AV133"/>
  <c r="AX133"/>
  <c r="AB133"/>
  <c r="AZ133"/>
  <c r="AB125"/>
  <c r="BA125"/>
  <c r="AW125"/>
  <c r="AY125"/>
  <c r="AZ125"/>
  <c r="AV125"/>
  <c r="AX125"/>
  <c r="BA117"/>
  <c r="AB117"/>
  <c r="AW117"/>
  <c r="AY117"/>
  <c r="AV117"/>
  <c r="AX117"/>
  <c r="AZ117"/>
  <c r="AB109"/>
  <c r="AV109"/>
  <c r="AW109"/>
  <c r="AY109"/>
  <c r="BA109"/>
  <c r="AX109"/>
  <c r="AZ109"/>
  <c r="AV101"/>
  <c r="AW101"/>
  <c r="AY101"/>
  <c r="BA101"/>
  <c r="AX101"/>
  <c r="AZ101"/>
  <c r="AB101"/>
  <c r="AV93"/>
  <c r="AW93"/>
  <c r="AY93"/>
  <c r="AB93"/>
  <c r="BA93"/>
  <c r="AX93"/>
  <c r="AZ93"/>
  <c r="AV85"/>
  <c r="AW85"/>
  <c r="AY85"/>
  <c r="BA85"/>
  <c r="AX85"/>
  <c r="AB85"/>
  <c r="AZ85"/>
  <c r="AV77"/>
  <c r="AW77"/>
  <c r="AB77"/>
  <c r="AY77"/>
  <c r="BA77"/>
  <c r="AX77"/>
  <c r="AZ77"/>
  <c r="AV69"/>
  <c r="AW69"/>
  <c r="AY69"/>
  <c r="BA69"/>
  <c r="AB69"/>
  <c r="AX69"/>
  <c r="AZ69"/>
  <c r="AV61"/>
  <c r="AB61"/>
  <c r="AW61"/>
  <c r="AY61"/>
  <c r="BA61"/>
  <c r="AX61"/>
  <c r="AZ61"/>
  <c r="AB53"/>
  <c r="AV53"/>
  <c r="AW53"/>
  <c r="AY53"/>
  <c r="BA53"/>
  <c r="AX53"/>
  <c r="AZ53"/>
  <c r="AB45"/>
  <c r="AV45"/>
  <c r="AW45"/>
  <c r="AY45"/>
  <c r="BA45"/>
  <c r="AX45"/>
  <c r="AZ45"/>
  <c r="AV37"/>
  <c r="AW37"/>
  <c r="AY37"/>
  <c r="BA37"/>
  <c r="AX37"/>
  <c r="AZ37"/>
  <c r="AB37"/>
  <c r="AV29"/>
  <c r="AW29"/>
  <c r="AY29"/>
  <c r="AB29"/>
  <c r="BA29"/>
  <c r="AX29"/>
  <c r="AZ29"/>
  <c r="AV21"/>
  <c r="AW21"/>
  <c r="AY21"/>
  <c r="BA21"/>
  <c r="AB21"/>
  <c r="AX21"/>
  <c r="AZ21"/>
  <c r="AB165"/>
  <c r="BA165"/>
  <c r="AW165"/>
  <c r="AX165"/>
  <c r="AY165"/>
  <c r="AZ165"/>
  <c r="AV165"/>
  <c r="AB157"/>
  <c r="BA157"/>
  <c r="AW157"/>
  <c r="AX157"/>
  <c r="AY157"/>
  <c r="AZ157"/>
  <c r="AV157"/>
  <c r="BA149"/>
  <c r="AB149"/>
  <c r="AW149"/>
  <c r="AY149"/>
  <c r="AZ149"/>
  <c r="AV149"/>
  <c r="AX149"/>
  <c r="AB141"/>
  <c r="BA141"/>
  <c r="AW141"/>
  <c r="AY141"/>
  <c r="AX141"/>
  <c r="AV141"/>
  <c r="AZ141"/>
  <c r="AB20"/>
  <c r="BA20"/>
  <c r="AX20"/>
  <c r="AY20"/>
  <c r="AZ20"/>
  <c r="AW20"/>
  <c r="AV20"/>
  <c r="A17" i="14"/>
  <c r="I10"/>
  <c r="I10" i="13"/>
  <c r="G208" i="6"/>
  <c r="I13" i="13"/>
  <c r="M182"/>
  <c r="K210" s="1"/>
  <c r="I13" i="14"/>
  <c r="G173" i="6"/>
  <c r="G207"/>
  <c r="I9"/>
  <c r="I13"/>
  <c r="D175"/>
  <c r="I11"/>
  <c r="E173"/>
  <c r="I10"/>
  <c r="I12"/>
  <c r="G182" i="14"/>
  <c r="F192" s="1"/>
  <c r="I9" i="13"/>
  <c r="I9" i="14"/>
  <c r="I11"/>
  <c r="I11" i="13"/>
  <c r="O175" i="17"/>
  <c r="K177"/>
  <c r="K179"/>
  <c r="K178"/>
  <c r="J176"/>
  <c r="J179"/>
  <c r="H178"/>
  <c r="F176"/>
  <c r="D177"/>
  <c r="D176"/>
  <c r="D179"/>
  <c r="I175"/>
  <c r="I177"/>
  <c r="M177"/>
  <c r="F178"/>
  <c r="N176"/>
  <c r="H175"/>
  <c r="H177"/>
  <c r="L175"/>
  <c r="F179"/>
  <c r="E177"/>
  <c r="E178"/>
  <c r="E185" i="14"/>
  <c r="E186"/>
  <c r="E187"/>
  <c r="E188"/>
  <c r="E184"/>
  <c r="Y180"/>
  <c r="X180"/>
  <c r="U180"/>
  <c r="T180"/>
  <c r="S180"/>
  <c r="R180"/>
  <c r="Q180"/>
  <c r="P180"/>
  <c r="O180"/>
  <c r="N180"/>
  <c r="AB179"/>
  <c r="Z179"/>
  <c r="Y179"/>
  <c r="X179"/>
  <c r="W179"/>
  <c r="V179"/>
  <c r="S179"/>
  <c r="R179"/>
  <c r="Q179"/>
  <c r="P179"/>
  <c r="O179"/>
  <c r="N179"/>
  <c r="AB178"/>
  <c r="AA178"/>
  <c r="X178"/>
  <c r="W178"/>
  <c r="V178"/>
  <c r="U178"/>
  <c r="T178"/>
  <c r="Q178"/>
  <c r="P178"/>
  <c r="O178"/>
  <c r="N178"/>
  <c r="AB177"/>
  <c r="AA177"/>
  <c r="Z177"/>
  <c r="W177"/>
  <c r="V177"/>
  <c r="U177"/>
  <c r="T177"/>
  <c r="S177"/>
  <c r="R177"/>
  <c r="O177"/>
  <c r="N177"/>
  <c r="AA176"/>
  <c r="Z176"/>
  <c r="Y176"/>
  <c r="W176"/>
  <c r="V176"/>
  <c r="U176"/>
  <c r="T176"/>
  <c r="S176"/>
  <c r="R176"/>
  <c r="Q176"/>
  <c r="P176"/>
  <c r="K20" i="6" l="1"/>
  <c r="K28"/>
  <c r="K36"/>
  <c r="K44"/>
  <c r="K52"/>
  <c r="K60"/>
  <c r="K68"/>
  <c r="K76"/>
  <c r="K84"/>
  <c r="K92"/>
  <c r="K100"/>
  <c r="K108"/>
  <c r="K116"/>
  <c r="K124"/>
  <c r="K132"/>
  <c r="K140"/>
  <c r="K148"/>
  <c r="K156"/>
  <c r="K164"/>
  <c r="G20"/>
  <c r="G28"/>
  <c r="G36"/>
  <c r="G44"/>
  <c r="G52"/>
  <c r="G60"/>
  <c r="G68"/>
  <c r="G76"/>
  <c r="G84"/>
  <c r="G92"/>
  <c r="G100"/>
  <c r="G108"/>
  <c r="G116"/>
  <c r="G124"/>
  <c r="G132"/>
  <c r="G140"/>
  <c r="G148"/>
  <c r="G156"/>
  <c r="G164"/>
  <c r="K43"/>
  <c r="K147"/>
  <c r="G67"/>
  <c r="G123"/>
  <c r="K21"/>
  <c r="K29"/>
  <c r="K37"/>
  <c r="K45"/>
  <c r="K53"/>
  <c r="K61"/>
  <c r="K69"/>
  <c r="K77"/>
  <c r="K85"/>
  <c r="K93"/>
  <c r="K101"/>
  <c r="K109"/>
  <c r="K117"/>
  <c r="K125"/>
  <c r="K133"/>
  <c r="K141"/>
  <c r="K149"/>
  <c r="K157"/>
  <c r="K165"/>
  <c r="G21"/>
  <c r="G29"/>
  <c r="G37"/>
  <c r="G45"/>
  <c r="G53"/>
  <c r="G61"/>
  <c r="G69"/>
  <c r="G77"/>
  <c r="G85"/>
  <c r="G93"/>
  <c r="G101"/>
  <c r="G109"/>
  <c r="G117"/>
  <c r="G125"/>
  <c r="G133"/>
  <c r="G141"/>
  <c r="G149"/>
  <c r="G157"/>
  <c r="G165"/>
  <c r="K67"/>
  <c r="G19"/>
  <c r="G99"/>
  <c r="G163"/>
  <c r="K22"/>
  <c r="K30"/>
  <c r="K38"/>
  <c r="K46"/>
  <c r="K54"/>
  <c r="K62"/>
  <c r="K70"/>
  <c r="K78"/>
  <c r="K86"/>
  <c r="K94"/>
  <c r="K102"/>
  <c r="K110"/>
  <c r="K118"/>
  <c r="K126"/>
  <c r="K134"/>
  <c r="K142"/>
  <c r="K150"/>
  <c r="K158"/>
  <c r="K166"/>
  <c r="G22"/>
  <c r="G30"/>
  <c r="G38"/>
  <c r="G46"/>
  <c r="G54"/>
  <c r="G62"/>
  <c r="G70"/>
  <c r="G78"/>
  <c r="G86"/>
  <c r="G94"/>
  <c r="G102"/>
  <c r="G110"/>
  <c r="G118"/>
  <c r="G126"/>
  <c r="G134"/>
  <c r="G142"/>
  <c r="G150"/>
  <c r="G158"/>
  <c r="G166"/>
  <c r="K19"/>
  <c r="K91"/>
  <c r="K115"/>
  <c r="K131"/>
  <c r="K163"/>
  <c r="G51"/>
  <c r="G83"/>
  <c r="G131"/>
  <c r="K23"/>
  <c r="K31"/>
  <c r="K39"/>
  <c r="K47"/>
  <c r="K55"/>
  <c r="K63"/>
  <c r="K71"/>
  <c r="K79"/>
  <c r="K87"/>
  <c r="K95"/>
  <c r="K103"/>
  <c r="K111"/>
  <c r="K119"/>
  <c r="K127"/>
  <c r="K135"/>
  <c r="K143"/>
  <c r="K151"/>
  <c r="K159"/>
  <c r="K167"/>
  <c r="G23"/>
  <c r="G31"/>
  <c r="G39"/>
  <c r="G47"/>
  <c r="G55"/>
  <c r="G63"/>
  <c r="G71"/>
  <c r="G79"/>
  <c r="G87"/>
  <c r="G95"/>
  <c r="G103"/>
  <c r="G111"/>
  <c r="G119"/>
  <c r="G127"/>
  <c r="G135"/>
  <c r="G143"/>
  <c r="G151"/>
  <c r="G159"/>
  <c r="G167"/>
  <c r="K59"/>
  <c r="G27"/>
  <c r="G91"/>
  <c r="G147"/>
  <c r="K24"/>
  <c r="K32"/>
  <c r="K40"/>
  <c r="K48"/>
  <c r="K56"/>
  <c r="K64"/>
  <c r="K72"/>
  <c r="K80"/>
  <c r="K88"/>
  <c r="K96"/>
  <c r="K104"/>
  <c r="K112"/>
  <c r="K120"/>
  <c r="K128"/>
  <c r="K136"/>
  <c r="K144"/>
  <c r="K152"/>
  <c r="K160"/>
  <c r="K168"/>
  <c r="G24"/>
  <c r="G32"/>
  <c r="G40"/>
  <c r="G48"/>
  <c r="G56"/>
  <c r="G64"/>
  <c r="G72"/>
  <c r="G80"/>
  <c r="G88"/>
  <c r="G96"/>
  <c r="G104"/>
  <c r="G112"/>
  <c r="G120"/>
  <c r="G128"/>
  <c r="G136"/>
  <c r="G144"/>
  <c r="G152"/>
  <c r="G160"/>
  <c r="G168"/>
  <c r="K51"/>
  <c r="G43"/>
  <c r="G139"/>
  <c r="K25"/>
  <c r="K33"/>
  <c r="K41"/>
  <c r="K49"/>
  <c r="K57"/>
  <c r="K65"/>
  <c r="K73"/>
  <c r="K81"/>
  <c r="K89"/>
  <c r="K97"/>
  <c r="K105"/>
  <c r="K113"/>
  <c r="K121"/>
  <c r="K129"/>
  <c r="K137"/>
  <c r="K145"/>
  <c r="K153"/>
  <c r="K161"/>
  <c r="K17"/>
  <c r="G25"/>
  <c r="G33"/>
  <c r="G41"/>
  <c r="G49"/>
  <c r="G57"/>
  <c r="G65"/>
  <c r="G73"/>
  <c r="G81"/>
  <c r="G89"/>
  <c r="G97"/>
  <c r="G105"/>
  <c r="G113"/>
  <c r="G121"/>
  <c r="G129"/>
  <c r="G137"/>
  <c r="G145"/>
  <c r="G153"/>
  <c r="G161"/>
  <c r="G17"/>
  <c r="G154"/>
  <c r="K27"/>
  <c r="K139"/>
  <c r="G59"/>
  <c r="G115"/>
  <c r="K18"/>
  <c r="K26"/>
  <c r="K34"/>
  <c r="K42"/>
  <c r="K50"/>
  <c r="K58"/>
  <c r="K66"/>
  <c r="K74"/>
  <c r="K82"/>
  <c r="K90"/>
  <c r="K98"/>
  <c r="K106"/>
  <c r="K114"/>
  <c r="K122"/>
  <c r="K130"/>
  <c r="K138"/>
  <c r="K146"/>
  <c r="K154"/>
  <c r="K162"/>
  <c r="G18"/>
  <c r="G26"/>
  <c r="G34"/>
  <c r="G42"/>
  <c r="G50"/>
  <c r="G58"/>
  <c r="G66"/>
  <c r="G74"/>
  <c r="G82"/>
  <c r="G90"/>
  <c r="G98"/>
  <c r="G106"/>
  <c r="G114"/>
  <c r="G122"/>
  <c r="G130"/>
  <c r="G138"/>
  <c r="G146"/>
  <c r="G162"/>
  <c r="K35"/>
  <c r="K75"/>
  <c r="K83"/>
  <c r="K99"/>
  <c r="K107"/>
  <c r="K123"/>
  <c r="K155"/>
  <c r="G35"/>
  <c r="G75"/>
  <c r="G107"/>
  <c r="G155"/>
  <c r="BB163" i="17"/>
  <c r="BB164"/>
  <c r="BB168"/>
  <c r="AR171"/>
  <c r="AR172" s="1"/>
  <c r="AQ171"/>
  <c r="T142" i="1" s="1"/>
  <c r="BB149" i="17"/>
  <c r="BB165"/>
  <c r="BB21"/>
  <c r="BB61"/>
  <c r="BB150"/>
  <c r="BB158"/>
  <c r="BB166"/>
  <c r="BB102"/>
  <c r="BB118"/>
  <c r="BB143"/>
  <c r="BB55"/>
  <c r="BB63"/>
  <c r="BB71"/>
  <c r="BB119"/>
  <c r="BB24"/>
  <c r="BB88"/>
  <c r="BB155"/>
  <c r="BB91"/>
  <c r="BB153"/>
  <c r="BB161"/>
  <c r="BB33"/>
  <c r="BB49"/>
  <c r="BB89"/>
  <c r="BB113"/>
  <c r="BB131"/>
  <c r="BB146"/>
  <c r="BB66"/>
  <c r="BB106"/>
  <c r="BB122"/>
  <c r="BB130"/>
  <c r="BB51"/>
  <c r="BB28"/>
  <c r="BB92"/>
  <c r="BB99"/>
  <c r="BB111"/>
  <c r="BB53"/>
  <c r="BB84"/>
  <c r="BB97"/>
  <c r="BB85"/>
  <c r="BB117"/>
  <c r="BB133"/>
  <c r="BB157"/>
  <c r="BB77"/>
  <c r="BB59"/>
  <c r="BB38"/>
  <c r="BB96"/>
  <c r="BB35"/>
  <c r="BB42"/>
  <c r="BB69"/>
  <c r="BB125"/>
  <c r="F195" i="14"/>
  <c r="F193"/>
  <c r="AO171" i="17"/>
  <c r="R142" i="1" s="1"/>
  <c r="R141" i="13"/>
  <c r="BB37" i="17"/>
  <c r="BB142"/>
  <c r="BB20"/>
  <c r="BB141"/>
  <c r="BB29"/>
  <c r="BB45"/>
  <c r="BB93"/>
  <c r="BB101"/>
  <c r="BB109"/>
  <c r="BB115"/>
  <c r="BB22"/>
  <c r="BB94"/>
  <c r="AS171"/>
  <c r="V142" i="1" s="1"/>
  <c r="V141" i="13"/>
  <c r="BB30" i="17"/>
  <c r="BB46"/>
  <c r="BB54"/>
  <c r="BB62"/>
  <c r="BB70"/>
  <c r="BB78"/>
  <c r="BB86"/>
  <c r="BB110"/>
  <c r="BB126"/>
  <c r="BB134"/>
  <c r="BB27"/>
  <c r="BB75"/>
  <c r="BB123"/>
  <c r="BB151"/>
  <c r="BB159"/>
  <c r="BB167"/>
  <c r="BB23"/>
  <c r="BB31"/>
  <c r="BB39"/>
  <c r="BB47"/>
  <c r="BB79"/>
  <c r="BB87"/>
  <c r="BB95"/>
  <c r="BB103"/>
  <c r="BB127"/>
  <c r="BB135"/>
  <c r="BB67"/>
  <c r="BB144"/>
  <c r="BB152"/>
  <c r="BB160"/>
  <c r="BB32"/>
  <c r="BB40"/>
  <c r="BB48"/>
  <c r="BB56"/>
  <c r="BB64"/>
  <c r="BB72"/>
  <c r="BB80"/>
  <c r="BB104"/>
  <c r="BB112"/>
  <c r="BB120"/>
  <c r="BB128"/>
  <c r="BB136"/>
  <c r="BB145"/>
  <c r="BB169"/>
  <c r="BB25"/>
  <c r="BB41"/>
  <c r="BB57"/>
  <c r="BB65"/>
  <c r="BB73"/>
  <c r="BB81"/>
  <c r="BB105"/>
  <c r="BB121"/>
  <c r="BB129"/>
  <c r="BB137"/>
  <c r="BB147"/>
  <c r="BB83"/>
  <c r="BB154"/>
  <c r="BB162"/>
  <c r="BB26"/>
  <c r="BB34"/>
  <c r="BB50"/>
  <c r="BB58"/>
  <c r="BB74"/>
  <c r="BB82"/>
  <c r="BB90"/>
  <c r="BB98"/>
  <c r="BB114"/>
  <c r="BB138"/>
  <c r="BB107"/>
  <c r="BB140"/>
  <c r="BB148"/>
  <c r="BB156"/>
  <c r="BB36"/>
  <c r="BB44"/>
  <c r="BB52"/>
  <c r="BB60"/>
  <c r="BB68"/>
  <c r="BB76"/>
  <c r="BB100"/>
  <c r="BB108"/>
  <c r="BB116"/>
  <c r="BB124"/>
  <c r="BB132"/>
  <c r="BB43"/>
  <c r="BB139"/>
  <c r="AP171"/>
  <c r="S142" i="1" s="1"/>
  <c r="S141" i="13"/>
  <c r="U141" i="1"/>
  <c r="S141"/>
  <c r="R141"/>
  <c r="T141"/>
  <c r="V141"/>
  <c r="M179" i="17"/>
  <c r="L178"/>
  <c r="B173" i="14"/>
  <c r="B172"/>
  <c r="AV168"/>
  <c r="AU168"/>
  <c r="AT168"/>
  <c r="AS168"/>
  <c r="AR168"/>
  <c r="AQ168"/>
  <c r="AP168"/>
  <c r="AO168"/>
  <c r="AN168"/>
  <c r="AM168"/>
  <c r="AL168"/>
  <c r="AK168"/>
  <c r="AJ168"/>
  <c r="AI168"/>
  <c r="AH168"/>
  <c r="AV167"/>
  <c r="AU167"/>
  <c r="AT167"/>
  <c r="AS167"/>
  <c r="AR167"/>
  <c r="AQ167"/>
  <c r="AP167"/>
  <c r="AO167"/>
  <c r="AN167"/>
  <c r="AM167"/>
  <c r="AL167"/>
  <c r="AK167"/>
  <c r="AJ167"/>
  <c r="AI167"/>
  <c r="AH167"/>
  <c r="AV166"/>
  <c r="AU166"/>
  <c r="AT166"/>
  <c r="AS166"/>
  <c r="AR166"/>
  <c r="AQ166"/>
  <c r="AP166"/>
  <c r="AO166"/>
  <c r="AN166"/>
  <c r="AM166"/>
  <c r="AL166"/>
  <c r="AK166"/>
  <c r="AJ166"/>
  <c r="AI166"/>
  <c r="AH166"/>
  <c r="AV165"/>
  <c r="AU165"/>
  <c r="AT165"/>
  <c r="AS165"/>
  <c r="AR165"/>
  <c r="AQ165"/>
  <c r="AP165"/>
  <c r="AO165"/>
  <c r="AN165"/>
  <c r="AM165"/>
  <c r="AL165"/>
  <c r="AK165"/>
  <c r="AJ165"/>
  <c r="AI165"/>
  <c r="AH165"/>
  <c r="AV164"/>
  <c r="AU164"/>
  <c r="AT164"/>
  <c r="AS164"/>
  <c r="AR164"/>
  <c r="AQ164"/>
  <c r="AP164"/>
  <c r="AO164"/>
  <c r="AN164"/>
  <c r="AM164"/>
  <c r="AL164"/>
  <c r="AK164"/>
  <c r="AJ164"/>
  <c r="AI164"/>
  <c r="AH164"/>
  <c r="AV163"/>
  <c r="AU163"/>
  <c r="AT163"/>
  <c r="AS163"/>
  <c r="AR163"/>
  <c r="AQ163"/>
  <c r="AP163"/>
  <c r="AO163"/>
  <c r="AN163"/>
  <c r="AM163"/>
  <c r="AL163"/>
  <c r="AK163"/>
  <c r="AJ163"/>
  <c r="AI163"/>
  <c r="AH163"/>
  <c r="AV162"/>
  <c r="AU162"/>
  <c r="AT162"/>
  <c r="AS162"/>
  <c r="AR162"/>
  <c r="AQ162"/>
  <c r="AP162"/>
  <c r="AO162"/>
  <c r="AN162"/>
  <c r="AM162"/>
  <c r="AL162"/>
  <c r="AK162"/>
  <c r="AJ162"/>
  <c r="AI162"/>
  <c r="AH162"/>
  <c r="AV161"/>
  <c r="AU161"/>
  <c r="AT161"/>
  <c r="AS161"/>
  <c r="AR161"/>
  <c r="AQ161"/>
  <c r="AP161"/>
  <c r="AO161"/>
  <c r="AN161"/>
  <c r="AM161"/>
  <c r="AL161"/>
  <c r="AK161"/>
  <c r="AJ161"/>
  <c r="AI161"/>
  <c r="AH161"/>
  <c r="AV160"/>
  <c r="AU160"/>
  <c r="AT160"/>
  <c r="AS160"/>
  <c r="AR160"/>
  <c r="AQ160"/>
  <c r="AP160"/>
  <c r="AO160"/>
  <c r="AN160"/>
  <c r="AM160"/>
  <c r="AL160"/>
  <c r="AK160"/>
  <c r="AJ160"/>
  <c r="AI160"/>
  <c r="AH160"/>
  <c r="AV159"/>
  <c r="AU159"/>
  <c r="AT159"/>
  <c r="AS159"/>
  <c r="AR159"/>
  <c r="AQ159"/>
  <c r="AP159"/>
  <c r="AO159"/>
  <c r="AN159"/>
  <c r="AM159"/>
  <c r="AL159"/>
  <c r="AK159"/>
  <c r="AJ159"/>
  <c r="AI159"/>
  <c r="AH159"/>
  <c r="AV158"/>
  <c r="AU158"/>
  <c r="AT158"/>
  <c r="AS158"/>
  <c r="AR158"/>
  <c r="AQ158"/>
  <c r="AP158"/>
  <c r="AO158"/>
  <c r="AN158"/>
  <c r="AM158"/>
  <c r="AL158"/>
  <c r="AK158"/>
  <c r="AJ158"/>
  <c r="AI158"/>
  <c r="AH158"/>
  <c r="AV157"/>
  <c r="AU157"/>
  <c r="AT157"/>
  <c r="AS157"/>
  <c r="AR157"/>
  <c r="AQ157"/>
  <c r="AP157"/>
  <c r="AO157"/>
  <c r="AN157"/>
  <c r="AM157"/>
  <c r="AL157"/>
  <c r="AK157"/>
  <c r="AJ157"/>
  <c r="AI157"/>
  <c r="AH157"/>
  <c r="AV156"/>
  <c r="AU156"/>
  <c r="AT156"/>
  <c r="AS156"/>
  <c r="AR156"/>
  <c r="AQ156"/>
  <c r="AP156"/>
  <c r="AO156"/>
  <c r="AN156"/>
  <c r="AM156"/>
  <c r="AL156"/>
  <c r="AK156"/>
  <c r="AJ156"/>
  <c r="AI156"/>
  <c r="AH156"/>
  <c r="AV155"/>
  <c r="AU155"/>
  <c r="AT155"/>
  <c r="AS155"/>
  <c r="AR155"/>
  <c r="AQ155"/>
  <c r="AP155"/>
  <c r="AO155"/>
  <c r="AN155"/>
  <c r="AM155"/>
  <c r="AL155"/>
  <c r="AK155"/>
  <c r="AJ155"/>
  <c r="AI155"/>
  <c r="AH155"/>
  <c r="AV154"/>
  <c r="AU154"/>
  <c r="AT154"/>
  <c r="AS154"/>
  <c r="AR154"/>
  <c r="AQ154"/>
  <c r="AP154"/>
  <c r="AO154"/>
  <c r="AN154"/>
  <c r="AM154"/>
  <c r="AL154"/>
  <c r="AK154"/>
  <c r="AJ154"/>
  <c r="AI154"/>
  <c r="AH154"/>
  <c r="AV153"/>
  <c r="AU153"/>
  <c r="AT153"/>
  <c r="AS153"/>
  <c r="AR153"/>
  <c r="AQ153"/>
  <c r="AP153"/>
  <c r="AO153"/>
  <c r="AN153"/>
  <c r="AM153"/>
  <c r="AL153"/>
  <c r="AK153"/>
  <c r="AJ153"/>
  <c r="AI153"/>
  <c r="AH153"/>
  <c r="AV152"/>
  <c r="AU152"/>
  <c r="AT152"/>
  <c r="AS152"/>
  <c r="AR152"/>
  <c r="AQ152"/>
  <c r="AP152"/>
  <c r="AO152"/>
  <c r="AN152"/>
  <c r="AM152"/>
  <c r="AL152"/>
  <c r="AK152"/>
  <c r="AJ152"/>
  <c r="AI152"/>
  <c r="AH152"/>
  <c r="AV151"/>
  <c r="AU151"/>
  <c r="AT151"/>
  <c r="AS151"/>
  <c r="AR151"/>
  <c r="AQ151"/>
  <c r="AP151"/>
  <c r="AO151"/>
  <c r="AN151"/>
  <c r="AM151"/>
  <c r="AL151"/>
  <c r="AK151"/>
  <c r="AJ151"/>
  <c r="AI151"/>
  <c r="AH151"/>
  <c r="AV150"/>
  <c r="AU150"/>
  <c r="AT150"/>
  <c r="AS150"/>
  <c r="AR150"/>
  <c r="AQ150"/>
  <c r="AP150"/>
  <c r="AO150"/>
  <c r="AN150"/>
  <c r="AM150"/>
  <c r="AL150"/>
  <c r="AK150"/>
  <c r="AJ150"/>
  <c r="AI150"/>
  <c r="AH150"/>
  <c r="AV149"/>
  <c r="AU149"/>
  <c r="AT149"/>
  <c r="AS149"/>
  <c r="AR149"/>
  <c r="AQ149"/>
  <c r="AP149"/>
  <c r="AO149"/>
  <c r="AN149"/>
  <c r="AM149"/>
  <c r="AL149"/>
  <c r="AK149"/>
  <c r="AJ149"/>
  <c r="AI149"/>
  <c r="AH149"/>
  <c r="AV148"/>
  <c r="AU148"/>
  <c r="AT148"/>
  <c r="AS148"/>
  <c r="AR148"/>
  <c r="AQ148"/>
  <c r="AP148"/>
  <c r="AO148"/>
  <c r="AN148"/>
  <c r="AM148"/>
  <c r="AL148"/>
  <c r="AK148"/>
  <c r="AJ148"/>
  <c r="AI148"/>
  <c r="AH148"/>
  <c r="AV147"/>
  <c r="AU147"/>
  <c r="AT147"/>
  <c r="AS147"/>
  <c r="AR147"/>
  <c r="AQ147"/>
  <c r="AP147"/>
  <c r="AO147"/>
  <c r="AN147"/>
  <c r="AM147"/>
  <c r="AL147"/>
  <c r="AK147"/>
  <c r="AJ147"/>
  <c r="AI147"/>
  <c r="AH147"/>
  <c r="AV146"/>
  <c r="AU146"/>
  <c r="AT146"/>
  <c r="AS146"/>
  <c r="AR146"/>
  <c r="AQ146"/>
  <c r="AP146"/>
  <c r="AO146"/>
  <c r="AN146"/>
  <c r="AM146"/>
  <c r="AL146"/>
  <c r="AK146"/>
  <c r="AJ146"/>
  <c r="AI146"/>
  <c r="AH146"/>
  <c r="AV145"/>
  <c r="AU145"/>
  <c r="AT145"/>
  <c r="AS145"/>
  <c r="AR145"/>
  <c r="AQ145"/>
  <c r="AP145"/>
  <c r="AO145"/>
  <c r="AN145"/>
  <c r="AM145"/>
  <c r="AL145"/>
  <c r="AK145"/>
  <c r="AJ145"/>
  <c r="AI145"/>
  <c r="AH145"/>
  <c r="AV144"/>
  <c r="AU144"/>
  <c r="AT144"/>
  <c r="AS144"/>
  <c r="AR144"/>
  <c r="AQ144"/>
  <c r="AP144"/>
  <c r="AO144"/>
  <c r="AN144"/>
  <c r="AM144"/>
  <c r="AL144"/>
  <c r="AK144"/>
  <c r="AJ144"/>
  <c r="AI144"/>
  <c r="AH144"/>
  <c r="AV143"/>
  <c r="AU143"/>
  <c r="AT143"/>
  <c r="AS143"/>
  <c r="AR143"/>
  <c r="AQ143"/>
  <c r="AP143"/>
  <c r="AO143"/>
  <c r="AN143"/>
  <c r="AM143"/>
  <c r="AL143"/>
  <c r="AK143"/>
  <c r="AJ143"/>
  <c r="AI143"/>
  <c r="AH143"/>
  <c r="AV142"/>
  <c r="AU142"/>
  <c r="AT142"/>
  <c r="AS142"/>
  <c r="AR142"/>
  <c r="AQ142"/>
  <c r="AP142"/>
  <c r="AO142"/>
  <c r="AN142"/>
  <c r="AM142"/>
  <c r="AL142"/>
  <c r="AK142"/>
  <c r="AJ142"/>
  <c r="AI142"/>
  <c r="AH142"/>
  <c r="AV141"/>
  <c r="AU141"/>
  <c r="AT141"/>
  <c r="AS141"/>
  <c r="AR141"/>
  <c r="AQ141"/>
  <c r="AP141"/>
  <c r="AO141"/>
  <c r="AN141"/>
  <c r="AM141"/>
  <c r="AL141"/>
  <c r="AK141"/>
  <c r="AJ141"/>
  <c r="AI141"/>
  <c r="AH141"/>
  <c r="AV140"/>
  <c r="AU140"/>
  <c r="AT140"/>
  <c r="AS140"/>
  <c r="AR140"/>
  <c r="AQ140"/>
  <c r="AP140"/>
  <c r="AO140"/>
  <c r="AN140"/>
  <c r="AM140"/>
  <c r="AL140"/>
  <c r="AK140"/>
  <c r="AJ140"/>
  <c r="AI140"/>
  <c r="AH140"/>
  <c r="AV139"/>
  <c r="AU139"/>
  <c r="AT139"/>
  <c r="AS139"/>
  <c r="AR139"/>
  <c r="AQ139"/>
  <c r="AP139"/>
  <c r="AO139"/>
  <c r="AN139"/>
  <c r="AM139"/>
  <c r="AL139"/>
  <c r="AK139"/>
  <c r="AJ139"/>
  <c r="AI139"/>
  <c r="AH139"/>
  <c r="AV138"/>
  <c r="AU138"/>
  <c r="AT138"/>
  <c r="AS138"/>
  <c r="AR138"/>
  <c r="AQ138"/>
  <c r="AP138"/>
  <c r="AO138"/>
  <c r="AN138"/>
  <c r="AM138"/>
  <c r="AL138"/>
  <c r="AK138"/>
  <c r="AJ138"/>
  <c r="AI138"/>
  <c r="AH138"/>
  <c r="AV137"/>
  <c r="AU137"/>
  <c r="AT137"/>
  <c r="AS137"/>
  <c r="AR137"/>
  <c r="AQ137"/>
  <c r="AP137"/>
  <c r="AO137"/>
  <c r="AN137"/>
  <c r="AM137"/>
  <c r="AL137"/>
  <c r="AK137"/>
  <c r="AJ137"/>
  <c r="AI137"/>
  <c r="AH137"/>
  <c r="AV136"/>
  <c r="AU136"/>
  <c r="AT136"/>
  <c r="AS136"/>
  <c r="AR136"/>
  <c r="AQ136"/>
  <c r="AP136"/>
  <c r="AO136"/>
  <c r="AN136"/>
  <c r="AM136"/>
  <c r="AL136"/>
  <c r="AK136"/>
  <c r="AJ136"/>
  <c r="AI136"/>
  <c r="AH136"/>
  <c r="AV135"/>
  <c r="AU135"/>
  <c r="AT135"/>
  <c r="AS135"/>
  <c r="AR135"/>
  <c r="AQ135"/>
  <c r="AP135"/>
  <c r="AO135"/>
  <c r="AN135"/>
  <c r="AM135"/>
  <c r="AL135"/>
  <c r="AK135"/>
  <c r="AJ135"/>
  <c r="AI135"/>
  <c r="AH135"/>
  <c r="AV134"/>
  <c r="AU134"/>
  <c r="AT134"/>
  <c r="AS134"/>
  <c r="AR134"/>
  <c r="AQ134"/>
  <c r="AP134"/>
  <c r="AO134"/>
  <c r="AN134"/>
  <c r="AM134"/>
  <c r="AL134"/>
  <c r="AK134"/>
  <c r="AJ134"/>
  <c r="AI134"/>
  <c r="AH134"/>
  <c r="AV133"/>
  <c r="AU133"/>
  <c r="AT133"/>
  <c r="AS133"/>
  <c r="AR133"/>
  <c r="AQ133"/>
  <c r="AP133"/>
  <c r="AO133"/>
  <c r="AN133"/>
  <c r="AM133"/>
  <c r="AL133"/>
  <c r="AK133"/>
  <c r="AJ133"/>
  <c r="AI133"/>
  <c r="AH133"/>
  <c r="AV132"/>
  <c r="AU132"/>
  <c r="AT132"/>
  <c r="AS132"/>
  <c r="AR132"/>
  <c r="AQ132"/>
  <c r="AP132"/>
  <c r="AO132"/>
  <c r="AN132"/>
  <c r="AM132"/>
  <c r="AL132"/>
  <c r="AK132"/>
  <c r="AJ132"/>
  <c r="AI132"/>
  <c r="AH132"/>
  <c r="AV131"/>
  <c r="AU131"/>
  <c r="AT131"/>
  <c r="AS131"/>
  <c r="AR131"/>
  <c r="AQ131"/>
  <c r="AP131"/>
  <c r="AO131"/>
  <c r="AN131"/>
  <c r="AM131"/>
  <c r="AL131"/>
  <c r="AK131"/>
  <c r="AJ131"/>
  <c r="AI131"/>
  <c r="AH131"/>
  <c r="AV130"/>
  <c r="AU130"/>
  <c r="AT130"/>
  <c r="AS130"/>
  <c r="AR130"/>
  <c r="AQ130"/>
  <c r="AP130"/>
  <c r="AO130"/>
  <c r="AN130"/>
  <c r="AM130"/>
  <c r="AL130"/>
  <c r="AK130"/>
  <c r="AJ130"/>
  <c r="AI130"/>
  <c r="AH130"/>
  <c r="AV129"/>
  <c r="AU129"/>
  <c r="AT129"/>
  <c r="AS129"/>
  <c r="AR129"/>
  <c r="AQ129"/>
  <c r="AP129"/>
  <c r="AO129"/>
  <c r="AN129"/>
  <c r="AM129"/>
  <c r="AL129"/>
  <c r="AK129"/>
  <c r="AJ129"/>
  <c r="AI129"/>
  <c r="AH129"/>
  <c r="AV128"/>
  <c r="AU128"/>
  <c r="AT128"/>
  <c r="AS128"/>
  <c r="AR128"/>
  <c r="AQ128"/>
  <c r="AP128"/>
  <c r="AO128"/>
  <c r="AN128"/>
  <c r="AM128"/>
  <c r="AL128"/>
  <c r="AK128"/>
  <c r="AJ128"/>
  <c r="AI128"/>
  <c r="AH128"/>
  <c r="AV127"/>
  <c r="AU127"/>
  <c r="AT127"/>
  <c r="AS127"/>
  <c r="AR127"/>
  <c r="AQ127"/>
  <c r="AP127"/>
  <c r="AO127"/>
  <c r="AN127"/>
  <c r="AM127"/>
  <c r="AL127"/>
  <c r="AK127"/>
  <c r="AJ127"/>
  <c r="AI127"/>
  <c r="AH127"/>
  <c r="AV126"/>
  <c r="AU126"/>
  <c r="AT126"/>
  <c r="AS126"/>
  <c r="AR126"/>
  <c r="AQ126"/>
  <c r="AP126"/>
  <c r="AO126"/>
  <c r="AN126"/>
  <c r="AM126"/>
  <c r="AL126"/>
  <c r="AK126"/>
  <c r="AJ126"/>
  <c r="AI126"/>
  <c r="AH126"/>
  <c r="AV125"/>
  <c r="AU125"/>
  <c r="AT125"/>
  <c r="AS125"/>
  <c r="AR125"/>
  <c r="AQ125"/>
  <c r="AP125"/>
  <c r="AO125"/>
  <c r="AN125"/>
  <c r="AM125"/>
  <c r="AL125"/>
  <c r="AK125"/>
  <c r="AJ125"/>
  <c r="AI125"/>
  <c r="AH125"/>
  <c r="AV124"/>
  <c r="AU124"/>
  <c r="AT124"/>
  <c r="AS124"/>
  <c r="AR124"/>
  <c r="AQ124"/>
  <c r="AP124"/>
  <c r="AO124"/>
  <c r="AN124"/>
  <c r="AM124"/>
  <c r="AL124"/>
  <c r="AK124"/>
  <c r="AJ124"/>
  <c r="AI124"/>
  <c r="AH124"/>
  <c r="AV123"/>
  <c r="AU123"/>
  <c r="AT123"/>
  <c r="AS123"/>
  <c r="AR123"/>
  <c r="AQ123"/>
  <c r="AP123"/>
  <c r="AO123"/>
  <c r="AN123"/>
  <c r="AM123"/>
  <c r="AL123"/>
  <c r="AK123"/>
  <c r="AJ123"/>
  <c r="AI123"/>
  <c r="AH123"/>
  <c r="AV122"/>
  <c r="AU122"/>
  <c r="AT122"/>
  <c r="AS122"/>
  <c r="AR122"/>
  <c r="AQ122"/>
  <c r="AP122"/>
  <c r="AO122"/>
  <c r="AN122"/>
  <c r="AM122"/>
  <c r="AL122"/>
  <c r="AK122"/>
  <c r="AJ122"/>
  <c r="AI122"/>
  <c r="AH122"/>
  <c r="AV121"/>
  <c r="AU121"/>
  <c r="AT121"/>
  <c r="AS121"/>
  <c r="AR121"/>
  <c r="AQ121"/>
  <c r="AP121"/>
  <c r="AO121"/>
  <c r="AN121"/>
  <c r="AM121"/>
  <c r="AL121"/>
  <c r="AK121"/>
  <c r="AJ121"/>
  <c r="AI121"/>
  <c r="AH121"/>
  <c r="AV120"/>
  <c r="AU120"/>
  <c r="AT120"/>
  <c r="AS120"/>
  <c r="AR120"/>
  <c r="AQ120"/>
  <c r="AP120"/>
  <c r="AO120"/>
  <c r="AN120"/>
  <c r="AM120"/>
  <c r="AL120"/>
  <c r="AK120"/>
  <c r="AJ120"/>
  <c r="AI120"/>
  <c r="AH120"/>
  <c r="AV119"/>
  <c r="AU119"/>
  <c r="AT119"/>
  <c r="AS119"/>
  <c r="AR119"/>
  <c r="AQ119"/>
  <c r="AP119"/>
  <c r="AO119"/>
  <c r="AN119"/>
  <c r="AM119"/>
  <c r="AL119"/>
  <c r="AK119"/>
  <c r="AJ119"/>
  <c r="AI119"/>
  <c r="AH119"/>
  <c r="AV118"/>
  <c r="AU118"/>
  <c r="AT118"/>
  <c r="AS118"/>
  <c r="AR118"/>
  <c r="AQ118"/>
  <c r="AP118"/>
  <c r="AO118"/>
  <c r="AN118"/>
  <c r="AM118"/>
  <c r="AL118"/>
  <c r="AK118"/>
  <c r="AJ118"/>
  <c r="AI118"/>
  <c r="AH118"/>
  <c r="AV117"/>
  <c r="AU117"/>
  <c r="AT117"/>
  <c r="AS117"/>
  <c r="AR117"/>
  <c r="AQ117"/>
  <c r="AP117"/>
  <c r="AO117"/>
  <c r="AN117"/>
  <c r="AM117"/>
  <c r="AL117"/>
  <c r="AK117"/>
  <c r="AJ117"/>
  <c r="AI117"/>
  <c r="AH117"/>
  <c r="AV116"/>
  <c r="AU116"/>
  <c r="AT116"/>
  <c r="AS116"/>
  <c r="AR116"/>
  <c r="AQ116"/>
  <c r="AP116"/>
  <c r="AO116"/>
  <c r="AN116"/>
  <c r="AM116"/>
  <c r="AL116"/>
  <c r="AK116"/>
  <c r="AJ116"/>
  <c r="AI116"/>
  <c r="AH116"/>
  <c r="AV115"/>
  <c r="AU115"/>
  <c r="AT115"/>
  <c r="AS115"/>
  <c r="AR115"/>
  <c r="AQ115"/>
  <c r="AP115"/>
  <c r="AO115"/>
  <c r="AN115"/>
  <c r="AM115"/>
  <c r="AL115"/>
  <c r="AK115"/>
  <c r="AJ115"/>
  <c r="AI115"/>
  <c r="AH115"/>
  <c r="AV114"/>
  <c r="AU114"/>
  <c r="AT114"/>
  <c r="AS114"/>
  <c r="AR114"/>
  <c r="AQ114"/>
  <c r="AP114"/>
  <c r="AO114"/>
  <c r="AN114"/>
  <c r="AM114"/>
  <c r="AL114"/>
  <c r="AK114"/>
  <c r="AJ114"/>
  <c r="AI114"/>
  <c r="AH114"/>
  <c r="AV113"/>
  <c r="AU113"/>
  <c r="AT113"/>
  <c r="AS113"/>
  <c r="AR113"/>
  <c r="AQ113"/>
  <c r="AP113"/>
  <c r="AO113"/>
  <c r="AN113"/>
  <c r="AM113"/>
  <c r="AL113"/>
  <c r="AK113"/>
  <c r="AJ113"/>
  <c r="AI113"/>
  <c r="AH113"/>
  <c r="AV112"/>
  <c r="AU112"/>
  <c r="AT112"/>
  <c r="AS112"/>
  <c r="AR112"/>
  <c r="AQ112"/>
  <c r="AP112"/>
  <c r="AO112"/>
  <c r="AN112"/>
  <c r="AM112"/>
  <c r="AL112"/>
  <c r="AK112"/>
  <c r="AJ112"/>
  <c r="AI112"/>
  <c r="AH112"/>
  <c r="AV111"/>
  <c r="AU111"/>
  <c r="AT111"/>
  <c r="AS111"/>
  <c r="AR111"/>
  <c r="AQ111"/>
  <c r="AP111"/>
  <c r="AO111"/>
  <c r="AN111"/>
  <c r="AM111"/>
  <c r="AL111"/>
  <c r="AK111"/>
  <c r="AJ111"/>
  <c r="AI111"/>
  <c r="AH111"/>
  <c r="AV110"/>
  <c r="AU110"/>
  <c r="AT110"/>
  <c r="AS110"/>
  <c r="AR110"/>
  <c r="AQ110"/>
  <c r="AP110"/>
  <c r="AO110"/>
  <c r="AN110"/>
  <c r="AM110"/>
  <c r="AL110"/>
  <c r="AK110"/>
  <c r="AJ110"/>
  <c r="AI110"/>
  <c r="AH110"/>
  <c r="AV109"/>
  <c r="AU109"/>
  <c r="AT109"/>
  <c r="AS109"/>
  <c r="AR109"/>
  <c r="AQ109"/>
  <c r="AP109"/>
  <c r="AO109"/>
  <c r="AN109"/>
  <c r="AM109"/>
  <c r="AL109"/>
  <c r="AK109"/>
  <c r="AJ109"/>
  <c r="AI109"/>
  <c r="AH109"/>
  <c r="AV108"/>
  <c r="AU108"/>
  <c r="AT108"/>
  <c r="AS108"/>
  <c r="AR108"/>
  <c r="AQ108"/>
  <c r="AP108"/>
  <c r="AO108"/>
  <c r="AN108"/>
  <c r="AM108"/>
  <c r="AL108"/>
  <c r="AK108"/>
  <c r="AJ108"/>
  <c r="AI108"/>
  <c r="AH108"/>
  <c r="AV107"/>
  <c r="AU107"/>
  <c r="AT107"/>
  <c r="AS107"/>
  <c r="AR107"/>
  <c r="AQ107"/>
  <c r="AP107"/>
  <c r="AO107"/>
  <c r="AN107"/>
  <c r="AM107"/>
  <c r="AL107"/>
  <c r="AK107"/>
  <c r="AJ107"/>
  <c r="AI107"/>
  <c r="AH107"/>
  <c r="AV106"/>
  <c r="AU106"/>
  <c r="AT106"/>
  <c r="AS106"/>
  <c r="AR106"/>
  <c r="AQ106"/>
  <c r="AP106"/>
  <c r="AO106"/>
  <c r="AN106"/>
  <c r="AM106"/>
  <c r="AL106"/>
  <c r="AK106"/>
  <c r="AJ106"/>
  <c r="AI106"/>
  <c r="AH106"/>
  <c r="AV105"/>
  <c r="AU105"/>
  <c r="AT105"/>
  <c r="AS105"/>
  <c r="AR105"/>
  <c r="AQ105"/>
  <c r="AP105"/>
  <c r="AO105"/>
  <c r="AN105"/>
  <c r="AM105"/>
  <c r="AL105"/>
  <c r="AK105"/>
  <c r="AJ105"/>
  <c r="AI105"/>
  <c r="AH105"/>
  <c r="AV104"/>
  <c r="AU104"/>
  <c r="AT104"/>
  <c r="AS104"/>
  <c r="AR104"/>
  <c r="AQ104"/>
  <c r="AP104"/>
  <c r="AO104"/>
  <c r="AN104"/>
  <c r="AM104"/>
  <c r="AL104"/>
  <c r="AK104"/>
  <c r="AJ104"/>
  <c r="AI104"/>
  <c r="AH104"/>
  <c r="AV103"/>
  <c r="AU103"/>
  <c r="AT103"/>
  <c r="AS103"/>
  <c r="AR103"/>
  <c r="AQ103"/>
  <c r="AP103"/>
  <c r="AO103"/>
  <c r="AN103"/>
  <c r="AM103"/>
  <c r="AL103"/>
  <c r="AK103"/>
  <c r="AJ103"/>
  <c r="AI103"/>
  <c r="AH103"/>
  <c r="AV102"/>
  <c r="AU102"/>
  <c r="AT102"/>
  <c r="AS102"/>
  <c r="AR102"/>
  <c r="AQ102"/>
  <c r="AP102"/>
  <c r="AO102"/>
  <c r="AN102"/>
  <c r="AM102"/>
  <c r="AL102"/>
  <c r="AK102"/>
  <c r="AJ102"/>
  <c r="AI102"/>
  <c r="AH102"/>
  <c r="AV101"/>
  <c r="AU101"/>
  <c r="AT101"/>
  <c r="AS101"/>
  <c r="AR101"/>
  <c r="AQ101"/>
  <c r="AP101"/>
  <c r="AO101"/>
  <c r="AN101"/>
  <c r="AM101"/>
  <c r="AL101"/>
  <c r="AK101"/>
  <c r="AJ101"/>
  <c r="AI101"/>
  <c r="AH101"/>
  <c r="AV100"/>
  <c r="AU100"/>
  <c r="AT100"/>
  <c r="AS100"/>
  <c r="AR100"/>
  <c r="AQ100"/>
  <c r="AP100"/>
  <c r="AO100"/>
  <c r="AN100"/>
  <c r="AM100"/>
  <c r="AL100"/>
  <c r="AK100"/>
  <c r="AJ100"/>
  <c r="AI100"/>
  <c r="AH100"/>
  <c r="AV99"/>
  <c r="AU99"/>
  <c r="AT99"/>
  <c r="AS99"/>
  <c r="AR99"/>
  <c r="AQ99"/>
  <c r="AP99"/>
  <c r="AO99"/>
  <c r="AN99"/>
  <c r="AM99"/>
  <c r="AL99"/>
  <c r="AK99"/>
  <c r="AJ99"/>
  <c r="AI99"/>
  <c r="AH99"/>
  <c r="AV98"/>
  <c r="AU98"/>
  <c r="AT98"/>
  <c r="AS98"/>
  <c r="AR98"/>
  <c r="AQ98"/>
  <c r="AP98"/>
  <c r="AO98"/>
  <c r="AN98"/>
  <c r="AM98"/>
  <c r="AL98"/>
  <c r="AK98"/>
  <c r="AJ98"/>
  <c r="AI98"/>
  <c r="AH98"/>
  <c r="AV97"/>
  <c r="AU97"/>
  <c r="AT97"/>
  <c r="AS97"/>
  <c r="AR97"/>
  <c r="AQ97"/>
  <c r="AP97"/>
  <c r="AO97"/>
  <c r="AN97"/>
  <c r="AM97"/>
  <c r="AL97"/>
  <c r="AK97"/>
  <c r="AJ97"/>
  <c r="AI97"/>
  <c r="AH97"/>
  <c r="AV96"/>
  <c r="AU96"/>
  <c r="AT96"/>
  <c r="AS96"/>
  <c r="AR96"/>
  <c r="AQ96"/>
  <c r="AP96"/>
  <c r="AO96"/>
  <c r="AN96"/>
  <c r="AM96"/>
  <c r="AL96"/>
  <c r="AK96"/>
  <c r="AJ96"/>
  <c r="AI96"/>
  <c r="AH96"/>
  <c r="AV95"/>
  <c r="AU95"/>
  <c r="AT95"/>
  <c r="AS95"/>
  <c r="AR95"/>
  <c r="AQ95"/>
  <c r="AP95"/>
  <c r="AO95"/>
  <c r="AN95"/>
  <c r="AM95"/>
  <c r="AL95"/>
  <c r="AK95"/>
  <c r="AJ95"/>
  <c r="AI95"/>
  <c r="AH95"/>
  <c r="AV94"/>
  <c r="AU94"/>
  <c r="AT94"/>
  <c r="AS94"/>
  <c r="AR94"/>
  <c r="AQ94"/>
  <c r="AP94"/>
  <c r="AO94"/>
  <c r="AN94"/>
  <c r="AM94"/>
  <c r="AL94"/>
  <c r="AK94"/>
  <c r="AJ94"/>
  <c r="AI94"/>
  <c r="AH94"/>
  <c r="AV93"/>
  <c r="AU93"/>
  <c r="AT93"/>
  <c r="AS93"/>
  <c r="AR93"/>
  <c r="AQ93"/>
  <c r="AP93"/>
  <c r="AO93"/>
  <c r="AN93"/>
  <c r="AM93"/>
  <c r="AL93"/>
  <c r="AK93"/>
  <c r="AJ93"/>
  <c r="AI93"/>
  <c r="AH93"/>
  <c r="AV92"/>
  <c r="AU92"/>
  <c r="AT92"/>
  <c r="AS92"/>
  <c r="AR92"/>
  <c r="AQ92"/>
  <c r="AP92"/>
  <c r="AO92"/>
  <c r="AN92"/>
  <c r="AM92"/>
  <c r="AL92"/>
  <c r="AK92"/>
  <c r="AJ92"/>
  <c r="AI92"/>
  <c r="AH92"/>
  <c r="AV91"/>
  <c r="AU91"/>
  <c r="AT91"/>
  <c r="AS91"/>
  <c r="AR91"/>
  <c r="AQ91"/>
  <c r="AP91"/>
  <c r="AO91"/>
  <c r="AN91"/>
  <c r="AM91"/>
  <c r="AL91"/>
  <c r="AK91"/>
  <c r="AJ91"/>
  <c r="AI91"/>
  <c r="AH91"/>
  <c r="AV90"/>
  <c r="AU90"/>
  <c r="AT90"/>
  <c r="AS90"/>
  <c r="AR90"/>
  <c r="AQ90"/>
  <c r="AP90"/>
  <c r="AO90"/>
  <c r="AN90"/>
  <c r="AM90"/>
  <c r="AL90"/>
  <c r="AK90"/>
  <c r="AJ90"/>
  <c r="AI90"/>
  <c r="AH90"/>
  <c r="AV89"/>
  <c r="AU89"/>
  <c r="AT89"/>
  <c r="AS89"/>
  <c r="AR89"/>
  <c r="AQ89"/>
  <c r="AP89"/>
  <c r="AO89"/>
  <c r="AN89"/>
  <c r="AM89"/>
  <c r="AL89"/>
  <c r="AK89"/>
  <c r="AJ89"/>
  <c r="AI89"/>
  <c r="AH89"/>
  <c r="AV88"/>
  <c r="AU88"/>
  <c r="AT88"/>
  <c r="AS88"/>
  <c r="AR88"/>
  <c r="AQ88"/>
  <c r="AP88"/>
  <c r="AO88"/>
  <c r="AN88"/>
  <c r="AM88"/>
  <c r="AL88"/>
  <c r="AK88"/>
  <c r="AJ88"/>
  <c r="AI88"/>
  <c r="AH88"/>
  <c r="AV87"/>
  <c r="AU87"/>
  <c r="AT87"/>
  <c r="AS87"/>
  <c r="AR87"/>
  <c r="AQ87"/>
  <c r="AP87"/>
  <c r="AO87"/>
  <c r="AN87"/>
  <c r="AM87"/>
  <c r="AL87"/>
  <c r="AK87"/>
  <c r="AJ87"/>
  <c r="AI87"/>
  <c r="AH87"/>
  <c r="AV86"/>
  <c r="AU86"/>
  <c r="AT86"/>
  <c r="AS86"/>
  <c r="AR86"/>
  <c r="AQ86"/>
  <c r="AP86"/>
  <c r="AO86"/>
  <c r="AN86"/>
  <c r="AM86"/>
  <c r="AL86"/>
  <c r="AK86"/>
  <c r="AJ86"/>
  <c r="AI86"/>
  <c r="AH86"/>
  <c r="AV85"/>
  <c r="AU85"/>
  <c r="AT85"/>
  <c r="AS85"/>
  <c r="AR85"/>
  <c r="AQ85"/>
  <c r="AP85"/>
  <c r="AO85"/>
  <c r="AN85"/>
  <c r="AM85"/>
  <c r="AL85"/>
  <c r="AK85"/>
  <c r="AJ85"/>
  <c r="AI85"/>
  <c r="AH85"/>
  <c r="AV84"/>
  <c r="AU84"/>
  <c r="AT84"/>
  <c r="AS84"/>
  <c r="AR84"/>
  <c r="AQ84"/>
  <c r="AP84"/>
  <c r="AO84"/>
  <c r="AN84"/>
  <c r="AM84"/>
  <c r="AL84"/>
  <c r="AK84"/>
  <c r="AJ84"/>
  <c r="AI84"/>
  <c r="AH84"/>
  <c r="AV83"/>
  <c r="AU83"/>
  <c r="AT83"/>
  <c r="AS83"/>
  <c r="AR83"/>
  <c r="AQ83"/>
  <c r="AP83"/>
  <c r="AO83"/>
  <c r="AN83"/>
  <c r="AM83"/>
  <c r="AL83"/>
  <c r="AK83"/>
  <c r="AJ83"/>
  <c r="AI83"/>
  <c r="AH83"/>
  <c r="AV82"/>
  <c r="AU82"/>
  <c r="AT82"/>
  <c r="AS82"/>
  <c r="AR82"/>
  <c r="AQ82"/>
  <c r="AP82"/>
  <c r="AO82"/>
  <c r="AN82"/>
  <c r="AM82"/>
  <c r="AL82"/>
  <c r="AK82"/>
  <c r="AJ82"/>
  <c r="AI82"/>
  <c r="AH82"/>
  <c r="AV81"/>
  <c r="AU81"/>
  <c r="AT81"/>
  <c r="AS81"/>
  <c r="AR81"/>
  <c r="AQ81"/>
  <c r="AP81"/>
  <c r="AO81"/>
  <c r="AN81"/>
  <c r="AM81"/>
  <c r="AL81"/>
  <c r="AK81"/>
  <c r="AJ81"/>
  <c r="AI81"/>
  <c r="AH81"/>
  <c r="AV80"/>
  <c r="AU80"/>
  <c r="AT80"/>
  <c r="AS80"/>
  <c r="AR80"/>
  <c r="AQ80"/>
  <c r="AP80"/>
  <c r="AO80"/>
  <c r="AN80"/>
  <c r="AM80"/>
  <c r="AL80"/>
  <c r="AK80"/>
  <c r="AJ80"/>
  <c r="AI80"/>
  <c r="AH80"/>
  <c r="AV79"/>
  <c r="AU79"/>
  <c r="AT79"/>
  <c r="AS79"/>
  <c r="AR79"/>
  <c r="AQ79"/>
  <c r="AP79"/>
  <c r="AO79"/>
  <c r="AN79"/>
  <c r="AM79"/>
  <c r="AL79"/>
  <c r="AK79"/>
  <c r="AJ79"/>
  <c r="AI79"/>
  <c r="AH79"/>
  <c r="AV78"/>
  <c r="AU78"/>
  <c r="AT78"/>
  <c r="AS78"/>
  <c r="AR78"/>
  <c r="AQ78"/>
  <c r="AP78"/>
  <c r="AO78"/>
  <c r="AN78"/>
  <c r="AM78"/>
  <c r="AL78"/>
  <c r="AK78"/>
  <c r="AJ78"/>
  <c r="AI78"/>
  <c r="AH78"/>
  <c r="AV77"/>
  <c r="AU77"/>
  <c r="AT77"/>
  <c r="AS77"/>
  <c r="AR77"/>
  <c r="AQ77"/>
  <c r="AP77"/>
  <c r="AO77"/>
  <c r="AN77"/>
  <c r="AM77"/>
  <c r="AL77"/>
  <c r="AK77"/>
  <c r="AJ77"/>
  <c r="AI77"/>
  <c r="AH77"/>
  <c r="AV76"/>
  <c r="AU76"/>
  <c r="AT76"/>
  <c r="AS76"/>
  <c r="AR76"/>
  <c r="AQ76"/>
  <c r="AP76"/>
  <c r="AO76"/>
  <c r="AN76"/>
  <c r="AM76"/>
  <c r="AL76"/>
  <c r="AK76"/>
  <c r="AJ76"/>
  <c r="AI76"/>
  <c r="AH76"/>
  <c r="AV75"/>
  <c r="AU75"/>
  <c r="AT75"/>
  <c r="AS75"/>
  <c r="AR75"/>
  <c r="AQ75"/>
  <c r="AP75"/>
  <c r="AO75"/>
  <c r="AN75"/>
  <c r="AM75"/>
  <c r="AL75"/>
  <c r="AK75"/>
  <c r="AJ75"/>
  <c r="AI75"/>
  <c r="AH75"/>
  <c r="AV74"/>
  <c r="AU74"/>
  <c r="AT74"/>
  <c r="AS74"/>
  <c r="AR74"/>
  <c r="AQ74"/>
  <c r="AP74"/>
  <c r="AO74"/>
  <c r="AN74"/>
  <c r="AM74"/>
  <c r="AL74"/>
  <c r="AK74"/>
  <c r="AJ74"/>
  <c r="AI74"/>
  <c r="AH74"/>
  <c r="AV73"/>
  <c r="AU73"/>
  <c r="AT73"/>
  <c r="AS73"/>
  <c r="AR73"/>
  <c r="AQ73"/>
  <c r="AP73"/>
  <c r="AO73"/>
  <c r="AN73"/>
  <c r="AM73"/>
  <c r="AL73"/>
  <c r="AK73"/>
  <c r="AJ73"/>
  <c r="AI73"/>
  <c r="AH73"/>
  <c r="AV72"/>
  <c r="AU72"/>
  <c r="AT72"/>
  <c r="AS72"/>
  <c r="AR72"/>
  <c r="AQ72"/>
  <c r="AP72"/>
  <c r="AO72"/>
  <c r="AN72"/>
  <c r="AM72"/>
  <c r="AL72"/>
  <c r="AK72"/>
  <c r="AJ72"/>
  <c r="AI72"/>
  <c r="AH72"/>
  <c r="AV71"/>
  <c r="AU71"/>
  <c r="AT71"/>
  <c r="AS71"/>
  <c r="AR71"/>
  <c r="AQ71"/>
  <c r="AP71"/>
  <c r="AO71"/>
  <c r="AN71"/>
  <c r="AM71"/>
  <c r="AL71"/>
  <c r="AK71"/>
  <c r="AJ71"/>
  <c r="AI71"/>
  <c r="AH71"/>
  <c r="AV70"/>
  <c r="AU70"/>
  <c r="AT70"/>
  <c r="AS70"/>
  <c r="AR70"/>
  <c r="AQ70"/>
  <c r="AP70"/>
  <c r="AO70"/>
  <c r="AN70"/>
  <c r="AM70"/>
  <c r="AL70"/>
  <c r="AK70"/>
  <c r="AJ70"/>
  <c r="AI70"/>
  <c r="AH70"/>
  <c r="AV69"/>
  <c r="AU69"/>
  <c r="AT69"/>
  <c r="AS69"/>
  <c r="AR69"/>
  <c r="AQ69"/>
  <c r="AP69"/>
  <c r="AO69"/>
  <c r="AN69"/>
  <c r="AM69"/>
  <c r="AL69"/>
  <c r="AK69"/>
  <c r="AJ69"/>
  <c r="AI69"/>
  <c r="AH69"/>
  <c r="AV68"/>
  <c r="AU68"/>
  <c r="AT68"/>
  <c r="AS68"/>
  <c r="AR68"/>
  <c r="AQ68"/>
  <c r="AP68"/>
  <c r="AO68"/>
  <c r="AN68"/>
  <c r="AM68"/>
  <c r="AL68"/>
  <c r="AK68"/>
  <c r="AJ68"/>
  <c r="AI68"/>
  <c r="AH68"/>
  <c r="AV67"/>
  <c r="AU67"/>
  <c r="AT67"/>
  <c r="AS67"/>
  <c r="AR67"/>
  <c r="AQ67"/>
  <c r="AP67"/>
  <c r="AO67"/>
  <c r="AN67"/>
  <c r="AM67"/>
  <c r="AL67"/>
  <c r="AK67"/>
  <c r="AJ67"/>
  <c r="AI67"/>
  <c r="AH67"/>
  <c r="AV66"/>
  <c r="AU66"/>
  <c r="AT66"/>
  <c r="AS66"/>
  <c r="AR66"/>
  <c r="AQ66"/>
  <c r="AP66"/>
  <c r="AO66"/>
  <c r="AN66"/>
  <c r="AM66"/>
  <c r="AL66"/>
  <c r="AK66"/>
  <c r="AJ66"/>
  <c r="AI66"/>
  <c r="AH66"/>
  <c r="AV65"/>
  <c r="AU65"/>
  <c r="AT65"/>
  <c r="AS65"/>
  <c r="AR65"/>
  <c r="AQ65"/>
  <c r="AP65"/>
  <c r="AO65"/>
  <c r="AN65"/>
  <c r="AM65"/>
  <c r="AL65"/>
  <c r="AK65"/>
  <c r="AJ65"/>
  <c r="AI65"/>
  <c r="AH65"/>
  <c r="AV64"/>
  <c r="AU64"/>
  <c r="AT64"/>
  <c r="AS64"/>
  <c r="AR64"/>
  <c r="AQ64"/>
  <c r="AP64"/>
  <c r="AO64"/>
  <c r="AN64"/>
  <c r="AM64"/>
  <c r="AL64"/>
  <c r="AK64"/>
  <c r="AJ64"/>
  <c r="AI64"/>
  <c r="AH64"/>
  <c r="AV63"/>
  <c r="AU63"/>
  <c r="AT63"/>
  <c r="AS63"/>
  <c r="AR63"/>
  <c r="AQ63"/>
  <c r="AP63"/>
  <c r="AO63"/>
  <c r="AN63"/>
  <c r="AM63"/>
  <c r="AL63"/>
  <c r="AK63"/>
  <c r="AJ63"/>
  <c r="AI63"/>
  <c r="AH63"/>
  <c r="AV62"/>
  <c r="AU62"/>
  <c r="AT62"/>
  <c r="AS62"/>
  <c r="AR62"/>
  <c r="AQ62"/>
  <c r="AP62"/>
  <c r="AO62"/>
  <c r="AN62"/>
  <c r="AM62"/>
  <c r="AL62"/>
  <c r="AK62"/>
  <c r="AJ62"/>
  <c r="AI62"/>
  <c r="AH62"/>
  <c r="AV61"/>
  <c r="AU61"/>
  <c r="AT61"/>
  <c r="AS61"/>
  <c r="AR61"/>
  <c r="AQ61"/>
  <c r="AP61"/>
  <c r="AO61"/>
  <c r="AN61"/>
  <c r="AM61"/>
  <c r="AL61"/>
  <c r="AK61"/>
  <c r="AJ61"/>
  <c r="AI61"/>
  <c r="AH61"/>
  <c r="AV60"/>
  <c r="AU60"/>
  <c r="AT60"/>
  <c r="AS60"/>
  <c r="AR60"/>
  <c r="AQ60"/>
  <c r="AP60"/>
  <c r="AO60"/>
  <c r="AN60"/>
  <c r="AM60"/>
  <c r="AL60"/>
  <c r="AK60"/>
  <c r="AJ60"/>
  <c r="AI60"/>
  <c r="AH60"/>
  <c r="AV59"/>
  <c r="AU59"/>
  <c r="AT59"/>
  <c r="AS59"/>
  <c r="AR59"/>
  <c r="AQ59"/>
  <c r="AP59"/>
  <c r="AO59"/>
  <c r="AN59"/>
  <c r="AM59"/>
  <c r="AL59"/>
  <c r="AK59"/>
  <c r="AJ59"/>
  <c r="AI59"/>
  <c r="AH59"/>
  <c r="AV58"/>
  <c r="AU58"/>
  <c r="AT58"/>
  <c r="AS58"/>
  <c r="AR58"/>
  <c r="AQ58"/>
  <c r="AP58"/>
  <c r="AO58"/>
  <c r="AN58"/>
  <c r="AM58"/>
  <c r="AL58"/>
  <c r="AK58"/>
  <c r="AJ58"/>
  <c r="AI58"/>
  <c r="AH58"/>
  <c r="AV57"/>
  <c r="AU57"/>
  <c r="AT57"/>
  <c r="AS57"/>
  <c r="AR57"/>
  <c r="AQ57"/>
  <c r="AP57"/>
  <c r="AO57"/>
  <c r="AN57"/>
  <c r="AM57"/>
  <c r="AL57"/>
  <c r="AK57"/>
  <c r="AJ57"/>
  <c r="AI57"/>
  <c r="AH57"/>
  <c r="AV56"/>
  <c r="AU56"/>
  <c r="AT56"/>
  <c r="AS56"/>
  <c r="AR56"/>
  <c r="AQ56"/>
  <c r="AP56"/>
  <c r="AO56"/>
  <c r="AN56"/>
  <c r="AM56"/>
  <c r="AL56"/>
  <c r="AK56"/>
  <c r="AJ56"/>
  <c r="AI56"/>
  <c r="AH56"/>
  <c r="AV55"/>
  <c r="AU55"/>
  <c r="AT55"/>
  <c r="AS55"/>
  <c r="AR55"/>
  <c r="AQ55"/>
  <c r="AP55"/>
  <c r="AO55"/>
  <c r="AN55"/>
  <c r="AM55"/>
  <c r="AL55"/>
  <c r="AK55"/>
  <c r="AJ55"/>
  <c r="AI55"/>
  <c r="AH55"/>
  <c r="AV54"/>
  <c r="AU54"/>
  <c r="AT54"/>
  <c r="AS54"/>
  <c r="AR54"/>
  <c r="AQ54"/>
  <c r="AP54"/>
  <c r="AO54"/>
  <c r="AN54"/>
  <c r="AM54"/>
  <c r="AL54"/>
  <c r="AK54"/>
  <c r="AJ54"/>
  <c r="AI54"/>
  <c r="AH54"/>
  <c r="AV53"/>
  <c r="AU53"/>
  <c r="AT53"/>
  <c r="AS53"/>
  <c r="AR53"/>
  <c r="AQ53"/>
  <c r="AP53"/>
  <c r="AO53"/>
  <c r="AN53"/>
  <c r="AM53"/>
  <c r="AL53"/>
  <c r="AK53"/>
  <c r="AJ53"/>
  <c r="AI53"/>
  <c r="AH53"/>
  <c r="AV52"/>
  <c r="AU52"/>
  <c r="AT52"/>
  <c r="AS52"/>
  <c r="AR52"/>
  <c r="AQ52"/>
  <c r="AP52"/>
  <c r="AO52"/>
  <c r="AN52"/>
  <c r="AM52"/>
  <c r="AL52"/>
  <c r="AK52"/>
  <c r="AJ52"/>
  <c r="AI52"/>
  <c r="AH52"/>
  <c r="AV51"/>
  <c r="AU51"/>
  <c r="AT51"/>
  <c r="AS51"/>
  <c r="AR51"/>
  <c r="AQ51"/>
  <c r="AP51"/>
  <c r="AO51"/>
  <c r="AN51"/>
  <c r="AM51"/>
  <c r="AL51"/>
  <c r="AK51"/>
  <c r="AJ51"/>
  <c r="AI51"/>
  <c r="AH51"/>
  <c r="AV50"/>
  <c r="AU50"/>
  <c r="AT50"/>
  <c r="AS50"/>
  <c r="AR50"/>
  <c r="AQ50"/>
  <c r="AP50"/>
  <c r="AO50"/>
  <c r="AN50"/>
  <c r="AM50"/>
  <c r="AL50"/>
  <c r="AK50"/>
  <c r="AJ50"/>
  <c r="AI50"/>
  <c r="AH50"/>
  <c r="AV49"/>
  <c r="AU49"/>
  <c r="AT49"/>
  <c r="AS49"/>
  <c r="AR49"/>
  <c r="AQ49"/>
  <c r="AP49"/>
  <c r="AO49"/>
  <c r="AN49"/>
  <c r="AM49"/>
  <c r="AL49"/>
  <c r="AK49"/>
  <c r="AJ49"/>
  <c r="AI49"/>
  <c r="AH49"/>
  <c r="AV48"/>
  <c r="AU48"/>
  <c r="AT48"/>
  <c r="AS48"/>
  <c r="AR48"/>
  <c r="AQ48"/>
  <c r="AP48"/>
  <c r="AO48"/>
  <c r="AN48"/>
  <c r="AM48"/>
  <c r="AL48"/>
  <c r="AK48"/>
  <c r="AJ48"/>
  <c r="AI48"/>
  <c r="AH48"/>
  <c r="AV47"/>
  <c r="AU47"/>
  <c r="AT47"/>
  <c r="AS47"/>
  <c r="AR47"/>
  <c r="AQ47"/>
  <c r="AP47"/>
  <c r="AO47"/>
  <c r="AN47"/>
  <c r="AM47"/>
  <c r="AL47"/>
  <c r="AK47"/>
  <c r="AJ47"/>
  <c r="AI47"/>
  <c r="AH47"/>
  <c r="AV46"/>
  <c r="AU46"/>
  <c r="AT46"/>
  <c r="AS46"/>
  <c r="AR46"/>
  <c r="AQ46"/>
  <c r="AP46"/>
  <c r="AO46"/>
  <c r="AN46"/>
  <c r="AM46"/>
  <c r="AL46"/>
  <c r="AK46"/>
  <c r="AJ46"/>
  <c r="AI46"/>
  <c r="AH46"/>
  <c r="AV45"/>
  <c r="AU45"/>
  <c r="AT45"/>
  <c r="AS45"/>
  <c r="AR45"/>
  <c r="AQ45"/>
  <c r="AP45"/>
  <c r="AO45"/>
  <c r="AN45"/>
  <c r="AM45"/>
  <c r="AL45"/>
  <c r="AK45"/>
  <c r="AJ45"/>
  <c r="AI45"/>
  <c r="AH45"/>
  <c r="AV44"/>
  <c r="AU44"/>
  <c r="AT44"/>
  <c r="AS44"/>
  <c r="AR44"/>
  <c r="AQ44"/>
  <c r="AP44"/>
  <c r="AO44"/>
  <c r="AN44"/>
  <c r="AM44"/>
  <c r="AL44"/>
  <c r="AK44"/>
  <c r="AJ44"/>
  <c r="AI44"/>
  <c r="AH44"/>
  <c r="AV43"/>
  <c r="AU43"/>
  <c r="AT43"/>
  <c r="AS43"/>
  <c r="AR43"/>
  <c r="AQ43"/>
  <c r="AP43"/>
  <c r="AO43"/>
  <c r="AN43"/>
  <c r="AM43"/>
  <c r="AL43"/>
  <c r="AK43"/>
  <c r="AJ43"/>
  <c r="AI43"/>
  <c r="AH43"/>
  <c r="AV42"/>
  <c r="AU42"/>
  <c r="AT42"/>
  <c r="AS42"/>
  <c r="AR42"/>
  <c r="AQ42"/>
  <c r="AP42"/>
  <c r="AO42"/>
  <c r="AN42"/>
  <c r="AM42"/>
  <c r="AL42"/>
  <c r="AK42"/>
  <c r="AJ42"/>
  <c r="AI42"/>
  <c r="AH42"/>
  <c r="AV41"/>
  <c r="AU41"/>
  <c r="AT41"/>
  <c r="AS41"/>
  <c r="AR41"/>
  <c r="AQ41"/>
  <c r="AP41"/>
  <c r="AO41"/>
  <c r="AN41"/>
  <c r="AM41"/>
  <c r="AL41"/>
  <c r="AK41"/>
  <c r="AJ41"/>
  <c r="AI41"/>
  <c r="AH41"/>
  <c r="AV40"/>
  <c r="AU40"/>
  <c r="AT40"/>
  <c r="AS40"/>
  <c r="AR40"/>
  <c r="AQ40"/>
  <c r="AP40"/>
  <c r="AO40"/>
  <c r="AN40"/>
  <c r="AM40"/>
  <c r="AL40"/>
  <c r="AK40"/>
  <c r="AJ40"/>
  <c r="AI40"/>
  <c r="AH40"/>
  <c r="AV39"/>
  <c r="AU39"/>
  <c r="AT39"/>
  <c r="AS39"/>
  <c r="AR39"/>
  <c r="AQ39"/>
  <c r="AP39"/>
  <c r="AO39"/>
  <c r="AN39"/>
  <c r="AM39"/>
  <c r="AL39"/>
  <c r="AK39"/>
  <c r="AJ39"/>
  <c r="AI39"/>
  <c r="AH39"/>
  <c r="AV38"/>
  <c r="AU38"/>
  <c r="AT38"/>
  <c r="AS38"/>
  <c r="AR38"/>
  <c r="AQ38"/>
  <c r="AP38"/>
  <c r="AO38"/>
  <c r="AN38"/>
  <c r="AM38"/>
  <c r="AL38"/>
  <c r="AK38"/>
  <c r="AJ38"/>
  <c r="AI38"/>
  <c r="AH38"/>
  <c r="AV37"/>
  <c r="AU37"/>
  <c r="AT37"/>
  <c r="AS37"/>
  <c r="AR37"/>
  <c r="AQ37"/>
  <c r="AP37"/>
  <c r="AO37"/>
  <c r="AN37"/>
  <c r="AM37"/>
  <c r="AL37"/>
  <c r="AK37"/>
  <c r="AJ37"/>
  <c r="AI37"/>
  <c r="AH37"/>
  <c r="AV36"/>
  <c r="AU36"/>
  <c r="AT36"/>
  <c r="AS36"/>
  <c r="AR36"/>
  <c r="AQ36"/>
  <c r="AP36"/>
  <c r="AO36"/>
  <c r="AN36"/>
  <c r="AM36"/>
  <c r="AL36"/>
  <c r="AK36"/>
  <c r="AJ36"/>
  <c r="AI36"/>
  <c r="AH36"/>
  <c r="AV35"/>
  <c r="AU35"/>
  <c r="AT35"/>
  <c r="AS35"/>
  <c r="AR35"/>
  <c r="AQ35"/>
  <c r="AP35"/>
  <c r="AO35"/>
  <c r="AN35"/>
  <c r="AM35"/>
  <c r="AL35"/>
  <c r="AK35"/>
  <c r="AJ35"/>
  <c r="AI35"/>
  <c r="AH35"/>
  <c r="AV34"/>
  <c r="AU34"/>
  <c r="AT34"/>
  <c r="AS34"/>
  <c r="AR34"/>
  <c r="AQ34"/>
  <c r="AP34"/>
  <c r="AO34"/>
  <c r="AN34"/>
  <c r="AM34"/>
  <c r="AL34"/>
  <c r="AK34"/>
  <c r="AJ34"/>
  <c r="AI34"/>
  <c r="AH34"/>
  <c r="AV33"/>
  <c r="AU33"/>
  <c r="AT33"/>
  <c r="AS33"/>
  <c r="AR33"/>
  <c r="AQ33"/>
  <c r="AP33"/>
  <c r="AO33"/>
  <c r="AN33"/>
  <c r="AM33"/>
  <c r="AL33"/>
  <c r="AK33"/>
  <c r="AJ33"/>
  <c r="AI33"/>
  <c r="AH33"/>
  <c r="AV32"/>
  <c r="AU32"/>
  <c r="AT32"/>
  <c r="AS32"/>
  <c r="AR32"/>
  <c r="AQ32"/>
  <c r="AP32"/>
  <c r="AO32"/>
  <c r="AN32"/>
  <c r="AM32"/>
  <c r="AL32"/>
  <c r="AK32"/>
  <c r="AJ32"/>
  <c r="AI32"/>
  <c r="AH32"/>
  <c r="AV31"/>
  <c r="AU31"/>
  <c r="AT31"/>
  <c r="AS31"/>
  <c r="AR31"/>
  <c r="AQ31"/>
  <c r="AP31"/>
  <c r="AO31"/>
  <c r="AN31"/>
  <c r="AM31"/>
  <c r="AL31"/>
  <c r="AK31"/>
  <c r="AJ31"/>
  <c r="AI31"/>
  <c r="AH31"/>
  <c r="AV30"/>
  <c r="AU30"/>
  <c r="AT30"/>
  <c r="AS30"/>
  <c r="AR30"/>
  <c r="AQ30"/>
  <c r="AP30"/>
  <c r="AO30"/>
  <c r="AN30"/>
  <c r="AM30"/>
  <c r="AL30"/>
  <c r="AK30"/>
  <c r="AJ30"/>
  <c r="AI30"/>
  <c r="AH30"/>
  <c r="AV29"/>
  <c r="AU29"/>
  <c r="AT29"/>
  <c r="AS29"/>
  <c r="AR29"/>
  <c r="AQ29"/>
  <c r="AP29"/>
  <c r="AO29"/>
  <c r="AN29"/>
  <c r="AM29"/>
  <c r="AL29"/>
  <c r="AK29"/>
  <c r="AJ29"/>
  <c r="AI29"/>
  <c r="AH29"/>
  <c r="AV28"/>
  <c r="AU28"/>
  <c r="AT28"/>
  <c r="AS28"/>
  <c r="AR28"/>
  <c r="AQ28"/>
  <c r="AP28"/>
  <c r="AO28"/>
  <c r="AN28"/>
  <c r="AM28"/>
  <c r="AL28"/>
  <c r="AK28"/>
  <c r="AJ28"/>
  <c r="AI28"/>
  <c r="AH28"/>
  <c r="AV27"/>
  <c r="AU27"/>
  <c r="AT27"/>
  <c r="AS27"/>
  <c r="AR27"/>
  <c r="AQ27"/>
  <c r="AP27"/>
  <c r="AO27"/>
  <c r="AN27"/>
  <c r="AM27"/>
  <c r="AL27"/>
  <c r="AK27"/>
  <c r="AJ27"/>
  <c r="AI27"/>
  <c r="AH27"/>
  <c r="AV26"/>
  <c r="AU26"/>
  <c r="AT26"/>
  <c r="AS26"/>
  <c r="AR26"/>
  <c r="AQ26"/>
  <c r="AP26"/>
  <c r="AO26"/>
  <c r="AN26"/>
  <c r="AM26"/>
  <c r="AL26"/>
  <c r="AK26"/>
  <c r="AJ26"/>
  <c r="AI26"/>
  <c r="AH26"/>
  <c r="AV25"/>
  <c r="AU25"/>
  <c r="AT25"/>
  <c r="AS25"/>
  <c r="AR25"/>
  <c r="AQ25"/>
  <c r="AP25"/>
  <c r="AO25"/>
  <c r="AN25"/>
  <c r="AM25"/>
  <c r="AL25"/>
  <c r="AK25"/>
  <c r="AJ25"/>
  <c r="AI25"/>
  <c r="AH25"/>
  <c r="AV24"/>
  <c r="AU24"/>
  <c r="AT24"/>
  <c r="AS24"/>
  <c r="AR24"/>
  <c r="AQ24"/>
  <c r="AP24"/>
  <c r="AO24"/>
  <c r="AN24"/>
  <c r="AM24"/>
  <c r="AL24"/>
  <c r="AK24"/>
  <c r="AJ24"/>
  <c r="AI24"/>
  <c r="AH24"/>
  <c r="AV23"/>
  <c r="AU23"/>
  <c r="AT23"/>
  <c r="AS23"/>
  <c r="AR23"/>
  <c r="AQ23"/>
  <c r="AP23"/>
  <c r="AO23"/>
  <c r="AN23"/>
  <c r="AM23"/>
  <c r="AL23"/>
  <c r="AK23"/>
  <c r="AJ23"/>
  <c r="AI23"/>
  <c r="AH23"/>
  <c r="AV22"/>
  <c r="AU22"/>
  <c r="AT22"/>
  <c r="AS22"/>
  <c r="AR22"/>
  <c r="AQ22"/>
  <c r="AP22"/>
  <c r="AO22"/>
  <c r="AN22"/>
  <c r="AM22"/>
  <c r="AL22"/>
  <c r="AK22"/>
  <c r="AJ22"/>
  <c r="AI22"/>
  <c r="AH22"/>
  <c r="AV21"/>
  <c r="AU21"/>
  <c r="AT21"/>
  <c r="AS21"/>
  <c r="AR21"/>
  <c r="AQ21"/>
  <c r="AP21"/>
  <c r="AO21"/>
  <c r="AN21"/>
  <c r="AM21"/>
  <c r="AL21"/>
  <c r="AK21"/>
  <c r="AJ21"/>
  <c r="AI21"/>
  <c r="AH21"/>
  <c r="AV20"/>
  <c r="AU20"/>
  <c r="AT20"/>
  <c r="AS20"/>
  <c r="AR20"/>
  <c r="AQ20"/>
  <c r="AP20"/>
  <c r="AO20"/>
  <c r="AN20"/>
  <c r="AM20"/>
  <c r="AL20"/>
  <c r="AK20"/>
  <c r="AJ20"/>
  <c r="AI20"/>
  <c r="AH20"/>
  <c r="AV19"/>
  <c r="AU19"/>
  <c r="AT19"/>
  <c r="AS19"/>
  <c r="AR19"/>
  <c r="AQ19"/>
  <c r="AP19"/>
  <c r="AO19"/>
  <c r="AN19"/>
  <c r="AM19"/>
  <c r="AL19"/>
  <c r="AK19"/>
  <c r="AJ19"/>
  <c r="AI19"/>
  <c r="AH19"/>
  <c r="AB17"/>
  <c r="AB172" s="1"/>
  <c r="AA17"/>
  <c r="AA172" s="1"/>
  <c r="Z17"/>
  <c r="Z172" s="1"/>
  <c r="Y17"/>
  <c r="Y172" s="1"/>
  <c r="X17"/>
  <c r="X172" s="1"/>
  <c r="W17"/>
  <c r="W172" s="1"/>
  <c r="V17"/>
  <c r="V172" s="1"/>
  <c r="U17"/>
  <c r="U172" s="1"/>
  <c r="T17"/>
  <c r="T172" s="1"/>
  <c r="S17"/>
  <c r="S172" s="1"/>
  <c r="R17"/>
  <c r="R172" s="1"/>
  <c r="Q17"/>
  <c r="Q172" s="1"/>
  <c r="P17"/>
  <c r="P172" s="1"/>
  <c r="O17"/>
  <c r="O172" s="1"/>
  <c r="N17"/>
  <c r="N172" s="1"/>
  <c r="M17"/>
  <c r="M172" s="1"/>
  <c r="L17"/>
  <c r="L172" s="1"/>
  <c r="K17"/>
  <c r="K172" s="1"/>
  <c r="J17"/>
  <c r="J172" s="1"/>
  <c r="I17"/>
  <c r="I172" s="1"/>
  <c r="H17"/>
  <c r="H172" s="1"/>
  <c r="G17"/>
  <c r="G172" s="1"/>
  <c r="F17"/>
  <c r="F172" s="1"/>
  <c r="E17"/>
  <c r="D17"/>
  <c r="E175" i="6" l="1"/>
  <c r="E174"/>
  <c r="S178" i="14"/>
  <c r="R178"/>
  <c r="T179"/>
  <c r="AB176"/>
  <c r="U179"/>
  <c r="N176"/>
  <c r="V180"/>
  <c r="O176"/>
  <c r="W180"/>
  <c r="P177"/>
  <c r="X177"/>
  <c r="Q177"/>
  <c r="Y178"/>
  <c r="AQ172" i="17"/>
  <c r="T143" i="1" s="1"/>
  <c r="T142" i="13"/>
  <c r="U143"/>
  <c r="U143" i="1"/>
  <c r="U142" i="13"/>
  <c r="U142" i="1"/>
  <c r="S142" i="13"/>
  <c r="AP172" i="17"/>
  <c r="V142" i="13"/>
  <c r="AS172" i="17"/>
  <c r="R142" i="13"/>
  <c r="AO172" i="17"/>
  <c r="F173" i="14"/>
  <c r="F177" s="1"/>
  <c r="J173"/>
  <c r="D173"/>
  <c r="G173"/>
  <c r="G177" s="1"/>
  <c r="K173"/>
  <c r="K179" s="1"/>
  <c r="H173"/>
  <c r="H178" s="1"/>
  <c r="L173"/>
  <c r="L180" s="1"/>
  <c r="AW39"/>
  <c r="AC39" s="1"/>
  <c r="AW111"/>
  <c r="AC111" s="1"/>
  <c r="AW143"/>
  <c r="AC143" s="1"/>
  <c r="AW168"/>
  <c r="AC168" s="1"/>
  <c r="AW31"/>
  <c r="AC31" s="1"/>
  <c r="AW79"/>
  <c r="AC79" s="1"/>
  <c r="AW41"/>
  <c r="AC41" s="1"/>
  <c r="AW42"/>
  <c r="AC42" s="1"/>
  <c r="AW49"/>
  <c r="AC49" s="1"/>
  <c r="AW50"/>
  <c r="AC50" s="1"/>
  <c r="AW53"/>
  <c r="AC53" s="1"/>
  <c r="AW81"/>
  <c r="AC81" s="1"/>
  <c r="AW82"/>
  <c r="AC82" s="1"/>
  <c r="AW85"/>
  <c r="AC85" s="1"/>
  <c r="AW113"/>
  <c r="AC113" s="1"/>
  <c r="AW114"/>
  <c r="AC114" s="1"/>
  <c r="AW117"/>
  <c r="AC117" s="1"/>
  <c r="AW145"/>
  <c r="AC145" s="1"/>
  <c r="AW146"/>
  <c r="AC146" s="1"/>
  <c r="AW149"/>
  <c r="AC149" s="1"/>
  <c r="AW151"/>
  <c r="AC151" s="1"/>
  <c r="AW55"/>
  <c r="AC55" s="1"/>
  <c r="AW56"/>
  <c r="AC56" s="1"/>
  <c r="AW60"/>
  <c r="AC60" s="1"/>
  <c r="AW62"/>
  <c r="AC62" s="1"/>
  <c r="AW87"/>
  <c r="AC87" s="1"/>
  <c r="AW88"/>
  <c r="AC88" s="1"/>
  <c r="AW92"/>
  <c r="AC92" s="1"/>
  <c r="AW94"/>
  <c r="AC94" s="1"/>
  <c r="AW119"/>
  <c r="AC119" s="1"/>
  <c r="AW124"/>
  <c r="AC124" s="1"/>
  <c r="AW126"/>
  <c r="AC126" s="1"/>
  <c r="AW158"/>
  <c r="AC158" s="1"/>
  <c r="AW23"/>
  <c r="AC23" s="1"/>
  <c r="AW63"/>
  <c r="AC63" s="1"/>
  <c r="AW67"/>
  <c r="AC67" s="1"/>
  <c r="AW71"/>
  <c r="AC71" s="1"/>
  <c r="AW95"/>
  <c r="AC95" s="1"/>
  <c r="AW99"/>
  <c r="AC99" s="1"/>
  <c r="AW103"/>
  <c r="AC103" s="1"/>
  <c r="AW127"/>
  <c r="AC127" s="1"/>
  <c r="AW131"/>
  <c r="AC131" s="1"/>
  <c r="AW135"/>
  <c r="AC135" s="1"/>
  <c r="AW159"/>
  <c r="AC159" s="1"/>
  <c r="AW163"/>
  <c r="AC163" s="1"/>
  <c r="AW167"/>
  <c r="AC167" s="1"/>
  <c r="I173"/>
  <c r="M173"/>
  <c r="M180" s="1"/>
  <c r="AW19"/>
  <c r="AC19" s="1"/>
  <c r="AW25"/>
  <c r="AC25" s="1"/>
  <c r="AW29"/>
  <c r="AC29" s="1"/>
  <c r="AW33"/>
  <c r="AC33" s="1"/>
  <c r="AW34"/>
  <c r="AC34" s="1"/>
  <c r="AW37"/>
  <c r="AC37" s="1"/>
  <c r="AW40"/>
  <c r="AC40" s="1"/>
  <c r="AW44"/>
  <c r="AC44" s="1"/>
  <c r="AW46"/>
  <c r="AC46" s="1"/>
  <c r="AW48"/>
  <c r="AC48" s="1"/>
  <c r="AW52"/>
  <c r="AC52" s="1"/>
  <c r="AW54"/>
  <c r="AC54" s="1"/>
  <c r="AW59"/>
  <c r="AC59" s="1"/>
  <c r="AW73"/>
  <c r="AC73" s="1"/>
  <c r="AW74"/>
  <c r="AC74" s="1"/>
  <c r="AW77"/>
  <c r="AC77" s="1"/>
  <c r="AW80"/>
  <c r="AC80" s="1"/>
  <c r="AW84"/>
  <c r="AC84" s="1"/>
  <c r="AW86"/>
  <c r="AC86" s="1"/>
  <c r="AW91"/>
  <c r="AC91" s="1"/>
  <c r="AW105"/>
  <c r="AC105" s="1"/>
  <c r="AW106"/>
  <c r="AC106" s="1"/>
  <c r="AW109"/>
  <c r="AC109" s="1"/>
  <c r="AW112"/>
  <c r="AC112" s="1"/>
  <c r="AW116"/>
  <c r="AC116" s="1"/>
  <c r="AW118"/>
  <c r="AC118" s="1"/>
  <c r="AW123"/>
  <c r="AC123" s="1"/>
  <c r="AW137"/>
  <c r="AC137" s="1"/>
  <c r="AW138"/>
  <c r="AC138" s="1"/>
  <c r="AW141"/>
  <c r="AC141" s="1"/>
  <c r="AW148"/>
  <c r="AC148" s="1"/>
  <c r="AW150"/>
  <c r="AC150" s="1"/>
  <c r="AW155"/>
  <c r="AC155" s="1"/>
  <c r="AW160"/>
  <c r="AC160" s="1"/>
  <c r="AW164"/>
  <c r="AC164" s="1"/>
  <c r="AW120"/>
  <c r="AC120" s="1"/>
  <c r="AW20"/>
  <c r="AC20" s="1"/>
  <c r="AW22"/>
  <c r="AC22" s="1"/>
  <c r="AW27"/>
  <c r="AC27" s="1"/>
  <c r="AW35"/>
  <c r="AC35" s="1"/>
  <c r="AW47"/>
  <c r="AC47" s="1"/>
  <c r="AW57"/>
  <c r="AC57" s="1"/>
  <c r="AW58"/>
  <c r="AC58" s="1"/>
  <c r="AW61"/>
  <c r="AC61" s="1"/>
  <c r="AW64"/>
  <c r="AC64" s="1"/>
  <c r="AW68"/>
  <c r="AC68" s="1"/>
  <c r="AW70"/>
  <c r="AC70" s="1"/>
  <c r="AW75"/>
  <c r="AC75" s="1"/>
  <c r="AW89"/>
  <c r="AC89" s="1"/>
  <c r="AW90"/>
  <c r="AC90" s="1"/>
  <c r="AW93"/>
  <c r="AC93" s="1"/>
  <c r="AW96"/>
  <c r="AC96" s="1"/>
  <c r="AW100"/>
  <c r="AC100" s="1"/>
  <c r="AW102"/>
  <c r="AC102" s="1"/>
  <c r="AW107"/>
  <c r="AC107" s="1"/>
  <c r="AW121"/>
  <c r="AC121" s="1"/>
  <c r="AW122"/>
  <c r="AC122" s="1"/>
  <c r="AW125"/>
  <c r="AC125" s="1"/>
  <c r="AW128"/>
  <c r="AC128" s="1"/>
  <c r="AW132"/>
  <c r="AC132" s="1"/>
  <c r="AW134"/>
  <c r="AC134" s="1"/>
  <c r="AW139"/>
  <c r="AC139" s="1"/>
  <c r="AW144"/>
  <c r="AC144" s="1"/>
  <c r="AW153"/>
  <c r="AC153" s="1"/>
  <c r="AW154"/>
  <c r="AC154" s="1"/>
  <c r="AW157"/>
  <c r="AC157" s="1"/>
  <c r="AW166"/>
  <c r="AC166" s="1"/>
  <c r="E172"/>
  <c r="E173" s="1"/>
  <c r="E176" s="1"/>
  <c r="AW45"/>
  <c r="AC45" s="1"/>
  <c r="AW21"/>
  <c r="AC21" s="1"/>
  <c r="AW24"/>
  <c r="AC24" s="1"/>
  <c r="AW26"/>
  <c r="AC26" s="1"/>
  <c r="AW28"/>
  <c r="AC28" s="1"/>
  <c r="AW30"/>
  <c r="AC30" s="1"/>
  <c r="AW32"/>
  <c r="AC32" s="1"/>
  <c r="AW36"/>
  <c r="AC36" s="1"/>
  <c r="AW38"/>
  <c r="AC38" s="1"/>
  <c r="AW43"/>
  <c r="AC43" s="1"/>
  <c r="AW51"/>
  <c r="AC51" s="1"/>
  <c r="AW65"/>
  <c r="AC65" s="1"/>
  <c r="AW66"/>
  <c r="AC66" s="1"/>
  <c r="AW69"/>
  <c r="AC69" s="1"/>
  <c r="AW72"/>
  <c r="AC72" s="1"/>
  <c r="AW76"/>
  <c r="AC76" s="1"/>
  <c r="AW78"/>
  <c r="AC78" s="1"/>
  <c r="AW83"/>
  <c r="AC83" s="1"/>
  <c r="AW97"/>
  <c r="AC97" s="1"/>
  <c r="AW98"/>
  <c r="AC98" s="1"/>
  <c r="AW101"/>
  <c r="AC101" s="1"/>
  <c r="AW104"/>
  <c r="AC104" s="1"/>
  <c r="AW108"/>
  <c r="AC108" s="1"/>
  <c r="AW110"/>
  <c r="AC110" s="1"/>
  <c r="AW115"/>
  <c r="AC115" s="1"/>
  <c r="AW129"/>
  <c r="AC129" s="1"/>
  <c r="AW130"/>
  <c r="AC130" s="1"/>
  <c r="AW133"/>
  <c r="AC133" s="1"/>
  <c r="AW136"/>
  <c r="AC136" s="1"/>
  <c r="AW140"/>
  <c r="AC140" s="1"/>
  <c r="AW142"/>
  <c r="AC142" s="1"/>
  <c r="AW147"/>
  <c r="AC147" s="1"/>
  <c r="AW152"/>
  <c r="AC152" s="1"/>
  <c r="AW156"/>
  <c r="AC156" s="1"/>
  <c r="AW161"/>
  <c r="AC161" s="1"/>
  <c r="AW162"/>
  <c r="AC162" s="1"/>
  <c r="AW165"/>
  <c r="AC165" s="1"/>
  <c r="I178" l="1"/>
  <c r="I176"/>
  <c r="J179"/>
  <c r="J176"/>
  <c r="D181"/>
  <c r="D176"/>
  <c r="AB180"/>
  <c r="AB181"/>
  <c r="X176"/>
  <c r="X181"/>
  <c r="AA179"/>
  <c r="AA180"/>
  <c r="Y177"/>
  <c r="I185" s="1"/>
  <c r="Y181"/>
  <c r="Z178"/>
  <c r="Z180"/>
  <c r="T143" i="13"/>
  <c r="R143"/>
  <c r="AU172" i="17"/>
  <c r="AT172"/>
  <c r="R143" i="1"/>
  <c r="V143" i="13"/>
  <c r="V143" i="1"/>
  <c r="S143"/>
  <c r="S143" i="13"/>
  <c r="K211"/>
  <c r="P132" s="1"/>
  <c r="K188"/>
  <c r="K187"/>
  <c r="K186"/>
  <c r="K185"/>
  <c r="K184"/>
  <c r="M179"/>
  <c r="L179"/>
  <c r="K179"/>
  <c r="J179"/>
  <c r="F179"/>
  <c r="E179"/>
  <c r="D179"/>
  <c r="O178"/>
  <c r="J178"/>
  <c r="I178"/>
  <c r="D178"/>
  <c r="O177"/>
  <c r="M177"/>
  <c r="I177"/>
  <c r="H177"/>
  <c r="G177"/>
  <c r="N176"/>
  <c r="J176"/>
  <c r="H176"/>
  <c r="D176"/>
  <c r="O175"/>
  <c r="N175"/>
  <c r="M175"/>
  <c r="L175"/>
  <c r="K175"/>
  <c r="H175"/>
  <c r="G175"/>
  <c r="E175"/>
  <c r="B173"/>
  <c r="B172"/>
  <c r="AD169"/>
  <c r="AC169"/>
  <c r="AB169"/>
  <c r="AA169"/>
  <c r="Z169"/>
  <c r="Y169"/>
  <c r="AD168"/>
  <c r="AC168"/>
  <c r="AB168"/>
  <c r="AA168"/>
  <c r="Z168"/>
  <c r="Y168"/>
  <c r="AD167"/>
  <c r="AC167"/>
  <c r="AB167"/>
  <c r="AA167"/>
  <c r="Z167"/>
  <c r="Y167"/>
  <c r="AD166"/>
  <c r="AC166"/>
  <c r="AB166"/>
  <c r="AA166"/>
  <c r="Z166"/>
  <c r="Y166"/>
  <c r="AD165"/>
  <c r="AC165"/>
  <c r="AB165"/>
  <c r="AA165"/>
  <c r="Z165"/>
  <c r="Y165"/>
  <c r="AD164"/>
  <c r="AC164"/>
  <c r="AB164"/>
  <c r="AA164"/>
  <c r="Z164"/>
  <c r="Y164"/>
  <c r="AD163"/>
  <c r="AC163"/>
  <c r="AB163"/>
  <c r="AA163"/>
  <c r="Z163"/>
  <c r="Y163"/>
  <c r="AD162"/>
  <c r="AC162"/>
  <c r="AB162"/>
  <c r="AA162"/>
  <c r="Z162"/>
  <c r="Y162"/>
  <c r="AD161"/>
  <c r="AC161"/>
  <c r="AB161"/>
  <c r="AA161"/>
  <c r="Z161"/>
  <c r="Y161"/>
  <c r="AD160"/>
  <c r="AC160"/>
  <c r="AB160"/>
  <c r="AA160"/>
  <c r="Z160"/>
  <c r="Y160"/>
  <c r="AD159"/>
  <c r="AC159"/>
  <c r="AB159"/>
  <c r="AA159"/>
  <c r="Z159"/>
  <c r="Y159"/>
  <c r="AD158"/>
  <c r="AC158"/>
  <c r="AB158"/>
  <c r="AA158"/>
  <c r="Z158"/>
  <c r="Y158"/>
  <c r="AD157"/>
  <c r="AC157"/>
  <c r="AB157"/>
  <c r="AA157"/>
  <c r="Z157"/>
  <c r="Y157"/>
  <c r="AD156"/>
  <c r="AC156"/>
  <c r="AB156"/>
  <c r="AA156"/>
  <c r="Z156"/>
  <c r="Y156"/>
  <c r="AD155"/>
  <c r="AC155"/>
  <c r="AB155"/>
  <c r="AA155"/>
  <c r="Z155"/>
  <c r="Y155"/>
  <c r="AD154"/>
  <c r="AC154"/>
  <c r="AB154"/>
  <c r="AA154"/>
  <c r="Z154"/>
  <c r="Y154"/>
  <c r="AD153"/>
  <c r="AC153"/>
  <c r="AB153"/>
  <c r="AA153"/>
  <c r="Z153"/>
  <c r="Y153"/>
  <c r="AD152"/>
  <c r="AC152"/>
  <c r="AB152"/>
  <c r="AA152"/>
  <c r="Z152"/>
  <c r="Y152"/>
  <c r="AD151"/>
  <c r="AC151"/>
  <c r="AB151"/>
  <c r="AA151"/>
  <c r="Z151"/>
  <c r="Y151"/>
  <c r="AD150"/>
  <c r="AC150"/>
  <c r="AB150"/>
  <c r="AA150"/>
  <c r="Z150"/>
  <c r="Y150"/>
  <c r="AD149"/>
  <c r="AC149"/>
  <c r="AB149"/>
  <c r="AA149"/>
  <c r="Z149"/>
  <c r="Y149"/>
  <c r="AD148"/>
  <c r="AC148"/>
  <c r="AB148"/>
  <c r="AA148"/>
  <c r="Z148"/>
  <c r="Y148"/>
  <c r="AD147"/>
  <c r="AC147"/>
  <c r="AB147"/>
  <c r="AA147"/>
  <c r="Z147"/>
  <c r="Y147"/>
  <c r="AD146"/>
  <c r="AC146"/>
  <c r="AB146"/>
  <c r="AA146"/>
  <c r="Z146"/>
  <c r="Y146"/>
  <c r="AD145"/>
  <c r="AC145"/>
  <c r="AB145"/>
  <c r="AA145"/>
  <c r="Z145"/>
  <c r="Y145"/>
  <c r="AD144"/>
  <c r="AC144"/>
  <c r="AB144"/>
  <c r="AA144"/>
  <c r="Z144"/>
  <c r="Y144"/>
  <c r="AD143"/>
  <c r="AC143"/>
  <c r="AB143"/>
  <c r="AA143"/>
  <c r="Z143"/>
  <c r="Y143"/>
  <c r="AD142"/>
  <c r="AC142"/>
  <c r="AB142"/>
  <c r="AA142"/>
  <c r="Z142"/>
  <c r="Y142"/>
  <c r="AD141"/>
  <c r="AC141"/>
  <c r="AB141"/>
  <c r="AA141"/>
  <c r="Z141"/>
  <c r="Y141"/>
  <c r="AD140"/>
  <c r="AC140"/>
  <c r="AB140"/>
  <c r="AA140"/>
  <c r="Z140"/>
  <c r="Y140"/>
  <c r="AD139"/>
  <c r="AC139"/>
  <c r="AB139"/>
  <c r="AA139"/>
  <c r="Z139"/>
  <c r="Y139"/>
  <c r="AD138"/>
  <c r="AC138"/>
  <c r="AB138"/>
  <c r="AA138"/>
  <c r="Z138"/>
  <c r="Y138"/>
  <c r="AD137"/>
  <c r="AC137"/>
  <c r="AB137"/>
  <c r="AA137"/>
  <c r="Z137"/>
  <c r="Y137"/>
  <c r="AD136"/>
  <c r="AC136"/>
  <c r="AB136"/>
  <c r="AA136"/>
  <c r="Z136"/>
  <c r="Y136"/>
  <c r="AD135"/>
  <c r="AC135"/>
  <c r="AB135"/>
  <c r="AA135"/>
  <c r="Z135"/>
  <c r="Y135"/>
  <c r="AD134"/>
  <c r="AC134"/>
  <c r="AB134"/>
  <c r="AA134"/>
  <c r="Z134"/>
  <c r="Y134"/>
  <c r="AD133"/>
  <c r="AC133"/>
  <c r="AB133"/>
  <c r="AA133"/>
  <c r="Z133"/>
  <c r="Y133"/>
  <c r="AD132"/>
  <c r="AC132"/>
  <c r="AB132"/>
  <c r="AA132"/>
  <c r="Z132"/>
  <c r="Y132"/>
  <c r="AD131"/>
  <c r="AC131"/>
  <c r="AB131"/>
  <c r="AA131"/>
  <c r="Z131"/>
  <c r="Y131"/>
  <c r="AD130"/>
  <c r="AC130"/>
  <c r="AB130"/>
  <c r="AA130"/>
  <c r="Z130"/>
  <c r="Y130"/>
  <c r="AD129"/>
  <c r="AC129"/>
  <c r="AB129"/>
  <c r="AA129"/>
  <c r="Z129"/>
  <c r="Y129"/>
  <c r="AD128"/>
  <c r="AC128"/>
  <c r="AB128"/>
  <c r="AA128"/>
  <c r="Z128"/>
  <c r="Y128"/>
  <c r="AD127"/>
  <c r="AC127"/>
  <c r="AB127"/>
  <c r="AA127"/>
  <c r="Z127"/>
  <c r="Y127"/>
  <c r="AD126"/>
  <c r="AC126"/>
  <c r="AB126"/>
  <c r="AA126"/>
  <c r="Z126"/>
  <c r="Y126"/>
  <c r="AD125"/>
  <c r="AC125"/>
  <c r="AB125"/>
  <c r="AA125"/>
  <c r="Z125"/>
  <c r="Y125"/>
  <c r="AD124"/>
  <c r="AC124"/>
  <c r="AB124"/>
  <c r="AA124"/>
  <c r="Z124"/>
  <c r="Y124"/>
  <c r="AD123"/>
  <c r="AC123"/>
  <c r="AB123"/>
  <c r="AA123"/>
  <c r="Z123"/>
  <c r="Y123"/>
  <c r="AD122"/>
  <c r="AC122"/>
  <c r="AB122"/>
  <c r="AA122"/>
  <c r="Z122"/>
  <c r="Y122"/>
  <c r="AD121"/>
  <c r="AC121"/>
  <c r="AB121"/>
  <c r="AA121"/>
  <c r="Z121"/>
  <c r="Y121"/>
  <c r="AD120"/>
  <c r="AC120"/>
  <c r="AB120"/>
  <c r="AA120"/>
  <c r="Z120"/>
  <c r="Y120"/>
  <c r="AD119"/>
  <c r="AC119"/>
  <c r="AB119"/>
  <c r="AA119"/>
  <c r="Z119"/>
  <c r="Y119"/>
  <c r="AD118"/>
  <c r="AC118"/>
  <c r="AB118"/>
  <c r="AA118"/>
  <c r="Z118"/>
  <c r="Y118"/>
  <c r="AD117"/>
  <c r="AC117"/>
  <c r="AB117"/>
  <c r="AA117"/>
  <c r="Z117"/>
  <c r="Y117"/>
  <c r="AD116"/>
  <c r="AC116"/>
  <c r="AB116"/>
  <c r="AA116"/>
  <c r="Z116"/>
  <c r="Y116"/>
  <c r="AD115"/>
  <c r="AC115"/>
  <c r="AB115"/>
  <c r="AA115"/>
  <c r="Z115"/>
  <c r="Y115"/>
  <c r="AD114"/>
  <c r="AC114"/>
  <c r="AB114"/>
  <c r="AA114"/>
  <c r="Z114"/>
  <c r="Y114"/>
  <c r="AD113"/>
  <c r="AC113"/>
  <c r="AB113"/>
  <c r="AA113"/>
  <c r="Z113"/>
  <c r="Y113"/>
  <c r="AD112"/>
  <c r="AC112"/>
  <c r="AB112"/>
  <c r="AA112"/>
  <c r="Z112"/>
  <c r="Y112"/>
  <c r="AD111"/>
  <c r="AC111"/>
  <c r="AB111"/>
  <c r="AA111"/>
  <c r="Z111"/>
  <c r="Y111"/>
  <c r="AD110"/>
  <c r="AC110"/>
  <c r="AB110"/>
  <c r="AA110"/>
  <c r="Z110"/>
  <c r="Y110"/>
  <c r="AD109"/>
  <c r="AC109"/>
  <c r="AB109"/>
  <c r="AA109"/>
  <c r="Z109"/>
  <c r="Y109"/>
  <c r="AD108"/>
  <c r="AC108"/>
  <c r="AB108"/>
  <c r="AA108"/>
  <c r="Z108"/>
  <c r="Y108"/>
  <c r="AD107"/>
  <c r="AC107"/>
  <c r="AB107"/>
  <c r="AA107"/>
  <c r="Z107"/>
  <c r="Y107"/>
  <c r="AD106"/>
  <c r="AC106"/>
  <c r="AB106"/>
  <c r="AA106"/>
  <c r="Z106"/>
  <c r="Y106"/>
  <c r="AD105"/>
  <c r="AC105"/>
  <c r="AB105"/>
  <c r="AA105"/>
  <c r="Z105"/>
  <c r="Y105"/>
  <c r="AD104"/>
  <c r="AC104"/>
  <c r="AB104"/>
  <c r="AA104"/>
  <c r="Z104"/>
  <c r="Y104"/>
  <c r="AD103"/>
  <c r="AC103"/>
  <c r="AB103"/>
  <c r="AA103"/>
  <c r="Z103"/>
  <c r="Y103"/>
  <c r="AD102"/>
  <c r="AC102"/>
  <c r="AB102"/>
  <c r="AA102"/>
  <c r="Z102"/>
  <c r="Y102"/>
  <c r="AD101"/>
  <c r="AC101"/>
  <c r="AB101"/>
  <c r="AA101"/>
  <c r="Z101"/>
  <c r="Y101"/>
  <c r="AD100"/>
  <c r="AC100"/>
  <c r="AB100"/>
  <c r="AA100"/>
  <c r="Z100"/>
  <c r="Y100"/>
  <c r="AD99"/>
  <c r="AC99"/>
  <c r="AB99"/>
  <c r="AA99"/>
  <c r="Z99"/>
  <c r="Y99"/>
  <c r="AD98"/>
  <c r="AC98"/>
  <c r="AB98"/>
  <c r="AA98"/>
  <c r="Z98"/>
  <c r="Y98"/>
  <c r="AD97"/>
  <c r="AC97"/>
  <c r="AB97"/>
  <c r="AA97"/>
  <c r="Z97"/>
  <c r="Y97"/>
  <c r="AD96"/>
  <c r="AC96"/>
  <c r="AB96"/>
  <c r="AA96"/>
  <c r="Z96"/>
  <c r="Y96"/>
  <c r="AD95"/>
  <c r="AC95"/>
  <c r="AB95"/>
  <c r="AA95"/>
  <c r="Z95"/>
  <c r="Y95"/>
  <c r="AD94"/>
  <c r="AC94"/>
  <c r="AB94"/>
  <c r="AA94"/>
  <c r="Z94"/>
  <c r="Y94"/>
  <c r="AD93"/>
  <c r="AC93"/>
  <c r="AB93"/>
  <c r="AA93"/>
  <c r="Z93"/>
  <c r="Y93"/>
  <c r="AD92"/>
  <c r="AC92"/>
  <c r="AB92"/>
  <c r="AA92"/>
  <c r="Z92"/>
  <c r="Y92"/>
  <c r="AD91"/>
  <c r="AC91"/>
  <c r="AB91"/>
  <c r="AA91"/>
  <c r="Z91"/>
  <c r="Y91"/>
  <c r="AD90"/>
  <c r="AC90"/>
  <c r="AB90"/>
  <c r="AA90"/>
  <c r="Z90"/>
  <c r="Y90"/>
  <c r="AD89"/>
  <c r="AC89"/>
  <c r="AB89"/>
  <c r="AA89"/>
  <c r="Z89"/>
  <c r="Y89"/>
  <c r="AD88"/>
  <c r="AC88"/>
  <c r="AB88"/>
  <c r="AA88"/>
  <c r="Z88"/>
  <c r="Y88"/>
  <c r="AD87"/>
  <c r="AC87"/>
  <c r="AB87"/>
  <c r="AA87"/>
  <c r="Z87"/>
  <c r="Y87"/>
  <c r="AD86"/>
  <c r="AC86"/>
  <c r="AB86"/>
  <c r="AA86"/>
  <c r="Z86"/>
  <c r="Y86"/>
  <c r="AD85"/>
  <c r="AC85"/>
  <c r="AB85"/>
  <c r="AA85"/>
  <c r="Z85"/>
  <c r="Y85"/>
  <c r="AD84"/>
  <c r="AC84"/>
  <c r="AB84"/>
  <c r="AA84"/>
  <c r="Z84"/>
  <c r="Y84"/>
  <c r="AD83"/>
  <c r="AC83"/>
  <c r="AB83"/>
  <c r="AA83"/>
  <c r="Z83"/>
  <c r="Y83"/>
  <c r="AD82"/>
  <c r="AC82"/>
  <c r="AB82"/>
  <c r="AA82"/>
  <c r="Z82"/>
  <c r="Y82"/>
  <c r="AD81"/>
  <c r="AC81"/>
  <c r="AB81"/>
  <c r="AA81"/>
  <c r="Z81"/>
  <c r="Y81"/>
  <c r="AD80"/>
  <c r="AC80"/>
  <c r="AB80"/>
  <c r="AA80"/>
  <c r="Z80"/>
  <c r="Y80"/>
  <c r="AD79"/>
  <c r="AC79"/>
  <c r="AB79"/>
  <c r="AA79"/>
  <c r="Z79"/>
  <c r="Y79"/>
  <c r="AD78"/>
  <c r="AC78"/>
  <c r="AB78"/>
  <c r="AA78"/>
  <c r="Z78"/>
  <c r="Y78"/>
  <c r="AD77"/>
  <c r="AC77"/>
  <c r="AB77"/>
  <c r="AA77"/>
  <c r="Z77"/>
  <c r="Y77"/>
  <c r="AD76"/>
  <c r="AC76"/>
  <c r="AB76"/>
  <c r="AA76"/>
  <c r="Z76"/>
  <c r="Y76"/>
  <c r="AD75"/>
  <c r="AC75"/>
  <c r="AB75"/>
  <c r="AA75"/>
  <c r="Z75"/>
  <c r="Y75"/>
  <c r="AD74"/>
  <c r="AC74"/>
  <c r="AB74"/>
  <c r="AA74"/>
  <c r="Z74"/>
  <c r="Y74"/>
  <c r="AD73"/>
  <c r="AC73"/>
  <c r="AB73"/>
  <c r="AA73"/>
  <c r="Z73"/>
  <c r="Y73"/>
  <c r="AD72"/>
  <c r="AC72"/>
  <c r="AB72"/>
  <c r="AA72"/>
  <c r="Z72"/>
  <c r="Y72"/>
  <c r="AD71"/>
  <c r="AC71"/>
  <c r="AB71"/>
  <c r="AA71"/>
  <c r="Z71"/>
  <c r="Y71"/>
  <c r="AD70"/>
  <c r="AC70"/>
  <c r="AB70"/>
  <c r="AA70"/>
  <c r="Z70"/>
  <c r="Y70"/>
  <c r="AD69"/>
  <c r="AC69"/>
  <c r="AB69"/>
  <c r="AA69"/>
  <c r="Z69"/>
  <c r="Y69"/>
  <c r="AD68"/>
  <c r="AC68"/>
  <c r="AB68"/>
  <c r="AA68"/>
  <c r="Z68"/>
  <c r="Y68"/>
  <c r="AD67"/>
  <c r="AC67"/>
  <c r="AB67"/>
  <c r="AA67"/>
  <c r="Z67"/>
  <c r="Y67"/>
  <c r="AD66"/>
  <c r="AC66"/>
  <c r="AB66"/>
  <c r="AA66"/>
  <c r="Z66"/>
  <c r="Y66"/>
  <c r="AD65"/>
  <c r="AC65"/>
  <c r="AB65"/>
  <c r="AA65"/>
  <c r="Z65"/>
  <c r="Y65"/>
  <c r="AD64"/>
  <c r="AC64"/>
  <c r="AB64"/>
  <c r="AA64"/>
  <c r="Z64"/>
  <c r="Y64"/>
  <c r="AD63"/>
  <c r="AC63"/>
  <c r="AB63"/>
  <c r="AA63"/>
  <c r="Z63"/>
  <c r="Y63"/>
  <c r="AD62"/>
  <c r="AC62"/>
  <c r="AB62"/>
  <c r="AA62"/>
  <c r="Z62"/>
  <c r="Y62"/>
  <c r="AD61"/>
  <c r="AC61"/>
  <c r="AB61"/>
  <c r="AA61"/>
  <c r="Z61"/>
  <c r="Y61"/>
  <c r="AD60"/>
  <c r="AC60"/>
  <c r="AB60"/>
  <c r="AA60"/>
  <c r="Z60"/>
  <c r="Y60"/>
  <c r="AD59"/>
  <c r="AC59"/>
  <c r="AB59"/>
  <c r="AA59"/>
  <c r="Z59"/>
  <c r="Y59"/>
  <c r="AD58"/>
  <c r="AC58"/>
  <c r="AB58"/>
  <c r="AA58"/>
  <c r="Z58"/>
  <c r="Y58"/>
  <c r="AD57"/>
  <c r="AC57"/>
  <c r="AB57"/>
  <c r="AA57"/>
  <c r="Z57"/>
  <c r="Y57"/>
  <c r="AD56"/>
  <c r="AC56"/>
  <c r="AB56"/>
  <c r="AA56"/>
  <c r="Z56"/>
  <c r="Y56"/>
  <c r="AD55"/>
  <c r="AC55"/>
  <c r="AB55"/>
  <c r="AA55"/>
  <c r="Z55"/>
  <c r="Y55"/>
  <c r="AD54"/>
  <c r="AC54"/>
  <c r="AB54"/>
  <c r="AA54"/>
  <c r="Z54"/>
  <c r="Y54"/>
  <c r="AD53"/>
  <c r="AC53"/>
  <c r="AB53"/>
  <c r="AA53"/>
  <c r="Z53"/>
  <c r="Y53"/>
  <c r="AD52"/>
  <c r="AC52"/>
  <c r="AB52"/>
  <c r="AA52"/>
  <c r="Z52"/>
  <c r="Y52"/>
  <c r="AD51"/>
  <c r="AC51"/>
  <c r="AB51"/>
  <c r="AA51"/>
  <c r="Z51"/>
  <c r="Y51"/>
  <c r="AD50"/>
  <c r="AC50"/>
  <c r="AB50"/>
  <c r="AA50"/>
  <c r="Z50"/>
  <c r="Y50"/>
  <c r="AD49"/>
  <c r="AC49"/>
  <c r="AB49"/>
  <c r="AA49"/>
  <c r="Z49"/>
  <c r="Y49"/>
  <c r="AD48"/>
  <c r="AC48"/>
  <c r="AB48"/>
  <c r="AA48"/>
  <c r="Z48"/>
  <c r="Y48"/>
  <c r="AD47"/>
  <c r="AC47"/>
  <c r="AB47"/>
  <c r="AA47"/>
  <c r="Z47"/>
  <c r="Y47"/>
  <c r="AD46"/>
  <c r="AC46"/>
  <c r="AB46"/>
  <c r="AA46"/>
  <c r="Z46"/>
  <c r="Y46"/>
  <c r="AD45"/>
  <c r="AC45"/>
  <c r="AB45"/>
  <c r="AA45"/>
  <c r="Z45"/>
  <c r="Y45"/>
  <c r="AD44"/>
  <c r="AC44"/>
  <c r="AB44"/>
  <c r="AA44"/>
  <c r="Z44"/>
  <c r="Y44"/>
  <c r="AD43"/>
  <c r="AC43"/>
  <c r="AB43"/>
  <c r="AA43"/>
  <c r="Z43"/>
  <c r="Y43"/>
  <c r="AD42"/>
  <c r="AC42"/>
  <c r="AB42"/>
  <c r="AA42"/>
  <c r="Z42"/>
  <c r="Y42"/>
  <c r="AD41"/>
  <c r="AC41"/>
  <c r="AB41"/>
  <c r="AA41"/>
  <c r="Z41"/>
  <c r="Y41"/>
  <c r="AD40"/>
  <c r="AC40"/>
  <c r="AB40"/>
  <c r="AA40"/>
  <c r="Z40"/>
  <c r="Y40"/>
  <c r="AD39"/>
  <c r="AC39"/>
  <c r="AB39"/>
  <c r="AA39"/>
  <c r="Z39"/>
  <c r="Y39"/>
  <c r="AD38"/>
  <c r="AC38"/>
  <c r="AB38"/>
  <c r="AA38"/>
  <c r="Z38"/>
  <c r="Y38"/>
  <c r="AD37"/>
  <c r="AC37"/>
  <c r="AB37"/>
  <c r="AA37"/>
  <c r="Z37"/>
  <c r="Y37"/>
  <c r="AD36"/>
  <c r="AC36"/>
  <c r="AB36"/>
  <c r="AA36"/>
  <c r="Z36"/>
  <c r="Y36"/>
  <c r="AD35"/>
  <c r="AC35"/>
  <c r="AB35"/>
  <c r="AA35"/>
  <c r="Z35"/>
  <c r="Y35"/>
  <c r="AD34"/>
  <c r="AC34"/>
  <c r="AB34"/>
  <c r="AA34"/>
  <c r="Z34"/>
  <c r="Y34"/>
  <c r="AD33"/>
  <c r="AC33"/>
  <c r="AB33"/>
  <c r="AA33"/>
  <c r="Z33"/>
  <c r="Y33"/>
  <c r="AD32"/>
  <c r="AC32"/>
  <c r="AB32"/>
  <c r="AA32"/>
  <c r="Z32"/>
  <c r="Y32"/>
  <c r="AD31"/>
  <c r="AC31"/>
  <c r="AB31"/>
  <c r="AA31"/>
  <c r="Z31"/>
  <c r="Y31"/>
  <c r="AD30"/>
  <c r="AC30"/>
  <c r="AB30"/>
  <c r="AA30"/>
  <c r="Z30"/>
  <c r="Y30"/>
  <c r="AD29"/>
  <c r="AC29"/>
  <c r="AB29"/>
  <c r="AA29"/>
  <c r="Z29"/>
  <c r="Y29"/>
  <c r="AD28"/>
  <c r="AC28"/>
  <c r="AB28"/>
  <c r="AA28"/>
  <c r="Z28"/>
  <c r="Y28"/>
  <c r="AD27"/>
  <c r="AC27"/>
  <c r="AB27"/>
  <c r="AA27"/>
  <c r="Z27"/>
  <c r="Y27"/>
  <c r="AD26"/>
  <c r="AC26"/>
  <c r="AB26"/>
  <c r="AA26"/>
  <c r="Z26"/>
  <c r="Y26"/>
  <c r="AD25"/>
  <c r="AC25"/>
  <c r="AB25"/>
  <c r="AA25"/>
  <c r="Z25"/>
  <c r="Y25"/>
  <c r="AD24"/>
  <c r="AC24"/>
  <c r="AB24"/>
  <c r="AA24"/>
  <c r="Z24"/>
  <c r="Y24"/>
  <c r="AD23"/>
  <c r="AC23"/>
  <c r="AB23"/>
  <c r="AA23"/>
  <c r="Z23"/>
  <c r="Y23"/>
  <c r="AD22"/>
  <c r="AC22"/>
  <c r="AB22"/>
  <c r="AA22"/>
  <c r="Z22"/>
  <c r="Y22"/>
  <c r="AD21"/>
  <c r="AC21"/>
  <c r="AB21"/>
  <c r="AA21"/>
  <c r="Z21"/>
  <c r="Y21"/>
  <c r="AD20"/>
  <c r="AC20"/>
  <c r="AB20"/>
  <c r="AA20"/>
  <c r="Z20"/>
  <c r="Y20"/>
  <c r="O18"/>
  <c r="AA18" i="17" s="1"/>
  <c r="N18" i="13"/>
  <c r="Z18" i="17" s="1"/>
  <c r="M18" i="13"/>
  <c r="Y18" i="17" s="1"/>
  <c r="L18" i="13"/>
  <c r="X18" i="17" s="1"/>
  <c r="K18" i="13"/>
  <c r="W18" i="17" s="1"/>
  <c r="J18" i="13"/>
  <c r="V18" i="17" s="1"/>
  <c r="I18" i="13"/>
  <c r="U18" i="17" s="1"/>
  <c r="H18" i="13"/>
  <c r="T18" i="17" s="1"/>
  <c r="G18" i="13"/>
  <c r="S18" i="17" s="1"/>
  <c r="F18" i="13"/>
  <c r="R18" i="17" s="1"/>
  <c r="E18" i="13"/>
  <c r="Q18" i="17" s="1"/>
  <c r="D18" i="13"/>
  <c r="P18" i="17" s="1"/>
  <c r="I13" i="1"/>
  <c r="I12"/>
  <c r="I11"/>
  <c r="I10"/>
  <c r="I9"/>
  <c r="I184" i="14" l="1"/>
  <c r="I188"/>
  <c r="I186"/>
  <c r="I187"/>
  <c r="P168" i="13"/>
  <c r="P160"/>
  <c r="P152"/>
  <c r="P144"/>
  <c r="P136"/>
  <c r="P128"/>
  <c r="P120"/>
  <c r="P112"/>
  <c r="P104"/>
  <c r="P96"/>
  <c r="P88"/>
  <c r="P80"/>
  <c r="P72"/>
  <c r="P64"/>
  <c r="P56"/>
  <c r="P48"/>
  <c r="P40"/>
  <c r="P32"/>
  <c r="P24"/>
  <c r="P167"/>
  <c r="P159"/>
  <c r="P151"/>
  <c r="P143"/>
  <c r="P135"/>
  <c r="P127"/>
  <c r="P119"/>
  <c r="P111"/>
  <c r="P103"/>
  <c r="P95"/>
  <c r="P87"/>
  <c r="P79"/>
  <c r="P71"/>
  <c r="P63"/>
  <c r="P55"/>
  <c r="P47"/>
  <c r="P39"/>
  <c r="P31"/>
  <c r="P23"/>
  <c r="P166"/>
  <c r="P158"/>
  <c r="P150"/>
  <c r="P142"/>
  <c r="P134"/>
  <c r="P126"/>
  <c r="P118"/>
  <c r="P110"/>
  <c r="P102"/>
  <c r="P94"/>
  <c r="P86"/>
  <c r="P78"/>
  <c r="P70"/>
  <c r="P62"/>
  <c r="P54"/>
  <c r="P46"/>
  <c r="P38"/>
  <c r="P30"/>
  <c r="P22"/>
  <c r="P165"/>
  <c r="P157"/>
  <c r="P149"/>
  <c r="P141"/>
  <c r="P133"/>
  <c r="P125"/>
  <c r="P117"/>
  <c r="P109"/>
  <c r="P101"/>
  <c r="P93"/>
  <c r="P85"/>
  <c r="P77"/>
  <c r="P69"/>
  <c r="P61"/>
  <c r="P53"/>
  <c r="P45"/>
  <c r="P37"/>
  <c r="P29"/>
  <c r="P21"/>
  <c r="P164"/>
  <c r="P156"/>
  <c r="P148"/>
  <c r="P140"/>
  <c r="P124"/>
  <c r="P116"/>
  <c r="P108"/>
  <c r="P100"/>
  <c r="P92"/>
  <c r="P84"/>
  <c r="P76"/>
  <c r="P68"/>
  <c r="P60"/>
  <c r="P52"/>
  <c r="P44"/>
  <c r="P36"/>
  <c r="P28"/>
  <c r="P20"/>
  <c r="P163"/>
  <c r="P155"/>
  <c r="P147"/>
  <c r="P139"/>
  <c r="P131"/>
  <c r="P123"/>
  <c r="P115"/>
  <c r="P107"/>
  <c r="P99"/>
  <c r="P91"/>
  <c r="P83"/>
  <c r="P75"/>
  <c r="P67"/>
  <c r="P59"/>
  <c r="P51"/>
  <c r="P43"/>
  <c r="P35"/>
  <c r="P27"/>
  <c r="P169"/>
  <c r="P161"/>
  <c r="P153"/>
  <c r="P145"/>
  <c r="P137"/>
  <c r="P129"/>
  <c r="P121"/>
  <c r="P113"/>
  <c r="P105"/>
  <c r="P97"/>
  <c r="P89"/>
  <c r="P81"/>
  <c r="P73"/>
  <c r="P65"/>
  <c r="P57"/>
  <c r="P49"/>
  <c r="P41"/>
  <c r="P33"/>
  <c r="P25"/>
  <c r="P122"/>
  <c r="P58"/>
  <c r="P114"/>
  <c r="P50"/>
  <c r="P106"/>
  <c r="P42"/>
  <c r="P162"/>
  <c r="P98"/>
  <c r="P34"/>
  <c r="P154"/>
  <c r="P90"/>
  <c r="P26"/>
  <c r="P130"/>
  <c r="P66"/>
  <c r="P146"/>
  <c r="P82"/>
  <c r="P138"/>
  <c r="P74"/>
  <c r="AE76"/>
  <c r="AE92"/>
  <c r="AE84"/>
  <c r="AE35"/>
  <c r="AE51"/>
  <c r="AE59"/>
  <c r="AE67"/>
  <c r="AE27"/>
  <c r="AE34"/>
  <c r="AE42"/>
  <c r="AE50"/>
  <c r="AE139"/>
  <c r="AE147"/>
  <c r="AE163"/>
  <c r="AE60"/>
  <c r="AE68"/>
  <c r="AE164"/>
  <c r="E19"/>
  <c r="Q19" i="17" s="1"/>
  <c r="M19" i="13"/>
  <c r="Y19" i="17" s="1"/>
  <c r="D19" i="13"/>
  <c r="P19" i="17" s="1"/>
  <c r="H19" i="13"/>
  <c r="T19" i="17" s="1"/>
  <c r="L19" i="13"/>
  <c r="X19" i="17" s="1"/>
  <c r="G19" i="13"/>
  <c r="S19" i="17" s="1"/>
  <c r="K19" i="13"/>
  <c r="W19" i="17" s="1"/>
  <c r="O19" i="13"/>
  <c r="AA19" i="17" s="1"/>
  <c r="I19" i="13"/>
  <c r="U19" i="17" s="1"/>
  <c r="F19" i="13"/>
  <c r="R19" i="17" s="1"/>
  <c r="J19" i="13"/>
  <c r="V19" i="17" s="1"/>
  <c r="N19" i="13"/>
  <c r="Z19" i="17" s="1"/>
  <c r="AE20" i="13"/>
  <c r="AE28"/>
  <c r="AE36"/>
  <c r="AE44"/>
  <c r="AE52"/>
  <c r="AE100"/>
  <c r="AE108"/>
  <c r="AE116"/>
  <c r="AE124"/>
  <c r="AE132"/>
  <c r="AE140"/>
  <c r="AE148"/>
  <c r="AE156"/>
  <c r="AE43"/>
  <c r="AE75"/>
  <c r="AE83"/>
  <c r="AE91"/>
  <c r="AE99"/>
  <c r="AE107"/>
  <c r="AE115"/>
  <c r="AE123"/>
  <c r="AE131"/>
  <c r="AE155"/>
  <c r="AE26"/>
  <c r="AE58"/>
  <c r="AE66"/>
  <c r="AE74"/>
  <c r="AE82"/>
  <c r="AE90"/>
  <c r="AE98"/>
  <c r="AE106"/>
  <c r="AE114"/>
  <c r="AE122"/>
  <c r="AE130"/>
  <c r="AE138"/>
  <c r="AE146"/>
  <c r="AE154"/>
  <c r="AE162"/>
  <c r="AE25"/>
  <c r="AE33"/>
  <c r="AE41"/>
  <c r="AE49"/>
  <c r="AE57"/>
  <c r="AE65"/>
  <c r="AE73"/>
  <c r="AE81"/>
  <c r="AE89"/>
  <c r="AE97"/>
  <c r="AE105"/>
  <c r="AE113"/>
  <c r="AE121"/>
  <c r="AE129"/>
  <c r="AE137"/>
  <c r="AE145"/>
  <c r="AE153"/>
  <c r="AE161"/>
  <c r="AE169"/>
  <c r="AE24"/>
  <c r="AE32"/>
  <c r="AE40"/>
  <c r="AE48"/>
  <c r="AE56"/>
  <c r="AE64"/>
  <c r="AE72"/>
  <c r="AE80"/>
  <c r="AE88"/>
  <c r="AE96"/>
  <c r="AE104"/>
  <c r="AE112"/>
  <c r="AE120"/>
  <c r="AE128"/>
  <c r="AE136"/>
  <c r="AE144"/>
  <c r="AE152"/>
  <c r="AE160"/>
  <c r="AE168"/>
  <c r="AE23"/>
  <c r="AE31"/>
  <c r="AE39"/>
  <c r="AE47"/>
  <c r="AE55"/>
  <c r="AE63"/>
  <c r="AE71"/>
  <c r="AE79"/>
  <c r="AE87"/>
  <c r="AE95"/>
  <c r="AE103"/>
  <c r="AE111"/>
  <c r="AE119"/>
  <c r="AE127"/>
  <c r="AE135"/>
  <c r="AE143"/>
  <c r="AE151"/>
  <c r="AE159"/>
  <c r="AE167"/>
  <c r="AE22"/>
  <c r="AE30"/>
  <c r="AE38"/>
  <c r="AE46"/>
  <c r="AE54"/>
  <c r="AE62"/>
  <c r="AE70"/>
  <c r="AE78"/>
  <c r="AE86"/>
  <c r="AE94"/>
  <c r="AE102"/>
  <c r="AE110"/>
  <c r="AE118"/>
  <c r="AE126"/>
  <c r="AE134"/>
  <c r="AE142"/>
  <c r="AE150"/>
  <c r="AE158"/>
  <c r="AE166"/>
  <c r="F176"/>
  <c r="N178"/>
  <c r="AE21"/>
  <c r="AE29"/>
  <c r="AE37"/>
  <c r="AE45"/>
  <c r="AE53"/>
  <c r="AE61"/>
  <c r="AE69"/>
  <c r="AE77"/>
  <c r="AE85"/>
  <c r="AE93"/>
  <c r="AE101"/>
  <c r="AE109"/>
  <c r="AE117"/>
  <c r="AE125"/>
  <c r="AE133"/>
  <c r="AE141"/>
  <c r="AE149"/>
  <c r="AE157"/>
  <c r="AE165"/>
  <c r="J192" i="14" l="1"/>
  <c r="N192" s="1"/>
  <c r="O172" i="13"/>
  <c r="O173" s="1"/>
  <c r="O180" s="1"/>
  <c r="G172"/>
  <c r="G173" s="1"/>
  <c r="G179" s="1"/>
  <c r="M172"/>
  <c r="M173" s="1"/>
  <c r="N173"/>
  <c r="F172"/>
  <c r="F173" s="1"/>
  <c r="F177" s="1"/>
  <c r="K172"/>
  <c r="K173" s="1"/>
  <c r="K176" s="1"/>
  <c r="L172"/>
  <c r="L173" s="1"/>
  <c r="L177" s="1"/>
  <c r="D172"/>
  <c r="D173" s="1"/>
  <c r="E172"/>
  <c r="E173" s="1"/>
  <c r="E176" s="1"/>
  <c r="J172"/>
  <c r="J173" s="1"/>
  <c r="I172"/>
  <c r="I173" s="1"/>
  <c r="H172"/>
  <c r="E18" i="1"/>
  <c r="E18" i="17" s="1"/>
  <c r="F18" i="1"/>
  <c r="F18" i="17" s="1"/>
  <c r="G18" i="1"/>
  <c r="G18" i="17" s="1"/>
  <c r="H18" i="1"/>
  <c r="H18" i="17" s="1"/>
  <c r="I18" i="1"/>
  <c r="I18" i="17" s="1"/>
  <c r="J18" i="1"/>
  <c r="J18" i="17" s="1"/>
  <c r="K18" i="1"/>
  <c r="K18" i="17" s="1"/>
  <c r="L18" i="1"/>
  <c r="L18" i="17" s="1"/>
  <c r="M18" i="1"/>
  <c r="M18" i="17" s="1"/>
  <c r="N18" i="1"/>
  <c r="N18" i="17" s="1"/>
  <c r="O18" i="1"/>
  <c r="O18" i="17" s="1"/>
  <c r="D18" i="1"/>
  <c r="D18" i="17" s="1"/>
  <c r="D182" i="1"/>
  <c r="D186"/>
  <c r="D185"/>
  <c r="D184"/>
  <c r="D183"/>
  <c r="I180" i="13" l="1"/>
  <c r="I175"/>
  <c r="H173"/>
  <c r="I176"/>
  <c r="I179"/>
  <c r="E178"/>
  <c r="E177"/>
  <c r="L176"/>
  <c r="L178"/>
  <c r="F175"/>
  <c r="F178"/>
  <c r="M176"/>
  <c r="M178"/>
  <c r="O176"/>
  <c r="O179"/>
  <c r="J175"/>
  <c r="J177"/>
  <c r="D175"/>
  <c r="D177"/>
  <c r="K178"/>
  <c r="K177"/>
  <c r="N177"/>
  <c r="N179"/>
  <c r="G176"/>
  <c r="G178"/>
  <c r="O177" i="1"/>
  <c r="M177"/>
  <c r="L179"/>
  <c r="K179"/>
  <c r="K177"/>
  <c r="J179"/>
  <c r="J177"/>
  <c r="I178"/>
  <c r="I177"/>
  <c r="H177"/>
  <c r="G179"/>
  <c r="G177"/>
  <c r="F179"/>
  <c r="F178"/>
  <c r="E179"/>
  <c r="E177"/>
  <c r="D179"/>
  <c r="D178"/>
  <c r="D177"/>
  <c r="H179" i="13" l="1"/>
  <c r="H178"/>
  <c r="G19" i="1"/>
  <c r="G19" i="17" s="1"/>
  <c r="I19" i="1"/>
  <c r="I19" i="17" s="1"/>
  <c r="H19" i="1"/>
  <c r="H19" i="17" s="1"/>
  <c r="F19" i="1"/>
  <c r="E19"/>
  <c r="D19"/>
  <c r="D19" i="17" s="1"/>
  <c r="AD169" i="1"/>
  <c r="AC169"/>
  <c r="AB169"/>
  <c r="AA169"/>
  <c r="Z169"/>
  <c r="Y169"/>
  <c r="AD168"/>
  <c r="AC168"/>
  <c r="AB168"/>
  <c r="AA168"/>
  <c r="Z168"/>
  <c r="Y168"/>
  <c r="AD167"/>
  <c r="AC167"/>
  <c r="AB167"/>
  <c r="AA167"/>
  <c r="Z167"/>
  <c r="Y167"/>
  <c r="AD166"/>
  <c r="AC166"/>
  <c r="AB166"/>
  <c r="AA166"/>
  <c r="Z166"/>
  <c r="Y166"/>
  <c r="F19" i="17" l="1"/>
  <c r="F172" s="1"/>
  <c r="F173" s="1"/>
  <c r="E19"/>
  <c r="E172" s="1"/>
  <c r="E173" s="1"/>
  <c r="J19" i="1"/>
  <c r="J19" i="17" s="1"/>
  <c r="G172"/>
  <c r="G173" s="1"/>
  <c r="D172" i="1"/>
  <c r="D172" i="17"/>
  <c r="D173" s="1"/>
  <c r="D175" s="1"/>
  <c r="L19" i="1"/>
  <c r="L19" i="17" s="1"/>
  <c r="I172"/>
  <c r="I173" s="1"/>
  <c r="K19" i="1"/>
  <c r="K19" i="17" s="1"/>
  <c r="H172"/>
  <c r="H173" s="1"/>
  <c r="AE167" i="1"/>
  <c r="AE169"/>
  <c r="AE166"/>
  <c r="AE168"/>
  <c r="I176" i="17" l="1"/>
  <c r="I179"/>
  <c r="H176"/>
  <c r="H179"/>
  <c r="G176"/>
  <c r="G178"/>
  <c r="E175"/>
  <c r="E176"/>
  <c r="F175"/>
  <c r="F177"/>
  <c r="O19" i="1"/>
  <c r="O172" s="1"/>
  <c r="O173" s="1"/>
  <c r="L172" i="17"/>
  <c r="L173" s="1"/>
  <c r="M19" i="1"/>
  <c r="J172" i="17"/>
  <c r="J173" s="1"/>
  <c r="J175" s="1"/>
  <c r="N19" i="1"/>
  <c r="K172" i="17"/>
  <c r="K173" s="1"/>
  <c r="B173" i="1"/>
  <c r="B172"/>
  <c r="AD165"/>
  <c r="AC165"/>
  <c r="AB165"/>
  <c r="AA165"/>
  <c r="Z165"/>
  <c r="Y165"/>
  <c r="AD164"/>
  <c r="AC164"/>
  <c r="AB164"/>
  <c r="AA164"/>
  <c r="Z164"/>
  <c r="Y164"/>
  <c r="AD163"/>
  <c r="AC163"/>
  <c r="AB163"/>
  <c r="AA163"/>
  <c r="Z163"/>
  <c r="Y163"/>
  <c r="AD162"/>
  <c r="AC162"/>
  <c r="AB162"/>
  <c r="AA162"/>
  <c r="Z162"/>
  <c r="Y162"/>
  <c r="AD161"/>
  <c r="AC161"/>
  <c r="AB161"/>
  <c r="AA161"/>
  <c r="Z161"/>
  <c r="Y161"/>
  <c r="AD160"/>
  <c r="AC160"/>
  <c r="AB160"/>
  <c r="AA160"/>
  <c r="Z160"/>
  <c r="Y160"/>
  <c r="AD159"/>
  <c r="AC159"/>
  <c r="AB159"/>
  <c r="AA159"/>
  <c r="Z159"/>
  <c r="Y159"/>
  <c r="AD158"/>
  <c r="AC158"/>
  <c r="AB158"/>
  <c r="AA158"/>
  <c r="Z158"/>
  <c r="Y158"/>
  <c r="AD157"/>
  <c r="AC157"/>
  <c r="AB157"/>
  <c r="AA157"/>
  <c r="Z157"/>
  <c r="Y157"/>
  <c r="AD156"/>
  <c r="AC156"/>
  <c r="AB156"/>
  <c r="AA156"/>
  <c r="Z156"/>
  <c r="Y156"/>
  <c r="AD155"/>
  <c r="AC155"/>
  <c r="AB155"/>
  <c r="AA155"/>
  <c r="Z155"/>
  <c r="Y155"/>
  <c r="AD154"/>
  <c r="AC154"/>
  <c r="AB154"/>
  <c r="AA154"/>
  <c r="Z154"/>
  <c r="Y154"/>
  <c r="AD153"/>
  <c r="AC153"/>
  <c r="AB153"/>
  <c r="AA153"/>
  <c r="Z153"/>
  <c r="Y153"/>
  <c r="AD152"/>
  <c r="AC152"/>
  <c r="AB152"/>
  <c r="AA152"/>
  <c r="Z152"/>
  <c r="Y152"/>
  <c r="AD151"/>
  <c r="AC151"/>
  <c r="AB151"/>
  <c r="AA151"/>
  <c r="Z151"/>
  <c r="Y151"/>
  <c r="AD150"/>
  <c r="AC150"/>
  <c r="AB150"/>
  <c r="AA150"/>
  <c r="Z150"/>
  <c r="Y150"/>
  <c r="AD149"/>
  <c r="AC149"/>
  <c r="AB149"/>
  <c r="AA149"/>
  <c r="Z149"/>
  <c r="Y149"/>
  <c r="AD148"/>
  <c r="AC148"/>
  <c r="AB148"/>
  <c r="AA148"/>
  <c r="Z148"/>
  <c r="Y148"/>
  <c r="AD147"/>
  <c r="AC147"/>
  <c r="AB147"/>
  <c r="AA147"/>
  <c r="Z147"/>
  <c r="Y147"/>
  <c r="AD146"/>
  <c r="AC146"/>
  <c r="AB146"/>
  <c r="AA146"/>
  <c r="Z146"/>
  <c r="Y146"/>
  <c r="AD145"/>
  <c r="AC145"/>
  <c r="AB145"/>
  <c r="AA145"/>
  <c r="Z145"/>
  <c r="Y145"/>
  <c r="AD144"/>
  <c r="AC144"/>
  <c r="AB144"/>
  <c r="AA144"/>
  <c r="Z144"/>
  <c r="Y144"/>
  <c r="AD143"/>
  <c r="AC143"/>
  <c r="AB143"/>
  <c r="AA143"/>
  <c r="Z143"/>
  <c r="Y143"/>
  <c r="AD142"/>
  <c r="AC142"/>
  <c r="AB142"/>
  <c r="AA142"/>
  <c r="Z142"/>
  <c r="Y142"/>
  <c r="AD141"/>
  <c r="AC141"/>
  <c r="AB141"/>
  <c r="AA141"/>
  <c r="Z141"/>
  <c r="Y141"/>
  <c r="AD140"/>
  <c r="AC140"/>
  <c r="AB140"/>
  <c r="AA140"/>
  <c r="Z140"/>
  <c r="Y140"/>
  <c r="AD139"/>
  <c r="AC139"/>
  <c r="AB139"/>
  <c r="AA139"/>
  <c r="Z139"/>
  <c r="Y139"/>
  <c r="AD138"/>
  <c r="AC138"/>
  <c r="AB138"/>
  <c r="AA138"/>
  <c r="Z138"/>
  <c r="Y138"/>
  <c r="AD137"/>
  <c r="AC137"/>
  <c r="AB137"/>
  <c r="AA137"/>
  <c r="Z137"/>
  <c r="Y137"/>
  <c r="AD136"/>
  <c r="AC136"/>
  <c r="AB136"/>
  <c r="AA136"/>
  <c r="Z136"/>
  <c r="Y136"/>
  <c r="AD135"/>
  <c r="AC135"/>
  <c r="AB135"/>
  <c r="AA135"/>
  <c r="Z135"/>
  <c r="Y135"/>
  <c r="AD134"/>
  <c r="AC134"/>
  <c r="AB134"/>
  <c r="AA134"/>
  <c r="Z134"/>
  <c r="Y134"/>
  <c r="AD133"/>
  <c r="AC133"/>
  <c r="AB133"/>
  <c r="AA133"/>
  <c r="Z133"/>
  <c r="Y133"/>
  <c r="AD132"/>
  <c r="AC132"/>
  <c r="AB132"/>
  <c r="AA132"/>
  <c r="Z132"/>
  <c r="Y132"/>
  <c r="AD131"/>
  <c r="AC131"/>
  <c r="AB131"/>
  <c r="AA131"/>
  <c r="Z131"/>
  <c r="Y131"/>
  <c r="AD130"/>
  <c r="AC130"/>
  <c r="AB130"/>
  <c r="AA130"/>
  <c r="Z130"/>
  <c r="Y130"/>
  <c r="AD129"/>
  <c r="AC129"/>
  <c r="AB129"/>
  <c r="AA129"/>
  <c r="Z129"/>
  <c r="Y129"/>
  <c r="AD128"/>
  <c r="AC128"/>
  <c r="AB128"/>
  <c r="AA128"/>
  <c r="Z128"/>
  <c r="Y128"/>
  <c r="AD127"/>
  <c r="AC127"/>
  <c r="AB127"/>
  <c r="AA127"/>
  <c r="Z127"/>
  <c r="Y127"/>
  <c r="AD126"/>
  <c r="AC126"/>
  <c r="AB126"/>
  <c r="AA126"/>
  <c r="Z126"/>
  <c r="Y126"/>
  <c r="AD125"/>
  <c r="AC125"/>
  <c r="AB125"/>
  <c r="AA125"/>
  <c r="Z125"/>
  <c r="Y125"/>
  <c r="AD124"/>
  <c r="AC124"/>
  <c r="AB124"/>
  <c r="AA124"/>
  <c r="Z124"/>
  <c r="Y124"/>
  <c r="AD123"/>
  <c r="AC123"/>
  <c r="AB123"/>
  <c r="AA123"/>
  <c r="Z123"/>
  <c r="Y123"/>
  <c r="AD122"/>
  <c r="AC122"/>
  <c r="AB122"/>
  <c r="AA122"/>
  <c r="Z122"/>
  <c r="Y122"/>
  <c r="AD121"/>
  <c r="AC121"/>
  <c r="AB121"/>
  <c r="AA121"/>
  <c r="Z121"/>
  <c r="Y121"/>
  <c r="AD120"/>
  <c r="AC120"/>
  <c r="AB120"/>
  <c r="AA120"/>
  <c r="Z120"/>
  <c r="Y120"/>
  <c r="AD119"/>
  <c r="AC119"/>
  <c r="AB119"/>
  <c r="AA119"/>
  <c r="Z119"/>
  <c r="Y119"/>
  <c r="AD118"/>
  <c r="AC118"/>
  <c r="AB118"/>
  <c r="AA118"/>
  <c r="Z118"/>
  <c r="Y118"/>
  <c r="AD117"/>
  <c r="AC117"/>
  <c r="AB117"/>
  <c r="AA117"/>
  <c r="Z117"/>
  <c r="Y117"/>
  <c r="AD116"/>
  <c r="AC116"/>
  <c r="AB116"/>
  <c r="AA116"/>
  <c r="Z116"/>
  <c r="Y116"/>
  <c r="AD115"/>
  <c r="AC115"/>
  <c r="AB115"/>
  <c r="AA115"/>
  <c r="Z115"/>
  <c r="Y115"/>
  <c r="AD114"/>
  <c r="AC114"/>
  <c r="AB114"/>
  <c r="AA114"/>
  <c r="Z114"/>
  <c r="Y114"/>
  <c r="AD113"/>
  <c r="AC113"/>
  <c r="AB113"/>
  <c r="AA113"/>
  <c r="Z113"/>
  <c r="Y113"/>
  <c r="AD112"/>
  <c r="AC112"/>
  <c r="AB112"/>
  <c r="AA112"/>
  <c r="Z112"/>
  <c r="Y112"/>
  <c r="AD111"/>
  <c r="AC111"/>
  <c r="AB111"/>
  <c r="AA111"/>
  <c r="Z111"/>
  <c r="Y111"/>
  <c r="AD110"/>
  <c r="AC110"/>
  <c r="AB110"/>
  <c r="AA110"/>
  <c r="Z110"/>
  <c r="Y110"/>
  <c r="AD109"/>
  <c r="AC109"/>
  <c r="AB109"/>
  <c r="AA109"/>
  <c r="Z109"/>
  <c r="Y109"/>
  <c r="AD108"/>
  <c r="AC108"/>
  <c r="AB108"/>
  <c r="AA108"/>
  <c r="Z108"/>
  <c r="Y108"/>
  <c r="AD107"/>
  <c r="AC107"/>
  <c r="AB107"/>
  <c r="AA107"/>
  <c r="Z107"/>
  <c r="Y107"/>
  <c r="AD106"/>
  <c r="AC106"/>
  <c r="AB106"/>
  <c r="AA106"/>
  <c r="Z106"/>
  <c r="Y106"/>
  <c r="AD105"/>
  <c r="AC105"/>
  <c r="AB105"/>
  <c r="AA105"/>
  <c r="Z105"/>
  <c r="Y105"/>
  <c r="AD104"/>
  <c r="AC104"/>
  <c r="AB104"/>
  <c r="AA104"/>
  <c r="Z104"/>
  <c r="Y104"/>
  <c r="AD103"/>
  <c r="AC103"/>
  <c r="AB103"/>
  <c r="AA103"/>
  <c r="Z103"/>
  <c r="Y103"/>
  <c r="AD102"/>
  <c r="AC102"/>
  <c r="AB102"/>
  <c r="AA102"/>
  <c r="Z102"/>
  <c r="Y102"/>
  <c r="AD101"/>
  <c r="AC101"/>
  <c r="AB101"/>
  <c r="AA101"/>
  <c r="Z101"/>
  <c r="Y101"/>
  <c r="AD100"/>
  <c r="AC100"/>
  <c r="AB100"/>
  <c r="AA100"/>
  <c r="Z100"/>
  <c r="Y100"/>
  <c r="AD99"/>
  <c r="AC99"/>
  <c r="AB99"/>
  <c r="AA99"/>
  <c r="Z99"/>
  <c r="Y99"/>
  <c r="AD98"/>
  <c r="AC98"/>
  <c r="AB98"/>
  <c r="AA98"/>
  <c r="Z98"/>
  <c r="Y98"/>
  <c r="AD97"/>
  <c r="AC97"/>
  <c r="AB97"/>
  <c r="AA97"/>
  <c r="Z97"/>
  <c r="Y97"/>
  <c r="AD96"/>
  <c r="AC96"/>
  <c r="AB96"/>
  <c r="AA96"/>
  <c r="Z96"/>
  <c r="Y96"/>
  <c r="AD95"/>
  <c r="AC95"/>
  <c r="AB95"/>
  <c r="AA95"/>
  <c r="Z95"/>
  <c r="Y95"/>
  <c r="AD94"/>
  <c r="AC94"/>
  <c r="AB94"/>
  <c r="AA94"/>
  <c r="Z94"/>
  <c r="Y94"/>
  <c r="AD93"/>
  <c r="AC93"/>
  <c r="AB93"/>
  <c r="AA93"/>
  <c r="Z93"/>
  <c r="Y93"/>
  <c r="AD92"/>
  <c r="AC92"/>
  <c r="AB92"/>
  <c r="AA92"/>
  <c r="Z92"/>
  <c r="Y92"/>
  <c r="AD91"/>
  <c r="AC91"/>
  <c r="AB91"/>
  <c r="AA91"/>
  <c r="Z91"/>
  <c r="Y91"/>
  <c r="AD90"/>
  <c r="AC90"/>
  <c r="AB90"/>
  <c r="AA90"/>
  <c r="Z90"/>
  <c r="Y90"/>
  <c r="AD89"/>
  <c r="AC89"/>
  <c r="AB89"/>
  <c r="AA89"/>
  <c r="Z89"/>
  <c r="Y89"/>
  <c r="AD88"/>
  <c r="AC88"/>
  <c r="AB88"/>
  <c r="AA88"/>
  <c r="Z88"/>
  <c r="Y88"/>
  <c r="AD87"/>
  <c r="AC87"/>
  <c r="AB87"/>
  <c r="AA87"/>
  <c r="Z87"/>
  <c r="Y87"/>
  <c r="AD86"/>
  <c r="AC86"/>
  <c r="AB86"/>
  <c r="AA86"/>
  <c r="Z86"/>
  <c r="Y86"/>
  <c r="AD85"/>
  <c r="AC85"/>
  <c r="AB85"/>
  <c r="AA85"/>
  <c r="Z85"/>
  <c r="Y85"/>
  <c r="AD84"/>
  <c r="AC84"/>
  <c r="AB84"/>
  <c r="AA84"/>
  <c r="Z84"/>
  <c r="Y84"/>
  <c r="AD83"/>
  <c r="AC83"/>
  <c r="AB83"/>
  <c r="AA83"/>
  <c r="Z83"/>
  <c r="Y83"/>
  <c r="AD82"/>
  <c r="AC82"/>
  <c r="AB82"/>
  <c r="AA82"/>
  <c r="Z82"/>
  <c r="Y82"/>
  <c r="AD81"/>
  <c r="AC81"/>
  <c r="AB81"/>
  <c r="AA81"/>
  <c r="Z81"/>
  <c r="Y81"/>
  <c r="AD80"/>
  <c r="AC80"/>
  <c r="AB80"/>
  <c r="AA80"/>
  <c r="Z80"/>
  <c r="Y80"/>
  <c r="AD79"/>
  <c r="AC79"/>
  <c r="AB79"/>
  <c r="AA79"/>
  <c r="Z79"/>
  <c r="Y79"/>
  <c r="AD78"/>
  <c r="AC78"/>
  <c r="AB78"/>
  <c r="AA78"/>
  <c r="Z78"/>
  <c r="Y78"/>
  <c r="AD77"/>
  <c r="AC77"/>
  <c r="AB77"/>
  <c r="AA77"/>
  <c r="Z77"/>
  <c r="Y77"/>
  <c r="AD76"/>
  <c r="AC76"/>
  <c r="AB76"/>
  <c r="AA76"/>
  <c r="Z76"/>
  <c r="Y76"/>
  <c r="AD75"/>
  <c r="AC75"/>
  <c r="AB75"/>
  <c r="AA75"/>
  <c r="Z75"/>
  <c r="Y75"/>
  <c r="AD74"/>
  <c r="AC74"/>
  <c r="AB74"/>
  <c r="AA74"/>
  <c r="Z74"/>
  <c r="Y74"/>
  <c r="AD73"/>
  <c r="AC73"/>
  <c r="AB73"/>
  <c r="AA73"/>
  <c r="Z73"/>
  <c r="Y73"/>
  <c r="AD72"/>
  <c r="AC72"/>
  <c r="AB72"/>
  <c r="AA72"/>
  <c r="Z72"/>
  <c r="Y72"/>
  <c r="AD71"/>
  <c r="AC71"/>
  <c r="AB71"/>
  <c r="AA71"/>
  <c r="Z71"/>
  <c r="Y71"/>
  <c r="AD70"/>
  <c r="AC70"/>
  <c r="AB70"/>
  <c r="AA70"/>
  <c r="Z70"/>
  <c r="Y70"/>
  <c r="AD69"/>
  <c r="AC69"/>
  <c r="AB69"/>
  <c r="AA69"/>
  <c r="Z69"/>
  <c r="Y69"/>
  <c r="AD68"/>
  <c r="AC68"/>
  <c r="AB68"/>
  <c r="AA68"/>
  <c r="Z68"/>
  <c r="Y68"/>
  <c r="AD67"/>
  <c r="AC67"/>
  <c r="AB67"/>
  <c r="AA67"/>
  <c r="Z67"/>
  <c r="Y67"/>
  <c r="AD66"/>
  <c r="AC66"/>
  <c r="AB66"/>
  <c r="AA66"/>
  <c r="Z66"/>
  <c r="Y66"/>
  <c r="AD65"/>
  <c r="AC65"/>
  <c r="AB65"/>
  <c r="AA65"/>
  <c r="Z65"/>
  <c r="Y65"/>
  <c r="AD64"/>
  <c r="AC64"/>
  <c r="AB64"/>
  <c r="AA64"/>
  <c r="Z64"/>
  <c r="Y64"/>
  <c r="AD63"/>
  <c r="AC63"/>
  <c r="AB63"/>
  <c r="AA63"/>
  <c r="Z63"/>
  <c r="Y63"/>
  <c r="AD62"/>
  <c r="AC62"/>
  <c r="AB62"/>
  <c r="AA62"/>
  <c r="Z62"/>
  <c r="Y62"/>
  <c r="AD61"/>
  <c r="AC61"/>
  <c r="AB61"/>
  <c r="AA61"/>
  <c r="Z61"/>
  <c r="Y61"/>
  <c r="AD60"/>
  <c r="AC60"/>
  <c r="AB60"/>
  <c r="AA60"/>
  <c r="Z60"/>
  <c r="Y60"/>
  <c r="AD59"/>
  <c r="AC59"/>
  <c r="AB59"/>
  <c r="AA59"/>
  <c r="Z59"/>
  <c r="Y59"/>
  <c r="AD58"/>
  <c r="AC58"/>
  <c r="AB58"/>
  <c r="AA58"/>
  <c r="Z58"/>
  <c r="Y58"/>
  <c r="AD57"/>
  <c r="AC57"/>
  <c r="AB57"/>
  <c r="AA57"/>
  <c r="Z57"/>
  <c r="Y57"/>
  <c r="AD56"/>
  <c r="AC56"/>
  <c r="AB56"/>
  <c r="AA56"/>
  <c r="Z56"/>
  <c r="Y56"/>
  <c r="AD55"/>
  <c r="AC55"/>
  <c r="AB55"/>
  <c r="AA55"/>
  <c r="Z55"/>
  <c r="Y55"/>
  <c r="AD54"/>
  <c r="AC54"/>
  <c r="AB54"/>
  <c r="AA54"/>
  <c r="Z54"/>
  <c r="Y54"/>
  <c r="AD53"/>
  <c r="AC53"/>
  <c r="AB53"/>
  <c r="AA53"/>
  <c r="Z53"/>
  <c r="Y53"/>
  <c r="AD52"/>
  <c r="AC52"/>
  <c r="AB52"/>
  <c r="AA52"/>
  <c r="Z52"/>
  <c r="Y52"/>
  <c r="AD51"/>
  <c r="AC51"/>
  <c r="AB51"/>
  <c r="AA51"/>
  <c r="Z51"/>
  <c r="Y51"/>
  <c r="AD50"/>
  <c r="AC50"/>
  <c r="AB50"/>
  <c r="AA50"/>
  <c r="Z50"/>
  <c r="Y50"/>
  <c r="AD49"/>
  <c r="AC49"/>
  <c r="AB49"/>
  <c r="AA49"/>
  <c r="Z49"/>
  <c r="Y49"/>
  <c r="AD48"/>
  <c r="AC48"/>
  <c r="AB48"/>
  <c r="AA48"/>
  <c r="Z48"/>
  <c r="Y48"/>
  <c r="AD47"/>
  <c r="AC47"/>
  <c r="AB47"/>
  <c r="AA47"/>
  <c r="Z47"/>
  <c r="Y47"/>
  <c r="AD46"/>
  <c r="AC46"/>
  <c r="AB46"/>
  <c r="AA46"/>
  <c r="Z46"/>
  <c r="Y46"/>
  <c r="AD45"/>
  <c r="AC45"/>
  <c r="AB45"/>
  <c r="AA45"/>
  <c r="Z45"/>
  <c r="Y45"/>
  <c r="AD44"/>
  <c r="AC44"/>
  <c r="AB44"/>
  <c r="AA44"/>
  <c r="Z44"/>
  <c r="Y44"/>
  <c r="AD43"/>
  <c r="AC43"/>
  <c r="AB43"/>
  <c r="AA43"/>
  <c r="Z43"/>
  <c r="Y43"/>
  <c r="AD42"/>
  <c r="AC42"/>
  <c r="AB42"/>
  <c r="AA42"/>
  <c r="Z42"/>
  <c r="Y42"/>
  <c r="AD41"/>
  <c r="AC41"/>
  <c r="AB41"/>
  <c r="AA41"/>
  <c r="Z41"/>
  <c r="Y41"/>
  <c r="AD40"/>
  <c r="AC40"/>
  <c r="AB40"/>
  <c r="AA40"/>
  <c r="Z40"/>
  <c r="Y40"/>
  <c r="AD39"/>
  <c r="AC39"/>
  <c r="AB39"/>
  <c r="AA39"/>
  <c r="Z39"/>
  <c r="Y39"/>
  <c r="AD38"/>
  <c r="AC38"/>
  <c r="AB38"/>
  <c r="AA38"/>
  <c r="Z38"/>
  <c r="Y38"/>
  <c r="AD37"/>
  <c r="AC37"/>
  <c r="AB37"/>
  <c r="AA37"/>
  <c r="Z37"/>
  <c r="Y37"/>
  <c r="AD36"/>
  <c r="AC36"/>
  <c r="AB36"/>
  <c r="AA36"/>
  <c r="Z36"/>
  <c r="Y36"/>
  <c r="AD35"/>
  <c r="AC35"/>
  <c r="AB35"/>
  <c r="AA35"/>
  <c r="Z35"/>
  <c r="Y35"/>
  <c r="AD34"/>
  <c r="AC34"/>
  <c r="AB34"/>
  <c r="AA34"/>
  <c r="Z34"/>
  <c r="Y34"/>
  <c r="AD33"/>
  <c r="AC33"/>
  <c r="AB33"/>
  <c r="AA33"/>
  <c r="Z33"/>
  <c r="Y33"/>
  <c r="AD32"/>
  <c r="AC32"/>
  <c r="AB32"/>
  <c r="AA32"/>
  <c r="Z32"/>
  <c r="Y32"/>
  <c r="AD31"/>
  <c r="AC31"/>
  <c r="AB31"/>
  <c r="AA31"/>
  <c r="Z31"/>
  <c r="Y31"/>
  <c r="AB30"/>
  <c r="AA30"/>
  <c r="Z30"/>
  <c r="Y30"/>
  <c r="AB29"/>
  <c r="AA29"/>
  <c r="Z29"/>
  <c r="Y29"/>
  <c r="AB28"/>
  <c r="AA28"/>
  <c r="Z28"/>
  <c r="Y28"/>
  <c r="AB27"/>
  <c r="AA27"/>
  <c r="Z27"/>
  <c r="Y27"/>
  <c r="AB26"/>
  <c r="AA26"/>
  <c r="Z26"/>
  <c r="Y26"/>
  <c r="AB25"/>
  <c r="AA25"/>
  <c r="Z25"/>
  <c r="Y25"/>
  <c r="AB24"/>
  <c r="AA24"/>
  <c r="Z24"/>
  <c r="Y24"/>
  <c r="AB23"/>
  <c r="AA23"/>
  <c r="Z23"/>
  <c r="Y23"/>
  <c r="AB22"/>
  <c r="AA22"/>
  <c r="Z22"/>
  <c r="Y22"/>
  <c r="AB21"/>
  <c r="AA21"/>
  <c r="Z21"/>
  <c r="Y21"/>
  <c r="K198"/>
  <c r="D173" s="1"/>
  <c r="M182"/>
  <c r="G175"/>
  <c r="H175"/>
  <c r="I175"/>
  <c r="L175"/>
  <c r="M175"/>
  <c r="O175"/>
  <c r="D176"/>
  <c r="F176"/>
  <c r="J176"/>
  <c r="N176"/>
  <c r="K184"/>
  <c r="K185"/>
  <c r="L172"/>
  <c r="L173" s="1"/>
  <c r="L177" s="1"/>
  <c r="K172"/>
  <c r="K173" s="1"/>
  <c r="K176" s="1"/>
  <c r="J172"/>
  <c r="J173" s="1"/>
  <c r="I172"/>
  <c r="H172"/>
  <c r="G172"/>
  <c r="F172"/>
  <c r="E172"/>
  <c r="O180" l="1"/>
  <c r="O179"/>
  <c r="K175" i="17"/>
  <c r="K176"/>
  <c r="L176"/>
  <c r="L177"/>
  <c r="M185" s="1"/>
  <c r="O185" s="1"/>
  <c r="P166" i="1"/>
  <c r="P158"/>
  <c r="P150"/>
  <c r="P142"/>
  <c r="P134"/>
  <c r="P126"/>
  <c r="P118"/>
  <c r="P110"/>
  <c r="P165"/>
  <c r="P157"/>
  <c r="P149"/>
  <c r="P141"/>
  <c r="P133"/>
  <c r="P125"/>
  <c r="P117"/>
  <c r="P109"/>
  <c r="P101"/>
  <c r="P93"/>
  <c r="P85"/>
  <c r="P77"/>
  <c r="P69"/>
  <c r="P61"/>
  <c r="P53"/>
  <c r="P45"/>
  <c r="P37"/>
  <c r="P29"/>
  <c r="P21"/>
  <c r="P164"/>
  <c r="P156"/>
  <c r="P148"/>
  <c r="P140"/>
  <c r="P132"/>
  <c r="P124"/>
  <c r="P116"/>
  <c r="P108"/>
  <c r="P100"/>
  <c r="P92"/>
  <c r="P84"/>
  <c r="P76"/>
  <c r="P68"/>
  <c r="P60"/>
  <c r="P52"/>
  <c r="P44"/>
  <c r="P36"/>
  <c r="P28"/>
  <c r="P20"/>
  <c r="P163"/>
  <c r="P155"/>
  <c r="P147"/>
  <c r="P139"/>
  <c r="P131"/>
  <c r="P123"/>
  <c r="P115"/>
  <c r="P107"/>
  <c r="P99"/>
  <c r="P91"/>
  <c r="P83"/>
  <c r="P75"/>
  <c r="P67"/>
  <c r="P59"/>
  <c r="P51"/>
  <c r="P43"/>
  <c r="P35"/>
  <c r="P27"/>
  <c r="P162"/>
  <c r="P154"/>
  <c r="P146"/>
  <c r="P138"/>
  <c r="P130"/>
  <c r="P122"/>
  <c r="P114"/>
  <c r="P106"/>
  <c r="P98"/>
  <c r="P90"/>
  <c r="P82"/>
  <c r="P74"/>
  <c r="P66"/>
  <c r="P58"/>
  <c r="P50"/>
  <c r="P42"/>
  <c r="P34"/>
  <c r="P26"/>
  <c r="P169"/>
  <c r="P161"/>
  <c r="P153"/>
  <c r="P145"/>
  <c r="P137"/>
  <c r="P129"/>
  <c r="P121"/>
  <c r="P113"/>
  <c r="P105"/>
  <c r="P97"/>
  <c r="P89"/>
  <c r="P81"/>
  <c r="P73"/>
  <c r="P65"/>
  <c r="P57"/>
  <c r="P49"/>
  <c r="P41"/>
  <c r="P33"/>
  <c r="P25"/>
  <c r="P167"/>
  <c r="P159"/>
  <c r="P151"/>
  <c r="P143"/>
  <c r="P135"/>
  <c r="P127"/>
  <c r="P119"/>
  <c r="P111"/>
  <c r="P103"/>
  <c r="P95"/>
  <c r="P87"/>
  <c r="P79"/>
  <c r="P71"/>
  <c r="P63"/>
  <c r="P55"/>
  <c r="P47"/>
  <c r="P39"/>
  <c r="P31"/>
  <c r="P23"/>
  <c r="P144"/>
  <c r="P94"/>
  <c r="P62"/>
  <c r="P30"/>
  <c r="P136"/>
  <c r="P88"/>
  <c r="P56"/>
  <c r="P24"/>
  <c r="P128"/>
  <c r="P86"/>
  <c r="P54"/>
  <c r="P22"/>
  <c r="P120"/>
  <c r="P80"/>
  <c r="P48"/>
  <c r="P112"/>
  <c r="P78"/>
  <c r="P46"/>
  <c r="P152"/>
  <c r="P96"/>
  <c r="P64"/>
  <c r="P32"/>
  <c r="P168"/>
  <c r="P104"/>
  <c r="P72"/>
  <c r="P40"/>
  <c r="P160"/>
  <c r="P102"/>
  <c r="P70"/>
  <c r="P38"/>
  <c r="AE21"/>
  <c r="AE23"/>
  <c r="AE25"/>
  <c r="AE27"/>
  <c r="AE29"/>
  <c r="AE22"/>
  <c r="AE24"/>
  <c r="AE26"/>
  <c r="AE28"/>
  <c r="AE30"/>
  <c r="M19" i="17"/>
  <c r="M172" s="1"/>
  <c r="M173" s="1"/>
  <c r="N19"/>
  <c r="N172" s="1"/>
  <c r="N173" s="1"/>
  <c r="N179" s="1"/>
  <c r="O19"/>
  <c r="O172" s="1"/>
  <c r="O173" s="1"/>
  <c r="O179" s="1"/>
  <c r="M172" i="1"/>
  <c r="M173" s="1"/>
  <c r="M178" s="1"/>
  <c r="N172"/>
  <c r="O176"/>
  <c r="O178"/>
  <c r="L176"/>
  <c r="L178"/>
  <c r="N177"/>
  <c r="J175"/>
  <c r="J178"/>
  <c r="K175"/>
  <c r="K178"/>
  <c r="I173"/>
  <c r="I179" s="1"/>
  <c r="H173"/>
  <c r="H179" s="1"/>
  <c r="D175"/>
  <c r="F173"/>
  <c r="F177" s="1"/>
  <c r="G173"/>
  <c r="E173"/>
  <c r="E178" s="1"/>
  <c r="AE41"/>
  <c r="AE43"/>
  <c r="AE57"/>
  <c r="AE59"/>
  <c r="AE73"/>
  <c r="AE75"/>
  <c r="AE95"/>
  <c r="AE99"/>
  <c r="AE117"/>
  <c r="AE129"/>
  <c r="AE131"/>
  <c r="AE149"/>
  <c r="AE45"/>
  <c r="AE61"/>
  <c r="AE77"/>
  <c r="AE93"/>
  <c r="AE101"/>
  <c r="AE113"/>
  <c r="AE115"/>
  <c r="AE133"/>
  <c r="AE145"/>
  <c r="AE147"/>
  <c r="AE38"/>
  <c r="AE54"/>
  <c r="AE70"/>
  <c r="AE90"/>
  <c r="AE110"/>
  <c r="AE126"/>
  <c r="AE142"/>
  <c r="AE32"/>
  <c r="AE33"/>
  <c r="AE36"/>
  <c r="AE37"/>
  <c r="AE49"/>
  <c r="AE52"/>
  <c r="AE53"/>
  <c r="AE65"/>
  <c r="AE68"/>
  <c r="AE69"/>
  <c r="AE85"/>
  <c r="AE88"/>
  <c r="AE89"/>
  <c r="AE105"/>
  <c r="AE108"/>
  <c r="AE109"/>
  <c r="AE121"/>
  <c r="AE124"/>
  <c r="AE125"/>
  <c r="AE137"/>
  <c r="AE140"/>
  <c r="AE141"/>
  <c r="AE153"/>
  <c r="AE156"/>
  <c r="AE157"/>
  <c r="AE160"/>
  <c r="AE161"/>
  <c r="AE34"/>
  <c r="AE39"/>
  <c r="AE48"/>
  <c r="AE50"/>
  <c r="AE55"/>
  <c r="AE64"/>
  <c r="AE66"/>
  <c r="AE71"/>
  <c r="AE80"/>
  <c r="AE81"/>
  <c r="AE84"/>
  <c r="AE86"/>
  <c r="AE91"/>
  <c r="AE104"/>
  <c r="AE106"/>
  <c r="AE111"/>
  <c r="AE120"/>
  <c r="AE122"/>
  <c r="AE127"/>
  <c r="AE136"/>
  <c r="AE138"/>
  <c r="AE143"/>
  <c r="AE152"/>
  <c r="AE154"/>
  <c r="AE162"/>
  <c r="AE163"/>
  <c r="AE31"/>
  <c r="AE35"/>
  <c r="AE44"/>
  <c r="AE46"/>
  <c r="AE51"/>
  <c r="AE60"/>
  <c r="AE62"/>
  <c r="AE67"/>
  <c r="AE76"/>
  <c r="AE78"/>
  <c r="AE82"/>
  <c r="AE87"/>
  <c r="AE96"/>
  <c r="AE97"/>
  <c r="AE100"/>
  <c r="AE107"/>
  <c r="AE116"/>
  <c r="AE118"/>
  <c r="AE123"/>
  <c r="AE132"/>
  <c r="AE134"/>
  <c r="AE139"/>
  <c r="AE148"/>
  <c r="AE150"/>
  <c r="AE155"/>
  <c r="AE158"/>
  <c r="AE159"/>
  <c r="AE40"/>
  <c r="AE42"/>
  <c r="AE47"/>
  <c r="AE56"/>
  <c r="AE58"/>
  <c r="AE63"/>
  <c r="AE72"/>
  <c r="AE74"/>
  <c r="AE79"/>
  <c r="AE83"/>
  <c r="AE92"/>
  <c r="AE94"/>
  <c r="AE98"/>
  <c r="AE102"/>
  <c r="AE103"/>
  <c r="AE112"/>
  <c r="AE114"/>
  <c r="AE119"/>
  <c r="AE128"/>
  <c r="AE130"/>
  <c r="AE135"/>
  <c r="AE144"/>
  <c r="AE146"/>
  <c r="AE151"/>
  <c r="AE164"/>
  <c r="AE165"/>
  <c r="M187" i="17" l="1"/>
  <c r="O187" s="1"/>
  <c r="M176"/>
  <c r="M178"/>
  <c r="G176" i="1"/>
  <c r="G178"/>
  <c r="I176"/>
  <c r="I180"/>
  <c r="M189" i="13" s="1"/>
  <c r="M186" i="1"/>
  <c r="O186" s="1"/>
  <c r="M186" i="13"/>
  <c r="O186" s="1"/>
  <c r="N173" i="1"/>
  <c r="O176" i="17"/>
  <c r="O178"/>
  <c r="N175"/>
  <c r="M183" s="1"/>
  <c r="O183" s="1"/>
  <c r="N178"/>
  <c r="G175" i="6"/>
  <c r="H175" s="1"/>
  <c r="G174"/>
  <c r="H174" s="1"/>
  <c r="F175" i="1"/>
  <c r="E175"/>
  <c r="E176"/>
  <c r="H176"/>
  <c r="H178"/>
  <c r="M176"/>
  <c r="M179"/>
  <c r="M184" i="17" l="1"/>
  <c r="O184" s="1"/>
  <c r="M189" i="1"/>
  <c r="O189" s="1"/>
  <c r="O189" i="13"/>
  <c r="N178" i="1"/>
  <c r="M187" i="13" s="1"/>
  <c r="O187" s="1"/>
  <c r="N179" i="1"/>
  <c r="M188" s="1"/>
  <c r="O188" s="1"/>
  <c r="M185"/>
  <c r="O185" s="1"/>
  <c r="M185" i="13"/>
  <c r="O185" s="1"/>
  <c r="N175" i="1"/>
  <c r="M184" s="1"/>
  <c r="O184" s="1"/>
  <c r="M186" i="17"/>
  <c r="O186" s="1"/>
  <c r="V186" i="1"/>
  <c r="AQ173" i="17" s="1"/>
  <c r="T144" i="13" s="1"/>
  <c r="J194" i="14"/>
  <c r="N194" s="1"/>
  <c r="J195"/>
  <c r="N195" s="1"/>
  <c r="L190" l="1"/>
  <c r="L189" s="1"/>
  <c r="M188" i="13"/>
  <c r="O188" s="1"/>
  <c r="L188" i="14" s="1"/>
  <c r="M187" i="1"/>
  <c r="O187" s="1"/>
  <c r="M184" i="13"/>
  <c r="O184" s="1"/>
  <c r="L184" i="14" s="1"/>
  <c r="I22" i="18" s="1"/>
  <c r="V185" i="1"/>
  <c r="AP173" i="17" s="1"/>
  <c r="S144" i="13" s="1"/>
  <c r="L185" i="14"/>
  <c r="L186"/>
  <c r="I24" i="18" s="1"/>
  <c r="L187" i="14"/>
  <c r="V188" i="1"/>
  <c r="AS173" i="17" s="1"/>
  <c r="V144" i="13" s="1"/>
  <c r="AQ174" i="17"/>
  <c r="T144" i="1"/>
  <c r="S144" l="1"/>
  <c r="J193" i="14"/>
  <c r="N193" s="1"/>
  <c r="J198" s="1"/>
  <c r="V187" i="1"/>
  <c r="AR173" i="17" s="1"/>
  <c r="U144" i="13" s="1"/>
  <c r="AP174" i="17"/>
  <c r="S145" i="1" s="1"/>
  <c r="V184"/>
  <c r="AO173" i="17" s="1"/>
  <c r="R144" i="13" s="1"/>
  <c r="I13" i="18"/>
  <c r="I15"/>
  <c r="I17"/>
  <c r="I26"/>
  <c r="I16"/>
  <c r="I25"/>
  <c r="I23"/>
  <c r="I14"/>
  <c r="T145" i="1"/>
  <c r="T172" s="1"/>
  <c r="T173" s="1"/>
  <c r="T174" s="1"/>
  <c r="T145" i="13"/>
  <c r="T172" s="1"/>
  <c r="T173" s="1"/>
  <c r="T174" s="1"/>
  <c r="AS174" i="17"/>
  <c r="V144" i="1"/>
  <c r="S172" l="1"/>
  <c r="S173" s="1"/>
  <c r="S174" s="1"/>
  <c r="AR174" i="17"/>
  <c r="U145" i="13" s="1"/>
  <c r="U172" s="1"/>
  <c r="U173" s="1"/>
  <c r="U174" s="1"/>
  <c r="K202" i="14"/>
  <c r="S145" i="13"/>
  <c r="S172" s="1"/>
  <c r="S173" s="1"/>
  <c r="S174" s="1"/>
  <c r="U144" i="1"/>
  <c r="R144"/>
  <c r="AO174" i="17"/>
  <c r="R145" i="13" s="1"/>
  <c r="R172" s="1"/>
  <c r="R173" s="1"/>
  <c r="R174" s="1"/>
  <c r="V145" i="1"/>
  <c r="V172" s="1"/>
  <c r="V173" s="1"/>
  <c r="V174" s="1"/>
  <c r="V145" i="13"/>
  <c r="V172" s="1"/>
  <c r="V173" s="1"/>
  <c r="V174" s="1"/>
  <c r="U145" i="1" l="1"/>
  <c r="U172" s="1"/>
  <c r="U173" s="1"/>
  <c r="U174" s="1"/>
  <c r="AT174" i="17"/>
  <c r="AU174"/>
  <c r="R145" i="1"/>
  <c r="R172" s="1"/>
  <c r="R173" s="1"/>
  <c r="R174" s="1"/>
  <c r="I27" i="18"/>
  <c r="I18"/>
  <c r="K28" l="1"/>
  <c r="L28"/>
  <c r="J28"/>
  <c r="J19"/>
  <c r="M19"/>
  <c r="R19"/>
  <c r="K19"/>
  <c r="N19"/>
  <c r="L19"/>
</calcChain>
</file>

<file path=xl/sharedStrings.xml><?xml version="1.0" encoding="utf-8"?>
<sst xmlns="http://schemas.openxmlformats.org/spreadsheetml/2006/main" count="1635" uniqueCount="401">
  <si>
    <t>Vasavi College of Engineering (Autonomous)</t>
  </si>
  <si>
    <t>Course Outcome Attainment Tool - Autonomous Batches</t>
  </si>
  <si>
    <t>Filename</t>
  </si>
  <si>
    <t>DONOT DELETE THE YEARS &amp; SEMESTERS IN RED COLOR</t>
  </si>
  <si>
    <t>Department</t>
  </si>
  <si>
    <t>Department of Computer Science &amp; Engineering</t>
  </si>
  <si>
    <t>DONOT COPY HERE</t>
  </si>
  <si>
    <t>2016-17</t>
  </si>
  <si>
    <t>2017-18</t>
  </si>
  <si>
    <t>2018-19</t>
  </si>
  <si>
    <t>Academic year</t>
  </si>
  <si>
    <t>Course Outcomes</t>
  </si>
  <si>
    <t>AY</t>
  </si>
  <si>
    <t>YOS</t>
  </si>
  <si>
    <t>SEM</t>
  </si>
  <si>
    <t>I</t>
  </si>
  <si>
    <t>II</t>
  </si>
  <si>
    <t>Faculty</t>
  </si>
  <si>
    <t>Year of Study</t>
  </si>
  <si>
    <t>3/4</t>
  </si>
  <si>
    <t>CO 1</t>
  </si>
  <si>
    <t>CIV</t>
  </si>
  <si>
    <t>Department of Civil Engineering</t>
  </si>
  <si>
    <t>1/4</t>
  </si>
  <si>
    <t>B.E.  I Year -  I Semester</t>
  </si>
  <si>
    <t>B.E.  I Year -  II Semester</t>
  </si>
  <si>
    <t>Dr. T.Adilakshmi</t>
  </si>
  <si>
    <t>Semester</t>
  </si>
  <si>
    <t>CO 2</t>
  </si>
  <si>
    <t>CSE</t>
  </si>
  <si>
    <t>2/4</t>
  </si>
  <si>
    <t>English-I</t>
  </si>
  <si>
    <t>Dr. Nagaratna P. Hegde</t>
  </si>
  <si>
    <t>Student Strength in Section A</t>
  </si>
  <si>
    <t>CO 3</t>
  </si>
  <si>
    <t>EEE</t>
  </si>
  <si>
    <t>Department of Electrical &amp; Electronics Engineering</t>
  </si>
  <si>
    <t>Engineering Mathematics-I</t>
  </si>
  <si>
    <t>Engineering Mathematics-II</t>
  </si>
  <si>
    <t>M. Sunitha Reddy</t>
  </si>
  <si>
    <t>Student Strength in Section B</t>
  </si>
  <si>
    <t>CO 4</t>
  </si>
  <si>
    <t>ECE</t>
  </si>
  <si>
    <t>Department of Electronics &amp; Communication Engineering</t>
  </si>
  <si>
    <t>4/4</t>
  </si>
  <si>
    <t>Engineering Physics</t>
  </si>
  <si>
    <t>Applied Physics</t>
  </si>
  <si>
    <t>R. Sateesh Kumar</t>
  </si>
  <si>
    <t>Subject</t>
  </si>
  <si>
    <t>Web Programming &amp; Services</t>
  </si>
  <si>
    <t>CO 5</t>
  </si>
  <si>
    <t>MED</t>
  </si>
  <si>
    <t>Department of Mechanical Engineering</t>
  </si>
  <si>
    <t>Engineering Chemistry</t>
  </si>
  <si>
    <t>Applied Chemistry</t>
  </si>
  <si>
    <t>S. Vinay Kumar</t>
  </si>
  <si>
    <t>Name of the Faculty (A)</t>
  </si>
  <si>
    <t>CO 6</t>
  </si>
  <si>
    <t>IT</t>
  </si>
  <si>
    <t>Department of Information Technology</t>
  </si>
  <si>
    <t>Computer Programming and Problem solving using C</t>
  </si>
  <si>
    <t>Object Oriented Programming using C++</t>
  </si>
  <si>
    <t>Computer Programming</t>
  </si>
  <si>
    <t>Introduction to Electronics Engineering</t>
  </si>
  <si>
    <t>M.S.V.Sashi Kumar</t>
  </si>
  <si>
    <t>Name of the Faculty (B)</t>
  </si>
  <si>
    <t>CO-PO Mapping</t>
  </si>
  <si>
    <t>CO Attainment</t>
  </si>
  <si>
    <t>PO1</t>
  </si>
  <si>
    <t>PO2</t>
  </si>
  <si>
    <t>PO3</t>
  </si>
  <si>
    <t>PO4</t>
  </si>
  <si>
    <t>PO5</t>
  </si>
  <si>
    <t>PO6</t>
  </si>
  <si>
    <t>PO7</t>
  </si>
  <si>
    <t>PO8</t>
  </si>
  <si>
    <t>PO9</t>
  </si>
  <si>
    <t>PO10</t>
  </si>
  <si>
    <t>PO11</t>
  </si>
  <si>
    <t>PO12</t>
  </si>
  <si>
    <t>16-17 i</t>
  </si>
  <si>
    <t>Basic Electrical Engineering</t>
  </si>
  <si>
    <t>Engineering Mechanics</t>
  </si>
  <si>
    <t>Basic Engineering Mechanics</t>
  </si>
  <si>
    <t>V.Sireesha</t>
  </si>
  <si>
    <t>Threshold for the Course</t>
  </si>
  <si>
    <t>CO1</t>
  </si>
  <si>
    <t>16-17 ii</t>
  </si>
  <si>
    <t>Engineering Graphics-I</t>
  </si>
  <si>
    <t>Engineering Graphics-II</t>
  </si>
  <si>
    <t>V.Punna Rao</t>
  </si>
  <si>
    <t>CO2</t>
  </si>
  <si>
    <t>17-18 I</t>
  </si>
  <si>
    <t>English Lab-I</t>
  </si>
  <si>
    <t>English Lab-II</t>
  </si>
  <si>
    <t>C.Gireesh</t>
  </si>
  <si>
    <t>Level</t>
  </si>
  <si>
    <t>Target</t>
  </si>
  <si>
    <t>CO3</t>
  </si>
  <si>
    <t>17-18 II</t>
  </si>
  <si>
    <t>Engineering  Physics Lab</t>
  </si>
  <si>
    <t>Applied  Physics Lab</t>
  </si>
  <si>
    <t>Engineering Chemistry Lab</t>
  </si>
  <si>
    <t>B. Syamala</t>
  </si>
  <si>
    <t xml:space="preserve">% of students scoring &gt;= </t>
  </si>
  <si>
    <t>CO4</t>
  </si>
  <si>
    <t>18-19 I</t>
  </si>
  <si>
    <t>Applied Chemistry Lab</t>
  </si>
  <si>
    <t>Computer Programming  Lab</t>
  </si>
  <si>
    <t>Introduction to Electronics Engineering Lab</t>
  </si>
  <si>
    <t>P. Narsaiah</t>
  </si>
  <si>
    <t>CO5</t>
  </si>
  <si>
    <t>18-19 II</t>
  </si>
  <si>
    <t>Computer Programming &amp; Problem solving using C Lab</t>
  </si>
  <si>
    <t>Object Oriented Programming using C++ Lab</t>
  </si>
  <si>
    <t>Engineering Workshop Lab-I</t>
  </si>
  <si>
    <t>CS Workshop Lab</t>
  </si>
  <si>
    <t>I. Navakanth</t>
  </si>
  <si>
    <t>CO6</t>
  </si>
  <si>
    <t>Engineering Workshop Lab -I</t>
  </si>
  <si>
    <t>CS Workshop</t>
  </si>
  <si>
    <t>B.E.  II Year -  I Semester</t>
  </si>
  <si>
    <t>B.E. II year  - II Sem</t>
  </si>
  <si>
    <t>T.Jalaja</t>
  </si>
  <si>
    <t>Mathematics III</t>
  </si>
  <si>
    <t>Mathematics -IV</t>
  </si>
  <si>
    <t>T. Nishitha</t>
  </si>
  <si>
    <t>Mathematics – III</t>
  </si>
  <si>
    <t>Mathematics – IV</t>
  </si>
  <si>
    <t>Data  Structures</t>
  </si>
  <si>
    <t>Object Oriented Programming  Using  Java</t>
  </si>
  <si>
    <t>T. Saikanth</t>
  </si>
  <si>
    <t>CO-PSO Mapping</t>
  </si>
  <si>
    <t>PSO1</t>
  </si>
  <si>
    <t>PSO2</t>
  </si>
  <si>
    <t>PSO3</t>
  </si>
  <si>
    <t xml:space="preserve">Data Structures </t>
  </si>
  <si>
    <t>Object Oriented Programming using Java</t>
  </si>
  <si>
    <t>Discrete Structures</t>
  </si>
  <si>
    <t>Operating Systems</t>
  </si>
  <si>
    <t>M. Akhila</t>
  </si>
  <si>
    <r>
      <t>Microprocessors</t>
    </r>
    <r>
      <rPr>
        <sz val="10"/>
        <color theme="1"/>
        <rFont val="Calibri"/>
        <family val="2"/>
        <scheme val="minor"/>
      </rPr>
      <t>&amp; Interfacing</t>
    </r>
  </si>
  <si>
    <t>Logic &amp; Switching Theory</t>
  </si>
  <si>
    <t>Design &amp; Analysis of Algorithms</t>
  </si>
  <si>
    <t>Shanmuga Sundari</t>
  </si>
  <si>
    <t>Logic and Switching Theory</t>
  </si>
  <si>
    <t>Data Communication</t>
  </si>
  <si>
    <t>Computer Architecture</t>
  </si>
  <si>
    <t>M. Sudha Rani</t>
  </si>
  <si>
    <t xml:space="preserve">Computer Architecture </t>
  </si>
  <si>
    <t>HVPE-I</t>
  </si>
  <si>
    <t>Finishing School –II :  Communication Skills in English-II</t>
  </si>
  <si>
    <t>Garima Jain</t>
  </si>
  <si>
    <t>Basic Electronics</t>
  </si>
  <si>
    <t>Environmental  Studies</t>
  </si>
  <si>
    <t>Finishing School -I: Communication Skills in English-I</t>
  </si>
  <si>
    <t>Environmental Science</t>
  </si>
  <si>
    <t>K.B. Bini</t>
  </si>
  <si>
    <t>Finishing School: Communication Skills in English -I</t>
  </si>
  <si>
    <t>Finishing School: Communication Skills in English-II</t>
  </si>
  <si>
    <t>Introduction to Entrepreneurship</t>
  </si>
  <si>
    <t>Cyber Security (Open Elective-II)</t>
  </si>
  <si>
    <t>M. Sujana</t>
  </si>
  <si>
    <t>Human Values &amp; Professional Ethics-I</t>
  </si>
  <si>
    <t>Java Lab</t>
  </si>
  <si>
    <t>Introduction to Data Structures (Open Elective-I)</t>
  </si>
  <si>
    <t>Introduction to Python Programming (Open Elective-III)</t>
  </si>
  <si>
    <t>Sindhe Swetha</t>
  </si>
  <si>
    <t xml:space="preserve">Data Structures Lab </t>
  </si>
  <si>
    <t>Microprocessors &amp; Interfacing  Lab</t>
  </si>
  <si>
    <t>Internet Usage -Best Practices (Open Elective-I)</t>
  </si>
  <si>
    <t>Java  Lab</t>
  </si>
  <si>
    <t>Basic Electronics Lab</t>
  </si>
  <si>
    <t>B.E. III year - II Sem</t>
  </si>
  <si>
    <t>Data Structures Lab</t>
  </si>
  <si>
    <t>Operating Systems  Lab</t>
  </si>
  <si>
    <t>B.E. III year - I Sem</t>
  </si>
  <si>
    <t xml:space="preserve">Database Management Systems </t>
  </si>
  <si>
    <t xml:space="preserve">Computer Networks </t>
  </si>
  <si>
    <t xml:space="preserve">Operating systems </t>
  </si>
  <si>
    <t>Compiler Construction</t>
  </si>
  <si>
    <t>Database Management Systems</t>
  </si>
  <si>
    <t>Computer Networks</t>
  </si>
  <si>
    <t xml:space="preserve"> Software Engineering </t>
  </si>
  <si>
    <t>Principles of Programming Languages</t>
  </si>
  <si>
    <t xml:space="preserve">Managerial Economics and Accountancy </t>
  </si>
  <si>
    <t>Information Storage Management</t>
  </si>
  <si>
    <t>Software Engineering</t>
  </si>
  <si>
    <t xml:space="preserve">Automata, Languages and Computation </t>
  </si>
  <si>
    <t>Finishing School-IV (Soft Skills)</t>
  </si>
  <si>
    <t>Automata, Languages and Computation</t>
  </si>
  <si>
    <t>Information Storage Management (Elective-I)</t>
  </si>
  <si>
    <t>Finishing School-III: Soft Skills</t>
  </si>
  <si>
    <t>Finishing School-IV (Technical Skills)</t>
  </si>
  <si>
    <t>Managerial Economics and Accountancy</t>
  </si>
  <si>
    <t>Finishing School-III: Technical Skills</t>
  </si>
  <si>
    <t>Web Programming&amp; Services Lab</t>
  </si>
  <si>
    <t xml:space="preserve">Human Values &amp; Professional Ethics - II </t>
  </si>
  <si>
    <t>Computer Networks Lab</t>
  </si>
  <si>
    <t>Web Programming &amp; Services Lab</t>
  </si>
  <si>
    <t xml:space="preserve">Database Management Systems Lab </t>
  </si>
  <si>
    <t>Compiler Construction Lab</t>
  </si>
  <si>
    <t>Human Values &amp; Professional Ethics - II</t>
  </si>
  <si>
    <t xml:space="preserve">Operating systems Lab </t>
  </si>
  <si>
    <t xml:space="preserve"> Mini Project</t>
  </si>
  <si>
    <t>Database Management Systems Lab</t>
  </si>
  <si>
    <t>Software Engineering Lab</t>
  </si>
  <si>
    <t>B.E. IV year  - II Sem</t>
  </si>
  <si>
    <t>Operating Systems Lab</t>
  </si>
  <si>
    <t>Mini Project</t>
  </si>
  <si>
    <t>Data Mining</t>
  </si>
  <si>
    <t>IV year - I sem</t>
  </si>
  <si>
    <t>Information Storage and Management (ELECTIVE –II)</t>
  </si>
  <si>
    <t>Cloud Computing (ELECTIVE –III)</t>
  </si>
  <si>
    <t>Distributed Systems</t>
  </si>
  <si>
    <t>Cloud Computing (ELECTIVE-III)</t>
  </si>
  <si>
    <t>B.E. IV year - I Sem</t>
  </si>
  <si>
    <t>Image Processing (ELECTIVE-IV)</t>
  </si>
  <si>
    <t>Artificial Intelligence</t>
  </si>
  <si>
    <t>Data Mining Lab</t>
  </si>
  <si>
    <t>Project - Internship</t>
  </si>
  <si>
    <t>Information Security</t>
  </si>
  <si>
    <t>Seminar</t>
  </si>
  <si>
    <t>Principles &amp; Applications of Embedded Systems</t>
  </si>
  <si>
    <t xml:space="preserve">Project </t>
  </si>
  <si>
    <t>Image Processing (Elective - I)</t>
  </si>
  <si>
    <t>Distributed Systems Lab</t>
  </si>
  <si>
    <t>Embedded Systems Lab</t>
  </si>
  <si>
    <t>Mobile Communications (ELECTIVE-II)</t>
  </si>
  <si>
    <t>Project Seminar</t>
  </si>
  <si>
    <t>Distributed Systems lab</t>
  </si>
  <si>
    <t xml:space="preserve">Acad: Year: </t>
  </si>
  <si>
    <t>Class: B.E</t>
  </si>
  <si>
    <t>Sem:</t>
  </si>
  <si>
    <t>No. of Students registered for the Course (A):</t>
  </si>
  <si>
    <t>No. of Students registered for the Course (B):</t>
  </si>
  <si>
    <t>Sub:</t>
  </si>
  <si>
    <t>INTERNAL - I CO ATTAINMENT</t>
  </si>
  <si>
    <t>Q.Nos</t>
  </si>
  <si>
    <t>7a</t>
  </si>
  <si>
    <t>7b</t>
  </si>
  <si>
    <t>8a</t>
  </si>
  <si>
    <t>8b</t>
  </si>
  <si>
    <t>9a</t>
  </si>
  <si>
    <t>9b</t>
  </si>
  <si>
    <t>Total</t>
  </si>
  <si>
    <t>Course Outcome</t>
  </si>
  <si>
    <t>Marks</t>
  </si>
  <si>
    <t>Threshold Marks</t>
  </si>
  <si>
    <t>S.No.</t>
  </si>
  <si>
    <t>H.No.</t>
  </si>
  <si>
    <t>CO</t>
  </si>
  <si>
    <t>NA</t>
  </si>
  <si>
    <t>Level 3:</t>
  </si>
  <si>
    <t>Attained Level</t>
  </si>
  <si>
    <t>Level 2.5:</t>
  </si>
  <si>
    <t>Level 2:</t>
  </si>
  <si>
    <t>Level 1.5:</t>
  </si>
  <si>
    <t>Level 1:</t>
  </si>
  <si>
    <t>Threshold for Internal</t>
  </si>
  <si>
    <t>INTERNAL - II CO ATTAINMENT</t>
  </si>
  <si>
    <t>Threshold</t>
  </si>
  <si>
    <t>Total Strength</t>
  </si>
  <si>
    <t>Threshold for Assignment &amp; Quiz</t>
  </si>
  <si>
    <t>ASSIGNMENT &amp; QUIZ</t>
  </si>
  <si>
    <t>S. No</t>
  </si>
  <si>
    <t>Roll No</t>
  </si>
  <si>
    <t>Assignment-1</t>
  </si>
  <si>
    <t>Assignment-2</t>
  </si>
  <si>
    <t>Assignment-3</t>
  </si>
  <si>
    <t>Assignment(5)</t>
  </si>
  <si>
    <t>Quiz-1</t>
  </si>
  <si>
    <t>Quiz-2</t>
  </si>
  <si>
    <t>Quiz-3</t>
  </si>
  <si>
    <t>Quiz (5)</t>
  </si>
  <si>
    <t>Assessment Tool</t>
  </si>
  <si>
    <t>Assignment</t>
  </si>
  <si>
    <t>Quiz</t>
  </si>
  <si>
    <t>Quiz/Assg Threshold Mark</t>
  </si>
  <si>
    <t>Total Students</t>
  </si>
  <si>
    <t>No. of Students registered for the Course:</t>
  </si>
  <si>
    <t>EXTERNAL EXAM CO ATTAINMENT</t>
  </si>
  <si>
    <t>11a</t>
  </si>
  <si>
    <t>11b</t>
  </si>
  <si>
    <t>12a</t>
  </si>
  <si>
    <t>12b</t>
  </si>
  <si>
    <t>13a</t>
  </si>
  <si>
    <t>13b</t>
  </si>
  <si>
    <t>14a</t>
  </si>
  <si>
    <t>14b</t>
  </si>
  <si>
    <t>15a</t>
  </si>
  <si>
    <t>15b</t>
  </si>
  <si>
    <t>16a</t>
  </si>
  <si>
    <t>16b</t>
  </si>
  <si>
    <t>17a</t>
  </si>
  <si>
    <t>17b</t>
  </si>
  <si>
    <t>17c</t>
  </si>
  <si>
    <t>Overall Attainment</t>
  </si>
  <si>
    <t>% of Students scoring &gt;=Threshold</t>
  </si>
  <si>
    <t>External</t>
  </si>
  <si>
    <t>SAR Wise</t>
  </si>
  <si>
    <t>Student Wise</t>
  </si>
  <si>
    <t>CO ATTAINMENT</t>
  </si>
  <si>
    <t>Class Strength</t>
  </si>
  <si>
    <t>Ext</t>
  </si>
  <si>
    <t>Int</t>
  </si>
  <si>
    <t>Assgn</t>
  </si>
  <si>
    <t>OE</t>
  </si>
  <si>
    <t>1 Credit</t>
  </si>
  <si>
    <t>2 Credit</t>
  </si>
  <si>
    <t>2019-20</t>
  </si>
  <si>
    <t>CO 1_MAX</t>
  </si>
  <si>
    <t>CO 2_MAX</t>
  </si>
  <si>
    <t>CO 3_MAX</t>
  </si>
  <si>
    <t>CO 4_MAX</t>
  </si>
  <si>
    <t>CO 5_MAX</t>
  </si>
  <si>
    <t>CO1 Attn</t>
  </si>
  <si>
    <t>CO2 Attn</t>
  </si>
  <si>
    <t>CO3 Attn</t>
  </si>
  <si>
    <t>CO4 Attn</t>
  </si>
  <si>
    <t>CO5 Attn</t>
  </si>
  <si>
    <t>CO Attainment Student Wise</t>
  </si>
  <si>
    <t>CO Attainment SAR Wise</t>
  </si>
  <si>
    <t>Design static web pages using HTML, CSS &amp; Java Script</t>
  </si>
  <si>
    <t>Develop applications using JDBC API to connect to database</t>
  </si>
  <si>
    <t>Develop dynamic web applications using Servlets by applying MVC architecture</t>
  </si>
  <si>
    <t>Design web pages using JSP &amp; PHP scripting languages with database connectivity</t>
  </si>
  <si>
    <t>Deploy web applications, publish web services on Azure cloud</t>
  </si>
  <si>
    <t>1602-16-733-001</t>
  </si>
  <si>
    <t>1602-16-733-002</t>
  </si>
  <si>
    <t>1602-16-733-003</t>
  </si>
  <si>
    <t>1602-16-733-004</t>
  </si>
  <si>
    <t>1602-16-733-005</t>
  </si>
  <si>
    <t>1602-16-733-006</t>
  </si>
  <si>
    <t>1602-16-733-007</t>
  </si>
  <si>
    <t>1602-16-733-008</t>
  </si>
  <si>
    <t>1602-16-733-009</t>
  </si>
  <si>
    <t>1602-16-733-010</t>
  </si>
  <si>
    <t>1602-16-733-011</t>
  </si>
  <si>
    <t>1602-16-733-012</t>
  </si>
  <si>
    <t>1602-16-733-013</t>
  </si>
  <si>
    <t>1602-16-733-014</t>
  </si>
  <si>
    <t>1602-16-733-015</t>
  </si>
  <si>
    <t>1602-16-733-016</t>
  </si>
  <si>
    <t>1602-16-733-017</t>
  </si>
  <si>
    <t>1602-16-733-018</t>
  </si>
  <si>
    <t>1602-16-733-019</t>
  </si>
  <si>
    <t>1602-16-733-020</t>
  </si>
  <si>
    <t>1602-16-733-021</t>
  </si>
  <si>
    <t>1602-16-733-022</t>
  </si>
  <si>
    <t>1602-16-733-023</t>
  </si>
  <si>
    <t>1602-16-733-024</t>
  </si>
  <si>
    <t>1602-16-733-025</t>
  </si>
  <si>
    <t>1602-16-733-026</t>
  </si>
  <si>
    <t>1602-16-733-027</t>
  </si>
  <si>
    <t>1602-16-733-028</t>
  </si>
  <si>
    <t>1602-16-733-029</t>
  </si>
  <si>
    <t>1602-16-733-030</t>
  </si>
  <si>
    <t>1602-16-733-031</t>
  </si>
  <si>
    <t>1602-16-733-032</t>
  </si>
  <si>
    <t>1602-16-733-033</t>
  </si>
  <si>
    <t>1602-16-733-034</t>
  </si>
  <si>
    <t>1602-16-733-035</t>
  </si>
  <si>
    <t>1602-16-733-036</t>
  </si>
  <si>
    <t>1602-16-733-037</t>
  </si>
  <si>
    <t>1602-16-733-038</t>
  </si>
  <si>
    <t>1602-16-733-039</t>
  </si>
  <si>
    <t>1602-16-733-040</t>
  </si>
  <si>
    <t>1602-16-733-041</t>
  </si>
  <si>
    <t>1602-16-733-042</t>
  </si>
  <si>
    <t>1602-16-733-043</t>
  </si>
  <si>
    <t>1602-16-733-044</t>
  </si>
  <si>
    <t>1602-16-733-045</t>
  </si>
  <si>
    <t>1602-16-733-046</t>
  </si>
  <si>
    <t>1602-16-733-047</t>
  </si>
  <si>
    <t>1602-16-733-048</t>
  </si>
  <si>
    <t>1602-16-733-049</t>
  </si>
  <si>
    <t>1602-16-733-050</t>
  </si>
  <si>
    <t>1602-16-733-051</t>
  </si>
  <si>
    <t>1602-16-733-052</t>
  </si>
  <si>
    <t>1602-16-733-053</t>
  </si>
  <si>
    <t>1602-16-733-054</t>
  </si>
  <si>
    <t>1602-16-733-055</t>
  </si>
  <si>
    <t>1602-16-733-056</t>
  </si>
  <si>
    <t>1602-16-733-057</t>
  </si>
  <si>
    <t>1602-16-733-058</t>
  </si>
  <si>
    <t>1602-16-733-059</t>
  </si>
  <si>
    <t>1602-16-733-060</t>
  </si>
  <si>
    <t>1602-16-733-301</t>
  </si>
  <si>
    <t>1602-16-733-302</t>
  </si>
  <si>
    <t>1602-16-733-303</t>
  </si>
  <si>
    <t>1602-16-733-304</t>
  </si>
  <si>
    <t>1602-16-733-305</t>
  </si>
  <si>
    <t>1602-16-733-306</t>
  </si>
  <si>
    <t>1602-16-733-307</t>
  </si>
  <si>
    <t>1602-16-733-308</t>
  </si>
  <si>
    <t>1602-16-733-309</t>
  </si>
  <si>
    <t>1602-16-733-310</t>
  </si>
  <si>
    <t>1602-16-733-311</t>
  </si>
  <si>
    <t>1602-16-733-312</t>
  </si>
  <si>
    <t>1602-14-733-018</t>
  </si>
</sst>
</file>

<file path=xl/styles.xml><?xml version="1.0" encoding="utf-8"?>
<styleSheet xmlns="http://schemas.openxmlformats.org/spreadsheetml/2006/main">
  <numFmts count="1">
    <numFmt numFmtId="164" formatCode="0.0"/>
  </numFmts>
  <fonts count="5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2"/>
      <color indexed="8"/>
      <name val="Calibri"/>
      <family val="2"/>
    </font>
    <font>
      <sz val="18"/>
      <color indexed="8"/>
      <name val="Calibri"/>
      <family val="2"/>
    </font>
    <font>
      <sz val="16"/>
      <color indexed="8"/>
      <name val="Calibri"/>
      <family val="2"/>
    </font>
    <font>
      <b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</font>
    <font>
      <sz val="16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0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"/>
      <family val="2"/>
    </font>
    <font>
      <sz val="12"/>
      <color rgb="FF000000"/>
      <name val="Calibri"/>
      <family val="2"/>
    </font>
    <font>
      <sz val="10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sz val="10"/>
      <color theme="1"/>
      <name val="Times New Roman"/>
      <family val="1"/>
    </font>
    <font>
      <sz val="10"/>
      <color rgb="FF000000"/>
      <name val="Times New Roman"/>
      <family val="1"/>
    </font>
    <font>
      <b/>
      <sz val="10"/>
      <color indexed="8"/>
      <name val="Calibri"/>
      <family val="2"/>
    </font>
    <font>
      <sz val="1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4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4"/>
      <color rgb="FF000000"/>
      <name val="Calibri"/>
      <family val="2"/>
    </font>
    <font>
      <b/>
      <sz val="16"/>
      <color rgb="FF000000"/>
      <name val="Calibri"/>
      <family val="2"/>
    </font>
    <font>
      <b/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indexed="8"/>
      <name val="Calibri"/>
      <family val="2"/>
    </font>
    <font>
      <sz val="8"/>
      <color rgb="FF000000"/>
      <name val="Calibri"/>
      <family val="2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24"/>
      <color rgb="FFFF000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31"/>
        <bgColor indexed="2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99"/>
        <bgColor rgb="FFFFFF99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CCCFF"/>
        <bgColor indexed="26"/>
      </patternFill>
    </fill>
    <fill>
      <patternFill patternType="solid">
        <fgColor rgb="FFCCCC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3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1E90F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2">
    <xf numFmtId="0" fontId="0" fillId="0" borderId="0"/>
    <xf numFmtId="0" fontId="10" fillId="0" borderId="0"/>
    <xf numFmtId="0" fontId="10" fillId="0" borderId="0"/>
    <xf numFmtId="0" fontId="9" fillId="0" borderId="0"/>
    <xf numFmtId="0" fontId="4" fillId="0" borderId="0"/>
    <xf numFmtId="0" fontId="9" fillId="0" borderId="0"/>
    <xf numFmtId="0" fontId="4" fillId="0" borderId="0"/>
    <xf numFmtId="0" fontId="9" fillId="0" borderId="0"/>
    <xf numFmtId="0" fontId="26" fillId="0" borderId="0"/>
    <xf numFmtId="0" fontId="1" fillId="0" borderId="0"/>
    <xf numFmtId="0" fontId="1" fillId="0" borderId="0"/>
    <xf numFmtId="0" fontId="10" fillId="0" borderId="0"/>
  </cellStyleXfs>
  <cellXfs count="345">
    <xf numFmtId="0" fontId="0" fillId="0" borderId="0" xfId="0"/>
    <xf numFmtId="0" fontId="10" fillId="5" borderId="0" xfId="1" applyFill="1" applyAlignment="1">
      <alignment horizontal="center" vertical="center"/>
    </xf>
    <xf numFmtId="0" fontId="10" fillId="6" borderId="0" xfId="1" applyFill="1" applyAlignment="1" applyProtection="1">
      <alignment horizontal="center" vertical="center"/>
      <protection locked="0"/>
    </xf>
    <xf numFmtId="0" fontId="10" fillId="7" borderId="0" xfId="2" applyFill="1" applyAlignment="1" applyProtection="1">
      <alignment horizontal="center" vertical="center"/>
      <protection locked="0"/>
    </xf>
    <xf numFmtId="0" fontId="10" fillId="8" borderId="0" xfId="1" applyFill="1" applyAlignment="1">
      <alignment horizontal="center" vertical="center" wrapText="1"/>
    </xf>
    <xf numFmtId="0" fontId="12" fillId="0" borderId="0" xfId="1" applyFont="1" applyAlignment="1">
      <alignment horizontal="center" vertical="center"/>
    </xf>
    <xf numFmtId="0" fontId="12" fillId="10" borderId="13" xfId="1" applyFont="1" applyFill="1" applyBorder="1" applyAlignment="1">
      <alignment horizontal="center" vertical="center"/>
    </xf>
    <xf numFmtId="0" fontId="10" fillId="0" borderId="0" xfId="1" applyAlignment="1">
      <alignment vertical="center"/>
    </xf>
    <xf numFmtId="0" fontId="0" fillId="0" borderId="0" xfId="0" applyAlignment="1">
      <alignment vertical="center"/>
    </xf>
    <xf numFmtId="0" fontId="13" fillId="0" borderId="0" xfId="1" applyFont="1" applyAlignment="1">
      <alignment horizontal="center" vertical="center"/>
    </xf>
    <xf numFmtId="0" fontId="14" fillId="0" borderId="0" xfId="1" applyFont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14" fontId="12" fillId="0" borderId="0" xfId="1" applyNumberFormat="1" applyFont="1" applyAlignment="1" applyProtection="1">
      <alignment horizontal="center" vertical="center"/>
      <protection locked="0"/>
    </xf>
    <xf numFmtId="164" fontId="10" fillId="0" borderId="0" xfId="1" applyNumberFormat="1" applyAlignment="1" applyProtection="1">
      <alignment horizontal="center" vertical="center"/>
      <protection locked="0"/>
    </xf>
    <xf numFmtId="0" fontId="16" fillId="0" borderId="0" xfId="1" applyFont="1" applyAlignment="1" applyProtection="1">
      <alignment horizontal="center" vertical="center"/>
      <protection locked="0"/>
    </xf>
    <xf numFmtId="0" fontId="12" fillId="0" borderId="0" xfId="1" applyFont="1" applyAlignment="1" applyProtection="1">
      <alignment horizontal="center" vertical="center"/>
      <protection locked="0"/>
    </xf>
    <xf numFmtId="1" fontId="10" fillId="10" borderId="2" xfId="1" applyNumberFormat="1" applyFill="1" applyBorder="1" applyAlignment="1">
      <alignment horizontal="center" vertical="center"/>
    </xf>
    <xf numFmtId="0" fontId="12" fillId="10" borderId="2" xfId="1" applyFont="1" applyFill="1" applyBorder="1" applyAlignment="1">
      <alignment horizontal="center" vertical="center"/>
    </xf>
    <xf numFmtId="0" fontId="4" fillId="0" borderId="0" xfId="4" applyAlignment="1" applyProtection="1">
      <alignment horizontal="center" vertical="center"/>
      <protection locked="0"/>
    </xf>
    <xf numFmtId="0" fontId="9" fillId="0" borderId="1" xfId="4" applyFont="1" applyBorder="1" applyAlignment="1" applyProtection="1">
      <alignment horizontal="center" vertical="center"/>
      <protection locked="0"/>
    </xf>
    <xf numFmtId="2" fontId="5" fillId="2" borderId="1" xfId="4" applyNumberFormat="1" applyFont="1" applyFill="1" applyBorder="1" applyAlignment="1">
      <alignment horizontal="center" vertical="center"/>
    </xf>
    <xf numFmtId="0" fontId="4" fillId="0" borderId="1" xfId="4" applyBorder="1" applyAlignment="1" applyProtection="1">
      <alignment horizontal="center" wrapText="1"/>
      <protection locked="0"/>
    </xf>
    <xf numFmtId="0" fontId="5" fillId="2" borderId="1" xfId="4" applyFont="1" applyFill="1" applyBorder="1" applyAlignment="1" applyProtection="1">
      <alignment horizontal="center" vertical="center"/>
      <protection locked="0"/>
    </xf>
    <xf numFmtId="0" fontId="4" fillId="0" borderId="0" xfId="4" applyAlignment="1">
      <alignment horizontal="center" vertical="center"/>
    </xf>
    <xf numFmtId="0" fontId="4" fillId="0" borderId="0" xfId="4" applyAlignment="1">
      <alignment horizontal="center"/>
    </xf>
    <xf numFmtId="2" fontId="4" fillId="0" borderId="0" xfId="4" applyNumberFormat="1" applyAlignment="1">
      <alignment horizontal="center"/>
    </xf>
    <xf numFmtId="0" fontId="15" fillId="0" borderId="2" xfId="1" applyFont="1" applyBorder="1" applyAlignment="1">
      <alignment vertical="center"/>
    </xf>
    <xf numFmtId="0" fontId="15" fillId="0" borderId="2" xfId="1" applyFont="1" applyBorder="1" applyAlignment="1">
      <alignment horizontal="center" vertical="center"/>
    </xf>
    <xf numFmtId="9" fontId="6" fillId="0" borderId="0" xfId="4" applyNumberFormat="1" applyFont="1" applyAlignment="1">
      <alignment horizontal="center" vertical="center" wrapText="1"/>
    </xf>
    <xf numFmtId="2" fontId="6" fillId="0" borderId="0" xfId="4" applyNumberFormat="1" applyFont="1" applyAlignment="1">
      <alignment horizontal="center" vertical="center" wrapText="1"/>
    </xf>
    <xf numFmtId="0" fontId="6" fillId="0" borderId="0" xfId="4" applyFont="1" applyAlignment="1">
      <alignment horizontal="center" vertical="center" wrapText="1"/>
    </xf>
    <xf numFmtId="164" fontId="6" fillId="0" borderId="0" xfId="4" applyNumberFormat="1" applyFont="1" applyAlignment="1">
      <alignment horizontal="center" vertical="center" wrapText="1"/>
    </xf>
    <xf numFmtId="2" fontId="2" fillId="0" borderId="1" xfId="4" applyNumberFormat="1" applyFont="1" applyBorder="1" applyAlignment="1">
      <alignment horizontal="center" vertical="center" wrapText="1"/>
    </xf>
    <xf numFmtId="0" fontId="16" fillId="0" borderId="0" xfId="1" applyFont="1" applyAlignment="1">
      <alignment horizontal="left" vertical="center"/>
    </xf>
    <xf numFmtId="49" fontId="18" fillId="0" borderId="0" xfId="1" applyNumberFormat="1" applyFont="1" applyAlignment="1">
      <alignment vertical="center"/>
    </xf>
    <xf numFmtId="0" fontId="18" fillId="0" borderId="0" xfId="1" applyFont="1" applyAlignment="1">
      <alignment horizontal="center" vertical="center"/>
    </xf>
    <xf numFmtId="49" fontId="18" fillId="0" borderId="0" xfId="1" applyNumberFormat="1" applyFont="1" applyAlignment="1">
      <alignment horizontal="center" vertical="center"/>
    </xf>
    <xf numFmtId="0" fontId="10" fillId="9" borderId="0" xfId="1" applyFill="1" applyAlignment="1">
      <alignment horizontal="center" vertical="center"/>
    </xf>
    <xf numFmtId="0" fontId="8" fillId="0" borderId="0" xfId="4" applyFont="1" applyAlignment="1">
      <alignment horizontal="center" vertical="center"/>
    </xf>
    <xf numFmtId="0" fontId="8" fillId="0" borderId="0" xfId="4" applyFont="1" applyAlignment="1">
      <alignment horizontal="center" vertical="center" wrapText="1"/>
    </xf>
    <xf numFmtId="0" fontId="10" fillId="7" borderId="0" xfId="1" applyFill="1" applyAlignment="1">
      <alignment horizontal="center" vertical="center"/>
    </xf>
    <xf numFmtId="0" fontId="21" fillId="0" borderId="2" xfId="0" applyFont="1" applyBorder="1" applyAlignment="1" applyProtection="1">
      <alignment horizontal="center" vertical="center" wrapText="1"/>
      <protection locked="0"/>
    </xf>
    <xf numFmtId="0" fontId="21" fillId="0" borderId="6" xfId="0" applyFont="1" applyBorder="1" applyAlignment="1" applyProtection="1">
      <alignment horizontal="center" vertical="center" wrapText="1"/>
      <protection locked="0"/>
    </xf>
    <xf numFmtId="0" fontId="10" fillId="0" borderId="2" xfId="1" applyBorder="1" applyAlignment="1" applyProtection="1">
      <alignment horizontal="center" vertical="center"/>
      <protection locked="0"/>
    </xf>
    <xf numFmtId="0" fontId="12" fillId="0" borderId="2" xfId="1" applyFont="1" applyBorder="1" applyAlignment="1" applyProtection="1">
      <alignment horizontal="center" wrapText="1"/>
      <protection locked="0"/>
    </xf>
    <xf numFmtId="0" fontId="20" fillId="0" borderId="2" xfId="1" applyFont="1" applyBorder="1" applyAlignment="1" applyProtection="1">
      <alignment horizontal="center" vertical="center" wrapText="1"/>
      <protection locked="0"/>
    </xf>
    <xf numFmtId="0" fontId="12" fillId="0" borderId="2" xfId="1" applyFont="1" applyBorder="1" applyAlignment="1" applyProtection="1">
      <alignment horizontal="center" vertical="top" wrapText="1"/>
      <protection locked="0"/>
    </xf>
    <xf numFmtId="0" fontId="21" fillId="0" borderId="2" xfId="0" applyFont="1" applyBorder="1" applyAlignment="1" applyProtection="1">
      <alignment horizontal="center" wrapText="1"/>
      <protection locked="0"/>
    </xf>
    <xf numFmtId="0" fontId="16" fillId="0" borderId="14" xfId="1" applyFont="1" applyBorder="1" applyAlignment="1">
      <alignment horizontal="left" vertical="center"/>
    </xf>
    <xf numFmtId="0" fontId="16" fillId="0" borderId="15" xfId="1" applyFont="1" applyBorder="1" applyAlignment="1">
      <alignment horizontal="center" vertical="center"/>
    </xf>
    <xf numFmtId="0" fontId="24" fillId="0" borderId="1" xfId="4" applyFont="1" applyBorder="1" applyAlignment="1" applyProtection="1">
      <alignment horizontal="center" vertical="center"/>
      <protection locked="0"/>
    </xf>
    <xf numFmtId="2" fontId="9" fillId="0" borderId="1" xfId="4" applyNumberFormat="1" applyFont="1" applyBorder="1" applyAlignment="1" applyProtection="1">
      <alignment horizontal="center"/>
      <protection locked="0"/>
    </xf>
    <xf numFmtId="0" fontId="5" fillId="0" borderId="1" xfId="4" applyFont="1" applyBorder="1" applyAlignment="1" applyProtection="1">
      <alignment horizontal="center" vertical="center" wrapText="1"/>
      <protection locked="0"/>
    </xf>
    <xf numFmtId="2" fontId="3" fillId="10" borderId="2" xfId="1" applyNumberFormat="1" applyFont="1" applyFill="1" applyBorder="1" applyAlignment="1">
      <alignment horizontal="center" vertical="center"/>
    </xf>
    <xf numFmtId="2" fontId="10" fillId="10" borderId="2" xfId="1" applyNumberFormat="1" applyFill="1" applyBorder="1" applyAlignment="1">
      <alignment horizontal="center" vertical="center"/>
    </xf>
    <xf numFmtId="0" fontId="16" fillId="0" borderId="3" xfId="1" applyFont="1" applyBorder="1" applyAlignment="1">
      <alignment vertical="center"/>
    </xf>
    <xf numFmtId="0" fontId="0" fillId="0" borderId="1" xfId="4" applyFont="1" applyBorder="1" applyAlignment="1" applyProtection="1">
      <alignment horizontal="center"/>
      <protection locked="0"/>
    </xf>
    <xf numFmtId="0" fontId="0" fillId="0" borderId="1" xfId="4" quotePrefix="1" applyFont="1" applyBorder="1" applyAlignment="1" applyProtection="1">
      <alignment horizontal="center"/>
      <protection locked="0"/>
    </xf>
    <xf numFmtId="1" fontId="10" fillId="10" borderId="3" xfId="1" applyNumberFormat="1" applyFill="1" applyBorder="1" applyAlignment="1">
      <alignment horizontal="center" vertical="center"/>
    </xf>
    <xf numFmtId="2" fontId="3" fillId="10" borderId="3" xfId="1" applyNumberFormat="1" applyFont="1" applyFill="1" applyBorder="1" applyAlignment="1">
      <alignment horizontal="center" vertical="center"/>
    </xf>
    <xf numFmtId="2" fontId="12" fillId="11" borderId="2" xfId="0" applyNumberFormat="1" applyFont="1" applyFill="1" applyBorder="1" applyAlignment="1">
      <alignment horizontal="center"/>
    </xf>
    <xf numFmtId="2" fontId="0" fillId="11" borderId="2" xfId="0" applyNumberFormat="1" applyFill="1" applyBorder="1" applyAlignment="1">
      <alignment horizontal="center"/>
    </xf>
    <xf numFmtId="2" fontId="10" fillId="10" borderId="13" xfId="1" applyNumberFormat="1" applyFill="1" applyBorder="1" applyAlignment="1">
      <alignment horizontal="center" vertical="center"/>
    </xf>
    <xf numFmtId="0" fontId="25" fillId="0" borderId="2" xfId="1" applyFont="1" applyBorder="1" applyAlignment="1">
      <alignment horizontal="center" vertical="center"/>
    </xf>
    <xf numFmtId="2" fontId="7" fillId="4" borderId="4" xfId="4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10" borderId="16" xfId="1" applyFont="1" applyFill="1" applyBorder="1" applyAlignment="1">
      <alignment horizontal="center" vertical="center"/>
    </xf>
    <xf numFmtId="2" fontId="10" fillId="10" borderId="16" xfId="1" applyNumberFormat="1" applyFill="1" applyBorder="1" applyAlignment="1">
      <alignment horizontal="center" vertical="center"/>
    </xf>
    <xf numFmtId="2" fontId="0" fillId="0" borderId="0" xfId="0" applyNumberFormat="1" applyAlignment="1">
      <alignment vertical="center"/>
    </xf>
    <xf numFmtId="0" fontId="16" fillId="0" borderId="0" xfId="1" applyFont="1" applyAlignment="1">
      <alignment horizontal="left" vertical="center" wrapText="1"/>
    </xf>
    <xf numFmtId="0" fontId="16" fillId="0" borderId="0" xfId="1" applyFont="1" applyAlignment="1">
      <alignment vertical="center"/>
    </xf>
    <xf numFmtId="0" fontId="18" fillId="0" borderId="0" xfId="1" applyFont="1" applyAlignment="1">
      <alignment horizontal="left" vertical="center"/>
    </xf>
    <xf numFmtId="0" fontId="16" fillId="0" borderId="12" xfId="1" applyFont="1" applyBorder="1" applyAlignment="1">
      <alignment vertical="center" wrapText="1"/>
    </xf>
    <xf numFmtId="0" fontId="16" fillId="14" borderId="2" xfId="1" applyFont="1" applyFill="1" applyBorder="1" applyAlignment="1">
      <alignment horizontal="left" vertical="center"/>
    </xf>
    <xf numFmtId="0" fontId="1" fillId="0" borderId="0" xfId="4" applyFont="1" applyAlignment="1">
      <alignment horizontal="center"/>
    </xf>
    <xf numFmtId="0" fontId="10" fillId="9" borderId="0" xfId="1" applyFill="1" applyAlignment="1" applyProtection="1">
      <alignment horizontal="center" vertical="center"/>
      <protection locked="0"/>
    </xf>
    <xf numFmtId="0" fontId="15" fillId="0" borderId="0" xfId="1" applyFont="1" applyAlignment="1">
      <alignment vertical="center"/>
    </xf>
    <xf numFmtId="0" fontId="27" fillId="0" borderId="13" xfId="0" applyFont="1" applyBorder="1" applyAlignment="1" applyProtection="1">
      <alignment horizontal="center" wrapText="1"/>
      <protection locked="0"/>
    </xf>
    <xf numFmtId="0" fontId="28" fillId="0" borderId="13" xfId="1" applyFont="1" applyBorder="1" applyAlignment="1" applyProtection="1">
      <alignment horizontal="center" vertical="center"/>
      <protection locked="0"/>
    </xf>
    <xf numFmtId="0" fontId="28" fillId="0" borderId="17" xfId="1" applyFont="1" applyBorder="1" applyAlignment="1" applyProtection="1">
      <alignment horizontal="center" vertical="center"/>
      <protection locked="0"/>
    </xf>
    <xf numFmtId="0" fontId="27" fillId="0" borderId="18" xfId="0" applyFont="1" applyBorder="1" applyAlignment="1" applyProtection="1">
      <alignment horizontal="center" wrapText="1"/>
      <protection locked="0"/>
    </xf>
    <xf numFmtId="0" fontId="28" fillId="15" borderId="13" xfId="0" applyFont="1" applyFill="1" applyBorder="1" applyAlignment="1" applyProtection="1">
      <alignment horizontal="center" wrapText="1"/>
      <protection locked="0"/>
    </xf>
    <xf numFmtId="2" fontId="10" fillId="0" borderId="0" xfId="1" applyNumberFormat="1" applyAlignment="1">
      <alignment horizontal="center" vertical="center"/>
    </xf>
    <xf numFmtId="0" fontId="10" fillId="0" borderId="0" xfId="1" applyAlignment="1">
      <alignment horizontal="left" vertical="center"/>
    </xf>
    <xf numFmtId="0" fontId="10" fillId="0" borderId="0" xfId="1" applyAlignment="1">
      <alignment horizontal="center" vertical="center" wrapText="1"/>
    </xf>
    <xf numFmtId="164" fontId="10" fillId="0" borderId="0" xfId="1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0" fillId="0" borderId="2" xfId="1" applyBorder="1" applyAlignment="1">
      <alignment vertical="center"/>
    </xf>
    <xf numFmtId="1" fontId="10" fillId="10" borderId="5" xfId="1" applyNumberFormat="1" applyFill="1" applyBorder="1" applyAlignment="1">
      <alignment horizontal="center" vertical="center"/>
    </xf>
    <xf numFmtId="2" fontId="10" fillId="10" borderId="5" xfId="1" applyNumberFormat="1" applyFill="1" applyBorder="1" applyAlignment="1">
      <alignment horizontal="center" vertical="center"/>
    </xf>
    <xf numFmtId="2" fontId="10" fillId="10" borderId="17" xfId="1" applyNumberFormat="1" applyFill="1" applyBorder="1" applyAlignment="1">
      <alignment horizontal="center" vertical="center"/>
    </xf>
    <xf numFmtId="2" fontId="10" fillId="10" borderId="19" xfId="1" applyNumberFormat="1" applyFill="1" applyBorder="1" applyAlignment="1">
      <alignment horizontal="center" vertical="center"/>
    </xf>
    <xf numFmtId="1" fontId="10" fillId="0" borderId="2" xfId="1" applyNumberFormat="1" applyBorder="1" applyAlignment="1">
      <alignment vertical="center"/>
    </xf>
    <xf numFmtId="0" fontId="0" fillId="0" borderId="2" xfId="0" applyBorder="1" applyAlignment="1">
      <alignment vertical="center"/>
    </xf>
    <xf numFmtId="0" fontId="25" fillId="0" borderId="5" xfId="1" applyFont="1" applyBorder="1" applyAlignment="1">
      <alignment horizontal="center" vertical="center"/>
    </xf>
    <xf numFmtId="0" fontId="16" fillId="0" borderId="5" xfId="1" applyFont="1" applyBorder="1" applyAlignment="1">
      <alignment horizontal="center" vertical="center"/>
    </xf>
    <xf numFmtId="1" fontId="10" fillId="0" borderId="2" xfId="1" applyNumberFormat="1" applyBorder="1" applyAlignment="1">
      <alignment horizontal="center" vertical="center"/>
    </xf>
    <xf numFmtId="1" fontId="0" fillId="0" borderId="0" xfId="0" applyNumberFormat="1" applyAlignment="1">
      <alignment vertical="center"/>
    </xf>
    <xf numFmtId="0" fontId="16" fillId="0" borderId="15" xfId="1" applyFont="1" applyBorder="1" applyAlignment="1">
      <alignment horizontal="left" vertical="center"/>
    </xf>
    <xf numFmtId="2" fontId="1" fillId="0" borderId="0" xfId="4" applyNumberFormat="1" applyFont="1" applyAlignment="1">
      <alignment horizontal="center"/>
    </xf>
    <xf numFmtId="0" fontId="16" fillId="14" borderId="2" xfId="1" applyFont="1" applyFill="1" applyBorder="1" applyAlignment="1">
      <alignment horizontal="center" vertical="center"/>
    </xf>
    <xf numFmtId="0" fontId="18" fillId="0" borderId="15" xfId="1" applyFont="1" applyBorder="1" applyAlignment="1">
      <alignment horizontal="center" vertical="center"/>
    </xf>
    <xf numFmtId="0" fontId="10" fillId="13" borderId="15" xfId="1" applyFill="1" applyBorder="1" applyAlignment="1">
      <alignment horizontal="center" vertical="center"/>
    </xf>
    <xf numFmtId="0" fontId="16" fillId="13" borderId="2" xfId="1" applyFont="1" applyFill="1" applyBorder="1" applyAlignment="1">
      <alignment horizontal="center" vertical="center"/>
    </xf>
    <xf numFmtId="0" fontId="22" fillId="13" borderId="15" xfId="1" applyFont="1" applyFill="1" applyBorder="1" applyAlignment="1">
      <alignment horizontal="center" vertical="center"/>
    </xf>
    <xf numFmtId="49" fontId="10" fillId="0" borderId="0" xfId="1" applyNumberFormat="1" applyAlignment="1">
      <alignment horizontal="left" vertical="center"/>
    </xf>
    <xf numFmtId="0" fontId="22" fillId="0" borderId="15" xfId="1" applyFont="1" applyBorder="1" applyAlignment="1">
      <alignment horizontal="center" vertical="center"/>
    </xf>
    <xf numFmtId="0" fontId="10" fillId="13" borderId="2" xfId="1" applyFill="1" applyBorder="1" applyAlignment="1">
      <alignment horizontal="center" vertical="center"/>
    </xf>
    <xf numFmtId="0" fontId="10" fillId="6" borderId="0" xfId="1" applyFill="1" applyAlignment="1" applyProtection="1">
      <alignment horizontal="left" vertical="center"/>
      <protection locked="0"/>
    </xf>
    <xf numFmtId="1" fontId="0" fillId="0" borderId="2" xfId="0" applyNumberFormat="1" applyBorder="1" applyAlignment="1">
      <alignment horizontal="center" vertical="center"/>
    </xf>
    <xf numFmtId="2" fontId="0" fillId="0" borderId="0" xfId="0" applyNumberFormat="1"/>
    <xf numFmtId="0" fontId="0" fillId="0" borderId="0" xfId="0" applyAlignment="1">
      <alignment horizontal="left"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2" fontId="10" fillId="0" borderId="0" xfId="1" applyNumberFormat="1" applyAlignment="1">
      <alignment vertical="center"/>
    </xf>
    <xf numFmtId="0" fontId="16" fillId="13" borderId="0" xfId="1" applyFont="1" applyFill="1" applyAlignment="1">
      <alignment horizontal="left" vertical="center"/>
    </xf>
    <xf numFmtId="0" fontId="11" fillId="0" borderId="0" xfId="0" applyFont="1"/>
    <xf numFmtId="0" fontId="13" fillId="0" borderId="0" xfId="0" applyFont="1"/>
    <xf numFmtId="164" fontId="25" fillId="0" borderId="2" xfId="1" applyNumberFormat="1" applyFont="1" applyBorder="1" applyAlignment="1">
      <alignment horizontal="center" vertical="center"/>
    </xf>
    <xf numFmtId="0" fontId="16" fillId="0" borderId="3" xfId="1" applyFont="1" applyBorder="1" applyAlignment="1">
      <alignment horizontal="center" vertical="center"/>
    </xf>
    <xf numFmtId="0" fontId="0" fillId="0" borderId="1" xfId="4" applyFont="1" applyBorder="1" applyAlignment="1" applyProtection="1">
      <alignment horizontal="center" vertical="center"/>
      <protection locked="0"/>
    </xf>
    <xf numFmtId="0" fontId="0" fillId="14" borderId="0" xfId="0" applyFill="1" applyAlignment="1">
      <alignment vertical="center"/>
    </xf>
    <xf numFmtId="0" fontId="10" fillId="14" borderId="0" xfId="1" applyFill="1" applyAlignment="1">
      <alignment vertical="center"/>
    </xf>
    <xf numFmtId="0" fontId="10" fillId="14" borderId="0" xfId="1" applyFill="1" applyAlignment="1">
      <alignment horizontal="center" vertical="center"/>
    </xf>
    <xf numFmtId="0" fontId="33" fillId="0" borderId="2" xfId="0" applyFont="1" applyBorder="1" applyAlignment="1" applyProtection="1">
      <alignment horizontal="center" vertical="center"/>
      <protection locked="0"/>
    </xf>
    <xf numFmtId="0" fontId="34" fillId="0" borderId="2" xfId="1" applyFont="1" applyBorder="1" applyAlignment="1" applyProtection="1">
      <alignment horizontal="center" vertical="center"/>
      <protection locked="0"/>
    </xf>
    <xf numFmtId="0" fontId="35" fillId="0" borderId="2" xfId="1" applyFont="1" applyBorder="1" applyAlignment="1" applyProtection="1">
      <alignment horizontal="center" vertical="center"/>
      <protection locked="0"/>
    </xf>
    <xf numFmtId="0" fontId="36" fillId="14" borderId="2" xfId="1" applyFont="1" applyFill="1" applyBorder="1" applyAlignment="1">
      <alignment horizontal="center" vertical="center"/>
    </xf>
    <xf numFmtId="0" fontId="33" fillId="0" borderId="2" xfId="0" applyFont="1" applyBorder="1" applyAlignment="1" applyProtection="1">
      <alignment horizontal="center" vertical="center" wrapText="1"/>
      <protection locked="0"/>
    </xf>
    <xf numFmtId="0" fontId="16" fillId="13" borderId="2" xfId="1" applyFont="1" applyFill="1" applyBorder="1" applyAlignment="1" applyProtection="1">
      <alignment horizontal="center" vertical="center"/>
      <protection locked="0"/>
    </xf>
    <xf numFmtId="0" fontId="19" fillId="7" borderId="2" xfId="0" applyFont="1" applyFill="1" applyBorder="1" applyAlignment="1">
      <alignment horizontal="center" vertical="center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2" xfId="0" applyFont="1" applyBorder="1" applyAlignment="1" applyProtection="1">
      <alignment horizontal="center" vertical="center"/>
      <protection locked="0"/>
    </xf>
    <xf numFmtId="0" fontId="19" fillId="7" borderId="15" xfId="0" applyFont="1" applyFill="1" applyBorder="1" applyAlignment="1">
      <alignment horizontal="center" vertical="center"/>
    </xf>
    <xf numFmtId="0" fontId="42" fillId="0" borderId="2" xfId="0" applyFont="1" applyBorder="1"/>
    <xf numFmtId="2" fontId="42" fillId="7" borderId="2" xfId="0" applyNumberFormat="1" applyFont="1" applyFill="1" applyBorder="1" applyAlignment="1">
      <alignment horizontal="center" vertical="center"/>
    </xf>
    <xf numFmtId="0" fontId="42" fillId="0" borderId="2" xfId="0" applyFont="1" applyBorder="1" applyAlignment="1">
      <alignment horizontal="center" vertical="center"/>
    </xf>
    <xf numFmtId="2" fontId="19" fillId="6" borderId="2" xfId="0" applyNumberFormat="1" applyFont="1" applyFill="1" applyBorder="1" applyAlignment="1">
      <alignment horizontal="center" vertical="center"/>
    </xf>
    <xf numFmtId="0" fontId="41" fillId="18" borderId="2" xfId="0" applyFont="1" applyFill="1" applyBorder="1" applyAlignment="1">
      <alignment horizontal="center" vertical="center"/>
    </xf>
    <xf numFmtId="0" fontId="19" fillId="18" borderId="3" xfId="0" applyFont="1" applyFill="1" applyBorder="1" applyAlignment="1">
      <alignment horizontal="center" vertical="center"/>
    </xf>
    <xf numFmtId="0" fontId="19" fillId="18" borderId="2" xfId="0" applyFont="1" applyFill="1" applyBorder="1" applyAlignment="1">
      <alignment horizontal="center" vertical="center"/>
    </xf>
    <xf numFmtId="0" fontId="43" fillId="19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14" fillId="0" borderId="2" xfId="1" applyFont="1" applyBorder="1" applyAlignment="1">
      <alignment horizontal="center" vertical="center"/>
    </xf>
    <xf numFmtId="0" fontId="10" fillId="5" borderId="2" xfId="1" applyFill="1" applyBorder="1" applyAlignment="1">
      <alignment horizontal="center" vertical="center"/>
    </xf>
    <xf numFmtId="0" fontId="10" fillId="6" borderId="2" xfId="1" applyFill="1" applyBorder="1" applyAlignment="1" applyProtection="1">
      <alignment horizontal="center" vertical="center"/>
      <protection locked="0"/>
    </xf>
    <xf numFmtId="0" fontId="12" fillId="0" borderId="2" xfId="1" applyFont="1" applyBorder="1" applyAlignment="1">
      <alignment horizontal="center" vertical="center"/>
    </xf>
    <xf numFmtId="0" fontId="10" fillId="7" borderId="2" xfId="2" applyFill="1" applyBorder="1" applyAlignment="1">
      <alignment horizontal="center" vertical="center"/>
    </xf>
    <xf numFmtId="0" fontId="10" fillId="7" borderId="2" xfId="2" applyFill="1" applyBorder="1" applyAlignment="1" applyProtection="1">
      <alignment horizontal="center" vertical="center"/>
      <protection locked="0"/>
    </xf>
    <xf numFmtId="0" fontId="10" fillId="8" borderId="2" xfId="1" applyFill="1" applyBorder="1" applyAlignment="1">
      <alignment horizontal="center" vertical="center" wrapText="1"/>
    </xf>
    <xf numFmtId="0" fontId="13" fillId="0" borderId="2" xfId="1" applyFont="1" applyBorder="1" applyAlignment="1">
      <alignment horizontal="center" vertical="center"/>
    </xf>
    <xf numFmtId="0" fontId="10" fillId="7" borderId="2" xfId="1" applyFill="1" applyBorder="1" applyAlignment="1">
      <alignment horizontal="center" vertical="center"/>
    </xf>
    <xf numFmtId="0" fontId="45" fillId="4" borderId="4" xfId="4" applyFont="1" applyFill="1" applyBorder="1" applyAlignment="1">
      <alignment horizontal="center" vertical="center" wrapText="1"/>
    </xf>
    <xf numFmtId="0" fontId="45" fillId="4" borderId="1" xfId="4" applyFont="1" applyFill="1" applyBorder="1" applyAlignment="1">
      <alignment horizontal="center" vertical="center" wrapText="1"/>
    </xf>
    <xf numFmtId="164" fontId="0" fillId="0" borderId="0" xfId="0" applyNumberFormat="1" applyAlignment="1">
      <alignment vertical="center"/>
    </xf>
    <xf numFmtId="0" fontId="18" fillId="0" borderId="2" xfId="1" applyFont="1" applyBorder="1" applyAlignment="1">
      <alignment horizontal="center" vertical="center"/>
    </xf>
    <xf numFmtId="0" fontId="22" fillId="13" borderId="2" xfId="1" applyFont="1" applyFill="1" applyBorder="1" applyAlignment="1">
      <alignment horizontal="center" vertical="center"/>
    </xf>
    <xf numFmtId="2" fontId="0" fillId="0" borderId="1" xfId="4" applyNumberFormat="1" applyFont="1" applyBorder="1" applyAlignment="1" applyProtection="1">
      <alignment horizontal="center"/>
      <protection locked="0"/>
    </xf>
    <xf numFmtId="0" fontId="47" fillId="0" borderId="0" xfId="0" applyFont="1"/>
    <xf numFmtId="0" fontId="47" fillId="21" borderId="0" xfId="0" applyFont="1" applyFill="1"/>
    <xf numFmtId="0" fontId="47" fillId="21" borderId="0" xfId="0" applyFont="1" applyFill="1" applyAlignment="1">
      <alignment horizontal="center" vertical="center"/>
    </xf>
    <xf numFmtId="0" fontId="48" fillId="21" borderId="0" xfId="0" applyFont="1" applyFill="1" applyAlignment="1">
      <alignment horizontal="center" vertical="center"/>
    </xf>
    <xf numFmtId="0" fontId="48" fillId="21" borderId="0" xfId="0" applyFont="1" applyFill="1"/>
    <xf numFmtId="16" fontId="48" fillId="21" borderId="0" xfId="0" quotePrefix="1" applyNumberFormat="1" applyFont="1" applyFill="1" applyAlignment="1">
      <alignment horizontal="center" vertical="center"/>
    </xf>
    <xf numFmtId="2" fontId="47" fillId="0" borderId="0" xfId="0" applyNumberFormat="1" applyFont="1"/>
    <xf numFmtId="0" fontId="47" fillId="21" borderId="25" xfId="0" applyFont="1" applyFill="1" applyBorder="1" applyAlignment="1">
      <alignment horizontal="left" vertical="center"/>
    </xf>
    <xf numFmtId="0" fontId="48" fillId="21" borderId="26" xfId="0" applyFont="1" applyFill="1" applyBorder="1" applyAlignment="1">
      <alignment horizontal="center" vertical="center"/>
    </xf>
    <xf numFmtId="0" fontId="47" fillId="21" borderId="25" xfId="0" applyFont="1" applyFill="1" applyBorder="1"/>
    <xf numFmtId="0" fontId="47" fillId="21" borderId="26" xfId="0" applyFont="1" applyFill="1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2" fontId="47" fillId="0" borderId="28" xfId="0" applyNumberFormat="1" applyFont="1" applyBorder="1"/>
    <xf numFmtId="0" fontId="47" fillId="0" borderId="28" xfId="0" applyFont="1" applyBorder="1"/>
    <xf numFmtId="0" fontId="0" fillId="0" borderId="28" xfId="0" applyBorder="1"/>
    <xf numFmtId="2" fontId="0" fillId="0" borderId="28" xfId="0" applyNumberFormat="1" applyBorder="1"/>
    <xf numFmtId="0" fontId="0" fillId="0" borderId="29" xfId="0" applyBorder="1"/>
    <xf numFmtId="0" fontId="49" fillId="0" borderId="25" xfId="0" applyFont="1" applyBorder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0" fontId="49" fillId="0" borderId="27" xfId="0" applyFont="1" applyBorder="1" applyAlignment="1">
      <alignment horizontal="center" vertical="center"/>
    </xf>
    <xf numFmtId="0" fontId="49" fillId="0" borderId="28" xfId="0" applyFont="1" applyBorder="1" applyAlignment="1">
      <alignment horizontal="center" vertical="center"/>
    </xf>
    <xf numFmtId="0" fontId="49" fillId="0" borderId="29" xfId="0" applyFont="1" applyBorder="1" applyAlignment="1">
      <alignment horizontal="center" vertical="center"/>
    </xf>
    <xf numFmtId="0" fontId="11" fillId="6" borderId="15" xfId="0" applyFont="1" applyFill="1" applyBorder="1" applyAlignment="1">
      <alignment horizontal="left" vertical="center" wrapText="1"/>
    </xf>
    <xf numFmtId="0" fontId="37" fillId="6" borderId="11" xfId="0" applyFont="1" applyFill="1" applyBorder="1" applyAlignment="1" applyProtection="1">
      <alignment horizontal="left" vertical="center" wrapText="1"/>
      <protection locked="0"/>
    </xf>
    <xf numFmtId="0" fontId="37" fillId="6" borderId="14" xfId="0" applyFont="1" applyFill="1" applyBorder="1" applyAlignment="1" applyProtection="1">
      <alignment horizontal="left" vertical="center" wrapText="1"/>
      <protection locked="0"/>
    </xf>
    <xf numFmtId="0" fontId="11" fillId="6" borderId="14" xfId="0" applyFont="1" applyFill="1" applyBorder="1" applyAlignment="1" applyProtection="1">
      <alignment horizontal="left" vertical="center" wrapText="1"/>
      <protection locked="0"/>
    </xf>
    <xf numFmtId="0" fontId="11" fillId="6" borderId="10" xfId="0" applyFont="1" applyFill="1" applyBorder="1" applyAlignment="1" applyProtection="1">
      <alignment horizontal="left" vertical="center" wrapText="1"/>
      <protection locked="0"/>
    </xf>
    <xf numFmtId="0" fontId="0" fillId="0" borderId="30" xfId="0" applyBorder="1" applyProtection="1">
      <protection locked="0"/>
    </xf>
    <xf numFmtId="0" fontId="38" fillId="0" borderId="3" xfId="0" applyFont="1" applyBorder="1" applyAlignment="1" applyProtection="1">
      <alignment horizontal="left" vertical="center" wrapText="1"/>
      <protection locked="0"/>
    </xf>
    <xf numFmtId="0" fontId="38" fillId="0" borderId="2" xfId="0" applyFont="1" applyBorder="1" applyAlignment="1" applyProtection="1">
      <alignment horizontal="left" vertical="center" wrapText="1"/>
      <protection locked="0"/>
    </xf>
    <xf numFmtId="0" fontId="38" fillId="0" borderId="5" xfId="0" applyFont="1" applyBorder="1" applyAlignment="1" applyProtection="1">
      <alignment horizontal="left" vertical="center" wrapText="1"/>
      <protection locked="0"/>
    </xf>
    <xf numFmtId="0" fontId="0" fillId="0" borderId="31" xfId="0" applyBorder="1" applyProtection="1">
      <protection locked="0"/>
    </xf>
    <xf numFmtId="0" fontId="12" fillId="0" borderId="2" xfId="0" applyFont="1" applyBorder="1" applyAlignment="1" applyProtection="1">
      <alignment horizontal="left" vertical="center" wrapText="1"/>
      <protection locked="0"/>
    </xf>
    <xf numFmtId="0" fontId="12" fillId="0" borderId="5" xfId="0" applyFont="1" applyBorder="1" applyAlignment="1" applyProtection="1">
      <alignment horizontal="left" vertical="center" wrapText="1"/>
      <protection locked="0"/>
    </xf>
    <xf numFmtId="0" fontId="11" fillId="6" borderId="2" xfId="0" applyFont="1" applyFill="1" applyBorder="1" applyAlignment="1" applyProtection="1">
      <alignment horizontal="left" vertical="center" wrapText="1"/>
      <protection locked="0"/>
    </xf>
    <xf numFmtId="0" fontId="11" fillId="6" borderId="5" xfId="0" applyFont="1" applyFill="1" applyBorder="1" applyAlignment="1" applyProtection="1">
      <alignment horizontal="left" vertical="center" wrapText="1"/>
      <protection locked="0"/>
    </xf>
    <xf numFmtId="0" fontId="37" fillId="6" borderId="2" xfId="0" applyFont="1" applyFill="1" applyBorder="1" applyAlignment="1" applyProtection="1">
      <alignment horizontal="left" vertical="center" wrapText="1"/>
      <protection locked="0"/>
    </xf>
    <xf numFmtId="0" fontId="39" fillId="0" borderId="2" xfId="0" applyFont="1" applyBorder="1" applyAlignment="1" applyProtection="1">
      <alignment horizontal="left" vertical="center" wrapText="1"/>
      <protection locked="0"/>
    </xf>
    <xf numFmtId="0" fontId="24" fillId="0" borderId="2" xfId="0" applyFont="1" applyBorder="1" applyAlignment="1" applyProtection="1">
      <alignment horizontal="left" vertical="center" wrapText="1"/>
      <protection locked="0"/>
    </xf>
    <xf numFmtId="0" fontId="24" fillId="0" borderId="5" xfId="0" applyFont="1" applyBorder="1" applyAlignment="1" applyProtection="1">
      <alignment horizontal="left" vertical="center" wrapText="1"/>
      <protection locked="0"/>
    </xf>
    <xf numFmtId="0" fontId="40" fillId="0" borderId="2" xfId="0" applyFont="1" applyBorder="1" applyAlignment="1" applyProtection="1">
      <alignment horizontal="left" vertical="center" wrapText="1"/>
      <protection locked="0"/>
    </xf>
    <xf numFmtId="0" fontId="37" fillId="6" borderId="5" xfId="0" applyFont="1" applyFill="1" applyBorder="1" applyAlignment="1" applyProtection="1">
      <alignment horizontal="left" vertical="center" wrapText="1"/>
      <protection locked="0"/>
    </xf>
    <xf numFmtId="0" fontId="39" fillId="0" borderId="6" xfId="0" applyFont="1" applyBorder="1" applyAlignment="1" applyProtection="1">
      <alignment horizontal="left" vertical="center" wrapText="1"/>
      <protection locked="0"/>
    </xf>
    <xf numFmtId="0" fontId="11" fillId="6" borderId="5" xfId="0" applyFont="1" applyFill="1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0" fillId="0" borderId="32" xfId="0" applyBorder="1" applyProtection="1">
      <protection locked="0"/>
    </xf>
    <xf numFmtId="0" fontId="0" fillId="0" borderId="0" xfId="0" applyAlignment="1">
      <alignment horizontal="left" vertical="center"/>
    </xf>
    <xf numFmtId="0" fontId="16" fillId="5" borderId="2" xfId="1" applyFont="1" applyFill="1" applyBorder="1" applyAlignment="1">
      <alignment horizontal="center" vertical="center" wrapText="1"/>
    </xf>
    <xf numFmtId="164" fontId="10" fillId="0" borderId="2" xfId="1" applyNumberFormat="1" applyBorder="1" applyAlignment="1">
      <alignment horizontal="center" vertical="center"/>
    </xf>
    <xf numFmtId="0" fontId="16" fillId="0" borderId="0" xfId="1" applyFont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16" fillId="0" borderId="2" xfId="1" applyFont="1" applyBorder="1" applyAlignment="1">
      <alignment horizontal="left" vertical="center"/>
    </xf>
    <xf numFmtId="0" fontId="10" fillId="0" borderId="2" xfId="1" applyBorder="1" applyAlignment="1">
      <alignment horizontal="center" vertical="center"/>
    </xf>
    <xf numFmtId="2" fontId="10" fillId="0" borderId="2" xfId="1" applyNumberFormat="1" applyBorder="1" applyAlignment="1">
      <alignment horizontal="center" vertical="center"/>
    </xf>
    <xf numFmtId="0" fontId="7" fillId="4" borderId="4" xfId="4" applyFont="1" applyFill="1" applyBorder="1" applyAlignment="1">
      <alignment horizontal="center" vertical="center" wrapText="1"/>
    </xf>
    <xf numFmtId="0" fontId="7" fillId="4" borderId="1" xfId="4" applyFont="1" applyFill="1" applyBorder="1" applyAlignment="1">
      <alignment horizontal="center" vertical="center" wrapText="1"/>
    </xf>
    <xf numFmtId="0" fontId="2" fillId="3" borderId="2" xfId="4" applyFont="1" applyFill="1" applyBorder="1" applyAlignment="1">
      <alignment horizontal="center" vertical="center" wrapText="1"/>
    </xf>
    <xf numFmtId="0" fontId="16" fillId="0" borderId="2" xfId="1" applyFont="1" applyBorder="1" applyAlignment="1">
      <alignment horizontal="center" vertical="center"/>
    </xf>
    <xf numFmtId="0" fontId="17" fillId="0" borderId="0" xfId="1" applyFont="1" applyAlignment="1">
      <alignment horizontal="center" vertical="center"/>
    </xf>
    <xf numFmtId="0" fontId="10" fillId="0" borderId="0" xfId="1" applyAlignment="1">
      <alignment horizontal="center" vertical="center"/>
    </xf>
    <xf numFmtId="0" fontId="2" fillId="0" borderId="1" xfId="4" applyFont="1" applyBorder="1" applyAlignment="1">
      <alignment horizontal="center" vertical="center" wrapText="1"/>
    </xf>
    <xf numFmtId="1" fontId="2" fillId="3" borderId="2" xfId="4" applyNumberFormat="1" applyFont="1" applyFill="1" applyBorder="1" applyAlignment="1">
      <alignment horizontal="center" vertical="center" wrapText="1"/>
    </xf>
    <xf numFmtId="0" fontId="10" fillId="0" borderId="2" xfId="1" applyBorder="1" applyAlignment="1">
      <alignment horizontal="center" vertical="center"/>
    </xf>
    <xf numFmtId="1" fontId="42" fillId="7" borderId="2" xfId="0" applyNumberFormat="1" applyFont="1" applyFill="1" applyBorder="1" applyAlignment="1">
      <alignment horizontal="center" vertical="center"/>
    </xf>
    <xf numFmtId="1" fontId="19" fillId="6" borderId="2" xfId="0" applyNumberFormat="1" applyFont="1" applyFill="1" applyBorder="1" applyAlignment="1">
      <alignment horizontal="center" vertical="center"/>
    </xf>
    <xf numFmtId="0" fontId="10" fillId="0" borderId="6" xfId="1" applyBorder="1" applyAlignment="1" applyProtection="1">
      <alignment horizontal="center" vertical="center"/>
      <protection locked="0"/>
    </xf>
    <xf numFmtId="0" fontId="28" fillId="15" borderId="16" xfId="0" applyFont="1" applyFill="1" applyBorder="1" applyAlignment="1" applyProtection="1">
      <alignment horizontal="center" wrapText="1"/>
      <protection locked="0"/>
    </xf>
    <xf numFmtId="0" fontId="28" fillId="0" borderId="16" xfId="1" applyFont="1" applyBorder="1" applyAlignment="1" applyProtection="1">
      <alignment horizontal="center" vertical="center"/>
      <protection locked="0"/>
    </xf>
    <xf numFmtId="0" fontId="28" fillId="0" borderId="19" xfId="1" applyFont="1" applyBorder="1" applyAlignment="1" applyProtection="1">
      <alignment horizontal="center" vertical="center"/>
      <protection locked="0"/>
    </xf>
    <xf numFmtId="0" fontId="25" fillId="0" borderId="6" xfId="1" applyFont="1" applyBorder="1" applyAlignment="1">
      <alignment horizontal="center" vertical="center"/>
    </xf>
    <xf numFmtId="0" fontId="10" fillId="0" borderId="14" xfId="1" applyBorder="1" applyAlignment="1" applyProtection="1">
      <alignment horizontal="center" vertical="center"/>
      <protection locked="0"/>
    </xf>
    <xf numFmtId="0" fontId="28" fillId="15" borderId="33" xfId="0" applyFont="1" applyFill="1" applyBorder="1" applyAlignment="1" applyProtection="1">
      <alignment horizontal="center" wrapText="1"/>
      <protection locked="0"/>
    </xf>
    <xf numFmtId="0" fontId="28" fillId="0" borderId="33" xfId="1" applyFont="1" applyBorder="1" applyAlignment="1" applyProtection="1">
      <alignment horizontal="center" vertical="center"/>
      <protection locked="0"/>
    </xf>
    <xf numFmtId="0" fontId="28" fillId="0" borderId="34" xfId="1" applyFont="1" applyBorder="1" applyAlignment="1" applyProtection="1">
      <alignment horizontal="center" vertical="center"/>
      <protection locked="0"/>
    </xf>
    <xf numFmtId="0" fontId="25" fillId="0" borderId="14" xfId="1" applyFont="1" applyBorder="1" applyAlignment="1">
      <alignment horizontal="center" vertical="center"/>
    </xf>
    <xf numFmtId="0" fontId="10" fillId="0" borderId="0" xfId="1" applyBorder="1" applyAlignment="1" applyProtection="1">
      <alignment horizontal="center" vertical="center"/>
      <protection locked="0"/>
    </xf>
    <xf numFmtId="0" fontId="28" fillId="15" borderId="0" xfId="0" applyFont="1" applyFill="1" applyBorder="1" applyAlignment="1" applyProtection="1">
      <alignment horizontal="center" wrapText="1"/>
      <protection locked="0"/>
    </xf>
    <xf numFmtId="0" fontId="28" fillId="0" borderId="0" xfId="1" applyFont="1" applyBorder="1" applyAlignment="1" applyProtection="1">
      <alignment horizontal="center" vertical="center"/>
      <protection locked="0"/>
    </xf>
    <xf numFmtId="0" fontId="25" fillId="0" borderId="0" xfId="1" applyFont="1" applyBorder="1" applyAlignment="1">
      <alignment horizontal="center" vertical="center"/>
    </xf>
    <xf numFmtId="0" fontId="28" fillId="15" borderId="2" xfId="0" applyFont="1" applyFill="1" applyBorder="1" applyAlignment="1" applyProtection="1">
      <alignment horizontal="center" wrapText="1"/>
      <protection locked="0"/>
    </xf>
    <xf numFmtId="0" fontId="28" fillId="0" borderId="2" xfId="1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vertical="center"/>
    </xf>
    <xf numFmtId="0" fontId="10" fillId="0" borderId="0" xfId="1" applyBorder="1" applyAlignment="1">
      <alignment vertical="center"/>
    </xf>
    <xf numFmtId="0" fontId="10" fillId="0" borderId="0" xfId="1" applyBorder="1" applyAlignment="1">
      <alignment horizontal="center" vertical="center"/>
    </xf>
    <xf numFmtId="1" fontId="0" fillId="11" borderId="2" xfId="0" applyNumberForma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11" fillId="17" borderId="2" xfId="0" applyFont="1" applyFill="1" applyBorder="1" applyAlignment="1">
      <alignment horizontal="left" vertical="center"/>
    </xf>
    <xf numFmtId="0" fontId="16" fillId="5" borderId="2" xfId="1" applyFont="1" applyFill="1" applyBorder="1" applyAlignment="1">
      <alignment horizontal="center" vertical="center" wrapText="1"/>
    </xf>
    <xf numFmtId="0" fontId="36" fillId="0" borderId="2" xfId="1" applyFont="1" applyBorder="1" applyAlignment="1">
      <alignment horizontal="center" vertical="center"/>
    </xf>
    <xf numFmtId="0" fontId="36" fillId="0" borderId="5" xfId="1" applyFont="1" applyBorder="1" applyAlignment="1">
      <alignment horizontal="center" vertical="center"/>
    </xf>
    <xf numFmtId="0" fontId="36" fillId="0" borderId="9" xfId="1" applyFont="1" applyBorder="1" applyAlignment="1">
      <alignment horizontal="center" vertical="center"/>
    </xf>
    <xf numFmtId="0" fontId="24" fillId="0" borderId="2" xfId="0" applyFont="1" applyBorder="1" applyAlignment="1" applyProtection="1">
      <alignment vertical="center" wrapText="1"/>
      <protection locked="0"/>
    </xf>
    <xf numFmtId="0" fontId="24" fillId="0" borderId="5" xfId="0" applyFont="1" applyBorder="1" applyAlignment="1" applyProtection="1">
      <alignment vertical="center" wrapText="1"/>
      <protection locked="0"/>
    </xf>
    <xf numFmtId="0" fontId="50" fillId="21" borderId="22" xfId="0" applyFont="1" applyFill="1" applyBorder="1" applyAlignment="1">
      <alignment horizontal="center" vertical="center"/>
    </xf>
    <xf numFmtId="0" fontId="50" fillId="21" borderId="23" xfId="0" applyFont="1" applyFill="1" applyBorder="1" applyAlignment="1">
      <alignment horizontal="center" vertical="center"/>
    </xf>
    <xf numFmtId="0" fontId="49" fillId="0" borderId="22" xfId="0" applyFont="1" applyBorder="1" applyAlignment="1">
      <alignment horizontal="center" vertical="center"/>
    </xf>
    <xf numFmtId="0" fontId="49" fillId="0" borderId="23" xfId="0" applyFont="1" applyBorder="1" applyAlignment="1">
      <alignment horizontal="center" vertical="center"/>
    </xf>
    <xf numFmtId="0" fontId="49" fillId="0" borderId="24" xfId="0" applyFont="1" applyBorder="1" applyAlignment="1">
      <alignment horizontal="center" vertical="center"/>
    </xf>
    <xf numFmtId="0" fontId="41" fillId="6" borderId="5" xfId="0" applyFont="1" applyFill="1" applyBorder="1" applyAlignment="1">
      <alignment vertical="center" wrapText="1"/>
    </xf>
    <xf numFmtId="0" fontId="41" fillId="6" borderId="3" xfId="0" applyFont="1" applyFill="1" applyBorder="1" applyAlignment="1">
      <alignment vertical="center" wrapText="1"/>
    </xf>
    <xf numFmtId="0" fontId="31" fillId="13" borderId="0" xfId="0" applyFont="1" applyFill="1" applyAlignment="1">
      <alignment horizontal="center" vertical="center"/>
    </xf>
    <xf numFmtId="0" fontId="41" fillId="6" borderId="5" xfId="0" applyFont="1" applyFill="1" applyBorder="1" applyAlignment="1">
      <alignment horizontal="left" vertical="center" wrapText="1"/>
    </xf>
    <xf numFmtId="0" fontId="41" fillId="6" borderId="3" xfId="0" applyFont="1" applyFill="1" applyBorder="1" applyAlignment="1">
      <alignment horizontal="left" vertical="center" wrapText="1"/>
    </xf>
    <xf numFmtId="0" fontId="44" fillId="7" borderId="5" xfId="0" applyFont="1" applyFill="1" applyBorder="1" applyAlignment="1">
      <alignment horizontal="center" vertical="center"/>
    </xf>
    <xf numFmtId="0" fontId="44" fillId="7" borderId="9" xfId="0" applyFont="1" applyFill="1" applyBorder="1" applyAlignment="1">
      <alignment horizontal="center" vertical="center"/>
    </xf>
    <xf numFmtId="0" fontId="44" fillId="7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31" fillId="14" borderId="0" xfId="0" applyFont="1" applyFill="1" applyAlignment="1">
      <alignment horizontal="center" vertical="center"/>
    </xf>
    <xf numFmtId="0" fontId="32" fillId="14" borderId="0" xfId="0" applyFont="1" applyFill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10" fillId="0" borderId="5" xfId="1" applyBorder="1" applyAlignment="1">
      <alignment horizontal="left" vertical="center"/>
    </xf>
    <xf numFmtId="0" fontId="10" fillId="0" borderId="9" xfId="1" applyBorder="1" applyAlignment="1">
      <alignment horizontal="left" vertical="center"/>
    </xf>
    <xf numFmtId="0" fontId="10" fillId="0" borderId="3" xfId="1" applyBorder="1" applyAlignment="1">
      <alignment horizontal="left" vertical="center"/>
    </xf>
    <xf numFmtId="0" fontId="10" fillId="0" borderId="5" xfId="1" applyBorder="1" applyAlignment="1">
      <alignment horizontal="center" vertical="center"/>
    </xf>
    <xf numFmtId="0" fontId="10" fillId="0" borderId="3" xfId="1" applyBorder="1" applyAlignment="1">
      <alignment horizontal="center" vertical="center"/>
    </xf>
    <xf numFmtId="2" fontId="10" fillId="0" borderId="5" xfId="1" applyNumberFormat="1" applyBorder="1" applyAlignment="1">
      <alignment horizontal="center" vertical="center"/>
    </xf>
    <xf numFmtId="2" fontId="10" fillId="0" borderId="3" xfId="1" applyNumberFormat="1" applyBorder="1" applyAlignment="1">
      <alignment horizontal="center" vertical="center"/>
    </xf>
    <xf numFmtId="164" fontId="10" fillId="0" borderId="2" xfId="1" applyNumberFormat="1" applyBorder="1" applyAlignment="1">
      <alignment horizontal="center" vertical="center"/>
    </xf>
    <xf numFmtId="0" fontId="17" fillId="0" borderId="2" xfId="1" applyFont="1" applyBorder="1" applyAlignment="1">
      <alignment horizontal="center" vertical="center"/>
    </xf>
    <xf numFmtId="0" fontId="12" fillId="10" borderId="5" xfId="1" applyFont="1" applyFill="1" applyBorder="1" applyAlignment="1">
      <alignment horizontal="center" vertical="center" wrapText="1"/>
    </xf>
    <xf numFmtId="0" fontId="12" fillId="10" borderId="9" xfId="1" applyFont="1" applyFill="1" applyBorder="1" applyAlignment="1">
      <alignment horizontal="center" vertical="center" wrapText="1"/>
    </xf>
    <xf numFmtId="0" fontId="10" fillId="12" borderId="5" xfId="1" applyFill="1" applyBorder="1" applyAlignment="1">
      <alignment horizontal="center" vertical="center" wrapText="1"/>
    </xf>
    <xf numFmtId="0" fontId="10" fillId="12" borderId="3" xfId="1" applyFill="1" applyBorder="1" applyAlignment="1">
      <alignment horizontal="center" vertical="center" wrapText="1"/>
    </xf>
    <xf numFmtId="0" fontId="16" fillId="0" borderId="0" xfId="1" applyFont="1" applyAlignment="1">
      <alignment horizontal="center" vertical="center"/>
    </xf>
    <xf numFmtId="0" fontId="10" fillId="0" borderId="2" xfId="1" applyBorder="1" applyAlignment="1">
      <alignment horizontal="center" vertical="center" wrapText="1"/>
    </xf>
    <xf numFmtId="0" fontId="10" fillId="0" borderId="8" xfId="1" applyBorder="1" applyAlignment="1">
      <alignment horizontal="center" vertical="center" wrapText="1"/>
    </xf>
    <xf numFmtId="0" fontId="10" fillId="0" borderId="7" xfId="1" applyBorder="1" applyAlignment="1">
      <alignment horizontal="center" vertical="center" wrapText="1"/>
    </xf>
    <xf numFmtId="0" fontId="10" fillId="0" borderId="10" xfId="1" applyBorder="1" applyAlignment="1">
      <alignment horizontal="center" vertical="center" wrapText="1"/>
    </xf>
    <xf numFmtId="0" fontId="10" fillId="0" borderId="11" xfId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0" fontId="16" fillId="13" borderId="2" xfId="1" applyFont="1" applyFill="1" applyBorder="1" applyAlignment="1">
      <alignment horizontal="left" vertical="center"/>
    </xf>
    <xf numFmtId="0" fontId="29" fillId="0" borderId="2" xfId="4" applyFont="1" applyBorder="1" applyAlignment="1">
      <alignment horizontal="left" vertical="center"/>
    </xf>
    <xf numFmtId="0" fontId="18" fillId="0" borderId="2" xfId="1" applyFont="1" applyBorder="1" applyAlignment="1">
      <alignment horizontal="left" vertical="center" wrapText="1"/>
    </xf>
    <xf numFmtId="0" fontId="10" fillId="13" borderId="2" xfId="1" applyFill="1" applyBorder="1" applyAlignment="1">
      <alignment horizontal="left" vertical="center"/>
    </xf>
    <xf numFmtId="0" fontId="10" fillId="13" borderId="5" xfId="1" applyFill="1" applyBorder="1" applyAlignment="1">
      <alignment horizontal="left" vertical="center"/>
    </xf>
    <xf numFmtId="0" fontId="18" fillId="0" borderId="5" xfId="1" applyFont="1" applyBorder="1" applyAlignment="1">
      <alignment horizontal="left" vertical="center" wrapText="1"/>
    </xf>
    <xf numFmtId="0" fontId="18" fillId="0" borderId="9" xfId="1" applyFont="1" applyBorder="1" applyAlignment="1">
      <alignment horizontal="left" vertical="center" wrapText="1"/>
    </xf>
    <xf numFmtId="0" fontId="18" fillId="0" borderId="3" xfId="1" applyFont="1" applyBorder="1" applyAlignment="1">
      <alignment horizontal="left" vertical="center" wrapText="1"/>
    </xf>
    <xf numFmtId="0" fontId="16" fillId="0" borderId="2" xfId="1" applyFont="1" applyBorder="1" applyAlignment="1">
      <alignment horizontal="left" vertical="center"/>
    </xf>
    <xf numFmtId="0" fontId="10" fillId="0" borderId="2" xfId="1" applyBorder="1" applyAlignment="1">
      <alignment horizontal="left" vertical="center"/>
    </xf>
    <xf numFmtId="0" fontId="10" fillId="0" borderId="2" xfId="1" applyBorder="1" applyAlignment="1">
      <alignment horizontal="center" vertical="center"/>
    </xf>
    <xf numFmtId="2" fontId="10" fillId="0" borderId="2" xfId="1" applyNumberFormat="1" applyBorder="1" applyAlignment="1">
      <alignment horizontal="center" vertical="center"/>
    </xf>
    <xf numFmtId="0" fontId="7" fillId="4" borderId="4" xfId="4" applyFont="1" applyFill="1" applyBorder="1" applyAlignment="1">
      <alignment horizontal="center" vertical="center" wrapText="1"/>
    </xf>
    <xf numFmtId="0" fontId="7" fillId="4" borderId="1" xfId="4" applyFont="1" applyFill="1" applyBorder="1" applyAlignment="1">
      <alignment horizontal="center" vertical="center" wrapText="1"/>
    </xf>
    <xf numFmtId="0" fontId="2" fillId="3" borderId="2" xfId="4" applyFont="1" applyFill="1" applyBorder="1" applyAlignment="1">
      <alignment horizontal="center" vertical="center" wrapText="1"/>
    </xf>
    <xf numFmtId="0" fontId="36" fillId="0" borderId="0" xfId="1" applyFont="1" applyAlignment="1">
      <alignment horizontal="center" vertical="center"/>
    </xf>
    <xf numFmtId="0" fontId="23" fillId="0" borderId="5" xfId="1" applyFont="1" applyBorder="1" applyAlignment="1">
      <alignment horizontal="left" vertical="center" wrapText="1"/>
    </xf>
    <xf numFmtId="0" fontId="23" fillId="0" borderId="3" xfId="1" applyFont="1" applyBorder="1" applyAlignment="1">
      <alignment horizontal="left" vertical="center" wrapText="1"/>
    </xf>
    <xf numFmtId="0" fontId="16" fillId="0" borderId="5" xfId="1" applyFont="1" applyBorder="1" applyAlignment="1">
      <alignment horizontal="left" vertical="center" wrapText="1"/>
    </xf>
    <xf numFmtId="0" fontId="16" fillId="0" borderId="3" xfId="1" applyFont="1" applyBorder="1" applyAlignment="1">
      <alignment horizontal="left" vertical="center" wrapText="1"/>
    </xf>
    <xf numFmtId="0" fontId="16" fillId="0" borderId="2" xfId="1" applyFont="1" applyBorder="1" applyAlignment="1">
      <alignment horizontal="center" vertical="center"/>
    </xf>
    <xf numFmtId="0" fontId="29" fillId="0" borderId="5" xfId="4" applyFont="1" applyBorder="1" applyAlignment="1">
      <alignment horizontal="left" vertical="center"/>
    </xf>
    <xf numFmtId="0" fontId="29" fillId="0" borderId="3" xfId="4" applyFont="1" applyBorder="1" applyAlignment="1">
      <alignment horizontal="left" vertical="center"/>
    </xf>
    <xf numFmtId="0" fontId="16" fillId="13" borderId="5" xfId="1" applyFont="1" applyFill="1" applyBorder="1" applyAlignment="1">
      <alignment horizontal="center" vertical="center"/>
    </xf>
    <xf numFmtId="0" fontId="16" fillId="13" borderId="3" xfId="1" applyFont="1" applyFill="1" applyBorder="1" applyAlignment="1">
      <alignment horizontal="center" vertical="center"/>
    </xf>
    <xf numFmtId="0" fontId="22" fillId="0" borderId="5" xfId="1" applyFont="1" applyBorder="1" applyAlignment="1">
      <alignment horizontal="center" vertical="center"/>
    </xf>
    <xf numFmtId="0" fontId="22" fillId="0" borderId="9" xfId="1" applyFont="1" applyBorder="1" applyAlignment="1">
      <alignment horizontal="center" vertical="center"/>
    </xf>
    <xf numFmtId="0" fontId="16" fillId="0" borderId="9" xfId="1" applyFont="1" applyBorder="1" applyAlignment="1">
      <alignment horizontal="left" vertical="center" wrapText="1"/>
    </xf>
    <xf numFmtId="164" fontId="10" fillId="20" borderId="2" xfId="1" applyNumberFormat="1" applyFill="1" applyBorder="1" applyAlignment="1">
      <alignment horizontal="center" vertical="center"/>
    </xf>
    <xf numFmtId="0" fontId="10" fillId="20" borderId="5" xfId="1" applyFill="1" applyBorder="1" applyAlignment="1">
      <alignment horizontal="center" vertical="center"/>
    </xf>
    <xf numFmtId="0" fontId="10" fillId="20" borderId="3" xfId="1" applyFill="1" applyBorder="1" applyAlignment="1">
      <alignment horizontal="center" vertical="center"/>
    </xf>
    <xf numFmtId="2" fontId="10" fillId="20" borderId="5" xfId="1" applyNumberFormat="1" applyFill="1" applyBorder="1" applyAlignment="1">
      <alignment horizontal="center" vertical="center"/>
    </xf>
    <xf numFmtId="2" fontId="10" fillId="20" borderId="3" xfId="1" applyNumberFormat="1" applyFill="1" applyBorder="1" applyAlignment="1">
      <alignment horizontal="center" vertical="center"/>
    </xf>
    <xf numFmtId="0" fontId="23" fillId="6" borderId="2" xfId="1" applyFont="1" applyFill="1" applyBorder="1" applyAlignment="1">
      <alignment horizontal="center" vertical="center" wrapText="1"/>
    </xf>
    <xf numFmtId="0" fontId="23" fillId="6" borderId="8" xfId="1" applyFont="1" applyFill="1" applyBorder="1" applyAlignment="1">
      <alignment horizontal="center" vertical="center" wrapText="1"/>
    </xf>
    <xf numFmtId="0" fontId="23" fillId="6" borderId="7" xfId="1" applyFont="1" applyFill="1" applyBorder="1" applyAlignment="1">
      <alignment horizontal="center" vertical="center" wrapText="1"/>
    </xf>
    <xf numFmtId="0" fontId="23" fillId="6" borderId="10" xfId="1" applyFont="1" applyFill="1" applyBorder="1" applyAlignment="1">
      <alignment horizontal="center" vertical="center" wrapText="1"/>
    </xf>
    <xf numFmtId="0" fontId="23" fillId="6" borderId="11" xfId="1" applyFont="1" applyFill="1" applyBorder="1" applyAlignment="1">
      <alignment horizontal="center" vertical="center" wrapText="1"/>
    </xf>
    <xf numFmtId="2" fontId="46" fillId="6" borderId="2" xfId="1" applyNumberFormat="1" applyFont="1" applyFill="1" applyBorder="1" applyAlignment="1">
      <alignment horizontal="center" vertical="center" wrapText="1"/>
    </xf>
    <xf numFmtId="2" fontId="10" fillId="6" borderId="21" xfId="1" applyNumberFormat="1" applyFill="1" applyBorder="1" applyAlignment="1">
      <alignment horizontal="left" vertical="center" wrapText="1"/>
    </xf>
    <xf numFmtId="2" fontId="10" fillId="6" borderId="0" xfId="1" applyNumberFormat="1" applyFill="1" applyAlignment="1">
      <alignment horizontal="left" vertical="center" wrapText="1"/>
    </xf>
    <xf numFmtId="2" fontId="5" fillId="4" borderId="2" xfId="4" applyNumberFormat="1" applyFont="1" applyFill="1" applyBorder="1" applyAlignment="1">
      <alignment horizontal="center" vertical="center" wrapText="1"/>
    </xf>
    <xf numFmtId="0" fontId="2" fillId="16" borderId="2" xfId="4" applyFont="1" applyFill="1" applyBorder="1" applyAlignment="1">
      <alignment horizontal="center" vertical="center" wrapText="1"/>
    </xf>
    <xf numFmtId="0" fontId="17" fillId="0" borderId="21" xfId="1" applyFont="1" applyBorder="1" applyAlignment="1">
      <alignment horizontal="center" vertical="center"/>
    </xf>
    <xf numFmtId="0" fontId="17" fillId="0" borderId="0" xfId="1" applyFont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0" fontId="30" fillId="0" borderId="2" xfId="0" applyFont="1" applyBorder="1" applyAlignment="1">
      <alignment horizontal="center" vertical="center" wrapText="1"/>
    </xf>
    <xf numFmtId="2" fontId="5" fillId="4" borderId="5" xfId="9" applyNumberFormat="1" applyFont="1" applyFill="1" applyBorder="1" applyAlignment="1">
      <alignment horizontal="center" vertical="center" wrapText="1"/>
    </xf>
    <xf numFmtId="2" fontId="5" fillId="4" borderId="3" xfId="9" applyNumberFormat="1" applyFont="1" applyFill="1" applyBorder="1" applyAlignment="1">
      <alignment horizontal="center" vertical="center" wrapText="1"/>
    </xf>
    <xf numFmtId="0" fontId="10" fillId="0" borderId="0" xfId="1" applyAlignment="1">
      <alignment horizontal="center" vertical="center"/>
    </xf>
    <xf numFmtId="0" fontId="10" fillId="0" borderId="20" xfId="1" applyBorder="1" applyAlignment="1">
      <alignment horizontal="center" vertical="center"/>
    </xf>
  </cellXfs>
  <cellStyles count="12">
    <cellStyle name="Normal" xfId="0" builtinId="0"/>
    <cellStyle name="Normal 2" xfId="1"/>
    <cellStyle name="Normal 2 2" xfId="2"/>
    <cellStyle name="Normal 2 3" xfId="3"/>
    <cellStyle name="Normal 2 3 2" xfId="4"/>
    <cellStyle name="Normal 2 3 2 2" xfId="9"/>
    <cellStyle name="Normal 3" xfId="5"/>
    <cellStyle name="Normal 3 2" xfId="6"/>
    <cellStyle name="Normal 3 2 2" xfId="7"/>
    <cellStyle name="Normal 3 2 3" xfId="10"/>
    <cellStyle name="Normal 4" xfId="8"/>
    <cellStyle name="Normal 4 2" xfId="11"/>
  </cellStyles>
  <dxfs count="1227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8</xdr:row>
      <xdr:rowOff>0</xdr:rowOff>
    </xdr:from>
    <xdr:to>
      <xdr:col>12</xdr:col>
      <xdr:colOff>0</xdr:colOff>
      <xdr:row>8</xdr:row>
      <xdr:rowOff>314325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xmlns="" spid="_x0000_s1026"/>
            </a:ext>
            <a:ext uri="{FF2B5EF4-FFF2-40B4-BE49-F238E27FC236}">
              <a16:creationId xmlns:a16="http://schemas.microsoft.com/office/drawing/2014/main" xmlns="" id="{00000000-0008-0000-05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Studentwise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AL61"/>
  <sheetViews>
    <sheetView topLeftCell="D13" zoomScale="115" zoomScaleNormal="115" zoomScalePageLayoutView="27" workbookViewId="0">
      <selection activeCell="E21" sqref="E21"/>
    </sheetView>
  </sheetViews>
  <sheetFormatPr defaultColWidth="0" defaultRowHeight="15" customHeight="1" zeroHeight="1"/>
  <cols>
    <col min="1" max="4" width="9.140625" customWidth="1"/>
    <col min="5" max="5" width="66.28515625" customWidth="1"/>
    <col min="6" max="7" width="9.140625" customWidth="1"/>
    <col min="8" max="8" width="13" customWidth="1"/>
    <col min="9" max="9" width="14.7109375" customWidth="1"/>
    <col min="10" max="10" width="12.28515625" customWidth="1"/>
    <col min="11" max="27" width="9.140625" customWidth="1"/>
    <col min="28" max="28" width="57.140625" customWidth="1"/>
    <col min="29" max="31" width="9.140625" customWidth="1"/>
    <col min="32" max="32" width="43.28515625" customWidth="1"/>
    <col min="33" max="33" width="38.28515625" customWidth="1"/>
    <col min="34" max="34" width="43.28515625" customWidth="1"/>
    <col min="35" max="35" width="32.7109375" style="111" customWidth="1"/>
    <col min="36" max="36" width="41.28515625" bestFit="1" customWidth="1"/>
    <col min="37" max="37" width="37.42578125" bestFit="1" customWidth="1"/>
    <col min="38" max="38" width="20.28515625" bestFit="1" customWidth="1"/>
    <col min="39" max="16384" width="9.140625" hidden="1"/>
  </cols>
  <sheetData>
    <row r="1" spans="1:38" ht="42" customHeight="1">
      <c r="A1" s="264" t="s">
        <v>0</v>
      </c>
      <c r="B1" s="264"/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AH1" s="210"/>
      <c r="AI1"/>
    </row>
    <row r="2" spans="1:38" ht="9.75" customHeight="1" thickBot="1">
      <c r="A2" s="271"/>
      <c r="B2" s="271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AH2" s="210"/>
      <c r="AI2"/>
    </row>
    <row r="3" spans="1:38" ht="39.200000000000003" customHeight="1" thickBot="1">
      <c r="A3" s="272" t="s">
        <v>1</v>
      </c>
      <c r="B3" s="272"/>
      <c r="C3" s="272"/>
      <c r="D3" s="272"/>
      <c r="E3" s="272"/>
      <c r="F3" s="272"/>
      <c r="G3" s="272"/>
      <c r="H3" s="272"/>
      <c r="I3" s="272"/>
      <c r="J3" s="272"/>
      <c r="K3" s="272"/>
      <c r="L3" s="272"/>
      <c r="M3" s="272"/>
      <c r="N3" s="272"/>
      <c r="O3" s="272"/>
      <c r="P3" s="272"/>
      <c r="Q3" s="272"/>
      <c r="R3" s="272"/>
      <c r="S3" s="272"/>
      <c r="T3" s="272"/>
      <c r="U3" s="272"/>
      <c r="X3" s="210" t="s">
        <v>2</v>
      </c>
      <c r="AF3" s="259" t="s">
        <v>3</v>
      </c>
      <c r="AG3" s="260"/>
      <c r="AH3" s="260"/>
      <c r="AI3" s="260"/>
      <c r="AJ3" s="260"/>
      <c r="AK3" s="261"/>
    </row>
    <row r="4" spans="1:38" ht="30.2" customHeight="1">
      <c r="B4" s="250" t="s">
        <v>4</v>
      </c>
      <c r="C4" s="250"/>
      <c r="D4" s="250"/>
      <c r="E4" s="128" t="s">
        <v>5</v>
      </c>
      <c r="X4" s="257" t="s">
        <v>6</v>
      </c>
      <c r="Y4" s="258"/>
      <c r="Z4" s="258"/>
      <c r="AA4" s="258"/>
      <c r="AB4" s="258"/>
      <c r="AC4" s="258"/>
      <c r="AD4" s="258"/>
      <c r="AE4" s="258"/>
      <c r="AF4" s="177" t="s">
        <v>7</v>
      </c>
      <c r="AG4" s="178" t="s">
        <v>7</v>
      </c>
      <c r="AH4" s="178" t="s">
        <v>8</v>
      </c>
      <c r="AI4" s="178" t="s">
        <v>8</v>
      </c>
      <c r="AJ4" s="178" t="s">
        <v>9</v>
      </c>
      <c r="AK4" s="179" t="s">
        <v>9</v>
      </c>
    </row>
    <row r="5" spans="1:38" ht="30.2" customHeight="1" thickBot="1">
      <c r="B5" s="250" t="s">
        <v>10</v>
      </c>
      <c r="C5" s="250"/>
      <c r="D5" s="250"/>
      <c r="E5" s="124" t="s">
        <v>9</v>
      </c>
      <c r="H5" s="267" t="s">
        <v>11</v>
      </c>
      <c r="I5" s="268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8"/>
      <c r="V5" s="269"/>
      <c r="X5" s="165" t="str">
        <f>E5</f>
        <v>2018-19</v>
      </c>
      <c r="Y5" s="159"/>
      <c r="Z5" s="159"/>
      <c r="AA5" s="159"/>
      <c r="AB5" s="160" t="s">
        <v>4</v>
      </c>
      <c r="AC5" s="161" t="s">
        <v>12</v>
      </c>
      <c r="AD5" s="161" t="s">
        <v>13</v>
      </c>
      <c r="AE5" s="161" t="s">
        <v>14</v>
      </c>
      <c r="AF5" s="180" t="s">
        <v>15</v>
      </c>
      <c r="AG5" s="181" t="s">
        <v>16</v>
      </c>
      <c r="AH5" s="181" t="s">
        <v>15</v>
      </c>
      <c r="AI5" s="181" t="s">
        <v>16</v>
      </c>
      <c r="AJ5" s="181" t="s">
        <v>15</v>
      </c>
      <c r="AK5" s="182" t="s">
        <v>16</v>
      </c>
      <c r="AL5" s="183" t="s">
        <v>17</v>
      </c>
    </row>
    <row r="6" spans="1:38" ht="30.2" customHeight="1">
      <c r="B6" s="250" t="s">
        <v>18</v>
      </c>
      <c r="C6" s="250"/>
      <c r="D6" s="250"/>
      <c r="E6" s="124" t="s">
        <v>19</v>
      </c>
      <c r="H6" s="130" t="s">
        <v>20</v>
      </c>
      <c r="I6" s="255" t="s">
        <v>323</v>
      </c>
      <c r="J6" s="255"/>
      <c r="K6" s="255"/>
      <c r="L6" s="255"/>
      <c r="M6" s="255"/>
      <c r="N6" s="255"/>
      <c r="O6" s="255"/>
      <c r="P6" s="255"/>
      <c r="Q6" s="255"/>
      <c r="R6" s="255"/>
      <c r="S6" s="255"/>
      <c r="T6" s="255"/>
      <c r="U6" s="255"/>
      <c r="V6" s="255"/>
      <c r="W6" s="256"/>
      <c r="X6" s="165">
        <f>IF(E6=AD6,1,IF(E6=AD7,2,IF(E6=AD8,3,IF(E6=AD9,4,0))))</f>
        <v>3</v>
      </c>
      <c r="Y6" s="159"/>
      <c r="Z6" s="159"/>
      <c r="AA6" s="159" t="s">
        <v>21</v>
      </c>
      <c r="AB6" s="162" t="s">
        <v>22</v>
      </c>
      <c r="AC6" s="161" t="s">
        <v>7</v>
      </c>
      <c r="AD6" s="163" t="s">
        <v>23</v>
      </c>
      <c r="AE6" s="166" t="s">
        <v>15</v>
      </c>
      <c r="AF6" s="184" t="s">
        <v>24</v>
      </c>
      <c r="AG6" s="185" t="s">
        <v>25</v>
      </c>
      <c r="AH6" s="186" t="s">
        <v>24</v>
      </c>
      <c r="AI6" s="186" t="s">
        <v>25</v>
      </c>
      <c r="AJ6" s="186" t="s">
        <v>24</v>
      </c>
      <c r="AK6" s="187" t="s">
        <v>25</v>
      </c>
      <c r="AL6" s="188" t="s">
        <v>26</v>
      </c>
    </row>
    <row r="7" spans="1:38" ht="30.2" customHeight="1">
      <c r="B7" s="250" t="s">
        <v>27</v>
      </c>
      <c r="C7" s="250"/>
      <c r="D7" s="250"/>
      <c r="E7" s="124" t="s">
        <v>16</v>
      </c>
      <c r="H7" s="130" t="s">
        <v>28</v>
      </c>
      <c r="I7" s="255" t="s">
        <v>324</v>
      </c>
      <c r="J7" s="255"/>
      <c r="K7" s="255"/>
      <c r="L7" s="255"/>
      <c r="M7" s="255"/>
      <c r="N7" s="255"/>
      <c r="O7" s="255"/>
      <c r="P7" s="255"/>
      <c r="Q7" s="255"/>
      <c r="R7" s="255"/>
      <c r="S7" s="255"/>
      <c r="T7" s="255"/>
      <c r="U7" s="255"/>
      <c r="V7" s="255"/>
      <c r="W7" s="256"/>
      <c r="X7" s="165" t="str">
        <f>E7</f>
        <v>II</v>
      </c>
      <c r="Y7" s="159"/>
      <c r="Z7" s="159"/>
      <c r="AA7" s="159" t="s">
        <v>29</v>
      </c>
      <c r="AB7" s="162" t="s">
        <v>5</v>
      </c>
      <c r="AC7" s="161" t="s">
        <v>8</v>
      </c>
      <c r="AD7" s="163" t="s">
        <v>30</v>
      </c>
      <c r="AE7" s="166" t="s">
        <v>16</v>
      </c>
      <c r="AF7" s="189" t="s">
        <v>31</v>
      </c>
      <c r="AG7" s="190" t="s">
        <v>31</v>
      </c>
      <c r="AH7" s="190" t="s">
        <v>31</v>
      </c>
      <c r="AI7" s="190" t="s">
        <v>31</v>
      </c>
      <c r="AJ7" s="190" t="s">
        <v>31</v>
      </c>
      <c r="AK7" s="191" t="s">
        <v>31</v>
      </c>
      <c r="AL7" s="192" t="s">
        <v>32</v>
      </c>
    </row>
    <row r="8" spans="1:38" ht="30.2" customHeight="1">
      <c r="B8" s="250" t="s">
        <v>33</v>
      </c>
      <c r="C8" s="250"/>
      <c r="D8" s="250"/>
      <c r="E8" s="124">
        <v>73</v>
      </c>
      <c r="H8" s="130" t="s">
        <v>34</v>
      </c>
      <c r="I8" s="255" t="s">
        <v>325</v>
      </c>
      <c r="J8" s="255"/>
      <c r="K8" s="255"/>
      <c r="L8" s="255"/>
      <c r="M8" s="255"/>
      <c r="N8" s="255"/>
      <c r="O8" s="255"/>
      <c r="P8" s="255"/>
      <c r="Q8" s="255"/>
      <c r="R8" s="255"/>
      <c r="S8" s="255"/>
      <c r="T8" s="255"/>
      <c r="U8" s="255"/>
      <c r="V8" s="255"/>
      <c r="W8" s="256"/>
      <c r="X8" s="165" t="str">
        <f>IF(E4=AB6,AA6,IF(E4=AB7,AA7,IF(E4=AB8,AA8,IF(E4=AB9,AA9,IF(E4=AB10,AA10,IF(E4=AB11,AA11,IF(E4=AB12,AA12,IF(E4=AB13,AA13,IF(E4=AB14,AA14,IF(E4=AB15,AA15,"NA"))))))))))</f>
        <v>CSE</v>
      </c>
      <c r="Y8" s="159"/>
      <c r="Z8" s="159"/>
      <c r="AA8" s="159" t="s">
        <v>35</v>
      </c>
      <c r="AB8" s="162" t="s">
        <v>36</v>
      </c>
      <c r="AC8" s="161" t="s">
        <v>9</v>
      </c>
      <c r="AD8" s="163" t="s">
        <v>19</v>
      </c>
      <c r="AE8" s="166"/>
      <c r="AF8" s="189" t="s">
        <v>37</v>
      </c>
      <c r="AG8" s="190" t="s">
        <v>38</v>
      </c>
      <c r="AH8" s="193" t="s">
        <v>37</v>
      </c>
      <c r="AI8" s="193" t="s">
        <v>38</v>
      </c>
      <c r="AJ8" s="193" t="s">
        <v>37</v>
      </c>
      <c r="AK8" s="194" t="s">
        <v>38</v>
      </c>
      <c r="AL8" s="192" t="s">
        <v>39</v>
      </c>
    </row>
    <row r="9" spans="1:38" ht="30.2" customHeight="1">
      <c r="B9" s="250" t="s">
        <v>40</v>
      </c>
      <c r="C9" s="250"/>
      <c r="D9" s="250"/>
      <c r="E9" s="124">
        <v>0</v>
      </c>
      <c r="H9" s="130" t="s">
        <v>41</v>
      </c>
      <c r="I9" s="255" t="s">
        <v>326</v>
      </c>
      <c r="J9" s="255"/>
      <c r="K9" s="255"/>
      <c r="L9" s="255"/>
      <c r="M9" s="255"/>
      <c r="N9" s="255"/>
      <c r="O9" s="255"/>
      <c r="P9" s="255"/>
      <c r="Q9" s="255"/>
      <c r="R9" s="255"/>
      <c r="S9" s="255"/>
      <c r="T9" s="255"/>
      <c r="U9" s="255"/>
      <c r="V9" s="255"/>
      <c r="W9" s="256"/>
      <c r="X9" s="165" t="str">
        <f>E10</f>
        <v>Web Programming &amp; Services</v>
      </c>
      <c r="Y9" s="159"/>
      <c r="Z9" s="159"/>
      <c r="AA9" s="159" t="s">
        <v>42</v>
      </c>
      <c r="AB9" s="162" t="s">
        <v>43</v>
      </c>
      <c r="AC9" s="161"/>
      <c r="AD9" s="163" t="s">
        <v>44</v>
      </c>
      <c r="AE9" s="166"/>
      <c r="AF9" s="189" t="s">
        <v>45</v>
      </c>
      <c r="AG9" s="190" t="s">
        <v>46</v>
      </c>
      <c r="AH9" s="193" t="s">
        <v>45</v>
      </c>
      <c r="AI9" s="193" t="s">
        <v>46</v>
      </c>
      <c r="AJ9" s="193" t="s">
        <v>45</v>
      </c>
      <c r="AK9" s="194" t="s">
        <v>46</v>
      </c>
      <c r="AL9" s="192" t="s">
        <v>47</v>
      </c>
    </row>
    <row r="10" spans="1:38" ht="30.2" customHeight="1">
      <c r="B10" s="250" t="s">
        <v>48</v>
      </c>
      <c r="C10" s="250"/>
      <c r="D10" s="250"/>
      <c r="E10" s="124" t="s">
        <v>49</v>
      </c>
      <c r="H10" s="130" t="s">
        <v>50</v>
      </c>
      <c r="I10" s="255" t="s">
        <v>327</v>
      </c>
      <c r="J10" s="255"/>
      <c r="K10" s="255"/>
      <c r="L10" s="255"/>
      <c r="M10" s="255"/>
      <c r="N10" s="255"/>
      <c r="O10" s="255"/>
      <c r="P10" s="255"/>
      <c r="Q10" s="255"/>
      <c r="R10" s="255"/>
      <c r="S10" s="255"/>
      <c r="T10" s="255"/>
      <c r="U10" s="255"/>
      <c r="V10" s="255"/>
      <c r="W10" s="256"/>
      <c r="X10" s="167"/>
      <c r="Y10" s="159"/>
      <c r="Z10" s="159"/>
      <c r="AA10" s="159" t="s">
        <v>51</v>
      </c>
      <c r="AB10" s="162" t="s">
        <v>52</v>
      </c>
      <c r="AC10" s="159"/>
      <c r="AD10" s="159"/>
      <c r="AE10" s="168"/>
      <c r="AF10" s="189" t="s">
        <v>53</v>
      </c>
      <c r="AG10" s="190" t="s">
        <v>54</v>
      </c>
      <c r="AH10" s="193" t="s">
        <v>53</v>
      </c>
      <c r="AI10" s="193" t="s">
        <v>54</v>
      </c>
      <c r="AJ10" s="193" t="s">
        <v>53</v>
      </c>
      <c r="AK10" s="194" t="s">
        <v>54</v>
      </c>
      <c r="AL10" s="192" t="s">
        <v>55</v>
      </c>
    </row>
    <row r="11" spans="1:38" ht="30.2" customHeight="1">
      <c r="B11" s="250" t="s">
        <v>56</v>
      </c>
      <c r="C11" s="250"/>
      <c r="D11" s="250"/>
      <c r="E11" s="124" t="s">
        <v>55</v>
      </c>
      <c r="H11" s="130"/>
      <c r="I11" s="273"/>
      <c r="J11" s="270"/>
      <c r="K11" s="270"/>
      <c r="L11" s="270"/>
      <c r="M11" s="270"/>
      <c r="N11" s="270"/>
      <c r="O11" s="270"/>
      <c r="P11" s="270"/>
      <c r="Q11" s="270"/>
      <c r="R11" s="270"/>
      <c r="S11" s="270"/>
      <c r="T11" s="270"/>
      <c r="U11" s="270"/>
      <c r="V11" s="270"/>
      <c r="X11" s="167"/>
      <c r="Y11" s="159"/>
      <c r="Z11" s="159"/>
      <c r="AA11" s="159" t="s">
        <v>58</v>
      </c>
      <c r="AB11" s="162" t="s">
        <v>59</v>
      </c>
      <c r="AC11" s="159"/>
      <c r="AD11" s="159"/>
      <c r="AE11" s="168"/>
      <c r="AF11" s="189" t="s">
        <v>60</v>
      </c>
      <c r="AG11" s="190" t="s">
        <v>61</v>
      </c>
      <c r="AH11" s="193" t="s">
        <v>62</v>
      </c>
      <c r="AI11" s="193" t="s">
        <v>63</v>
      </c>
      <c r="AJ11" s="193" t="s">
        <v>62</v>
      </c>
      <c r="AK11" s="194" t="s">
        <v>63</v>
      </c>
      <c r="AL11" s="192" t="s">
        <v>64</v>
      </c>
    </row>
    <row r="12" spans="1:38" ht="30.2" customHeight="1">
      <c r="B12" s="250" t="s">
        <v>65</v>
      </c>
      <c r="C12" s="250"/>
      <c r="D12" s="250"/>
      <c r="E12" s="124" t="s">
        <v>64</v>
      </c>
      <c r="H12" s="141" t="s">
        <v>66</v>
      </c>
      <c r="I12" s="141" t="s">
        <v>67</v>
      </c>
      <c r="J12" s="139" t="s">
        <v>68</v>
      </c>
      <c r="K12" s="140" t="s">
        <v>69</v>
      </c>
      <c r="L12" s="140" t="s">
        <v>70</v>
      </c>
      <c r="M12" s="140" t="s">
        <v>71</v>
      </c>
      <c r="N12" s="140" t="s">
        <v>72</v>
      </c>
      <c r="O12" s="140" t="s">
        <v>73</v>
      </c>
      <c r="P12" s="140" t="s">
        <v>74</v>
      </c>
      <c r="Q12" s="140" t="s">
        <v>75</v>
      </c>
      <c r="R12" s="140" t="s">
        <v>76</v>
      </c>
      <c r="S12" s="140" t="s">
        <v>77</v>
      </c>
      <c r="T12" s="140" t="s">
        <v>78</v>
      </c>
      <c r="U12" s="140" t="s">
        <v>79</v>
      </c>
      <c r="X12" s="169"/>
      <c r="Y12" s="158" t="s">
        <v>80</v>
      </c>
      <c r="Z12" s="158">
        <f>IF(AND($E$5=$AC$6,$E$7=$AE$6),1,0)</f>
        <v>0</v>
      </c>
      <c r="AE12" s="170"/>
      <c r="AF12" s="189" t="s">
        <v>81</v>
      </c>
      <c r="AG12" s="190" t="s">
        <v>82</v>
      </c>
      <c r="AH12" s="193" t="s">
        <v>81</v>
      </c>
      <c r="AI12" s="193" t="s">
        <v>83</v>
      </c>
      <c r="AJ12" s="193" t="s">
        <v>81</v>
      </c>
      <c r="AK12" s="194" t="s">
        <v>83</v>
      </c>
      <c r="AL12" s="192" t="s">
        <v>84</v>
      </c>
    </row>
    <row r="13" spans="1:38" ht="30.2" customHeight="1">
      <c r="B13" s="250" t="s">
        <v>85</v>
      </c>
      <c r="C13" s="250"/>
      <c r="D13" s="250"/>
      <c r="E13" s="124">
        <v>60</v>
      </c>
      <c r="H13" s="130" t="s">
        <v>86</v>
      </c>
      <c r="I13" s="135">
        <f>External!L184</f>
        <v>3</v>
      </c>
      <c r="J13" s="131">
        <v>1</v>
      </c>
      <c r="K13" s="132">
        <v>1</v>
      </c>
      <c r="L13" s="132">
        <v>2</v>
      </c>
      <c r="M13" s="132">
        <v>1</v>
      </c>
      <c r="N13" s="132">
        <v>3</v>
      </c>
      <c r="O13" s="132"/>
      <c r="P13" s="132"/>
      <c r="Q13" s="132"/>
      <c r="R13" s="132">
        <v>1</v>
      </c>
      <c r="S13" s="132"/>
      <c r="T13" s="132"/>
      <c r="U13" s="132"/>
      <c r="W13" s="110"/>
      <c r="X13" s="169"/>
      <c r="Y13" s="164" t="s">
        <v>87</v>
      </c>
      <c r="Z13" s="158">
        <f>IF(AND($E$5=$AC$6, $E$7=$AE$7),1,0)</f>
        <v>0</v>
      </c>
      <c r="AE13" s="170"/>
      <c r="AF13" s="189" t="s">
        <v>88</v>
      </c>
      <c r="AG13" s="190" t="s">
        <v>89</v>
      </c>
      <c r="AH13" s="193" t="s">
        <v>88</v>
      </c>
      <c r="AI13" s="193" t="s">
        <v>89</v>
      </c>
      <c r="AJ13" s="193" t="s">
        <v>88</v>
      </c>
      <c r="AK13" s="194" t="s">
        <v>89</v>
      </c>
      <c r="AL13" s="192" t="s">
        <v>90</v>
      </c>
    </row>
    <row r="14" spans="1:38" ht="30.2" customHeight="1">
      <c r="H14" s="130" t="s">
        <v>91</v>
      </c>
      <c r="I14" s="135">
        <f>External!L185</f>
        <v>3</v>
      </c>
      <c r="J14" s="131">
        <v>1</v>
      </c>
      <c r="K14" s="132">
        <v>2</v>
      </c>
      <c r="L14" s="132">
        <v>2</v>
      </c>
      <c r="M14" s="132">
        <v>2</v>
      </c>
      <c r="N14" s="132">
        <v>3</v>
      </c>
      <c r="O14" s="132"/>
      <c r="P14" s="132"/>
      <c r="Q14" s="132"/>
      <c r="R14" s="132">
        <v>1</v>
      </c>
      <c r="S14" s="132"/>
      <c r="T14" s="132"/>
      <c r="U14" s="132"/>
      <c r="W14" s="110"/>
      <c r="X14" s="169"/>
      <c r="Y14" s="164" t="s">
        <v>92</v>
      </c>
      <c r="Z14" s="158">
        <f>IF(AND($E$5=$AC$7, $E$7=$AE$6),1,0)</f>
        <v>0</v>
      </c>
      <c r="AE14" s="170"/>
      <c r="AF14" s="189" t="s">
        <v>93</v>
      </c>
      <c r="AG14" s="190" t="s">
        <v>94</v>
      </c>
      <c r="AH14" s="193" t="s">
        <v>93</v>
      </c>
      <c r="AI14" s="193" t="s">
        <v>94</v>
      </c>
      <c r="AJ14" s="193" t="s">
        <v>93</v>
      </c>
      <c r="AK14" s="194" t="s">
        <v>94</v>
      </c>
      <c r="AL14" s="192" t="s">
        <v>95</v>
      </c>
    </row>
    <row r="15" spans="1:38" ht="24" customHeight="1">
      <c r="B15" s="211" t="s">
        <v>96</v>
      </c>
      <c r="C15" s="251" t="s">
        <v>97</v>
      </c>
      <c r="D15" s="251"/>
      <c r="E15" s="251"/>
      <c r="F15" s="251"/>
      <c r="H15" s="130" t="s">
        <v>98</v>
      </c>
      <c r="I15" s="135">
        <f>External!L186</f>
        <v>3</v>
      </c>
      <c r="J15" s="131">
        <v>1</v>
      </c>
      <c r="K15" s="132">
        <v>3</v>
      </c>
      <c r="L15" s="132">
        <v>2</v>
      </c>
      <c r="M15" s="132">
        <v>2</v>
      </c>
      <c r="N15" s="132">
        <v>3</v>
      </c>
      <c r="O15" s="132"/>
      <c r="P15" s="132"/>
      <c r="Q15" s="132"/>
      <c r="R15" s="132">
        <v>1</v>
      </c>
      <c r="S15" s="132"/>
      <c r="T15" s="132"/>
      <c r="U15" s="132"/>
      <c r="W15" s="110"/>
      <c r="X15" s="169"/>
      <c r="Y15" s="164" t="s">
        <v>99</v>
      </c>
      <c r="Z15" s="158">
        <f>IF(AND($E$5=$AC$7, $E$7=$AE$7),1,0)</f>
        <v>0</v>
      </c>
      <c r="AE15" s="170"/>
      <c r="AF15" s="189" t="s">
        <v>100</v>
      </c>
      <c r="AG15" s="190" t="s">
        <v>101</v>
      </c>
      <c r="AH15" s="193" t="s">
        <v>102</v>
      </c>
      <c r="AI15" s="193" t="s">
        <v>100</v>
      </c>
      <c r="AJ15" s="193" t="s">
        <v>102</v>
      </c>
      <c r="AK15" s="194" t="s">
        <v>100</v>
      </c>
      <c r="AL15" s="192" t="s">
        <v>103</v>
      </c>
    </row>
    <row r="16" spans="1:38" ht="24" customHeight="1">
      <c r="B16" s="125">
        <v>3</v>
      </c>
      <c r="C16" s="126">
        <v>60</v>
      </c>
      <c r="D16" s="252" t="s">
        <v>104</v>
      </c>
      <c r="E16" s="252"/>
      <c r="F16" s="127">
        <f>$E$13</f>
        <v>60</v>
      </c>
      <c r="H16" s="130" t="s">
        <v>105</v>
      </c>
      <c r="I16" s="135">
        <f>External!L187</f>
        <v>2.2999999999999998</v>
      </c>
      <c r="J16" s="131">
        <v>1</v>
      </c>
      <c r="K16" s="132">
        <v>2</v>
      </c>
      <c r="L16" s="132">
        <v>2</v>
      </c>
      <c r="M16" s="132">
        <v>2</v>
      </c>
      <c r="N16" s="132">
        <v>3</v>
      </c>
      <c r="O16" s="132"/>
      <c r="P16" s="132"/>
      <c r="Q16" s="132"/>
      <c r="R16" s="132">
        <v>1</v>
      </c>
      <c r="S16" s="132"/>
      <c r="T16" s="132"/>
      <c r="U16" s="132"/>
      <c r="W16" s="110"/>
      <c r="X16" s="169"/>
      <c r="Y16" s="164" t="s">
        <v>106</v>
      </c>
      <c r="Z16" s="158">
        <f>IF(AND($E$5=$AC$8, $E$7=$AE$6),1,0)</f>
        <v>0</v>
      </c>
      <c r="AC16" s="110"/>
      <c r="AE16" s="170"/>
      <c r="AF16" s="189" t="s">
        <v>102</v>
      </c>
      <c r="AG16" s="190" t="s">
        <v>107</v>
      </c>
      <c r="AH16" s="193" t="s">
        <v>108</v>
      </c>
      <c r="AI16" s="193" t="s">
        <v>109</v>
      </c>
      <c r="AJ16" s="193" t="s">
        <v>108</v>
      </c>
      <c r="AK16" s="194" t="s">
        <v>109</v>
      </c>
      <c r="AL16" s="192" t="s">
        <v>110</v>
      </c>
    </row>
    <row r="17" spans="2:38" ht="24" customHeight="1" thickBot="1">
      <c r="B17" s="125">
        <v>2</v>
      </c>
      <c r="C17" s="126">
        <v>59.9</v>
      </c>
      <c r="D17" s="252" t="s">
        <v>104</v>
      </c>
      <c r="E17" s="252"/>
      <c r="F17" s="127">
        <f t="shared" ref="F17:F20" si="0">$E$13</f>
        <v>60</v>
      </c>
      <c r="H17" s="130" t="s">
        <v>111</v>
      </c>
      <c r="I17" s="135">
        <f>External!L188</f>
        <v>3</v>
      </c>
      <c r="J17" s="131">
        <v>1</v>
      </c>
      <c r="K17" s="132">
        <v>2</v>
      </c>
      <c r="L17" s="132">
        <v>2</v>
      </c>
      <c r="M17" s="132">
        <v>2</v>
      </c>
      <c r="N17" s="132">
        <v>3</v>
      </c>
      <c r="O17" s="132"/>
      <c r="P17" s="132"/>
      <c r="Q17" s="132"/>
      <c r="R17" s="132">
        <v>1</v>
      </c>
      <c r="S17" s="132"/>
      <c r="T17" s="132"/>
      <c r="U17" s="132"/>
      <c r="W17" s="110"/>
      <c r="X17" s="171"/>
      <c r="Y17" s="172" t="s">
        <v>112</v>
      </c>
      <c r="Z17" s="173">
        <f>IF(AND($E$5=$AC$8,$E$7=$AE$7),1,0)</f>
        <v>1</v>
      </c>
      <c r="AA17" s="174"/>
      <c r="AB17" s="174"/>
      <c r="AC17" s="175"/>
      <c r="AD17" s="174"/>
      <c r="AE17" s="176"/>
      <c r="AF17" s="189" t="s">
        <v>113</v>
      </c>
      <c r="AG17" s="190" t="s">
        <v>114</v>
      </c>
      <c r="AH17" s="193" t="s">
        <v>115</v>
      </c>
      <c r="AI17" s="193" t="s">
        <v>116</v>
      </c>
      <c r="AJ17" s="193" t="s">
        <v>115</v>
      </c>
      <c r="AK17" s="194" t="s">
        <v>116</v>
      </c>
      <c r="AL17" s="192" t="s">
        <v>117</v>
      </c>
    </row>
    <row r="18" spans="2:38" ht="24" customHeight="1">
      <c r="B18" s="125">
        <v>2</v>
      </c>
      <c r="C18" s="126">
        <v>50</v>
      </c>
      <c r="D18" s="252" t="s">
        <v>104</v>
      </c>
      <c r="E18" s="252"/>
      <c r="F18" s="127">
        <f t="shared" si="0"/>
        <v>60</v>
      </c>
      <c r="H18" s="133"/>
      <c r="I18" s="227" t="str">
        <f>External!L189</f>
        <v/>
      </c>
      <c r="J18" s="134"/>
      <c r="K18" s="134"/>
      <c r="L18" s="134"/>
      <c r="M18" s="134"/>
      <c r="N18" s="134"/>
      <c r="O18" s="134"/>
      <c r="P18" s="134"/>
      <c r="Q18" s="132"/>
      <c r="R18" s="134"/>
      <c r="S18" s="134"/>
      <c r="T18" s="134"/>
      <c r="U18" s="134"/>
      <c r="AC18" s="110"/>
      <c r="AF18" s="190" t="s">
        <v>119</v>
      </c>
      <c r="AG18" s="190" t="s">
        <v>120</v>
      </c>
      <c r="AH18" s="195" t="s">
        <v>121</v>
      </c>
      <c r="AI18" s="195" t="s">
        <v>122</v>
      </c>
      <c r="AJ18" s="195" t="s">
        <v>121</v>
      </c>
      <c r="AK18" s="196" t="s">
        <v>122</v>
      </c>
      <c r="AL18" s="192" t="s">
        <v>123</v>
      </c>
    </row>
    <row r="19" spans="2:38" ht="31.9" customHeight="1">
      <c r="B19" s="125">
        <v>1</v>
      </c>
      <c r="C19" s="126">
        <v>49.9</v>
      </c>
      <c r="D19" s="253" t="s">
        <v>104</v>
      </c>
      <c r="E19" s="254"/>
      <c r="F19" s="127">
        <f t="shared" si="0"/>
        <v>60</v>
      </c>
      <c r="H19" s="265" t="str">
        <f>E10</f>
        <v>Web Programming &amp; Services</v>
      </c>
      <c r="I19" s="266"/>
      <c r="J19" s="228" t="str">
        <f>IFERROR(IF(SUM(J13:J18)&gt;0, (J13*$I$13+J14*$I$14+J15*$I$15+J16*$I$16+J17*$I$17+J18*$I$18)/SUM(J13:J18),""),"")</f>
        <v/>
      </c>
      <c r="K19" s="228" t="str">
        <f t="shared" ref="K19:T19" si="1">IFERROR(IF(SUM(K13:K18)&gt;0, (K13*$I$13+K14*$I$14+K15*$I$15+K16*$I$16+K17*$I$17+K18*$I$18)/SUM(K13:K18),""),"")</f>
        <v/>
      </c>
      <c r="L19" s="228" t="str">
        <f t="shared" si="1"/>
        <v/>
      </c>
      <c r="M19" s="228" t="str">
        <f t="shared" si="1"/>
        <v/>
      </c>
      <c r="N19" s="228" t="str">
        <f t="shared" si="1"/>
        <v/>
      </c>
      <c r="O19" s="228" t="str">
        <f t="shared" si="1"/>
        <v/>
      </c>
      <c r="P19" s="228" t="str">
        <f t="shared" si="1"/>
        <v/>
      </c>
      <c r="Q19" s="228" t="str">
        <f t="shared" si="1"/>
        <v/>
      </c>
      <c r="R19" s="228" t="str">
        <f t="shared" si="1"/>
        <v/>
      </c>
      <c r="S19" s="137" t="str">
        <f t="shared" si="1"/>
        <v/>
      </c>
      <c r="T19" s="137" t="str">
        <f t="shared" si="1"/>
        <v/>
      </c>
      <c r="U19" s="137" t="str">
        <f>IFERROR(IF(SUM(U13:U18)&gt;0, (U13*$I$13+U14*$I$14+U15*$I$15+U16*$I$16+U17*$I$17+U18*$I$18)/SUM(U13:U18),""),"")</f>
        <v/>
      </c>
      <c r="AF19" s="197" t="s">
        <v>121</v>
      </c>
      <c r="AG19" s="197" t="s">
        <v>122</v>
      </c>
      <c r="AH19" s="193" t="s">
        <v>124</v>
      </c>
      <c r="AI19" s="193" t="s">
        <v>125</v>
      </c>
      <c r="AJ19" s="193" t="s">
        <v>124</v>
      </c>
      <c r="AK19" s="194" t="s">
        <v>125</v>
      </c>
      <c r="AL19" s="192" t="s">
        <v>126</v>
      </c>
    </row>
    <row r="20" spans="2:38" ht="31.15" customHeight="1">
      <c r="B20" s="125">
        <v>1</v>
      </c>
      <c r="C20" s="126">
        <v>0</v>
      </c>
      <c r="D20" s="253" t="s">
        <v>104</v>
      </c>
      <c r="E20" s="254"/>
      <c r="F20" s="127">
        <f t="shared" si="0"/>
        <v>60</v>
      </c>
      <c r="AF20" s="198" t="s">
        <v>127</v>
      </c>
      <c r="AG20" s="198" t="s">
        <v>128</v>
      </c>
      <c r="AH20" s="193" t="s">
        <v>129</v>
      </c>
      <c r="AI20" s="193" t="s">
        <v>130</v>
      </c>
      <c r="AJ20" s="193" t="s">
        <v>129</v>
      </c>
      <c r="AK20" s="194" t="s">
        <v>130</v>
      </c>
      <c r="AL20" s="192" t="s">
        <v>131</v>
      </c>
    </row>
    <row r="21" spans="2:38" ht="30.2" customHeight="1">
      <c r="B21" s="270"/>
      <c r="C21" s="270"/>
      <c r="D21" s="270"/>
      <c r="H21" s="141" t="s">
        <v>132</v>
      </c>
      <c r="I21" s="141" t="s">
        <v>67</v>
      </c>
      <c r="J21" s="138" t="s">
        <v>133</v>
      </c>
      <c r="K21" s="138" t="s">
        <v>134</v>
      </c>
      <c r="L21" s="138" t="s">
        <v>135</v>
      </c>
      <c r="W21" s="110"/>
      <c r="AF21" s="198" t="s">
        <v>136</v>
      </c>
      <c r="AG21" s="198" t="s">
        <v>137</v>
      </c>
      <c r="AH21" s="193" t="s">
        <v>138</v>
      </c>
      <c r="AI21" s="193" t="s">
        <v>139</v>
      </c>
      <c r="AJ21" s="193" t="s">
        <v>138</v>
      </c>
      <c r="AK21" s="194" t="s">
        <v>139</v>
      </c>
      <c r="AL21" s="192" t="s">
        <v>140</v>
      </c>
    </row>
    <row r="22" spans="2:38" ht="30.2" customHeight="1">
      <c r="B22" s="249"/>
      <c r="C22" s="249"/>
      <c r="D22" s="249"/>
      <c r="H22" s="130" t="s">
        <v>86</v>
      </c>
      <c r="I22" s="135">
        <f>External!L184</f>
        <v>3</v>
      </c>
      <c r="J22" s="132">
        <v>2</v>
      </c>
      <c r="K22" s="132"/>
      <c r="L22" s="132"/>
      <c r="W22" s="110"/>
      <c r="AF22" s="198" t="s">
        <v>138</v>
      </c>
      <c r="AG22" s="190" t="s">
        <v>141</v>
      </c>
      <c r="AH22" s="193" t="s">
        <v>142</v>
      </c>
      <c r="AI22" s="193" t="s">
        <v>143</v>
      </c>
      <c r="AJ22" s="193" t="s">
        <v>142</v>
      </c>
      <c r="AK22" s="194" t="s">
        <v>143</v>
      </c>
      <c r="AL22" s="192" t="s">
        <v>144</v>
      </c>
    </row>
    <row r="23" spans="2:38" ht="30.2" customHeight="1">
      <c r="B23" s="249"/>
      <c r="C23" s="249"/>
      <c r="D23" s="249"/>
      <c r="H23" s="130" t="s">
        <v>91</v>
      </c>
      <c r="I23" s="135">
        <f>External!L185</f>
        <v>3</v>
      </c>
      <c r="J23" s="132">
        <v>3</v>
      </c>
      <c r="K23" s="132"/>
      <c r="L23" s="132"/>
      <c r="W23" s="110"/>
      <c r="AF23" s="198" t="s">
        <v>145</v>
      </c>
      <c r="AG23" s="198" t="s">
        <v>146</v>
      </c>
      <c r="AH23" s="193" t="s">
        <v>63</v>
      </c>
      <c r="AI23" s="193" t="s">
        <v>147</v>
      </c>
      <c r="AJ23" s="193" t="s">
        <v>63</v>
      </c>
      <c r="AK23" s="194" t="s">
        <v>147</v>
      </c>
      <c r="AL23" s="192" t="s">
        <v>148</v>
      </c>
    </row>
    <row r="24" spans="2:38" ht="30.2" customHeight="1">
      <c r="B24" s="210"/>
      <c r="C24" s="210"/>
      <c r="D24" s="210"/>
      <c r="H24" s="130" t="s">
        <v>98</v>
      </c>
      <c r="I24" s="135">
        <f>External!L186</f>
        <v>3</v>
      </c>
      <c r="J24" s="132">
        <v>3</v>
      </c>
      <c r="K24" s="132">
        <v>1</v>
      </c>
      <c r="L24" s="132"/>
      <c r="W24" s="110"/>
      <c r="AF24" s="198" t="s">
        <v>149</v>
      </c>
      <c r="AG24" s="190" t="s">
        <v>143</v>
      </c>
      <c r="AH24" s="193" t="s">
        <v>150</v>
      </c>
      <c r="AI24" s="193" t="s">
        <v>151</v>
      </c>
      <c r="AJ24" s="193" t="s">
        <v>150</v>
      </c>
      <c r="AK24" s="194" t="s">
        <v>151</v>
      </c>
      <c r="AL24" s="192" t="s">
        <v>152</v>
      </c>
    </row>
    <row r="25" spans="2:38" ht="30.2" customHeight="1">
      <c r="B25" s="210"/>
      <c r="C25" s="210"/>
      <c r="D25" s="210"/>
      <c r="H25" s="130" t="s">
        <v>105</v>
      </c>
      <c r="I25" s="135">
        <f>External!L187</f>
        <v>2.2999999999999998</v>
      </c>
      <c r="J25" s="132">
        <v>3</v>
      </c>
      <c r="K25" s="132">
        <v>1</v>
      </c>
      <c r="L25" s="132">
        <v>1</v>
      </c>
      <c r="W25" s="110"/>
      <c r="AF25" s="198" t="s">
        <v>153</v>
      </c>
      <c r="AG25" s="198" t="s">
        <v>154</v>
      </c>
      <c r="AH25" s="193" t="s">
        <v>155</v>
      </c>
      <c r="AI25" s="193" t="s">
        <v>156</v>
      </c>
      <c r="AJ25" s="193" t="s">
        <v>155</v>
      </c>
      <c r="AK25" s="194" t="s">
        <v>156</v>
      </c>
      <c r="AL25" s="192" t="s">
        <v>157</v>
      </c>
    </row>
    <row r="26" spans="2:38" ht="30.2" customHeight="1">
      <c r="B26" s="249"/>
      <c r="C26" s="249"/>
      <c r="D26" s="249"/>
      <c r="H26" s="130" t="s">
        <v>111</v>
      </c>
      <c r="I26" s="135">
        <f>External!L188</f>
        <v>3</v>
      </c>
      <c r="J26" s="132">
        <v>3</v>
      </c>
      <c r="K26" s="132">
        <v>1</v>
      </c>
      <c r="L26" s="132">
        <v>1</v>
      </c>
      <c r="AF26" s="198" t="s">
        <v>158</v>
      </c>
      <c r="AG26" s="198" t="s">
        <v>159</v>
      </c>
      <c r="AH26" s="193" t="s">
        <v>160</v>
      </c>
      <c r="AI26" s="193" t="s">
        <v>161</v>
      </c>
      <c r="AJ26" s="193" t="s">
        <v>160</v>
      </c>
      <c r="AK26" s="194" t="s">
        <v>161</v>
      </c>
      <c r="AL26" s="192" t="s">
        <v>162</v>
      </c>
    </row>
    <row r="27" spans="2:38" ht="30.2" customHeight="1">
      <c r="B27" s="249"/>
      <c r="C27" s="249"/>
      <c r="D27" s="249"/>
      <c r="E27" s="116"/>
      <c r="H27" s="133" t="s">
        <v>118</v>
      </c>
      <c r="I27" s="135" t="str">
        <f>External!L189</f>
        <v/>
      </c>
      <c r="J27" s="136"/>
      <c r="K27" s="136"/>
      <c r="L27" s="136"/>
      <c r="AF27" s="198" t="s">
        <v>163</v>
      </c>
      <c r="AG27" s="198" t="s">
        <v>164</v>
      </c>
      <c r="AH27" s="193" t="s">
        <v>165</v>
      </c>
      <c r="AI27" s="193" t="s">
        <v>166</v>
      </c>
      <c r="AJ27" s="193" t="s">
        <v>165</v>
      </c>
      <c r="AK27" s="194" t="s">
        <v>166</v>
      </c>
      <c r="AL27" s="192" t="s">
        <v>167</v>
      </c>
    </row>
    <row r="28" spans="2:38" ht="31.9" customHeight="1">
      <c r="B28" s="210"/>
      <c r="C28" s="210"/>
      <c r="D28" s="210"/>
      <c r="H28" s="262" t="str">
        <f>E10</f>
        <v>Web Programming &amp; Services</v>
      </c>
      <c r="I28" s="263"/>
      <c r="J28" s="137" t="str">
        <f>IFERROR(IF(SUM(J22:J27)&gt;0,(J22*$I$22+J23*$I$23+J24*$I$24+J25*$I$25+J26*$I$26+J27*$I$27)/SUM(J22:J27),""),"")</f>
        <v/>
      </c>
      <c r="K28" s="137" t="str">
        <f t="shared" ref="K28:L28" si="2">IFERROR(IF(SUM(K22:K27)&gt;0,(K22*$I$22+K23*$I$23+K24*$I$24+K25*$I$25+K26*$I$26+K27*$I$27)/SUM(K22:K27),""),"")</f>
        <v/>
      </c>
      <c r="L28" s="137" t="str">
        <f t="shared" si="2"/>
        <v/>
      </c>
      <c r="AF28" s="198" t="s">
        <v>168</v>
      </c>
      <c r="AG28" s="190" t="s">
        <v>169</v>
      </c>
      <c r="AH28" s="193" t="s">
        <v>170</v>
      </c>
      <c r="AI28" s="193" t="s">
        <v>171</v>
      </c>
      <c r="AJ28" s="193" t="s">
        <v>170</v>
      </c>
      <c r="AK28" s="194" t="s">
        <v>171</v>
      </c>
      <c r="AL28" s="192"/>
    </row>
    <row r="29" spans="2:38" ht="15" customHeight="1">
      <c r="B29" s="210"/>
      <c r="C29" s="210"/>
      <c r="D29" s="210"/>
      <c r="E29" s="117"/>
      <c r="AF29" s="198" t="s">
        <v>172</v>
      </c>
      <c r="AG29" s="197" t="s">
        <v>173</v>
      </c>
      <c r="AH29" s="193" t="s">
        <v>174</v>
      </c>
      <c r="AI29" s="193" t="s">
        <v>175</v>
      </c>
      <c r="AJ29" s="193" t="s">
        <v>174</v>
      </c>
      <c r="AK29" s="194" t="s">
        <v>175</v>
      </c>
      <c r="AL29" s="192"/>
    </row>
    <row r="30" spans="2:38" ht="15" customHeight="1">
      <c r="B30" s="210"/>
      <c r="C30" s="210"/>
      <c r="D30" s="210"/>
      <c r="AF30" s="197" t="s">
        <v>176</v>
      </c>
      <c r="AG30" s="198" t="s">
        <v>49</v>
      </c>
      <c r="AH30" s="193" t="s">
        <v>109</v>
      </c>
      <c r="AI30" s="195" t="s">
        <v>173</v>
      </c>
      <c r="AJ30" s="193" t="s">
        <v>109</v>
      </c>
      <c r="AK30" s="196" t="s">
        <v>173</v>
      </c>
      <c r="AL30" s="192"/>
    </row>
    <row r="31" spans="2:38" ht="15" customHeight="1">
      <c r="B31" s="210"/>
      <c r="C31" s="210"/>
      <c r="D31" s="210"/>
      <c r="AF31" s="190" t="s">
        <v>177</v>
      </c>
      <c r="AG31" s="198" t="s">
        <v>178</v>
      </c>
      <c r="AH31" s="195" t="s">
        <v>176</v>
      </c>
      <c r="AI31" s="199" t="s">
        <v>49</v>
      </c>
      <c r="AJ31" s="195" t="s">
        <v>176</v>
      </c>
      <c r="AK31" s="200" t="s">
        <v>49</v>
      </c>
      <c r="AL31" s="192"/>
    </row>
    <row r="32" spans="2:38" ht="15" customHeight="1">
      <c r="B32" s="210"/>
      <c r="C32" s="210"/>
      <c r="D32" s="210"/>
      <c r="AF32" s="190" t="s">
        <v>179</v>
      </c>
      <c r="AG32" s="201" t="s">
        <v>180</v>
      </c>
      <c r="AH32" s="193" t="s">
        <v>181</v>
      </c>
      <c r="AI32" s="199" t="s">
        <v>182</v>
      </c>
      <c r="AJ32" s="193" t="s">
        <v>181</v>
      </c>
      <c r="AK32" s="200" t="s">
        <v>182</v>
      </c>
      <c r="AL32" s="192"/>
    </row>
    <row r="33" spans="2:38" ht="15" customHeight="1">
      <c r="B33" s="210"/>
      <c r="AF33" s="190" t="s">
        <v>183</v>
      </c>
      <c r="AG33" s="198" t="s">
        <v>184</v>
      </c>
      <c r="AH33" s="193" t="s">
        <v>139</v>
      </c>
      <c r="AI33" s="199" t="s">
        <v>180</v>
      </c>
      <c r="AJ33" s="193" t="s">
        <v>139</v>
      </c>
      <c r="AK33" s="200" t="s">
        <v>180</v>
      </c>
      <c r="AL33" s="192"/>
    </row>
    <row r="34" spans="2:38" ht="15" customHeight="1">
      <c r="AF34" s="190" t="s">
        <v>185</v>
      </c>
      <c r="AG34" s="198" t="s">
        <v>186</v>
      </c>
      <c r="AH34" s="193" t="s">
        <v>187</v>
      </c>
      <c r="AI34" s="199" t="s">
        <v>184</v>
      </c>
      <c r="AJ34" s="193" t="s">
        <v>187</v>
      </c>
      <c r="AK34" s="200" t="s">
        <v>184</v>
      </c>
      <c r="AL34" s="192"/>
    </row>
    <row r="35" spans="2:38" ht="15" customHeight="1">
      <c r="AF35" s="190" t="s">
        <v>188</v>
      </c>
      <c r="AG35" s="198" t="s">
        <v>189</v>
      </c>
      <c r="AH35" s="193" t="s">
        <v>190</v>
      </c>
      <c r="AI35" s="199" t="s">
        <v>191</v>
      </c>
      <c r="AJ35" s="193" t="s">
        <v>190</v>
      </c>
      <c r="AK35" s="200" t="s">
        <v>191</v>
      </c>
      <c r="AL35" s="192"/>
    </row>
    <row r="36" spans="2:38" ht="15" customHeight="1">
      <c r="AF36" s="190" t="s">
        <v>192</v>
      </c>
      <c r="AG36" s="198" t="s">
        <v>193</v>
      </c>
      <c r="AH36" s="193" t="s">
        <v>194</v>
      </c>
      <c r="AI36" s="199" t="s">
        <v>189</v>
      </c>
      <c r="AJ36" s="193" t="s">
        <v>194</v>
      </c>
      <c r="AK36" s="200" t="s">
        <v>189</v>
      </c>
      <c r="AL36" s="192"/>
    </row>
    <row r="37" spans="2:38" ht="15" customHeight="1">
      <c r="AF37" s="190" t="s">
        <v>195</v>
      </c>
      <c r="AG37" s="201" t="s">
        <v>196</v>
      </c>
      <c r="AH37" s="193" t="s">
        <v>192</v>
      </c>
      <c r="AI37" s="199" t="s">
        <v>193</v>
      </c>
      <c r="AJ37" s="193" t="s">
        <v>192</v>
      </c>
      <c r="AK37" s="200" t="s">
        <v>193</v>
      </c>
      <c r="AL37" s="192"/>
    </row>
    <row r="38" spans="2:38" ht="15" customHeight="1">
      <c r="AF38" s="190" t="s">
        <v>197</v>
      </c>
      <c r="AG38" s="198" t="s">
        <v>198</v>
      </c>
      <c r="AH38" s="193" t="s">
        <v>195</v>
      </c>
      <c r="AI38" s="199" t="s">
        <v>199</v>
      </c>
      <c r="AJ38" s="193" t="s">
        <v>195</v>
      </c>
      <c r="AK38" s="200" t="s">
        <v>199</v>
      </c>
      <c r="AL38" s="192"/>
    </row>
    <row r="39" spans="2:38" ht="15" customHeight="1">
      <c r="AF39" s="190" t="s">
        <v>200</v>
      </c>
      <c r="AG39" s="198" t="s">
        <v>201</v>
      </c>
      <c r="AH39" s="193" t="s">
        <v>202</v>
      </c>
      <c r="AI39" s="199" t="s">
        <v>198</v>
      </c>
      <c r="AJ39" s="193" t="s">
        <v>202</v>
      </c>
      <c r="AK39" s="200" t="s">
        <v>198</v>
      </c>
      <c r="AL39" s="192"/>
    </row>
    <row r="40" spans="2:38" ht="15" customHeight="1">
      <c r="AF40" s="190" t="s">
        <v>203</v>
      </c>
      <c r="AG40" s="198" t="s">
        <v>204</v>
      </c>
      <c r="AH40" s="193" t="s">
        <v>205</v>
      </c>
      <c r="AI40" s="199" t="s">
        <v>201</v>
      </c>
      <c r="AJ40" s="193" t="s">
        <v>205</v>
      </c>
      <c r="AK40" s="200" t="s">
        <v>201</v>
      </c>
      <c r="AL40" s="192"/>
    </row>
    <row r="41" spans="2:38" ht="15" customHeight="1">
      <c r="AF41" s="190" t="s">
        <v>206</v>
      </c>
      <c r="AG41" s="202" t="s">
        <v>207</v>
      </c>
      <c r="AH41" s="193" t="s">
        <v>208</v>
      </c>
      <c r="AI41" s="199" t="s">
        <v>209</v>
      </c>
      <c r="AJ41" s="193" t="s">
        <v>208</v>
      </c>
      <c r="AK41" s="200" t="s">
        <v>209</v>
      </c>
      <c r="AL41" s="192"/>
    </row>
    <row r="42" spans="2:38" ht="15" customHeight="1">
      <c r="AF42" s="190" t="s">
        <v>209</v>
      </c>
      <c r="AG42" s="203" t="s">
        <v>210</v>
      </c>
      <c r="AH42" s="193" t="s">
        <v>206</v>
      </c>
      <c r="AI42" s="204" t="s">
        <v>207</v>
      </c>
      <c r="AJ42" s="193" t="s">
        <v>206</v>
      </c>
      <c r="AK42" s="204" t="s">
        <v>207</v>
      </c>
      <c r="AL42" s="192"/>
    </row>
    <row r="43" spans="2:38" ht="15" customHeight="1">
      <c r="AF43" s="202" t="s">
        <v>211</v>
      </c>
      <c r="AG43" s="198" t="s">
        <v>212</v>
      </c>
      <c r="AH43" s="193" t="s">
        <v>209</v>
      </c>
      <c r="AI43" s="205" t="s">
        <v>213</v>
      </c>
      <c r="AJ43" s="193" t="s">
        <v>209</v>
      </c>
      <c r="AK43" s="206" t="s">
        <v>213</v>
      </c>
      <c r="AL43" s="192"/>
    </row>
    <row r="44" spans="2:38" ht="15" customHeight="1">
      <c r="AF44" s="198" t="s">
        <v>214</v>
      </c>
      <c r="AG44" s="198" t="s">
        <v>215</v>
      </c>
      <c r="AH44" s="195" t="s">
        <v>216</v>
      </c>
      <c r="AI44" s="205" t="s">
        <v>217</v>
      </c>
      <c r="AJ44" s="195" t="s">
        <v>216</v>
      </c>
      <c r="AK44" s="206" t="s">
        <v>217</v>
      </c>
      <c r="AL44" s="192"/>
    </row>
    <row r="45" spans="2:38" ht="15" customHeight="1">
      <c r="AF45" s="198" t="s">
        <v>218</v>
      </c>
      <c r="AG45" s="198" t="s">
        <v>219</v>
      </c>
      <c r="AH45" s="205" t="s">
        <v>214</v>
      </c>
      <c r="AI45" s="205" t="s">
        <v>220</v>
      </c>
      <c r="AJ45" s="205" t="s">
        <v>214</v>
      </c>
      <c r="AK45" s="206" t="s">
        <v>220</v>
      </c>
      <c r="AL45" s="192"/>
    </row>
    <row r="46" spans="2:38" ht="15" customHeight="1">
      <c r="AF46" s="198" t="s">
        <v>221</v>
      </c>
      <c r="AG46" s="198" t="s">
        <v>222</v>
      </c>
      <c r="AH46" s="205" t="s">
        <v>218</v>
      </c>
      <c r="AI46" s="207"/>
      <c r="AJ46" s="205" t="s">
        <v>218</v>
      </c>
      <c r="AK46" s="207"/>
      <c r="AL46" s="192"/>
    </row>
    <row r="47" spans="2:38" ht="15" customHeight="1">
      <c r="AF47" s="198" t="s">
        <v>223</v>
      </c>
      <c r="AG47" s="198" t="s">
        <v>224</v>
      </c>
      <c r="AH47" s="205" t="s">
        <v>223</v>
      </c>
      <c r="AI47" s="207"/>
      <c r="AJ47" s="205" t="s">
        <v>223</v>
      </c>
      <c r="AK47" s="207"/>
      <c r="AL47" s="192"/>
    </row>
    <row r="48" spans="2:38" ht="15" customHeight="1">
      <c r="AF48" s="198" t="s">
        <v>225</v>
      </c>
      <c r="AG48" s="208"/>
      <c r="AH48" s="205" t="s">
        <v>221</v>
      </c>
      <c r="AI48" s="207"/>
      <c r="AJ48" s="205" t="s">
        <v>221</v>
      </c>
      <c r="AK48" s="207"/>
      <c r="AL48" s="192"/>
    </row>
    <row r="49" spans="32:38" ht="15" customHeight="1">
      <c r="AF49" s="198" t="s">
        <v>226</v>
      </c>
      <c r="AG49" s="208"/>
      <c r="AH49" s="205" t="s">
        <v>210</v>
      </c>
      <c r="AI49" s="207"/>
      <c r="AJ49" s="205" t="s">
        <v>210</v>
      </c>
      <c r="AK49" s="207"/>
      <c r="AL49" s="192"/>
    </row>
    <row r="50" spans="32:38" ht="15" customHeight="1">
      <c r="AF50" s="198" t="s">
        <v>227</v>
      </c>
      <c r="AG50" s="208"/>
      <c r="AH50" s="205" t="s">
        <v>228</v>
      </c>
      <c r="AI50" s="207"/>
      <c r="AJ50" s="205" t="s">
        <v>228</v>
      </c>
      <c r="AK50" s="207"/>
      <c r="AL50" s="192"/>
    </row>
    <row r="51" spans="32:38" ht="15" customHeight="1">
      <c r="AF51" s="198" t="s">
        <v>229</v>
      </c>
      <c r="AG51" s="208"/>
      <c r="AH51" s="205" t="s">
        <v>230</v>
      </c>
      <c r="AI51" s="207"/>
      <c r="AJ51" s="205" t="s">
        <v>230</v>
      </c>
      <c r="AK51" s="207"/>
      <c r="AL51" s="192"/>
    </row>
    <row r="52" spans="32:38" ht="15" customHeight="1">
      <c r="AF52" s="208"/>
      <c r="AG52" s="208"/>
      <c r="AH52" s="205" t="s">
        <v>227</v>
      </c>
      <c r="AI52" s="207"/>
      <c r="AJ52" s="205" t="s">
        <v>227</v>
      </c>
      <c r="AK52" s="207"/>
      <c r="AL52" s="192"/>
    </row>
    <row r="53" spans="32:38" ht="15" customHeight="1">
      <c r="AF53" s="208"/>
      <c r="AG53" s="208"/>
      <c r="AH53" s="205" t="s">
        <v>219</v>
      </c>
      <c r="AI53" s="207"/>
      <c r="AJ53" s="205" t="s">
        <v>219</v>
      </c>
      <c r="AK53" s="207"/>
      <c r="AL53" s="192"/>
    </row>
    <row r="54" spans="32:38" ht="15" customHeight="1">
      <c r="AF54" s="208"/>
      <c r="AG54" s="208"/>
      <c r="AH54" s="205" t="s">
        <v>229</v>
      </c>
      <c r="AI54" s="207"/>
      <c r="AJ54" s="205" t="s">
        <v>229</v>
      </c>
      <c r="AK54" s="207"/>
      <c r="AL54" s="192"/>
    </row>
    <row r="55" spans="32:38" ht="15" customHeight="1">
      <c r="AF55" s="208"/>
      <c r="AG55" s="208"/>
      <c r="AH55" s="208"/>
      <c r="AI55" s="207"/>
      <c r="AJ55" s="208"/>
      <c r="AK55" s="208"/>
      <c r="AL55" s="192"/>
    </row>
    <row r="56" spans="32:38" ht="15" customHeight="1">
      <c r="AF56" s="208"/>
      <c r="AG56" s="208"/>
      <c r="AH56" s="208"/>
      <c r="AI56" s="207"/>
      <c r="AJ56" s="208"/>
      <c r="AK56" s="208"/>
      <c r="AL56" s="192"/>
    </row>
    <row r="57" spans="32:38" ht="15" customHeight="1">
      <c r="AF57" s="208"/>
      <c r="AG57" s="208"/>
      <c r="AH57" s="208"/>
      <c r="AI57" s="207"/>
      <c r="AJ57" s="208"/>
      <c r="AK57" s="208"/>
      <c r="AL57" s="192"/>
    </row>
    <row r="58" spans="32:38" ht="15" customHeight="1">
      <c r="AF58" s="208"/>
      <c r="AG58" s="208"/>
      <c r="AH58" s="208"/>
      <c r="AI58" s="207"/>
      <c r="AJ58" s="208"/>
      <c r="AK58" s="208"/>
      <c r="AL58" s="192"/>
    </row>
    <row r="59" spans="32:38" ht="15" customHeight="1">
      <c r="AF59" s="208"/>
      <c r="AG59" s="208"/>
      <c r="AH59" s="208"/>
      <c r="AI59" s="207"/>
      <c r="AJ59" s="208"/>
      <c r="AK59" s="208"/>
      <c r="AL59" s="192"/>
    </row>
    <row r="60" spans="32:38" ht="15" customHeight="1">
      <c r="AF60" s="208"/>
      <c r="AG60" s="208"/>
      <c r="AH60" s="208"/>
      <c r="AI60" s="207"/>
      <c r="AJ60" s="208"/>
      <c r="AK60" s="208"/>
      <c r="AL60" s="192"/>
    </row>
    <row r="61" spans="32:38" ht="15" customHeight="1" thickBot="1">
      <c r="AF61" s="208"/>
      <c r="AG61" s="208"/>
      <c r="AH61" s="208"/>
      <c r="AI61" s="207"/>
      <c r="AJ61" s="208"/>
      <c r="AK61" s="208"/>
      <c r="AL61" s="209"/>
    </row>
  </sheetData>
  <sheetProtection selectLockedCells="1"/>
  <dataConsolidate/>
  <mergeCells count="35">
    <mergeCell ref="AF3:AK3"/>
    <mergeCell ref="H28:I28"/>
    <mergeCell ref="A1:V1"/>
    <mergeCell ref="H19:I19"/>
    <mergeCell ref="H5:V5"/>
    <mergeCell ref="B27:D27"/>
    <mergeCell ref="B21:D21"/>
    <mergeCell ref="B22:D22"/>
    <mergeCell ref="B23:D23"/>
    <mergeCell ref="A2:U2"/>
    <mergeCell ref="A3:U3"/>
    <mergeCell ref="D19:E19"/>
    <mergeCell ref="B4:D4"/>
    <mergeCell ref="D18:E18"/>
    <mergeCell ref="B11:D11"/>
    <mergeCell ref="I11:V11"/>
    <mergeCell ref="I10:W10"/>
    <mergeCell ref="X4:AE4"/>
    <mergeCell ref="I6:W6"/>
    <mergeCell ref="I7:W7"/>
    <mergeCell ref="I8:W8"/>
    <mergeCell ref="I9:W9"/>
    <mergeCell ref="B26:D26"/>
    <mergeCell ref="B12:D12"/>
    <mergeCell ref="B13:D13"/>
    <mergeCell ref="B5:D5"/>
    <mergeCell ref="B6:D6"/>
    <mergeCell ref="B7:D7"/>
    <mergeCell ref="B8:D8"/>
    <mergeCell ref="B9:D9"/>
    <mergeCell ref="B10:D10"/>
    <mergeCell ref="C15:F15"/>
    <mergeCell ref="D16:E16"/>
    <mergeCell ref="D17:E17"/>
    <mergeCell ref="D20:E20"/>
  </mergeCells>
  <conditionalFormatting sqref="J22:L26 J13:U17">
    <cfRule type="cellIs" dxfId="12274" priority="7" operator="notBetween">
      <formula>0</formula>
      <formula>3</formula>
    </cfRule>
  </conditionalFormatting>
  <conditionalFormatting sqref="Q18">
    <cfRule type="cellIs" dxfId="12273" priority="1" operator="notBetween">
      <formula>0</formula>
      <formula>3</formula>
    </cfRule>
  </conditionalFormatting>
  <dataValidations disablePrompts="1" count="6">
    <dataValidation type="list" allowBlank="1" showInputMessage="1" showErrorMessage="1" sqref="E5">
      <formula1>$AC$6:$AC$9</formula1>
    </dataValidation>
    <dataValidation type="list" allowBlank="1" showInputMessage="1" showErrorMessage="1" sqref="E6">
      <formula1>$AD$6:$AD$9</formula1>
    </dataValidation>
    <dataValidation type="list" allowBlank="1" showInputMessage="1" showErrorMessage="1" sqref="E7">
      <formula1>$AE$6:$AE$7</formula1>
    </dataValidation>
    <dataValidation type="list" allowBlank="1" showInputMessage="1" showErrorMessage="1" sqref="E4">
      <formula1>$AB$6:$AB$15</formula1>
    </dataValidation>
    <dataValidation type="list" showInputMessage="1" showErrorMessage="1" sqref="E10">
      <formula1>IF($Z$12=1,$AF$6:$AF$60,IF($Z$13=1,$AG$6:$AG$60,IF($Z$14=1,$AH$6:$AH$60,IF($Z$15=1,$AI$6:$AI$60,IF($Z$16=1,$AJ$6:$AJ$60,$AK$6:$AK$60)))))</formula1>
    </dataValidation>
    <dataValidation type="list" allowBlank="1" showInputMessage="1" showErrorMessage="1" sqref="E11:E12">
      <formula1>$AL$6:$AL$55</formula1>
    </dataValidation>
  </dataValidations>
  <pageMargins left="0.70866141732283472" right="0.70866141732283472" top="0.74803149606299213" bottom="0.74803149606299213" header="0.31496062992125984" footer="0.31496062992125984"/>
  <pageSetup paperSize="9" scale="4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E198"/>
  <sheetViews>
    <sheetView topLeftCell="B1" zoomScale="90" zoomScaleNormal="90" zoomScaleSheetLayoutView="65" workbookViewId="0">
      <pane ySplit="19" topLeftCell="A170" activePane="bottomLeft" state="frozen"/>
      <selection activeCell="AF6" sqref="AF6"/>
      <selection pane="bottomLeft" activeCell="N173" activeCellId="2" sqref="D173:F173 J173:K173 N173"/>
    </sheetView>
  </sheetViews>
  <sheetFormatPr defaultColWidth="0" defaultRowHeight="15" zeroHeight="1"/>
  <cols>
    <col min="1" max="1" width="5.7109375" style="8" hidden="1" customWidth="1"/>
    <col min="2" max="2" width="11.7109375" style="8" customWidth="1"/>
    <col min="3" max="3" width="23.28515625" style="8" customWidth="1"/>
    <col min="4" max="4" width="9.7109375" style="8" customWidth="1"/>
    <col min="5" max="5" width="10.140625" style="8" customWidth="1"/>
    <col min="6" max="6" width="7.7109375" style="8" customWidth="1"/>
    <col min="7" max="7" width="9.140625" style="8" customWidth="1"/>
    <col min="8" max="8" width="7.7109375" style="8" customWidth="1"/>
    <col min="9" max="10" width="9.140625" style="8" customWidth="1"/>
    <col min="11" max="11" width="10.7109375" style="8" customWidth="1"/>
    <col min="12" max="12" width="8.85546875" style="8" customWidth="1"/>
    <col min="13" max="13" width="10.7109375" style="8" customWidth="1"/>
    <col min="14" max="16" width="9.140625" style="8" customWidth="1"/>
    <col min="17" max="31" width="0" style="8" hidden="1" customWidth="1"/>
    <col min="32" max="16384" width="9.140625" style="8" hidden="1"/>
  </cols>
  <sheetData>
    <row r="1" spans="2:24" s="24" customFormat="1" ht="15" hidden="1" customHeight="1">
      <c r="B1" s="282" t="s">
        <v>0</v>
      </c>
      <c r="C1" s="282"/>
      <c r="D1" s="282"/>
      <c r="E1" s="282"/>
      <c r="F1" s="282"/>
      <c r="G1" s="282"/>
      <c r="H1" s="282"/>
      <c r="I1" s="282"/>
      <c r="J1" s="282"/>
      <c r="K1" s="282"/>
      <c r="L1" s="282"/>
      <c r="M1" s="282"/>
      <c r="N1" s="282"/>
      <c r="O1" s="282"/>
      <c r="P1" s="282"/>
      <c r="Q1" s="222"/>
    </row>
    <row r="2" spans="2:24" s="24" customFormat="1" ht="15" hidden="1" customHeight="1">
      <c r="B2" s="282" t="str">
        <f>INPUT!E4</f>
        <v>Department of Computer Science &amp; Engineering</v>
      </c>
      <c r="C2" s="282"/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2"/>
      <c r="Q2" s="222"/>
    </row>
    <row r="3" spans="2:24" s="24" customFormat="1" ht="15" hidden="1" customHeight="1">
      <c r="B3" s="101" t="s">
        <v>231</v>
      </c>
      <c r="C3" s="102" t="str">
        <f>INPUT!E5</f>
        <v>2018-19</v>
      </c>
      <c r="D3" s="35"/>
      <c r="E3" s="35"/>
      <c r="F3" s="222"/>
      <c r="G3" s="48" t="s">
        <v>232</v>
      </c>
      <c r="H3" s="103" t="str">
        <f>INPUT!E6</f>
        <v>3/4</v>
      </c>
      <c r="I3" s="36"/>
      <c r="J3" s="222"/>
      <c r="K3" s="222"/>
      <c r="L3" s="98" t="s">
        <v>233</v>
      </c>
      <c r="M3" s="104" t="str">
        <f>INPUT!E7</f>
        <v>II</v>
      </c>
      <c r="N3" s="222"/>
      <c r="O3" s="222"/>
      <c r="P3" s="222"/>
      <c r="Q3" s="222"/>
    </row>
    <row r="4" spans="2:24" s="24" customFormat="1" ht="22.7" hidden="1" customHeight="1">
      <c r="B4" s="296" t="s">
        <v>234</v>
      </c>
      <c r="C4" s="296"/>
      <c r="D4" s="296"/>
      <c r="E4" s="103">
        <f>INPUT!E8</f>
        <v>73</v>
      </c>
      <c r="F4" s="8"/>
      <c r="G4" s="35"/>
      <c r="H4" s="36"/>
      <c r="I4" s="8"/>
      <c r="J4" s="8"/>
      <c r="L4" s="295" t="str">
        <f>INPUT!B11</f>
        <v>Name of the Faculty (A)</v>
      </c>
      <c r="M4" s="295"/>
      <c r="N4" s="294" t="str">
        <f>INPUT!E11</f>
        <v>S. Vinay Kumar</v>
      </c>
      <c r="O4" s="294"/>
      <c r="P4" s="294"/>
      <c r="Q4" s="34"/>
    </row>
    <row r="5" spans="2:24" s="24" customFormat="1" ht="21.2" hidden="1" customHeight="1">
      <c r="B5" s="296" t="s">
        <v>235</v>
      </c>
      <c r="C5" s="296"/>
      <c r="D5" s="296"/>
      <c r="E5" s="103">
        <f>INPUT!E9</f>
        <v>0</v>
      </c>
      <c r="F5" s="55" t="s">
        <v>236</v>
      </c>
      <c r="G5" s="297" t="str">
        <f>INPUT!E10</f>
        <v>Web Programming &amp; Services</v>
      </c>
      <c r="H5" s="297"/>
      <c r="I5" s="297"/>
      <c r="J5" s="297"/>
      <c r="K5" s="298"/>
      <c r="L5" s="295" t="str">
        <f>INPUT!B12</f>
        <v>Name of the Faculty (B)</v>
      </c>
      <c r="M5" s="295"/>
      <c r="N5" s="294" t="str">
        <f>INPUT!E12</f>
        <v>M.S.V.Sashi Kumar</v>
      </c>
      <c r="O5" s="294"/>
      <c r="P5" s="294"/>
      <c r="Q5" s="223"/>
    </row>
    <row r="6" spans="2:24" s="24" customFormat="1" ht="21.2" hidden="1" customHeight="1">
      <c r="B6" s="299" t="s">
        <v>85</v>
      </c>
      <c r="C6" s="300"/>
      <c r="D6" s="301"/>
      <c r="E6" s="103">
        <f>INPUT!E13</f>
        <v>60</v>
      </c>
      <c r="F6" s="70"/>
      <c r="G6" s="83"/>
      <c r="H6" s="83"/>
      <c r="I6" s="83"/>
      <c r="J6" s="83"/>
      <c r="K6" s="83"/>
      <c r="N6" s="105"/>
      <c r="O6" s="105"/>
      <c r="P6" s="223"/>
      <c r="Q6" s="223"/>
    </row>
    <row r="7" spans="2:24" s="24" customFormat="1" ht="12.6" hidden="1" customHeight="1">
      <c r="B7" s="72"/>
      <c r="C7" s="72"/>
      <c r="D7" s="69"/>
      <c r="E7" s="213"/>
      <c r="F7" s="70"/>
      <c r="G7" s="83"/>
      <c r="H7" s="83"/>
      <c r="I7" s="83"/>
      <c r="J7" s="83"/>
      <c r="K7" s="83"/>
      <c r="L7" s="71"/>
      <c r="M7" s="71"/>
      <c r="N7" s="105"/>
      <c r="O7" s="105"/>
      <c r="P7" s="223"/>
      <c r="Q7" s="223"/>
    </row>
    <row r="8" spans="2:24" s="24" customFormat="1" ht="15.6" hidden="1" customHeight="1">
      <c r="B8" s="69"/>
      <c r="D8" s="211" t="s">
        <v>96</v>
      </c>
      <c r="E8" s="251" t="s">
        <v>97</v>
      </c>
      <c r="F8" s="251"/>
      <c r="G8" s="251"/>
      <c r="H8" s="251"/>
      <c r="I8" s="251"/>
      <c r="J8" s="83"/>
      <c r="K8" s="83"/>
      <c r="L8" s="71"/>
      <c r="M8" s="71"/>
      <c r="N8" s="105"/>
      <c r="O8" s="105"/>
      <c r="P8" s="223"/>
      <c r="Q8" s="223"/>
    </row>
    <row r="9" spans="2:24" s="24" customFormat="1" ht="15.6" hidden="1" customHeight="1">
      <c r="B9" s="69"/>
      <c r="D9" s="221">
        <f>INPUT!B16</f>
        <v>3</v>
      </c>
      <c r="E9" s="216">
        <f>INPUT!C16</f>
        <v>60</v>
      </c>
      <c r="F9" s="302" t="s">
        <v>104</v>
      </c>
      <c r="G9" s="302"/>
      <c r="H9" s="302"/>
      <c r="I9" s="73">
        <f>E6</f>
        <v>60</v>
      </c>
      <c r="J9" s="83"/>
      <c r="M9" s="71"/>
      <c r="N9" s="105"/>
      <c r="O9" s="105"/>
      <c r="P9" s="223"/>
      <c r="Q9" s="223"/>
    </row>
    <row r="10" spans="2:24" s="24" customFormat="1" ht="15.6" hidden="1" customHeight="1">
      <c r="B10" s="69"/>
      <c r="D10" s="221">
        <f>INPUT!B17</f>
        <v>2</v>
      </c>
      <c r="E10" s="216">
        <f>INPUT!C17</f>
        <v>59.9</v>
      </c>
      <c r="F10" s="302" t="s">
        <v>104</v>
      </c>
      <c r="G10" s="302"/>
      <c r="H10" s="302"/>
      <c r="I10" s="73">
        <f>E6</f>
        <v>60</v>
      </c>
      <c r="J10" s="83"/>
      <c r="M10" s="71"/>
      <c r="N10" s="105"/>
      <c r="O10" s="105"/>
      <c r="P10" s="223"/>
      <c r="Q10" s="223"/>
    </row>
    <row r="11" spans="2:24" s="24" customFormat="1" ht="15.6" hidden="1" customHeight="1">
      <c r="B11" s="69"/>
      <c r="D11" s="221">
        <f>INPUT!B18</f>
        <v>2</v>
      </c>
      <c r="E11" s="216">
        <f>INPUT!C18</f>
        <v>50</v>
      </c>
      <c r="F11" s="302" t="s">
        <v>104</v>
      </c>
      <c r="G11" s="302"/>
      <c r="H11" s="302"/>
      <c r="I11" s="73">
        <f>E6</f>
        <v>60</v>
      </c>
      <c r="J11" s="83"/>
      <c r="K11" s="83"/>
      <c r="L11" s="71"/>
      <c r="M11" s="71"/>
      <c r="N11" s="105"/>
      <c r="O11" s="105"/>
      <c r="P11" s="223"/>
      <c r="Q11" s="223"/>
    </row>
    <row r="12" spans="2:24" s="24" customFormat="1" ht="15.6" hidden="1" customHeight="1">
      <c r="B12" s="69"/>
      <c r="D12" s="221">
        <f>INPUT!B19</f>
        <v>1</v>
      </c>
      <c r="E12" s="216">
        <f>INPUT!C19</f>
        <v>49.9</v>
      </c>
      <c r="F12" s="302" t="s">
        <v>104</v>
      </c>
      <c r="G12" s="302"/>
      <c r="H12" s="302"/>
      <c r="I12" s="73">
        <f>E6</f>
        <v>60</v>
      </c>
      <c r="J12" s="83"/>
      <c r="K12" s="83"/>
      <c r="L12" s="71"/>
      <c r="M12" s="71"/>
      <c r="N12" s="105"/>
      <c r="O12" s="105"/>
      <c r="P12" s="223"/>
      <c r="Q12" s="223"/>
    </row>
    <row r="13" spans="2:24" s="24" customFormat="1" ht="15.6" hidden="1" customHeight="1">
      <c r="B13" s="69"/>
      <c r="D13" s="221">
        <f>INPUT!B20</f>
        <v>1</v>
      </c>
      <c r="E13" s="216">
        <f>INPUT!C20</f>
        <v>0</v>
      </c>
      <c r="F13" s="302" t="s">
        <v>104</v>
      </c>
      <c r="G13" s="302"/>
      <c r="H13" s="302"/>
      <c r="I13" s="73">
        <f>E6</f>
        <v>60</v>
      </c>
      <c r="J13" s="83"/>
      <c r="K13" s="83"/>
      <c r="L13" s="71"/>
      <c r="M13" s="71"/>
      <c r="N13" s="105"/>
      <c r="O13" s="105"/>
      <c r="P13" s="223"/>
      <c r="Q13" s="223"/>
    </row>
    <row r="14" spans="2:24">
      <c r="B14" s="287" t="s">
        <v>237</v>
      </c>
      <c r="C14" s="287"/>
      <c r="D14" s="287"/>
      <c r="E14" s="287"/>
      <c r="F14" s="287"/>
      <c r="G14" s="287"/>
      <c r="H14" s="287"/>
      <c r="I14" s="287"/>
      <c r="J14" s="287"/>
      <c r="K14" s="287"/>
      <c r="L14" s="287"/>
      <c r="M14" s="287"/>
      <c r="N14" s="287"/>
      <c r="O14" s="287"/>
      <c r="P14" s="287"/>
      <c r="Q14" s="213"/>
      <c r="R14" s="7"/>
      <c r="S14" s="7"/>
      <c r="T14" s="7"/>
      <c r="U14" s="7"/>
      <c r="V14" s="7"/>
      <c r="W14" s="7"/>
      <c r="X14" s="24"/>
    </row>
    <row r="15" spans="2:24" ht="21">
      <c r="C15" s="142" t="s">
        <v>238</v>
      </c>
      <c r="D15" s="143">
        <v>1</v>
      </c>
      <c r="E15" s="143">
        <v>2</v>
      </c>
      <c r="F15" s="143">
        <v>3</v>
      </c>
      <c r="G15" s="143">
        <v>4</v>
      </c>
      <c r="H15" s="143">
        <v>5</v>
      </c>
      <c r="I15" s="143">
        <v>6</v>
      </c>
      <c r="J15" s="143" t="s">
        <v>239</v>
      </c>
      <c r="K15" s="143" t="s">
        <v>240</v>
      </c>
      <c r="L15" s="143" t="s">
        <v>241</v>
      </c>
      <c r="M15" s="143" t="s">
        <v>242</v>
      </c>
      <c r="N15" s="143" t="s">
        <v>243</v>
      </c>
      <c r="O15" s="143" t="s">
        <v>244</v>
      </c>
      <c r="P15" s="143" t="s">
        <v>245</v>
      </c>
      <c r="Q15" s="10"/>
      <c r="X15" s="24"/>
    </row>
    <row r="16" spans="2:24">
      <c r="B16" s="7"/>
      <c r="C16" s="144" t="s">
        <v>246</v>
      </c>
      <c r="D16" s="145" t="s">
        <v>20</v>
      </c>
      <c r="E16" s="145" t="s">
        <v>20</v>
      </c>
      <c r="F16" s="145" t="s">
        <v>20</v>
      </c>
      <c r="G16" s="145" t="s">
        <v>28</v>
      </c>
      <c r="H16" s="145" t="s">
        <v>28</v>
      </c>
      <c r="I16" s="145" t="s">
        <v>28</v>
      </c>
      <c r="J16" s="145" t="s">
        <v>20</v>
      </c>
      <c r="K16" s="145" t="s">
        <v>20</v>
      </c>
      <c r="L16" s="145" t="s">
        <v>28</v>
      </c>
      <c r="M16" s="145" t="s">
        <v>28</v>
      </c>
      <c r="N16" s="145" t="s">
        <v>20</v>
      </c>
      <c r="O16" s="145" t="s">
        <v>28</v>
      </c>
      <c r="P16" s="223"/>
      <c r="Q16" s="108" t="s">
        <v>67</v>
      </c>
      <c r="R16" s="2" t="s">
        <v>20</v>
      </c>
      <c r="S16" s="2" t="s">
        <v>28</v>
      </c>
      <c r="T16" s="2" t="s">
        <v>34</v>
      </c>
      <c r="U16" s="2" t="s">
        <v>41</v>
      </c>
      <c r="V16" s="2" t="s">
        <v>50</v>
      </c>
      <c r="W16" s="7"/>
      <c r="X16" s="24"/>
    </row>
    <row r="17" spans="1:31">
      <c r="B17" s="7"/>
      <c r="C17" s="146" t="s">
        <v>247</v>
      </c>
      <c r="D17" s="147">
        <v>1</v>
      </c>
      <c r="E17" s="147">
        <v>1</v>
      </c>
      <c r="F17" s="147">
        <v>1</v>
      </c>
      <c r="G17" s="147">
        <v>1</v>
      </c>
      <c r="H17" s="147">
        <v>1</v>
      </c>
      <c r="I17" s="147">
        <v>1</v>
      </c>
      <c r="J17" s="148">
        <v>4</v>
      </c>
      <c r="K17" s="148">
        <v>3</v>
      </c>
      <c r="L17" s="148">
        <v>4</v>
      </c>
      <c r="M17" s="148">
        <v>3</v>
      </c>
      <c r="N17" s="148">
        <v>4</v>
      </c>
      <c r="O17" s="148">
        <v>3</v>
      </c>
      <c r="P17" s="223"/>
      <c r="Q17" s="223"/>
      <c r="R17" s="7"/>
      <c r="S17" s="7"/>
      <c r="T17" s="7"/>
      <c r="U17" s="7"/>
      <c r="V17" s="7"/>
      <c r="W17" s="7"/>
      <c r="X17" s="223"/>
    </row>
    <row r="18" spans="1:31">
      <c r="B18" s="7"/>
      <c r="C18" s="149" t="s">
        <v>248</v>
      </c>
      <c r="D18" s="147">
        <f t="shared" ref="D18:O18" si="0">$E$6</f>
        <v>60</v>
      </c>
      <c r="E18" s="147">
        <f t="shared" si="0"/>
        <v>60</v>
      </c>
      <c r="F18" s="147">
        <f t="shared" si="0"/>
        <v>60</v>
      </c>
      <c r="G18" s="147">
        <f t="shared" si="0"/>
        <v>60</v>
      </c>
      <c r="H18" s="147">
        <f t="shared" si="0"/>
        <v>60</v>
      </c>
      <c r="I18" s="147">
        <f t="shared" si="0"/>
        <v>60</v>
      </c>
      <c r="J18" s="147">
        <f t="shared" si="0"/>
        <v>60</v>
      </c>
      <c r="K18" s="147">
        <f t="shared" si="0"/>
        <v>60</v>
      </c>
      <c r="L18" s="147">
        <f t="shared" si="0"/>
        <v>60</v>
      </c>
      <c r="M18" s="147">
        <f t="shared" si="0"/>
        <v>60</v>
      </c>
      <c r="N18" s="147">
        <f t="shared" si="0"/>
        <v>60</v>
      </c>
      <c r="O18" s="147">
        <f t="shared" si="0"/>
        <v>60</v>
      </c>
      <c r="P18" s="223"/>
      <c r="Q18" s="223"/>
      <c r="R18" s="7"/>
      <c r="S18" s="7"/>
      <c r="T18" s="7"/>
      <c r="U18" s="7"/>
      <c r="V18" s="7"/>
      <c r="W18" s="7"/>
      <c r="X18" s="223"/>
    </row>
    <row r="19" spans="1:31" ht="21">
      <c r="B19" s="9" t="s">
        <v>249</v>
      </c>
      <c r="C19" s="150" t="s">
        <v>250</v>
      </c>
      <c r="D19" s="151">
        <f t="shared" ref="D19:O19" si="1">D17*D18/100</f>
        <v>0.6</v>
      </c>
      <c r="E19" s="151">
        <f t="shared" si="1"/>
        <v>0.6</v>
      </c>
      <c r="F19" s="151">
        <f t="shared" si="1"/>
        <v>0.6</v>
      </c>
      <c r="G19" s="151">
        <f t="shared" si="1"/>
        <v>0.6</v>
      </c>
      <c r="H19" s="151">
        <f t="shared" si="1"/>
        <v>0.6</v>
      </c>
      <c r="I19" s="151">
        <f t="shared" si="1"/>
        <v>0.6</v>
      </c>
      <c r="J19" s="151">
        <f t="shared" si="1"/>
        <v>2.4</v>
      </c>
      <c r="K19" s="151">
        <f t="shared" si="1"/>
        <v>1.8</v>
      </c>
      <c r="L19" s="151">
        <f t="shared" si="1"/>
        <v>2.4</v>
      </c>
      <c r="M19" s="151">
        <f t="shared" si="1"/>
        <v>1.8</v>
      </c>
      <c r="N19" s="151">
        <f t="shared" si="1"/>
        <v>2.4</v>
      </c>
      <c r="O19" s="151">
        <f t="shared" si="1"/>
        <v>1.8</v>
      </c>
      <c r="P19" s="223"/>
      <c r="Q19" s="223"/>
      <c r="S19" s="7"/>
      <c r="T19" s="7"/>
      <c r="U19" s="7"/>
      <c r="V19" s="7"/>
      <c r="W19" s="7"/>
      <c r="X19" s="27" t="s">
        <v>251</v>
      </c>
    </row>
    <row r="20" spans="1:31" ht="18" customHeight="1">
      <c r="A20" s="65">
        <v>1</v>
      </c>
      <c r="B20" s="43">
        <v>1</v>
      </c>
      <c r="C20" s="44" t="s">
        <v>328</v>
      </c>
      <c r="D20" s="45">
        <v>1</v>
      </c>
      <c r="E20" s="45">
        <v>1</v>
      </c>
      <c r="F20" s="45">
        <v>1</v>
      </c>
      <c r="G20" s="45">
        <v>0</v>
      </c>
      <c r="H20" s="45">
        <v>1</v>
      </c>
      <c r="I20" s="45">
        <v>1</v>
      </c>
      <c r="J20" s="45">
        <v>4</v>
      </c>
      <c r="K20" s="45">
        <v>2</v>
      </c>
      <c r="L20" s="45">
        <v>4</v>
      </c>
      <c r="M20" s="45">
        <v>3</v>
      </c>
      <c r="N20" s="45" t="s">
        <v>252</v>
      </c>
      <c r="O20" s="45" t="s">
        <v>252</v>
      </c>
      <c r="P20" s="118">
        <f t="shared" ref="P20:P51" si="2">IF(A20&lt;=$K$198,SUM(D20:O20),"")</f>
        <v>18</v>
      </c>
      <c r="Q20" s="94"/>
      <c r="R20" s="109">
        <f>IF(A20=B20,Studentwise!AO20,"")</f>
        <v>92.307692307692307</v>
      </c>
      <c r="S20" s="109">
        <f>IF(A20=B20,Studentwise!AP20,"")</f>
        <v>100</v>
      </c>
      <c r="T20" s="109">
        <f>IF(A20=B20,Studentwise!AQ20,"")</f>
        <v>94.444444444444443</v>
      </c>
      <c r="U20" s="109">
        <f>IF(A20=B20,Studentwise!AR20,"")</f>
        <v>100</v>
      </c>
      <c r="V20" s="109">
        <f>IF(A20=B20,Studentwise!AS20,"")</f>
        <v>100</v>
      </c>
      <c r="W20" s="109" t="str">
        <f>IF(F20=G20,Studentwise!AT20,"")</f>
        <v/>
      </c>
      <c r="X20" s="109" t="str">
        <f>IF(G20=H20,Studentwise!AU20,"")</f>
        <v/>
      </c>
      <c r="Y20" s="8" t="b">
        <f t="shared" ref="Y20" si="3">ISTEXT(J20)</f>
        <v>0</v>
      </c>
      <c r="Z20" s="8" t="b">
        <f t="shared" ref="Z20" si="4">ISTEXT(K20)</f>
        <v>0</v>
      </c>
      <c r="AA20" s="8" t="b">
        <f t="shared" ref="AA20" si="5">ISTEXT(L20)</f>
        <v>0</v>
      </c>
      <c r="AB20" s="8" t="b">
        <f t="shared" ref="AB20" si="6">ISTEXT(M20)</f>
        <v>0</v>
      </c>
      <c r="AC20" s="8" t="b">
        <f t="shared" ref="AC20" si="7">ISTEXT(N20)</f>
        <v>1</v>
      </c>
      <c r="AD20" s="8" t="b">
        <f t="shared" ref="AD20" si="8">ISTEXT(O20)</f>
        <v>1</v>
      </c>
      <c r="AE20" s="8">
        <f t="shared" ref="AE20:AE30" si="9">COUNTIF(Y20:AD20,"TRUE")</f>
        <v>2</v>
      </c>
    </row>
    <row r="21" spans="1:31" ht="18" customHeight="1">
      <c r="A21" s="65">
        <v>2</v>
      </c>
      <c r="B21" s="43">
        <v>2</v>
      </c>
      <c r="C21" s="44" t="s">
        <v>329</v>
      </c>
      <c r="D21" s="45">
        <v>1</v>
      </c>
      <c r="E21" s="45">
        <v>1</v>
      </c>
      <c r="F21" s="45">
        <v>1</v>
      </c>
      <c r="G21" s="45">
        <v>0</v>
      </c>
      <c r="H21" s="45">
        <v>1</v>
      </c>
      <c r="I21" s="45">
        <v>1</v>
      </c>
      <c r="J21" s="45">
        <v>4</v>
      </c>
      <c r="K21" s="45">
        <v>3</v>
      </c>
      <c r="L21" s="45">
        <v>4</v>
      </c>
      <c r="M21" s="45">
        <v>3</v>
      </c>
      <c r="N21" s="45" t="s">
        <v>252</v>
      </c>
      <c r="O21" s="45" t="s">
        <v>252</v>
      </c>
      <c r="P21" s="118">
        <f t="shared" si="2"/>
        <v>19</v>
      </c>
      <c r="Q21" s="95"/>
      <c r="R21" s="109">
        <f>IF(A21=B21,Studentwise!AO21,"")</f>
        <v>90</v>
      </c>
      <c r="S21" s="109">
        <f>IF(A21=B21,Studentwise!AP21,"")</f>
        <v>55.000000000000007</v>
      </c>
      <c r="T21" s="109">
        <f>IF(A21=B21,Studentwise!AQ21,"")</f>
        <v>88.888888888888886</v>
      </c>
      <c r="U21" s="109">
        <f>IF(A21=B21,Studentwise!AR21,"")</f>
        <v>55.555555555555557</v>
      </c>
      <c r="V21" s="109">
        <f>IF(A21=B21,Studentwise!AS21,"")</f>
        <v>100</v>
      </c>
      <c r="X21" s="216" t="s">
        <v>28</v>
      </c>
      <c r="Y21" s="8" t="b">
        <f t="shared" ref="Y21:AD75" si="10">ISTEXT(J21)</f>
        <v>0</v>
      </c>
      <c r="Z21" s="8" t="b">
        <f t="shared" ref="Z21:AD35" si="11">ISTEXT(K21)</f>
        <v>0</v>
      </c>
      <c r="AA21" s="8" t="b">
        <f t="shared" si="11"/>
        <v>0</v>
      </c>
      <c r="AB21" s="8" t="b">
        <f t="shared" si="11"/>
        <v>0</v>
      </c>
      <c r="AC21" s="8" t="b">
        <f t="shared" ref="AC21:AC30" si="12">ISTEXT(N21)</f>
        <v>1</v>
      </c>
      <c r="AD21" s="8" t="b">
        <f t="shared" ref="AD21:AD30" si="13">ISTEXT(O21)</f>
        <v>1</v>
      </c>
      <c r="AE21" s="8">
        <f t="shared" si="9"/>
        <v>2</v>
      </c>
    </row>
    <row r="22" spans="1:31" ht="18" customHeight="1">
      <c r="A22" s="65">
        <v>3</v>
      </c>
      <c r="B22" s="43">
        <v>3</v>
      </c>
      <c r="C22" s="44" t="s">
        <v>330</v>
      </c>
      <c r="D22" s="45">
        <v>1</v>
      </c>
      <c r="E22" s="45">
        <v>0</v>
      </c>
      <c r="F22" s="45">
        <v>1</v>
      </c>
      <c r="G22" s="45">
        <v>1</v>
      </c>
      <c r="H22" s="45">
        <v>1</v>
      </c>
      <c r="I22" s="45">
        <v>1</v>
      </c>
      <c r="J22" s="45">
        <v>3</v>
      </c>
      <c r="K22" s="45">
        <v>1</v>
      </c>
      <c r="L22" s="45" t="s">
        <v>252</v>
      </c>
      <c r="M22" s="45" t="s">
        <v>252</v>
      </c>
      <c r="N22" s="45">
        <v>4</v>
      </c>
      <c r="O22" s="45">
        <v>1</v>
      </c>
      <c r="P22" s="118">
        <f t="shared" si="2"/>
        <v>14</v>
      </c>
      <c r="Q22" s="95"/>
      <c r="R22" s="109">
        <f>IF(A22=B22,Studentwise!AO22,"")</f>
        <v>76.923076923076934</v>
      </c>
      <c r="S22" s="109">
        <f>IF(A22=B22,Studentwise!AP22,"")</f>
        <v>57.142857142857139</v>
      </c>
      <c r="T22" s="109">
        <f>IF(A22=B22,Studentwise!AQ22,"")</f>
        <v>77.777777777777786</v>
      </c>
      <c r="U22" s="109">
        <f>IF(A22=B22,Studentwise!AR22,"")</f>
        <v>83.333333333333343</v>
      </c>
      <c r="V22" s="109">
        <f>IF(A22=B22,Studentwise!AS22,"")</f>
        <v>100</v>
      </c>
      <c r="X22" s="216" t="s">
        <v>34</v>
      </c>
      <c r="Y22" s="8" t="b">
        <f t="shared" si="10"/>
        <v>0</v>
      </c>
      <c r="Z22" s="8" t="b">
        <f t="shared" si="11"/>
        <v>0</v>
      </c>
      <c r="AA22" s="8" t="b">
        <f t="shared" si="11"/>
        <v>1</v>
      </c>
      <c r="AB22" s="8" t="b">
        <f t="shared" si="11"/>
        <v>1</v>
      </c>
      <c r="AC22" s="8" t="b">
        <f t="shared" si="12"/>
        <v>0</v>
      </c>
      <c r="AD22" s="8" t="b">
        <f t="shared" si="13"/>
        <v>0</v>
      </c>
      <c r="AE22" s="8">
        <f t="shared" si="9"/>
        <v>2</v>
      </c>
    </row>
    <row r="23" spans="1:31" ht="18" customHeight="1">
      <c r="A23" s="65">
        <v>4</v>
      </c>
      <c r="B23" s="43">
        <v>4</v>
      </c>
      <c r="C23" s="44" t="s">
        <v>331</v>
      </c>
      <c r="D23" s="45">
        <v>1</v>
      </c>
      <c r="E23" s="45">
        <v>1</v>
      </c>
      <c r="F23" s="45">
        <v>1</v>
      </c>
      <c r="G23" s="45">
        <v>1</v>
      </c>
      <c r="H23" s="45">
        <v>1</v>
      </c>
      <c r="I23" s="45">
        <v>1</v>
      </c>
      <c r="J23" s="45">
        <v>4</v>
      </c>
      <c r="K23" s="45">
        <v>3</v>
      </c>
      <c r="L23" s="45" t="s">
        <v>252</v>
      </c>
      <c r="M23" s="45" t="s">
        <v>252</v>
      </c>
      <c r="N23" s="45">
        <v>4</v>
      </c>
      <c r="O23" s="45">
        <v>0</v>
      </c>
      <c r="P23" s="118">
        <f t="shared" si="2"/>
        <v>17</v>
      </c>
      <c r="Q23" s="95"/>
      <c r="R23" s="109">
        <f>IF(A23=B23,Studentwise!AO23,"")</f>
        <v>75</v>
      </c>
      <c r="S23" s="109">
        <f>IF(A23=B23,Studentwise!AP23,"")</f>
        <v>46.428571428571431</v>
      </c>
      <c r="T23" s="109">
        <f>IF(A23=B23,Studentwise!AQ23,"")</f>
        <v>77.777777777777786</v>
      </c>
      <c r="U23" s="109">
        <f>IF(A23=B23,Studentwise!AR23,"")</f>
        <v>72.222222222222214</v>
      </c>
      <c r="V23" s="109">
        <f>IF(A23=B23,Studentwise!AS23,"")</f>
        <v>100</v>
      </c>
      <c r="X23" s="216" t="s">
        <v>41</v>
      </c>
      <c r="Y23" s="8" t="b">
        <f t="shared" si="10"/>
        <v>0</v>
      </c>
      <c r="Z23" s="8" t="b">
        <f t="shared" si="11"/>
        <v>0</v>
      </c>
      <c r="AA23" s="8" t="b">
        <f t="shared" si="11"/>
        <v>1</v>
      </c>
      <c r="AB23" s="8" t="b">
        <f t="shared" si="11"/>
        <v>1</v>
      </c>
      <c r="AC23" s="8" t="b">
        <f t="shared" si="12"/>
        <v>0</v>
      </c>
      <c r="AD23" s="8" t="b">
        <f t="shared" si="13"/>
        <v>0</v>
      </c>
      <c r="AE23" s="8">
        <f t="shared" si="9"/>
        <v>2</v>
      </c>
    </row>
    <row r="24" spans="1:31" ht="18" customHeight="1">
      <c r="A24" s="65">
        <v>5</v>
      </c>
      <c r="B24" s="43">
        <v>5</v>
      </c>
      <c r="C24" s="44" t="s">
        <v>332</v>
      </c>
      <c r="D24" s="45">
        <v>1</v>
      </c>
      <c r="E24" s="45">
        <v>1</v>
      </c>
      <c r="F24" s="45">
        <v>1</v>
      </c>
      <c r="G24" s="45">
        <v>0</v>
      </c>
      <c r="H24" s="45">
        <v>0</v>
      </c>
      <c r="I24" s="45">
        <v>1</v>
      </c>
      <c r="J24" s="45">
        <v>4</v>
      </c>
      <c r="K24" s="45">
        <v>3</v>
      </c>
      <c r="L24" s="45">
        <v>4</v>
      </c>
      <c r="M24" s="45">
        <v>3</v>
      </c>
      <c r="N24" s="45" t="s">
        <v>252</v>
      </c>
      <c r="O24" s="45" t="s">
        <v>252</v>
      </c>
      <c r="P24" s="118">
        <f t="shared" si="2"/>
        <v>18</v>
      </c>
      <c r="Q24" s="95"/>
      <c r="R24" s="109">
        <f>IF(A24=B24,Studentwise!AO24,"")</f>
        <v>70</v>
      </c>
      <c r="S24" s="109">
        <f>IF(A24=B24,Studentwise!AP24,"")</f>
        <v>20</v>
      </c>
      <c r="T24" s="109">
        <f>IF(A24=B24,Studentwise!AQ24,"")</f>
        <v>44.444444444444443</v>
      </c>
      <c r="U24" s="109">
        <f>IF(A24=B24,Studentwise!AR24,"")</f>
        <v>77.777777777777786</v>
      </c>
      <c r="V24" s="109">
        <f>IF(A24=B24,Studentwise!AS24,"")</f>
        <v>50</v>
      </c>
      <c r="X24" s="216" t="s">
        <v>50</v>
      </c>
      <c r="Y24" s="8" t="b">
        <f t="shared" si="10"/>
        <v>0</v>
      </c>
      <c r="Z24" s="8" t="b">
        <f t="shared" si="11"/>
        <v>0</v>
      </c>
      <c r="AA24" s="8" t="b">
        <f t="shared" si="11"/>
        <v>0</v>
      </c>
      <c r="AB24" s="8" t="b">
        <f t="shared" si="11"/>
        <v>0</v>
      </c>
      <c r="AC24" s="8" t="b">
        <f t="shared" si="12"/>
        <v>1</v>
      </c>
      <c r="AD24" s="8" t="b">
        <f t="shared" si="13"/>
        <v>1</v>
      </c>
      <c r="AE24" s="8">
        <f t="shared" si="9"/>
        <v>2</v>
      </c>
    </row>
    <row r="25" spans="1:31" ht="18" customHeight="1">
      <c r="A25" s="65">
        <v>6</v>
      </c>
      <c r="B25" s="43">
        <v>6</v>
      </c>
      <c r="C25" s="44" t="s">
        <v>333</v>
      </c>
      <c r="D25" s="45">
        <v>1</v>
      </c>
      <c r="E25" s="45">
        <v>1</v>
      </c>
      <c r="F25" s="45">
        <v>1</v>
      </c>
      <c r="G25" s="45">
        <v>0</v>
      </c>
      <c r="H25" s="45">
        <v>1</v>
      </c>
      <c r="I25" s="45">
        <v>1</v>
      </c>
      <c r="J25" s="45">
        <v>4</v>
      </c>
      <c r="K25" s="45">
        <v>3</v>
      </c>
      <c r="L25" s="45" t="s">
        <v>252</v>
      </c>
      <c r="M25" s="45" t="s">
        <v>252</v>
      </c>
      <c r="N25" s="45">
        <v>4</v>
      </c>
      <c r="O25" s="45">
        <v>1</v>
      </c>
      <c r="P25" s="118">
        <f t="shared" si="2"/>
        <v>17</v>
      </c>
      <c r="Q25" s="213"/>
      <c r="R25" s="109">
        <f>IF(A25=B25,Studentwise!AO25,"")</f>
        <v>69.230769230769226</v>
      </c>
      <c r="S25" s="109">
        <f>IF(A25=B25,Studentwise!AP25,"")</f>
        <v>42.857142857142854</v>
      </c>
      <c r="T25" s="109">
        <f>IF(A25=B25,Studentwise!AQ25,"")</f>
        <v>77.777777777777786</v>
      </c>
      <c r="U25" s="109">
        <f>IF(A25=B25,Studentwise!AR25,"")</f>
        <v>94.444444444444443</v>
      </c>
      <c r="V25" s="109">
        <f>IF(A25=B25,Studentwise!AS25,"")</f>
        <v>100</v>
      </c>
      <c r="W25" s="7"/>
      <c r="X25" s="216" t="s">
        <v>57</v>
      </c>
      <c r="Y25" s="8" t="b">
        <f t="shared" si="10"/>
        <v>0</v>
      </c>
      <c r="Z25" s="8" t="b">
        <f t="shared" si="11"/>
        <v>0</v>
      </c>
      <c r="AA25" s="8" t="b">
        <f t="shared" si="11"/>
        <v>1</v>
      </c>
      <c r="AB25" s="8" t="b">
        <f t="shared" si="11"/>
        <v>1</v>
      </c>
      <c r="AC25" s="8" t="b">
        <f t="shared" si="12"/>
        <v>0</v>
      </c>
      <c r="AD25" s="8" t="b">
        <f t="shared" si="13"/>
        <v>0</v>
      </c>
      <c r="AE25" s="8">
        <f t="shared" si="9"/>
        <v>2</v>
      </c>
    </row>
    <row r="26" spans="1:31" ht="18" customHeight="1">
      <c r="A26" s="65">
        <v>7</v>
      </c>
      <c r="B26" s="43">
        <v>7</v>
      </c>
      <c r="C26" s="44" t="s">
        <v>334</v>
      </c>
      <c r="D26" s="45">
        <v>0</v>
      </c>
      <c r="E26" s="45">
        <v>0</v>
      </c>
      <c r="F26" s="45">
        <v>0</v>
      </c>
      <c r="G26" s="45">
        <v>0</v>
      </c>
      <c r="H26" s="45">
        <v>1</v>
      </c>
      <c r="I26" s="45">
        <v>0</v>
      </c>
      <c r="J26" s="45">
        <v>1</v>
      </c>
      <c r="K26" s="45">
        <v>1</v>
      </c>
      <c r="L26" s="45" t="s">
        <v>252</v>
      </c>
      <c r="M26" s="45" t="s">
        <v>252</v>
      </c>
      <c r="N26" s="45">
        <v>2</v>
      </c>
      <c r="O26" s="45">
        <v>0</v>
      </c>
      <c r="P26" s="118">
        <f t="shared" si="2"/>
        <v>5</v>
      </c>
      <c r="Q26" s="213"/>
      <c r="R26" s="109">
        <f>IF(A26=B26,Studentwise!AO26,"")</f>
        <v>33.333333333333329</v>
      </c>
      <c r="S26" s="109">
        <f>IF(A26=B26,Studentwise!AP26,"")</f>
        <v>60.714285714285708</v>
      </c>
      <c r="T26" s="109">
        <f>IF(A26=B26,Studentwise!AQ26,"")</f>
        <v>33.333333333333329</v>
      </c>
      <c r="U26" s="109">
        <f>IF(A26=B26,Studentwise!AR26,"")</f>
        <v>72.222222222222214</v>
      </c>
      <c r="V26" s="109">
        <f>IF(A26=B26,Studentwise!AS26,"")</f>
        <v>50</v>
      </c>
      <c r="W26" s="7"/>
      <c r="X26" s="7"/>
      <c r="Y26" s="8" t="b">
        <f t="shared" si="10"/>
        <v>0</v>
      </c>
      <c r="Z26" s="8" t="b">
        <f t="shared" si="11"/>
        <v>0</v>
      </c>
      <c r="AA26" s="8" t="b">
        <f t="shared" si="11"/>
        <v>1</v>
      </c>
      <c r="AB26" s="8" t="b">
        <f t="shared" si="11"/>
        <v>1</v>
      </c>
      <c r="AC26" s="8" t="b">
        <f t="shared" si="12"/>
        <v>0</v>
      </c>
      <c r="AD26" s="8" t="b">
        <f t="shared" si="13"/>
        <v>0</v>
      </c>
      <c r="AE26" s="8">
        <f t="shared" si="9"/>
        <v>2</v>
      </c>
    </row>
    <row r="27" spans="1:31" ht="18" customHeight="1">
      <c r="A27" s="65">
        <v>8</v>
      </c>
      <c r="B27" s="43">
        <v>8</v>
      </c>
      <c r="C27" s="44" t="s">
        <v>335</v>
      </c>
      <c r="D27" s="45">
        <v>0</v>
      </c>
      <c r="E27" s="45">
        <v>1</v>
      </c>
      <c r="F27" s="45">
        <v>0</v>
      </c>
      <c r="G27" s="45">
        <v>0</v>
      </c>
      <c r="H27" s="45">
        <v>1</v>
      </c>
      <c r="I27" s="45">
        <v>1</v>
      </c>
      <c r="J27" s="45">
        <v>3</v>
      </c>
      <c r="K27" s="45">
        <v>2</v>
      </c>
      <c r="L27" s="45" t="s">
        <v>252</v>
      </c>
      <c r="M27" s="45" t="s">
        <v>252</v>
      </c>
      <c r="N27" s="45">
        <v>4</v>
      </c>
      <c r="O27" s="45">
        <v>1</v>
      </c>
      <c r="P27" s="118">
        <f t="shared" si="2"/>
        <v>13</v>
      </c>
      <c r="Q27" s="213"/>
      <c r="R27" s="109">
        <f>IF(A27=B27,Studentwise!AO27,"")</f>
        <v>83.333333333333343</v>
      </c>
      <c r="S27" s="109">
        <f>IF(A27=B27,Studentwise!AP27,"")</f>
        <v>46.428571428571431</v>
      </c>
      <c r="T27" s="109">
        <f>IF(A27=B27,Studentwise!AQ27,"")</f>
        <v>88.888888888888886</v>
      </c>
      <c r="U27" s="109">
        <f>IF(A27=B27,Studentwise!AR27,"")</f>
        <v>94.444444444444443</v>
      </c>
      <c r="V27" s="109">
        <f>IF(A27=B27,Studentwise!AS27,"")</f>
        <v>50</v>
      </c>
      <c r="W27" s="7"/>
      <c r="X27" s="7"/>
      <c r="Y27" s="8" t="b">
        <f t="shared" si="10"/>
        <v>0</v>
      </c>
      <c r="Z27" s="8" t="b">
        <f t="shared" si="11"/>
        <v>0</v>
      </c>
      <c r="AA27" s="8" t="b">
        <f t="shared" si="11"/>
        <v>1</v>
      </c>
      <c r="AB27" s="8" t="b">
        <f t="shared" si="11"/>
        <v>1</v>
      </c>
      <c r="AC27" s="8" t="b">
        <f t="shared" si="12"/>
        <v>0</v>
      </c>
      <c r="AD27" s="8" t="b">
        <f t="shared" si="13"/>
        <v>0</v>
      </c>
      <c r="AE27" s="8">
        <f t="shared" si="9"/>
        <v>2</v>
      </c>
    </row>
    <row r="28" spans="1:31" ht="18" customHeight="1">
      <c r="A28" s="65">
        <v>9</v>
      </c>
      <c r="B28" s="43">
        <v>9</v>
      </c>
      <c r="C28" s="44" t="s">
        <v>336</v>
      </c>
      <c r="D28" s="45">
        <v>1</v>
      </c>
      <c r="E28" s="45">
        <v>1</v>
      </c>
      <c r="F28" s="45">
        <v>1</v>
      </c>
      <c r="G28" s="45">
        <v>1</v>
      </c>
      <c r="H28" s="45">
        <v>0</v>
      </c>
      <c r="I28" s="45">
        <v>0</v>
      </c>
      <c r="J28" s="45">
        <v>3</v>
      </c>
      <c r="K28" s="45">
        <v>3</v>
      </c>
      <c r="L28" s="45" t="s">
        <v>252</v>
      </c>
      <c r="M28" s="45" t="s">
        <v>252</v>
      </c>
      <c r="N28" s="45">
        <v>4</v>
      </c>
      <c r="O28" s="45">
        <v>1</v>
      </c>
      <c r="P28" s="118">
        <f t="shared" si="2"/>
        <v>15</v>
      </c>
      <c r="Q28" s="213"/>
      <c r="R28" s="109">
        <f>IF(A28=B28,Studentwise!AO28,"")</f>
        <v>50</v>
      </c>
      <c r="S28" s="109">
        <f>IF(A28=B28,Studentwise!AP28,"")</f>
        <v>57.142857142857139</v>
      </c>
      <c r="T28" s="109">
        <f>IF(A28=B28,Studentwise!AQ28,"")</f>
        <v>50</v>
      </c>
      <c r="U28" s="109">
        <f>IF(A28=B28,Studentwise!AR28,"")</f>
        <v>44.444444444444443</v>
      </c>
      <c r="V28" s="109">
        <f>IF(A28=B28,Studentwise!AS28,"")</f>
        <v>50</v>
      </c>
      <c r="W28" s="7"/>
      <c r="X28" s="7"/>
      <c r="Y28" s="8" t="b">
        <f t="shared" si="10"/>
        <v>0</v>
      </c>
      <c r="Z28" s="8" t="b">
        <f t="shared" si="11"/>
        <v>0</v>
      </c>
      <c r="AA28" s="8" t="b">
        <f t="shared" si="11"/>
        <v>1</v>
      </c>
      <c r="AB28" s="8" t="b">
        <f t="shared" si="11"/>
        <v>1</v>
      </c>
      <c r="AC28" s="8" t="b">
        <f t="shared" si="12"/>
        <v>0</v>
      </c>
      <c r="AD28" s="8" t="b">
        <f t="shared" si="13"/>
        <v>0</v>
      </c>
      <c r="AE28" s="8">
        <f t="shared" si="9"/>
        <v>2</v>
      </c>
    </row>
    <row r="29" spans="1:31" ht="18" customHeight="1">
      <c r="A29" s="65">
        <v>10</v>
      </c>
      <c r="B29" s="43">
        <v>10</v>
      </c>
      <c r="C29" s="44" t="s">
        <v>337</v>
      </c>
      <c r="D29" s="45">
        <v>1</v>
      </c>
      <c r="E29" s="45">
        <v>1</v>
      </c>
      <c r="F29" s="45">
        <v>1</v>
      </c>
      <c r="G29" s="45">
        <v>1</v>
      </c>
      <c r="H29" s="45">
        <v>1</v>
      </c>
      <c r="I29" s="45">
        <v>0</v>
      </c>
      <c r="J29" s="45">
        <v>4</v>
      </c>
      <c r="K29" s="45">
        <v>3</v>
      </c>
      <c r="L29" s="45">
        <v>3</v>
      </c>
      <c r="M29" s="45">
        <v>3</v>
      </c>
      <c r="N29" s="45" t="s">
        <v>252</v>
      </c>
      <c r="O29" s="45" t="s">
        <v>252</v>
      </c>
      <c r="P29" s="118">
        <f t="shared" si="2"/>
        <v>18</v>
      </c>
      <c r="Q29" s="213"/>
      <c r="R29" s="109">
        <f>IF(A29=B29,Studentwise!AO29,"")</f>
        <v>92.307692307692307</v>
      </c>
      <c r="S29" s="109">
        <f>IF(A29=B29,Studentwise!AP29,"")</f>
        <v>50</v>
      </c>
      <c r="T29" s="109">
        <f>IF(A29=B29,Studentwise!AQ29,"")</f>
        <v>61.111111111111114</v>
      </c>
      <c r="U29" s="109">
        <f>IF(A29=B29,Studentwise!AR29,"")</f>
        <v>66.666666666666657</v>
      </c>
      <c r="V29" s="109">
        <f>IF(A29=B29,Studentwise!AS29,"")</f>
        <v>100</v>
      </c>
      <c r="W29" s="7"/>
      <c r="X29" s="7"/>
      <c r="Y29" s="8" t="b">
        <f t="shared" si="10"/>
        <v>0</v>
      </c>
      <c r="Z29" s="8" t="b">
        <f t="shared" si="11"/>
        <v>0</v>
      </c>
      <c r="AA29" s="8" t="b">
        <f t="shared" si="11"/>
        <v>0</v>
      </c>
      <c r="AB29" s="8" t="b">
        <f t="shared" si="11"/>
        <v>0</v>
      </c>
      <c r="AC29" s="8" t="b">
        <f t="shared" si="12"/>
        <v>1</v>
      </c>
      <c r="AD29" s="8" t="b">
        <f t="shared" si="13"/>
        <v>1</v>
      </c>
      <c r="AE29" s="8">
        <f t="shared" si="9"/>
        <v>2</v>
      </c>
    </row>
    <row r="30" spans="1:31" ht="18" customHeight="1">
      <c r="A30" s="65">
        <v>11</v>
      </c>
      <c r="B30" s="43">
        <v>11</v>
      </c>
      <c r="C30" s="44" t="s">
        <v>338</v>
      </c>
      <c r="D30" s="45">
        <v>1</v>
      </c>
      <c r="E30" s="45">
        <v>1</v>
      </c>
      <c r="F30" s="45">
        <v>1</v>
      </c>
      <c r="G30" s="45">
        <v>1</v>
      </c>
      <c r="H30" s="45">
        <v>1</v>
      </c>
      <c r="I30" s="45">
        <v>1</v>
      </c>
      <c r="J30" s="45">
        <v>4</v>
      </c>
      <c r="K30" s="45">
        <v>3</v>
      </c>
      <c r="L30" s="45">
        <v>3</v>
      </c>
      <c r="M30" s="45">
        <v>3</v>
      </c>
      <c r="N30" s="45" t="s">
        <v>252</v>
      </c>
      <c r="O30" s="45" t="s">
        <v>252</v>
      </c>
      <c r="P30" s="118">
        <f t="shared" si="2"/>
        <v>19</v>
      </c>
      <c r="Q30" s="213"/>
      <c r="R30" s="109">
        <f>IF(A30=B30,Studentwise!AO30,"")</f>
        <v>60</v>
      </c>
      <c r="S30" s="109">
        <f>IF(A30=B30,Studentwise!AP30,"")</f>
        <v>95</v>
      </c>
      <c r="T30" s="109">
        <f>IF(A30=B30,Studentwise!AQ30,"")</f>
        <v>83.333333333333343</v>
      </c>
      <c r="U30" s="109">
        <f>IF(A30=B30,Studentwise!AR30,"")</f>
        <v>100</v>
      </c>
      <c r="V30" s="109">
        <f>IF(A30=B30,Studentwise!AS30,"")</f>
        <v>100</v>
      </c>
      <c r="W30" s="7"/>
      <c r="X30" s="7"/>
      <c r="Y30" s="8" t="b">
        <f t="shared" si="10"/>
        <v>0</v>
      </c>
      <c r="Z30" s="8" t="b">
        <f t="shared" si="11"/>
        <v>0</v>
      </c>
      <c r="AA30" s="8" t="b">
        <f t="shared" si="11"/>
        <v>0</v>
      </c>
      <c r="AB30" s="8" t="b">
        <f t="shared" si="11"/>
        <v>0</v>
      </c>
      <c r="AC30" s="8" t="b">
        <f t="shared" si="12"/>
        <v>1</v>
      </c>
      <c r="AD30" s="8" t="b">
        <f t="shared" si="13"/>
        <v>1</v>
      </c>
      <c r="AE30" s="8">
        <f t="shared" si="9"/>
        <v>2</v>
      </c>
    </row>
    <row r="31" spans="1:31" ht="18" customHeight="1">
      <c r="A31" s="65">
        <v>12</v>
      </c>
      <c r="B31" s="43">
        <v>12</v>
      </c>
      <c r="C31" s="44" t="s">
        <v>339</v>
      </c>
      <c r="D31" s="45">
        <v>0</v>
      </c>
      <c r="E31" s="45">
        <v>1</v>
      </c>
      <c r="F31" s="45">
        <v>1</v>
      </c>
      <c r="G31" s="45">
        <v>0</v>
      </c>
      <c r="H31" s="45">
        <v>0</v>
      </c>
      <c r="I31" s="45">
        <v>1</v>
      </c>
      <c r="J31" s="45">
        <v>4</v>
      </c>
      <c r="K31" s="45">
        <v>2</v>
      </c>
      <c r="L31" s="45" t="s">
        <v>252</v>
      </c>
      <c r="M31" s="45" t="s">
        <v>252</v>
      </c>
      <c r="N31" s="45">
        <v>4</v>
      </c>
      <c r="O31" s="45">
        <v>1</v>
      </c>
      <c r="P31" s="118">
        <f t="shared" si="2"/>
        <v>14</v>
      </c>
      <c r="Q31" s="213"/>
      <c r="R31" s="109">
        <f>IF(A31=B31,Studentwise!AO31,"")</f>
        <v>83.333333333333343</v>
      </c>
      <c r="S31" s="109">
        <f>IF(A31=B31,Studentwise!AP31,"")</f>
        <v>42.857142857142854</v>
      </c>
      <c r="T31" s="109">
        <f>IF(A31=B31,Studentwise!AQ31,"")</f>
        <v>83.333333333333343</v>
      </c>
      <c r="U31" s="109">
        <f>IF(A31=B31,Studentwise!AR31,"")</f>
        <v>94.444444444444443</v>
      </c>
      <c r="V31" s="109">
        <f>IF(A31=B31,Studentwise!AS31,"")</f>
        <v>75</v>
      </c>
      <c r="W31" s="7"/>
      <c r="X31" s="7"/>
      <c r="Y31" s="8" t="b">
        <f t="shared" si="10"/>
        <v>0</v>
      </c>
      <c r="Z31" s="8" t="b">
        <f t="shared" si="11"/>
        <v>0</v>
      </c>
      <c r="AA31" s="8" t="b">
        <f t="shared" si="11"/>
        <v>1</v>
      </c>
      <c r="AB31" s="8" t="b">
        <f t="shared" si="11"/>
        <v>1</v>
      </c>
      <c r="AC31" s="8" t="b">
        <f t="shared" si="11"/>
        <v>0</v>
      </c>
      <c r="AD31" s="8" t="b">
        <f t="shared" si="11"/>
        <v>0</v>
      </c>
      <c r="AE31" s="8">
        <f t="shared" ref="AE31:AE84" si="14">COUNTIF(Y31:AD31,"TRUE")</f>
        <v>2</v>
      </c>
    </row>
    <row r="32" spans="1:31" ht="18" customHeight="1">
      <c r="A32" s="65">
        <v>13</v>
      </c>
      <c r="B32" s="43">
        <v>13</v>
      </c>
      <c r="C32" s="44" t="s">
        <v>340</v>
      </c>
      <c r="D32" s="45">
        <v>1</v>
      </c>
      <c r="E32" s="45">
        <v>1</v>
      </c>
      <c r="F32" s="45">
        <v>1</v>
      </c>
      <c r="G32" s="45">
        <v>1</v>
      </c>
      <c r="H32" s="45">
        <v>0</v>
      </c>
      <c r="I32" s="45">
        <v>0</v>
      </c>
      <c r="J32" s="45">
        <v>4</v>
      </c>
      <c r="K32" s="45">
        <v>3</v>
      </c>
      <c r="L32" s="45">
        <v>3</v>
      </c>
      <c r="M32" s="45">
        <v>3</v>
      </c>
      <c r="N32" s="45" t="s">
        <v>252</v>
      </c>
      <c r="O32" s="45" t="s">
        <v>252</v>
      </c>
      <c r="P32" s="118">
        <f t="shared" si="2"/>
        <v>17</v>
      </c>
      <c r="Q32" s="213"/>
      <c r="R32" s="109">
        <f>IF(A32=B32,Studentwise!AO32,"")</f>
        <v>42.307692307692307</v>
      </c>
      <c r="S32" s="109">
        <f>IF(A32=B32,Studentwise!AP32,"")</f>
        <v>28.571428571428569</v>
      </c>
      <c r="T32" s="109">
        <f>IF(A32=B32,Studentwise!AQ32,"")</f>
        <v>50</v>
      </c>
      <c r="U32" s="109">
        <f>IF(A32=B32,Studentwise!AR32,"")</f>
        <v>88.888888888888886</v>
      </c>
      <c r="V32" s="109">
        <f>IF(A32=B32,Studentwise!AS32,"")</f>
        <v>50</v>
      </c>
      <c r="W32" s="7"/>
      <c r="X32" s="7"/>
      <c r="Y32" s="8" t="b">
        <f t="shared" si="10"/>
        <v>0</v>
      </c>
      <c r="Z32" s="8" t="b">
        <f t="shared" si="11"/>
        <v>0</v>
      </c>
      <c r="AA32" s="8" t="b">
        <f t="shared" si="11"/>
        <v>0</v>
      </c>
      <c r="AB32" s="8" t="b">
        <f t="shared" si="11"/>
        <v>0</v>
      </c>
      <c r="AC32" s="8" t="b">
        <f t="shared" si="11"/>
        <v>1</v>
      </c>
      <c r="AD32" s="8" t="b">
        <f t="shared" si="11"/>
        <v>1</v>
      </c>
      <c r="AE32" s="8">
        <f t="shared" si="14"/>
        <v>2</v>
      </c>
    </row>
    <row r="33" spans="1:31" ht="18" customHeight="1">
      <c r="A33" s="65">
        <v>14</v>
      </c>
      <c r="B33" s="43">
        <v>14</v>
      </c>
      <c r="C33" s="44" t="s">
        <v>341</v>
      </c>
      <c r="D33" s="45">
        <v>1</v>
      </c>
      <c r="E33" s="45">
        <v>1</v>
      </c>
      <c r="F33" s="45">
        <v>1</v>
      </c>
      <c r="G33" s="45">
        <v>1</v>
      </c>
      <c r="H33" s="45">
        <v>1</v>
      </c>
      <c r="I33" s="45">
        <v>0</v>
      </c>
      <c r="J33" s="45">
        <v>4</v>
      </c>
      <c r="K33" s="45">
        <v>3</v>
      </c>
      <c r="L33" s="45">
        <v>4</v>
      </c>
      <c r="M33" s="45">
        <v>3</v>
      </c>
      <c r="N33" s="45" t="s">
        <v>252</v>
      </c>
      <c r="O33" s="45" t="s">
        <v>252</v>
      </c>
      <c r="P33" s="118">
        <f t="shared" si="2"/>
        <v>19</v>
      </c>
      <c r="Q33" s="213"/>
      <c r="R33" s="109">
        <f>IF(A33=B33,Studentwise!AO33,"")</f>
        <v>25</v>
      </c>
      <c r="S33" s="109">
        <f>IF(A33=B33,Studentwise!AP33,"")</f>
        <v>10</v>
      </c>
      <c r="T33" s="109">
        <f>IF(A33=B33,Studentwise!AQ33,"")</f>
        <v>38.888888888888893</v>
      </c>
      <c r="U33" s="109">
        <f>IF(A33=B33,Studentwise!AR33,"")</f>
        <v>61.111111111111114</v>
      </c>
      <c r="V33" s="109">
        <f>IF(A33=B33,Studentwise!AS33,"")</f>
        <v>0</v>
      </c>
      <c r="W33" s="7"/>
      <c r="X33" s="7"/>
      <c r="Y33" s="8" t="b">
        <f t="shared" si="10"/>
        <v>0</v>
      </c>
      <c r="Z33" s="8" t="b">
        <f t="shared" si="11"/>
        <v>0</v>
      </c>
      <c r="AA33" s="8" t="b">
        <f t="shared" si="11"/>
        <v>0</v>
      </c>
      <c r="AB33" s="8" t="b">
        <f t="shared" si="11"/>
        <v>0</v>
      </c>
      <c r="AC33" s="8" t="b">
        <f t="shared" si="11"/>
        <v>1</v>
      </c>
      <c r="AD33" s="8" t="b">
        <f t="shared" si="11"/>
        <v>1</v>
      </c>
      <c r="AE33" s="8">
        <f t="shared" si="14"/>
        <v>2</v>
      </c>
    </row>
    <row r="34" spans="1:31" ht="18" customHeight="1">
      <c r="A34" s="65">
        <v>15</v>
      </c>
      <c r="B34" s="43">
        <v>15</v>
      </c>
      <c r="C34" s="44" t="s">
        <v>342</v>
      </c>
      <c r="D34" s="45">
        <v>1</v>
      </c>
      <c r="E34" s="45">
        <v>1</v>
      </c>
      <c r="F34" s="45">
        <v>1</v>
      </c>
      <c r="G34" s="45">
        <v>1</v>
      </c>
      <c r="H34" s="45">
        <v>1</v>
      </c>
      <c r="I34" s="45">
        <v>1</v>
      </c>
      <c r="J34" s="45">
        <v>4</v>
      </c>
      <c r="K34" s="45">
        <v>2</v>
      </c>
      <c r="L34" s="45">
        <v>4</v>
      </c>
      <c r="M34" s="45">
        <v>3</v>
      </c>
      <c r="N34" s="45" t="s">
        <v>252</v>
      </c>
      <c r="O34" s="45" t="s">
        <v>252</v>
      </c>
      <c r="P34" s="118">
        <f t="shared" si="2"/>
        <v>19</v>
      </c>
      <c r="Q34" s="213"/>
      <c r="R34" s="109">
        <f>IF(A34=B34,Studentwise!AO34,"")</f>
        <v>96.15384615384616</v>
      </c>
      <c r="S34" s="109">
        <f>IF(A34=B34,Studentwise!AP34,"")</f>
        <v>28.571428571428569</v>
      </c>
      <c r="T34" s="109">
        <f>IF(A34=B34,Studentwise!AQ34,"")</f>
        <v>27.777777777777779</v>
      </c>
      <c r="U34" s="109">
        <f>IF(A34=B34,Studentwise!AR34,"")</f>
        <v>61.111111111111114</v>
      </c>
      <c r="V34" s="109">
        <f>IF(A34=B34,Studentwise!AS34,"")</f>
        <v>50</v>
      </c>
      <c r="W34" s="7"/>
      <c r="X34" s="7"/>
      <c r="Y34" s="8" t="b">
        <f t="shared" si="10"/>
        <v>0</v>
      </c>
      <c r="Z34" s="8" t="b">
        <f t="shared" si="11"/>
        <v>0</v>
      </c>
      <c r="AA34" s="8" t="b">
        <f t="shared" si="11"/>
        <v>0</v>
      </c>
      <c r="AB34" s="8" t="b">
        <f t="shared" si="11"/>
        <v>0</v>
      </c>
      <c r="AC34" s="8" t="b">
        <f t="shared" si="11"/>
        <v>1</v>
      </c>
      <c r="AD34" s="8" t="b">
        <f t="shared" si="11"/>
        <v>1</v>
      </c>
      <c r="AE34" s="8">
        <f t="shared" si="14"/>
        <v>2</v>
      </c>
    </row>
    <row r="35" spans="1:31" ht="18" customHeight="1">
      <c r="A35" s="65">
        <v>16</v>
      </c>
      <c r="B35" s="43">
        <v>16</v>
      </c>
      <c r="C35" s="44" t="s">
        <v>343</v>
      </c>
      <c r="D35" s="45">
        <v>0</v>
      </c>
      <c r="E35" s="45">
        <v>1</v>
      </c>
      <c r="F35" s="45">
        <v>1</v>
      </c>
      <c r="G35" s="45">
        <v>1</v>
      </c>
      <c r="H35" s="45">
        <v>0</v>
      </c>
      <c r="I35" s="45">
        <v>1</v>
      </c>
      <c r="J35" s="45">
        <v>3</v>
      </c>
      <c r="K35" s="45">
        <v>2</v>
      </c>
      <c r="L35" s="45" t="s">
        <v>252</v>
      </c>
      <c r="M35" s="45" t="s">
        <v>252</v>
      </c>
      <c r="N35" s="45">
        <v>4</v>
      </c>
      <c r="O35" s="45">
        <v>2</v>
      </c>
      <c r="P35" s="118">
        <f t="shared" si="2"/>
        <v>15</v>
      </c>
      <c r="Q35" s="213"/>
      <c r="R35" s="109">
        <f>IF(A35=B35,Studentwise!AO35,"")</f>
        <v>88.461538461538453</v>
      </c>
      <c r="S35" s="109">
        <f>IF(A35=B35,Studentwise!AP35,"")</f>
        <v>28.571428571428569</v>
      </c>
      <c r="T35" s="109">
        <f>IF(A35=B35,Studentwise!AQ35,"")</f>
        <v>83.333333333333343</v>
      </c>
      <c r="U35" s="109">
        <f>IF(A35=B35,Studentwise!AR35,"")</f>
        <v>94.444444444444443</v>
      </c>
      <c r="V35" s="109">
        <f>IF(A35=B35,Studentwise!AS35,"")</f>
        <v>100</v>
      </c>
      <c r="W35" s="7"/>
      <c r="X35" s="7"/>
      <c r="Y35" s="8" t="b">
        <f t="shared" si="10"/>
        <v>0</v>
      </c>
      <c r="Z35" s="8" t="b">
        <f t="shared" si="11"/>
        <v>0</v>
      </c>
      <c r="AA35" s="8" t="b">
        <f t="shared" si="11"/>
        <v>1</v>
      </c>
      <c r="AB35" s="8" t="b">
        <f t="shared" si="11"/>
        <v>1</v>
      </c>
      <c r="AC35" s="8" t="b">
        <f t="shared" si="11"/>
        <v>0</v>
      </c>
      <c r="AD35" s="8" t="b">
        <f t="shared" si="11"/>
        <v>0</v>
      </c>
      <c r="AE35" s="8">
        <f t="shared" si="14"/>
        <v>2</v>
      </c>
    </row>
    <row r="36" spans="1:31" ht="18" customHeight="1">
      <c r="A36" s="65">
        <v>17</v>
      </c>
      <c r="B36" s="43">
        <v>17</v>
      </c>
      <c r="C36" s="44" t="s">
        <v>344</v>
      </c>
      <c r="D36" s="45">
        <v>0</v>
      </c>
      <c r="E36" s="45">
        <v>1</v>
      </c>
      <c r="F36" s="45">
        <v>1</v>
      </c>
      <c r="G36" s="45">
        <v>0</v>
      </c>
      <c r="H36" s="45">
        <v>1</v>
      </c>
      <c r="I36" s="45">
        <v>1</v>
      </c>
      <c r="J36" s="45">
        <v>3</v>
      </c>
      <c r="K36" s="45">
        <v>1</v>
      </c>
      <c r="L36" s="45" t="s">
        <v>252</v>
      </c>
      <c r="M36" s="45" t="s">
        <v>252</v>
      </c>
      <c r="N36" s="45">
        <v>2</v>
      </c>
      <c r="O36" s="45">
        <v>2</v>
      </c>
      <c r="P36" s="118">
        <f t="shared" si="2"/>
        <v>12</v>
      </c>
      <c r="Q36" s="213"/>
      <c r="R36" s="109">
        <f>IF(A36=B36,Studentwise!AO36,"")</f>
        <v>88.461538461538453</v>
      </c>
      <c r="S36" s="109">
        <f>IF(A36=B36,Studentwise!AP36,"")</f>
        <v>42.857142857142854</v>
      </c>
      <c r="T36" s="109">
        <f>IF(A36=B36,Studentwise!AQ36,"")</f>
        <v>72.222222222222214</v>
      </c>
      <c r="U36" s="109">
        <f>IF(A36=B36,Studentwise!AR36,"")</f>
        <v>88.888888888888886</v>
      </c>
      <c r="V36" s="109">
        <f>IF(A36=B36,Studentwise!AS36,"")</f>
        <v>50</v>
      </c>
      <c r="W36" s="7"/>
      <c r="X36" s="7"/>
      <c r="Y36" s="8" t="b">
        <f t="shared" si="10"/>
        <v>0</v>
      </c>
      <c r="Z36" s="8" t="b">
        <f t="shared" si="10"/>
        <v>0</v>
      </c>
      <c r="AA36" s="8" t="b">
        <f t="shared" si="10"/>
        <v>1</v>
      </c>
      <c r="AB36" s="8" t="b">
        <f t="shared" si="10"/>
        <v>1</v>
      </c>
      <c r="AC36" s="8" t="b">
        <f t="shared" si="10"/>
        <v>0</v>
      </c>
      <c r="AD36" s="8" t="b">
        <f t="shared" si="10"/>
        <v>0</v>
      </c>
      <c r="AE36" s="8">
        <f t="shared" si="14"/>
        <v>2</v>
      </c>
    </row>
    <row r="37" spans="1:31" ht="18" customHeight="1">
      <c r="A37" s="65">
        <v>18</v>
      </c>
      <c r="B37" s="43">
        <v>18</v>
      </c>
      <c r="C37" s="44" t="s">
        <v>345</v>
      </c>
      <c r="D37" s="45">
        <v>1</v>
      </c>
      <c r="E37" s="45">
        <v>1</v>
      </c>
      <c r="F37" s="45">
        <v>1</v>
      </c>
      <c r="G37" s="45">
        <v>1</v>
      </c>
      <c r="H37" s="45">
        <v>0</v>
      </c>
      <c r="I37" s="45">
        <v>1</v>
      </c>
      <c r="J37" s="45">
        <v>3</v>
      </c>
      <c r="K37" s="45">
        <v>3</v>
      </c>
      <c r="L37" s="45" t="s">
        <v>252</v>
      </c>
      <c r="M37" s="45" t="s">
        <v>252</v>
      </c>
      <c r="N37" s="45">
        <v>4</v>
      </c>
      <c r="O37" s="45">
        <v>3</v>
      </c>
      <c r="P37" s="118">
        <f t="shared" si="2"/>
        <v>18</v>
      </c>
      <c r="Q37" s="213"/>
      <c r="R37" s="109">
        <f>IF(A37=B37,Studentwise!AO37,"")</f>
        <v>84.615384615384613</v>
      </c>
      <c r="S37" s="109">
        <f>IF(A37=B37,Studentwise!AP37,"")</f>
        <v>35.714285714285715</v>
      </c>
      <c r="T37" s="109">
        <f>IF(A37=B37,Studentwise!AQ37,"")</f>
        <v>25</v>
      </c>
      <c r="U37" s="109">
        <f>IF(A37=B37,Studentwise!AR37,"")</f>
        <v>88.888888888888886</v>
      </c>
      <c r="V37" s="109">
        <f>IF(A37=B37,Studentwise!AS37,"")</f>
        <v>88.888888888888886</v>
      </c>
      <c r="W37" s="7"/>
      <c r="X37" s="7"/>
      <c r="Y37" s="8" t="b">
        <f t="shared" si="10"/>
        <v>0</v>
      </c>
      <c r="Z37" s="8" t="b">
        <f t="shared" si="10"/>
        <v>0</v>
      </c>
      <c r="AA37" s="8" t="b">
        <f t="shared" si="10"/>
        <v>1</v>
      </c>
      <c r="AB37" s="8" t="b">
        <f t="shared" si="10"/>
        <v>1</v>
      </c>
      <c r="AC37" s="8" t="b">
        <f t="shared" si="10"/>
        <v>0</v>
      </c>
      <c r="AD37" s="8" t="b">
        <f t="shared" si="10"/>
        <v>0</v>
      </c>
      <c r="AE37" s="8">
        <f t="shared" si="14"/>
        <v>2</v>
      </c>
    </row>
    <row r="38" spans="1:31" ht="18" customHeight="1">
      <c r="A38" s="65">
        <v>19</v>
      </c>
      <c r="B38" s="43">
        <v>19</v>
      </c>
      <c r="C38" s="44" t="s">
        <v>346</v>
      </c>
      <c r="D38" s="45">
        <v>1</v>
      </c>
      <c r="E38" s="45">
        <v>1</v>
      </c>
      <c r="F38" s="45">
        <v>1</v>
      </c>
      <c r="G38" s="45">
        <v>0</v>
      </c>
      <c r="H38" s="45">
        <v>0</v>
      </c>
      <c r="I38" s="45">
        <v>1</v>
      </c>
      <c r="J38" s="45">
        <v>3</v>
      </c>
      <c r="K38" s="45">
        <v>3</v>
      </c>
      <c r="L38" s="45">
        <v>1</v>
      </c>
      <c r="M38" s="45">
        <v>2</v>
      </c>
      <c r="N38" s="45" t="s">
        <v>252</v>
      </c>
      <c r="O38" s="45" t="s">
        <v>252</v>
      </c>
      <c r="P38" s="118">
        <f t="shared" si="2"/>
        <v>13</v>
      </c>
      <c r="Q38" s="213"/>
      <c r="R38" s="109">
        <f>IF(A38=B38,Studentwise!AO38,"")</f>
        <v>66.666666666666657</v>
      </c>
      <c r="S38" s="109">
        <f>IF(A38=B38,Studentwise!AP38,"")</f>
        <v>25</v>
      </c>
      <c r="T38" s="109">
        <f>IF(A38=B38,Studentwise!AQ38,"")</f>
        <v>38.888888888888893</v>
      </c>
      <c r="U38" s="109">
        <f>IF(A38=B38,Studentwise!AR38,"")</f>
        <v>77.777777777777786</v>
      </c>
      <c r="V38" s="109">
        <f>IF(A38=B38,Studentwise!AS38,"")</f>
        <v>50</v>
      </c>
      <c r="W38" s="7"/>
      <c r="X38" s="7"/>
      <c r="Y38" s="8" t="b">
        <f t="shared" si="10"/>
        <v>0</v>
      </c>
      <c r="Z38" s="8" t="b">
        <f t="shared" si="10"/>
        <v>0</v>
      </c>
      <c r="AA38" s="8" t="b">
        <f t="shared" si="10"/>
        <v>0</v>
      </c>
      <c r="AB38" s="8" t="b">
        <f t="shared" si="10"/>
        <v>0</v>
      </c>
      <c r="AC38" s="8" t="b">
        <f t="shared" si="10"/>
        <v>1</v>
      </c>
      <c r="AD38" s="8" t="b">
        <f t="shared" si="10"/>
        <v>1</v>
      </c>
      <c r="AE38" s="8">
        <f t="shared" si="14"/>
        <v>2</v>
      </c>
    </row>
    <row r="39" spans="1:31" ht="18" customHeight="1">
      <c r="A39" s="65">
        <v>20</v>
      </c>
      <c r="B39" s="43">
        <v>20</v>
      </c>
      <c r="C39" s="44" t="s">
        <v>347</v>
      </c>
      <c r="D39" s="45">
        <v>1</v>
      </c>
      <c r="E39" s="45">
        <v>1</v>
      </c>
      <c r="F39" s="45">
        <v>1</v>
      </c>
      <c r="G39" s="45">
        <v>1</v>
      </c>
      <c r="H39" s="45">
        <v>0</v>
      </c>
      <c r="I39" s="45">
        <v>1</v>
      </c>
      <c r="J39" s="45">
        <v>4</v>
      </c>
      <c r="K39" s="45">
        <v>3</v>
      </c>
      <c r="L39" s="45">
        <v>0</v>
      </c>
      <c r="M39" s="45">
        <v>3</v>
      </c>
      <c r="N39" s="45" t="s">
        <v>252</v>
      </c>
      <c r="O39" s="45" t="s">
        <v>252</v>
      </c>
      <c r="P39" s="118">
        <f t="shared" si="2"/>
        <v>15</v>
      </c>
      <c r="Q39" s="213"/>
      <c r="R39" s="109">
        <f>IF(A39=B39,Studentwise!AO39,"")</f>
        <v>50</v>
      </c>
      <c r="S39" s="109">
        <f>IF(A39=B39,Studentwise!AP39,"")</f>
        <v>30</v>
      </c>
      <c r="T39" s="109">
        <f>IF(A39=B39,Studentwise!AQ39,"")</f>
        <v>27.777777777777779</v>
      </c>
      <c r="U39" s="109">
        <f>IF(A39=B39,Studentwise!AR39,"")</f>
        <v>44.444444444444443</v>
      </c>
      <c r="V39" s="109">
        <f>IF(A39=B39,Studentwise!AS39,"")</f>
        <v>0</v>
      </c>
      <c r="W39" s="7"/>
      <c r="X39" s="7"/>
      <c r="Y39" s="8" t="b">
        <f t="shared" si="10"/>
        <v>0</v>
      </c>
      <c r="Z39" s="8" t="b">
        <f t="shared" si="10"/>
        <v>0</v>
      </c>
      <c r="AA39" s="8" t="b">
        <f t="shared" si="10"/>
        <v>0</v>
      </c>
      <c r="AB39" s="8" t="b">
        <f t="shared" si="10"/>
        <v>0</v>
      </c>
      <c r="AC39" s="8" t="b">
        <f t="shared" si="10"/>
        <v>1</v>
      </c>
      <c r="AD39" s="8" t="b">
        <f t="shared" si="10"/>
        <v>1</v>
      </c>
      <c r="AE39" s="8">
        <f t="shared" si="14"/>
        <v>2</v>
      </c>
    </row>
    <row r="40" spans="1:31" ht="18" customHeight="1">
      <c r="A40" s="65">
        <v>21</v>
      </c>
      <c r="B40" s="43">
        <v>21</v>
      </c>
      <c r="C40" s="44" t="s">
        <v>348</v>
      </c>
      <c r="D40" s="45">
        <v>1</v>
      </c>
      <c r="E40" s="45">
        <v>1</v>
      </c>
      <c r="F40" s="45">
        <v>1</v>
      </c>
      <c r="G40" s="45">
        <v>0</v>
      </c>
      <c r="H40" s="45">
        <v>1</v>
      </c>
      <c r="I40" s="45">
        <v>0</v>
      </c>
      <c r="J40" s="45">
        <v>3</v>
      </c>
      <c r="K40" s="45">
        <v>3</v>
      </c>
      <c r="L40" s="45" t="s">
        <v>252</v>
      </c>
      <c r="M40" s="45" t="s">
        <v>252</v>
      </c>
      <c r="N40" s="45">
        <v>4</v>
      </c>
      <c r="O40" s="45">
        <v>1</v>
      </c>
      <c r="P40" s="118">
        <f t="shared" si="2"/>
        <v>15</v>
      </c>
      <c r="Q40" s="213"/>
      <c r="R40" s="109">
        <f>IF(A40=B40,Studentwise!AO40,"")</f>
        <v>75</v>
      </c>
      <c r="S40" s="109">
        <f>IF(A40=B40,Studentwise!AP40,"")</f>
        <v>55.000000000000007</v>
      </c>
      <c r="T40" s="109">
        <f>IF(A40=B40,Studentwise!AQ40,"")</f>
        <v>83.333333333333343</v>
      </c>
      <c r="U40" s="109">
        <f>IF(A40=B40,Studentwise!AR40,"")</f>
        <v>100</v>
      </c>
      <c r="V40" s="109">
        <f>IF(A40=B40,Studentwise!AS40,"")</f>
        <v>75</v>
      </c>
      <c r="W40" s="7"/>
      <c r="X40" s="7"/>
      <c r="Y40" s="8" t="b">
        <f t="shared" si="10"/>
        <v>0</v>
      </c>
      <c r="Z40" s="8" t="b">
        <f t="shared" si="10"/>
        <v>0</v>
      </c>
      <c r="AA40" s="8" t="b">
        <f t="shared" si="10"/>
        <v>1</v>
      </c>
      <c r="AB40" s="8" t="b">
        <f t="shared" si="10"/>
        <v>1</v>
      </c>
      <c r="AC40" s="8" t="b">
        <f t="shared" si="10"/>
        <v>0</v>
      </c>
      <c r="AD40" s="8" t="b">
        <f t="shared" si="10"/>
        <v>0</v>
      </c>
      <c r="AE40" s="8">
        <f t="shared" si="14"/>
        <v>2</v>
      </c>
    </row>
    <row r="41" spans="1:31" ht="18" customHeight="1">
      <c r="A41" s="65">
        <v>22</v>
      </c>
      <c r="B41" s="43">
        <v>22</v>
      </c>
      <c r="C41" s="44" t="s">
        <v>349</v>
      </c>
      <c r="D41" s="45">
        <v>0</v>
      </c>
      <c r="E41" s="45">
        <v>1</v>
      </c>
      <c r="F41" s="45">
        <v>1</v>
      </c>
      <c r="G41" s="45">
        <v>0</v>
      </c>
      <c r="H41" s="45">
        <v>1</v>
      </c>
      <c r="I41" s="45">
        <v>0</v>
      </c>
      <c r="J41" s="45">
        <v>4</v>
      </c>
      <c r="K41" s="45">
        <v>1</v>
      </c>
      <c r="L41" s="45" t="s">
        <v>252</v>
      </c>
      <c r="M41" s="45" t="s">
        <v>252</v>
      </c>
      <c r="N41" s="45">
        <v>4</v>
      </c>
      <c r="O41" s="45">
        <v>0</v>
      </c>
      <c r="P41" s="118">
        <f t="shared" si="2"/>
        <v>12</v>
      </c>
      <c r="Q41" s="213"/>
      <c r="R41" s="109">
        <f>IF(A41=B41,Studentwise!AO41,"")</f>
        <v>76.923076923076934</v>
      </c>
      <c r="S41" s="109">
        <f>IF(A41=B41,Studentwise!AP41,"")</f>
        <v>78.571428571428569</v>
      </c>
      <c r="T41" s="109">
        <f>IF(A41=B41,Studentwise!AQ41,"")</f>
        <v>83.333333333333343</v>
      </c>
      <c r="U41" s="109">
        <f>IF(A41=B41,Studentwise!AR41,"")</f>
        <v>94.444444444444443</v>
      </c>
      <c r="V41" s="109">
        <f>IF(A41=B41,Studentwise!AS41,"")</f>
        <v>50</v>
      </c>
      <c r="W41" s="7"/>
      <c r="X41" s="7"/>
      <c r="Y41" s="8" t="b">
        <f t="shared" si="10"/>
        <v>0</v>
      </c>
      <c r="Z41" s="8" t="b">
        <f t="shared" si="10"/>
        <v>0</v>
      </c>
      <c r="AA41" s="8" t="b">
        <f t="shared" si="10"/>
        <v>1</v>
      </c>
      <c r="AB41" s="8" t="b">
        <f t="shared" si="10"/>
        <v>1</v>
      </c>
      <c r="AC41" s="8" t="b">
        <f t="shared" si="10"/>
        <v>0</v>
      </c>
      <c r="AD41" s="8" t="b">
        <f t="shared" si="10"/>
        <v>0</v>
      </c>
      <c r="AE41" s="8">
        <f t="shared" si="14"/>
        <v>2</v>
      </c>
    </row>
    <row r="42" spans="1:31" ht="18" customHeight="1">
      <c r="A42" s="65">
        <v>23</v>
      </c>
      <c r="B42" s="43">
        <v>23</v>
      </c>
      <c r="C42" s="44" t="s">
        <v>350</v>
      </c>
      <c r="D42" s="45">
        <v>0</v>
      </c>
      <c r="E42" s="45">
        <v>0</v>
      </c>
      <c r="F42" s="45">
        <v>1</v>
      </c>
      <c r="G42" s="45">
        <v>0</v>
      </c>
      <c r="H42" s="45">
        <v>0</v>
      </c>
      <c r="I42" s="45">
        <v>1</v>
      </c>
      <c r="J42" s="45">
        <v>4</v>
      </c>
      <c r="K42" s="45">
        <v>3</v>
      </c>
      <c r="L42" s="45" t="s">
        <v>252</v>
      </c>
      <c r="M42" s="45" t="s">
        <v>252</v>
      </c>
      <c r="N42" s="45">
        <v>4</v>
      </c>
      <c r="O42" s="45">
        <v>2</v>
      </c>
      <c r="P42" s="118">
        <f t="shared" si="2"/>
        <v>15</v>
      </c>
      <c r="Q42" s="213"/>
      <c r="R42" s="109">
        <f>IF(A42=B42,Studentwise!AO42,"")</f>
        <v>85</v>
      </c>
      <c r="S42" s="109">
        <f>IF(A42=B42,Studentwise!AP42,"")</f>
        <v>40</v>
      </c>
      <c r="T42" s="109">
        <f>IF(A42=B42,Studentwise!AQ42,"")</f>
        <v>83.333333333333343</v>
      </c>
      <c r="U42" s="109">
        <f>IF(A42=B42,Studentwise!AR42,"")</f>
        <v>94.444444444444443</v>
      </c>
      <c r="V42" s="109">
        <f>IF(A42=B42,Studentwise!AS42,"")</f>
        <v>50</v>
      </c>
      <c r="W42" s="7"/>
      <c r="X42" s="7"/>
      <c r="Y42" s="8" t="b">
        <f t="shared" si="10"/>
        <v>0</v>
      </c>
      <c r="Z42" s="8" t="b">
        <f t="shared" si="10"/>
        <v>0</v>
      </c>
      <c r="AA42" s="8" t="b">
        <f t="shared" si="10"/>
        <v>1</v>
      </c>
      <c r="AB42" s="8" t="b">
        <f t="shared" si="10"/>
        <v>1</v>
      </c>
      <c r="AC42" s="8" t="b">
        <f t="shared" si="10"/>
        <v>0</v>
      </c>
      <c r="AD42" s="8" t="b">
        <f t="shared" si="10"/>
        <v>0</v>
      </c>
      <c r="AE42" s="8">
        <f t="shared" si="14"/>
        <v>2</v>
      </c>
    </row>
    <row r="43" spans="1:31" ht="18" customHeight="1">
      <c r="A43" s="65">
        <v>24</v>
      </c>
      <c r="B43" s="43">
        <v>24</v>
      </c>
      <c r="C43" s="44" t="s">
        <v>351</v>
      </c>
      <c r="D43" s="45">
        <v>0</v>
      </c>
      <c r="E43" s="45">
        <v>1</v>
      </c>
      <c r="F43" s="45">
        <v>1</v>
      </c>
      <c r="G43" s="45">
        <v>0</v>
      </c>
      <c r="H43" s="45">
        <v>1</v>
      </c>
      <c r="I43" s="45">
        <v>0</v>
      </c>
      <c r="J43" s="45">
        <v>4</v>
      </c>
      <c r="K43" s="45">
        <v>0</v>
      </c>
      <c r="L43" s="45" t="s">
        <v>252</v>
      </c>
      <c r="M43" s="45" t="s">
        <v>252</v>
      </c>
      <c r="N43" s="45">
        <v>4</v>
      </c>
      <c r="O43" s="45">
        <v>1</v>
      </c>
      <c r="P43" s="118">
        <f t="shared" si="2"/>
        <v>12</v>
      </c>
      <c r="Q43" s="213"/>
      <c r="R43" s="109">
        <f>IF(A43=B43,Studentwise!AO43,"")</f>
        <v>92.307692307692307</v>
      </c>
      <c r="S43" s="109">
        <f>IF(A43=B43,Studentwise!AP43,"")</f>
        <v>14.285714285714285</v>
      </c>
      <c r="T43" s="109">
        <f>IF(A43=B43,Studentwise!AQ43,"")</f>
        <v>88.888888888888886</v>
      </c>
      <c r="U43" s="109">
        <f>IF(A43=B43,Studentwise!AR43,"")</f>
        <v>33.333333333333329</v>
      </c>
      <c r="V43" s="109">
        <f>IF(A43=B43,Studentwise!AS43,"")</f>
        <v>25</v>
      </c>
      <c r="W43" s="7"/>
      <c r="X43" s="7"/>
      <c r="Y43" s="8" t="b">
        <f t="shared" si="10"/>
        <v>0</v>
      </c>
      <c r="Z43" s="8" t="b">
        <f t="shared" si="10"/>
        <v>0</v>
      </c>
      <c r="AA43" s="8" t="b">
        <f t="shared" si="10"/>
        <v>1</v>
      </c>
      <c r="AB43" s="8" t="b">
        <f t="shared" si="10"/>
        <v>1</v>
      </c>
      <c r="AC43" s="8" t="b">
        <f t="shared" si="10"/>
        <v>0</v>
      </c>
      <c r="AD43" s="8" t="b">
        <f t="shared" si="10"/>
        <v>0</v>
      </c>
      <c r="AE43" s="8">
        <f t="shared" si="14"/>
        <v>2</v>
      </c>
    </row>
    <row r="44" spans="1:31" ht="18" customHeight="1">
      <c r="A44" s="65">
        <v>25</v>
      </c>
      <c r="B44" s="43">
        <v>25</v>
      </c>
      <c r="C44" s="44" t="s">
        <v>352</v>
      </c>
      <c r="D44" s="45">
        <v>1</v>
      </c>
      <c r="E44" s="45">
        <v>1</v>
      </c>
      <c r="F44" s="45">
        <v>1</v>
      </c>
      <c r="G44" s="45">
        <v>1</v>
      </c>
      <c r="H44" s="45">
        <v>1</v>
      </c>
      <c r="I44" s="45">
        <v>1</v>
      </c>
      <c r="J44" s="45">
        <v>4</v>
      </c>
      <c r="K44" s="45">
        <v>3</v>
      </c>
      <c r="L44" s="45">
        <v>3</v>
      </c>
      <c r="M44" s="45">
        <v>3</v>
      </c>
      <c r="N44" s="45" t="s">
        <v>252</v>
      </c>
      <c r="O44" s="45" t="s">
        <v>252</v>
      </c>
      <c r="P44" s="118">
        <f t="shared" si="2"/>
        <v>19</v>
      </c>
      <c r="Q44" s="213"/>
      <c r="R44" s="109">
        <f>IF(A44=B44,Studentwise!AO44,"")</f>
        <v>75</v>
      </c>
      <c r="S44" s="109">
        <f>IF(A44=B44,Studentwise!AP44,"")</f>
        <v>55.000000000000007</v>
      </c>
      <c r="T44" s="109">
        <f>IF(A44=B44,Studentwise!AQ44,"")</f>
        <v>88.888888888888886</v>
      </c>
      <c r="U44" s="109">
        <f>IF(A44=B44,Studentwise!AR44,"")</f>
        <v>100</v>
      </c>
      <c r="V44" s="109">
        <f>IF(A44=B44,Studentwise!AS44,"")</f>
        <v>75</v>
      </c>
      <c r="W44" s="7"/>
      <c r="X44" s="7"/>
      <c r="Y44" s="8" t="b">
        <f t="shared" si="10"/>
        <v>0</v>
      </c>
      <c r="Z44" s="8" t="b">
        <f t="shared" si="10"/>
        <v>0</v>
      </c>
      <c r="AA44" s="8" t="b">
        <f t="shared" si="10"/>
        <v>0</v>
      </c>
      <c r="AB44" s="8" t="b">
        <f t="shared" si="10"/>
        <v>0</v>
      </c>
      <c r="AC44" s="8" t="b">
        <f t="shared" si="10"/>
        <v>1</v>
      </c>
      <c r="AD44" s="8" t="b">
        <f t="shared" si="10"/>
        <v>1</v>
      </c>
      <c r="AE44" s="8">
        <f t="shared" si="14"/>
        <v>2</v>
      </c>
    </row>
    <row r="45" spans="1:31" ht="18" customHeight="1">
      <c r="A45" s="65">
        <v>26</v>
      </c>
      <c r="B45" s="43">
        <v>26</v>
      </c>
      <c r="C45" s="44" t="s">
        <v>353</v>
      </c>
      <c r="D45" s="45">
        <v>0</v>
      </c>
      <c r="E45" s="45">
        <v>1</v>
      </c>
      <c r="F45" s="45">
        <v>1</v>
      </c>
      <c r="G45" s="45">
        <v>0</v>
      </c>
      <c r="H45" s="45">
        <v>1</v>
      </c>
      <c r="I45" s="45">
        <v>1</v>
      </c>
      <c r="J45" s="45">
        <v>4</v>
      </c>
      <c r="K45" s="45">
        <v>2</v>
      </c>
      <c r="L45" s="45">
        <v>4</v>
      </c>
      <c r="M45" s="45">
        <v>3</v>
      </c>
      <c r="N45" s="45" t="s">
        <v>252</v>
      </c>
      <c r="O45" s="45" t="s">
        <v>252</v>
      </c>
      <c r="P45" s="118">
        <f t="shared" si="2"/>
        <v>17</v>
      </c>
      <c r="Q45" s="213"/>
      <c r="R45" s="109">
        <f>IF(A45=B45,Studentwise!AO45,"")</f>
        <v>75</v>
      </c>
      <c r="S45" s="109">
        <f>IF(A45=B45,Studentwise!AP45,"")</f>
        <v>42.857142857142854</v>
      </c>
      <c r="T45" s="109">
        <f>IF(A45=B45,Studentwise!AQ45,"")</f>
        <v>50</v>
      </c>
      <c r="U45" s="109">
        <f>IF(A45=B45,Studentwise!AR45,"")</f>
        <v>77.777777777777786</v>
      </c>
      <c r="V45" s="109">
        <f>IF(A45=B45,Studentwise!AS45,"")</f>
        <v>100</v>
      </c>
      <c r="W45" s="7"/>
      <c r="X45" s="7"/>
      <c r="Y45" s="8" t="b">
        <f t="shared" si="10"/>
        <v>0</v>
      </c>
      <c r="Z45" s="8" t="b">
        <f t="shared" si="10"/>
        <v>0</v>
      </c>
      <c r="AA45" s="8" t="b">
        <f t="shared" si="10"/>
        <v>0</v>
      </c>
      <c r="AB45" s="8" t="b">
        <f t="shared" si="10"/>
        <v>0</v>
      </c>
      <c r="AC45" s="8" t="b">
        <f t="shared" si="10"/>
        <v>1</v>
      </c>
      <c r="AD45" s="8" t="b">
        <f t="shared" si="10"/>
        <v>1</v>
      </c>
      <c r="AE45" s="8">
        <f t="shared" si="14"/>
        <v>2</v>
      </c>
    </row>
    <row r="46" spans="1:31" ht="18" customHeight="1">
      <c r="A46" s="65">
        <v>27</v>
      </c>
      <c r="B46" s="43">
        <v>27</v>
      </c>
      <c r="C46" s="44" t="s">
        <v>354</v>
      </c>
      <c r="D46" s="45">
        <v>0</v>
      </c>
      <c r="E46" s="45">
        <v>1</v>
      </c>
      <c r="F46" s="45">
        <v>1</v>
      </c>
      <c r="G46" s="45">
        <v>1</v>
      </c>
      <c r="H46" s="45">
        <v>0</v>
      </c>
      <c r="I46" s="45">
        <v>1</v>
      </c>
      <c r="J46" s="45">
        <v>4</v>
      </c>
      <c r="K46" s="45">
        <v>3</v>
      </c>
      <c r="L46" s="45" t="s">
        <v>252</v>
      </c>
      <c r="M46" s="45" t="s">
        <v>252</v>
      </c>
      <c r="N46" s="45">
        <v>4</v>
      </c>
      <c r="O46" s="45">
        <v>1</v>
      </c>
      <c r="P46" s="118">
        <f t="shared" si="2"/>
        <v>16</v>
      </c>
      <c r="Q46" s="213"/>
      <c r="R46" s="109">
        <f>IF(A46=B46,Studentwise!AO46,"")</f>
        <v>19.230769230769234</v>
      </c>
      <c r="S46" s="109">
        <f>IF(A46=B46,Studentwise!AP46,"")</f>
        <v>28.571428571428569</v>
      </c>
      <c r="T46" s="109">
        <f>IF(A46=B46,Studentwise!AQ46,"")</f>
        <v>38.888888888888893</v>
      </c>
      <c r="U46" s="109">
        <f>IF(A46=B46,Studentwise!AR46,"")</f>
        <v>61.111111111111114</v>
      </c>
      <c r="V46" s="109">
        <f>IF(A46=B46,Studentwise!AS46,"")</f>
        <v>0</v>
      </c>
      <c r="W46" s="7"/>
      <c r="X46" s="7"/>
      <c r="Y46" s="8" t="b">
        <f t="shared" si="10"/>
        <v>0</v>
      </c>
      <c r="Z46" s="8" t="b">
        <f t="shared" si="10"/>
        <v>0</v>
      </c>
      <c r="AA46" s="8" t="b">
        <f t="shared" si="10"/>
        <v>1</v>
      </c>
      <c r="AB46" s="8" t="b">
        <f t="shared" si="10"/>
        <v>1</v>
      </c>
      <c r="AC46" s="8" t="b">
        <f t="shared" si="10"/>
        <v>0</v>
      </c>
      <c r="AD46" s="8" t="b">
        <f t="shared" si="10"/>
        <v>0</v>
      </c>
      <c r="AE46" s="8">
        <f t="shared" si="14"/>
        <v>2</v>
      </c>
    </row>
    <row r="47" spans="1:31" ht="18" customHeight="1">
      <c r="A47" s="65">
        <v>28</v>
      </c>
      <c r="B47" s="43">
        <v>28</v>
      </c>
      <c r="C47" s="44" t="s">
        <v>355</v>
      </c>
      <c r="D47" s="45">
        <v>0</v>
      </c>
      <c r="E47" s="45">
        <v>1</v>
      </c>
      <c r="F47" s="45">
        <v>0</v>
      </c>
      <c r="G47" s="45">
        <v>0</v>
      </c>
      <c r="H47" s="45">
        <v>0</v>
      </c>
      <c r="I47" s="45">
        <v>1</v>
      </c>
      <c r="J47" s="45">
        <v>3</v>
      </c>
      <c r="K47" s="45">
        <v>3</v>
      </c>
      <c r="L47" s="45" t="s">
        <v>252</v>
      </c>
      <c r="M47" s="45" t="s">
        <v>252</v>
      </c>
      <c r="N47" s="45">
        <v>4</v>
      </c>
      <c r="O47" s="45">
        <v>2</v>
      </c>
      <c r="P47" s="118">
        <f t="shared" si="2"/>
        <v>14</v>
      </c>
      <c r="Q47" s="213"/>
      <c r="R47" s="109">
        <f>IF(A47=B47,Studentwise!AO47,"")</f>
        <v>38.461538461538467</v>
      </c>
      <c r="S47" s="109">
        <f>IF(A47=B47,Studentwise!AP47,"")</f>
        <v>42.857142857142854</v>
      </c>
      <c r="T47" s="109">
        <f>IF(A47=B47,Studentwise!AQ47,"")</f>
        <v>61.111111111111114</v>
      </c>
      <c r="U47" s="109">
        <f>IF(A47=B47,Studentwise!AR47,"")</f>
        <v>44.444444444444443</v>
      </c>
      <c r="V47" s="109">
        <f>IF(A47=B47,Studentwise!AS47,"")</f>
        <v>75</v>
      </c>
      <c r="W47" s="7"/>
      <c r="X47" s="7"/>
      <c r="Y47" s="8" t="b">
        <f t="shared" si="10"/>
        <v>0</v>
      </c>
      <c r="Z47" s="8" t="b">
        <f t="shared" si="10"/>
        <v>0</v>
      </c>
      <c r="AA47" s="8" t="b">
        <f t="shared" si="10"/>
        <v>1</v>
      </c>
      <c r="AB47" s="8" t="b">
        <f t="shared" si="10"/>
        <v>1</v>
      </c>
      <c r="AC47" s="8" t="b">
        <f t="shared" si="10"/>
        <v>0</v>
      </c>
      <c r="AD47" s="8" t="b">
        <f t="shared" si="10"/>
        <v>0</v>
      </c>
      <c r="AE47" s="8">
        <f t="shared" si="14"/>
        <v>2</v>
      </c>
    </row>
    <row r="48" spans="1:31" ht="18" customHeight="1">
      <c r="A48" s="65">
        <v>29</v>
      </c>
      <c r="B48" s="43">
        <v>29</v>
      </c>
      <c r="C48" s="44" t="s">
        <v>356</v>
      </c>
      <c r="D48" s="45">
        <v>1</v>
      </c>
      <c r="E48" s="45">
        <v>1</v>
      </c>
      <c r="F48" s="45">
        <v>1</v>
      </c>
      <c r="G48" s="45">
        <v>1</v>
      </c>
      <c r="H48" s="45">
        <v>1</v>
      </c>
      <c r="I48" s="45">
        <v>1</v>
      </c>
      <c r="J48" s="45">
        <v>4</v>
      </c>
      <c r="K48" s="45">
        <v>2</v>
      </c>
      <c r="L48" s="45" t="s">
        <v>252</v>
      </c>
      <c r="M48" s="45" t="s">
        <v>252</v>
      </c>
      <c r="N48" s="45">
        <v>4</v>
      </c>
      <c r="O48" s="45">
        <v>3</v>
      </c>
      <c r="P48" s="118">
        <f t="shared" si="2"/>
        <v>19</v>
      </c>
      <c r="Q48" s="213"/>
      <c r="R48" s="109">
        <f>IF(A48=B48,Studentwise!AO48,"")</f>
        <v>46.153846153846153</v>
      </c>
      <c r="S48" s="109">
        <f>IF(A48=B48,Studentwise!AP48,"")</f>
        <v>50</v>
      </c>
      <c r="T48" s="109">
        <f>IF(A48=B48,Studentwise!AQ48,"")</f>
        <v>55.555555555555557</v>
      </c>
      <c r="U48" s="109">
        <f>IF(A48=B48,Studentwise!AR48,"")</f>
        <v>100</v>
      </c>
      <c r="V48" s="109">
        <f>IF(A48=B48,Studentwise!AS48,"")</f>
        <v>100</v>
      </c>
      <c r="W48" s="7"/>
      <c r="X48" s="7"/>
      <c r="Y48" s="8" t="b">
        <f t="shared" si="10"/>
        <v>0</v>
      </c>
      <c r="Z48" s="8" t="b">
        <f t="shared" si="10"/>
        <v>0</v>
      </c>
      <c r="AA48" s="8" t="b">
        <f t="shared" si="10"/>
        <v>1</v>
      </c>
      <c r="AB48" s="8" t="b">
        <f t="shared" si="10"/>
        <v>1</v>
      </c>
      <c r="AC48" s="8" t="b">
        <f t="shared" si="10"/>
        <v>0</v>
      </c>
      <c r="AD48" s="8" t="b">
        <f t="shared" si="10"/>
        <v>0</v>
      </c>
      <c r="AE48" s="8">
        <f t="shared" si="14"/>
        <v>2</v>
      </c>
    </row>
    <row r="49" spans="1:31" ht="18" customHeight="1">
      <c r="A49" s="65">
        <v>30</v>
      </c>
      <c r="B49" s="43">
        <v>30</v>
      </c>
      <c r="C49" s="44" t="s">
        <v>357</v>
      </c>
      <c r="D49" s="45">
        <v>1</v>
      </c>
      <c r="E49" s="45">
        <v>1</v>
      </c>
      <c r="F49" s="45">
        <v>1</v>
      </c>
      <c r="G49" s="45">
        <v>1</v>
      </c>
      <c r="H49" s="45">
        <v>1</v>
      </c>
      <c r="I49" s="45">
        <v>1</v>
      </c>
      <c r="J49" s="45">
        <v>4</v>
      </c>
      <c r="K49" s="45">
        <v>3</v>
      </c>
      <c r="L49" s="45">
        <v>4</v>
      </c>
      <c r="M49" s="45">
        <v>3</v>
      </c>
      <c r="N49" s="45" t="s">
        <v>252</v>
      </c>
      <c r="O49" s="45" t="s">
        <v>252</v>
      </c>
      <c r="P49" s="118">
        <f t="shared" si="2"/>
        <v>20</v>
      </c>
      <c r="Q49" s="213"/>
      <c r="R49" s="109">
        <f>IF(A49=B49,Studentwise!AO49,"")</f>
        <v>90</v>
      </c>
      <c r="S49" s="109">
        <f>IF(A49=B49,Studentwise!AP49,"")</f>
        <v>75</v>
      </c>
      <c r="T49" s="109">
        <f>IF(A49=B49,Studentwise!AQ49,"")</f>
        <v>25</v>
      </c>
      <c r="U49" s="109">
        <f>IF(A49=B49,Studentwise!AR49,"")</f>
        <v>88.888888888888886</v>
      </c>
      <c r="V49" s="109">
        <f>IF(A49=B49,Studentwise!AS49,"")</f>
        <v>83.333333333333343</v>
      </c>
      <c r="W49" s="7"/>
      <c r="X49" s="7"/>
      <c r="Y49" s="8" t="b">
        <f t="shared" si="10"/>
        <v>0</v>
      </c>
      <c r="Z49" s="8" t="b">
        <f t="shared" si="10"/>
        <v>0</v>
      </c>
      <c r="AA49" s="8" t="b">
        <f t="shared" si="10"/>
        <v>0</v>
      </c>
      <c r="AB49" s="8" t="b">
        <f t="shared" si="10"/>
        <v>0</v>
      </c>
      <c r="AC49" s="8" t="b">
        <f t="shared" si="10"/>
        <v>1</v>
      </c>
      <c r="AD49" s="8" t="b">
        <f t="shared" si="10"/>
        <v>1</v>
      </c>
      <c r="AE49" s="8">
        <f t="shared" si="14"/>
        <v>2</v>
      </c>
    </row>
    <row r="50" spans="1:31" ht="18" customHeight="1">
      <c r="A50" s="65">
        <v>31</v>
      </c>
      <c r="B50" s="43">
        <v>31</v>
      </c>
      <c r="C50" s="44" t="s">
        <v>358</v>
      </c>
      <c r="D50" s="45">
        <v>0</v>
      </c>
      <c r="E50" s="45">
        <v>1</v>
      </c>
      <c r="F50" s="45">
        <v>0</v>
      </c>
      <c r="G50" s="45">
        <v>0</v>
      </c>
      <c r="H50" s="45">
        <v>0</v>
      </c>
      <c r="I50" s="45">
        <v>1</v>
      </c>
      <c r="J50" s="45">
        <v>4</v>
      </c>
      <c r="K50" s="45">
        <v>0</v>
      </c>
      <c r="L50" s="45">
        <v>3</v>
      </c>
      <c r="M50" s="45">
        <v>3</v>
      </c>
      <c r="N50" s="45" t="s">
        <v>252</v>
      </c>
      <c r="O50" s="45" t="s">
        <v>252</v>
      </c>
      <c r="P50" s="118">
        <f t="shared" si="2"/>
        <v>12</v>
      </c>
      <c r="Q50" s="213"/>
      <c r="R50" s="109">
        <f>IF(A50=B50,Studentwise!AO50,"")</f>
        <v>91.666666666666657</v>
      </c>
      <c r="S50" s="109">
        <f>IF(A50=B50,Studentwise!AP50,"")</f>
        <v>78.571428571428569</v>
      </c>
      <c r="T50" s="109">
        <f>IF(A50=B50,Studentwise!AQ50,"")</f>
        <v>88.888888888888886</v>
      </c>
      <c r="U50" s="109">
        <f>IF(A50=B50,Studentwise!AR50,"")</f>
        <v>94.444444444444443</v>
      </c>
      <c r="V50" s="109">
        <f>IF(A50=B50,Studentwise!AS50,"")</f>
        <v>100</v>
      </c>
      <c r="W50" s="7"/>
      <c r="X50" s="7"/>
      <c r="Y50" s="8" t="b">
        <f t="shared" si="10"/>
        <v>0</v>
      </c>
      <c r="Z50" s="8" t="b">
        <f t="shared" si="10"/>
        <v>0</v>
      </c>
      <c r="AA50" s="8" t="b">
        <f t="shared" si="10"/>
        <v>0</v>
      </c>
      <c r="AB50" s="8" t="b">
        <f t="shared" si="10"/>
        <v>0</v>
      </c>
      <c r="AC50" s="8" t="b">
        <f t="shared" si="10"/>
        <v>1</v>
      </c>
      <c r="AD50" s="8" t="b">
        <f t="shared" si="10"/>
        <v>1</v>
      </c>
      <c r="AE50" s="8">
        <f t="shared" si="14"/>
        <v>2</v>
      </c>
    </row>
    <row r="51" spans="1:31" ht="18" customHeight="1">
      <c r="A51" s="65">
        <v>32</v>
      </c>
      <c r="B51" s="43">
        <v>32</v>
      </c>
      <c r="C51" s="44" t="s">
        <v>359</v>
      </c>
      <c r="D51" s="45">
        <v>1</v>
      </c>
      <c r="E51" s="45">
        <v>1</v>
      </c>
      <c r="F51" s="45">
        <v>1</v>
      </c>
      <c r="G51" s="45">
        <v>1</v>
      </c>
      <c r="H51" s="45">
        <v>0</v>
      </c>
      <c r="I51" s="45">
        <v>1</v>
      </c>
      <c r="J51" s="45">
        <v>4</v>
      </c>
      <c r="K51" s="45">
        <v>3</v>
      </c>
      <c r="L51" s="45">
        <v>4</v>
      </c>
      <c r="M51" s="45">
        <v>3</v>
      </c>
      <c r="N51" s="45" t="s">
        <v>252</v>
      </c>
      <c r="O51" s="45" t="s">
        <v>252</v>
      </c>
      <c r="P51" s="118">
        <f t="shared" si="2"/>
        <v>19</v>
      </c>
      <c r="Q51" s="213"/>
      <c r="R51" s="109">
        <f>IF(A51=B51,Studentwise!AO51,"")</f>
        <v>92.307692307692307</v>
      </c>
      <c r="S51" s="109">
        <f>IF(A51=B51,Studentwise!AP51,"")</f>
        <v>57.142857142857139</v>
      </c>
      <c r="T51" s="109">
        <f>IF(A51=B51,Studentwise!AQ51,"")</f>
        <v>88.888888888888886</v>
      </c>
      <c r="U51" s="109">
        <f>IF(A51=B51,Studentwise!AR51,"")</f>
        <v>94.444444444444443</v>
      </c>
      <c r="V51" s="109">
        <f>IF(A51=B51,Studentwise!AS51,"")</f>
        <v>75</v>
      </c>
      <c r="W51" s="7"/>
      <c r="X51" s="7"/>
      <c r="Y51" s="8" t="b">
        <f t="shared" si="10"/>
        <v>0</v>
      </c>
      <c r="Z51" s="8" t="b">
        <f t="shared" si="10"/>
        <v>0</v>
      </c>
      <c r="AA51" s="8" t="b">
        <f t="shared" si="10"/>
        <v>0</v>
      </c>
      <c r="AB51" s="8" t="b">
        <f t="shared" si="10"/>
        <v>0</v>
      </c>
      <c r="AC51" s="8" t="b">
        <f t="shared" si="10"/>
        <v>1</v>
      </c>
      <c r="AD51" s="8" t="b">
        <f t="shared" si="10"/>
        <v>1</v>
      </c>
      <c r="AE51" s="8">
        <f t="shared" si="14"/>
        <v>2</v>
      </c>
    </row>
    <row r="52" spans="1:31" ht="18" customHeight="1">
      <c r="A52" s="65">
        <v>33</v>
      </c>
      <c r="B52" s="43">
        <v>33</v>
      </c>
      <c r="C52" s="44" t="s">
        <v>360</v>
      </c>
      <c r="D52" s="45">
        <v>1</v>
      </c>
      <c r="E52" s="45">
        <v>1</v>
      </c>
      <c r="F52" s="45">
        <v>1</v>
      </c>
      <c r="G52" s="45">
        <v>0</v>
      </c>
      <c r="H52" s="45">
        <v>1</v>
      </c>
      <c r="I52" s="45">
        <v>1</v>
      </c>
      <c r="J52" s="45">
        <v>4</v>
      </c>
      <c r="K52" s="45">
        <v>1</v>
      </c>
      <c r="L52" s="45">
        <v>4</v>
      </c>
      <c r="M52" s="45">
        <v>1</v>
      </c>
      <c r="N52" s="45" t="s">
        <v>252</v>
      </c>
      <c r="O52" s="45" t="s">
        <v>252</v>
      </c>
      <c r="P52" s="118">
        <f t="shared" ref="P52:P83" si="15">IF(A52&lt;=$K$198,SUM(D52:O52),"")</f>
        <v>15</v>
      </c>
      <c r="Q52" s="213"/>
      <c r="R52" s="109">
        <f>IF(A52=B52,Studentwise!AO52,"")</f>
        <v>73.076923076923066</v>
      </c>
      <c r="S52" s="109">
        <f>IF(A52=B52,Studentwise!AP52,"")</f>
        <v>14.285714285714285</v>
      </c>
      <c r="T52" s="109">
        <f>IF(A52=B52,Studentwise!AQ52,"")</f>
        <v>88.888888888888886</v>
      </c>
      <c r="U52" s="109">
        <f>IF(A52=B52,Studentwise!AR52,"")</f>
        <v>94.444444444444443</v>
      </c>
      <c r="V52" s="109">
        <f>IF(A52=B52,Studentwise!AS52,"")</f>
        <v>100</v>
      </c>
      <c r="W52" s="7"/>
      <c r="X52" s="7"/>
      <c r="Y52" s="8" t="b">
        <f t="shared" si="10"/>
        <v>0</v>
      </c>
      <c r="Z52" s="8" t="b">
        <f t="shared" si="10"/>
        <v>0</v>
      </c>
      <c r="AA52" s="8" t="b">
        <f t="shared" si="10"/>
        <v>0</v>
      </c>
      <c r="AB52" s="8" t="b">
        <f t="shared" si="10"/>
        <v>0</v>
      </c>
      <c r="AC52" s="8" t="b">
        <f t="shared" si="10"/>
        <v>1</v>
      </c>
      <c r="AD52" s="8" t="b">
        <f t="shared" si="10"/>
        <v>1</v>
      </c>
      <c r="AE52" s="8">
        <f t="shared" si="14"/>
        <v>2</v>
      </c>
    </row>
    <row r="53" spans="1:31" ht="18" customHeight="1">
      <c r="A53" s="65">
        <v>34</v>
      </c>
      <c r="B53" s="43">
        <v>34</v>
      </c>
      <c r="C53" s="44" t="s">
        <v>361</v>
      </c>
      <c r="D53" s="45">
        <v>0</v>
      </c>
      <c r="E53" s="45">
        <v>1</v>
      </c>
      <c r="F53" s="45">
        <v>0</v>
      </c>
      <c r="G53" s="45">
        <v>1</v>
      </c>
      <c r="H53" s="45">
        <v>0</v>
      </c>
      <c r="I53" s="45">
        <v>1</v>
      </c>
      <c r="J53" s="45">
        <v>3</v>
      </c>
      <c r="K53" s="45">
        <v>3</v>
      </c>
      <c r="L53" s="45" t="s">
        <v>252</v>
      </c>
      <c r="M53" s="45" t="s">
        <v>252</v>
      </c>
      <c r="N53" s="45">
        <v>3</v>
      </c>
      <c r="O53" s="45">
        <v>0</v>
      </c>
      <c r="P53" s="118">
        <f t="shared" si="15"/>
        <v>12</v>
      </c>
      <c r="Q53" s="213"/>
      <c r="R53" s="109">
        <f>IF(A53=B53,Studentwise!AO53,"")</f>
        <v>66.666666666666657</v>
      </c>
      <c r="S53" s="109">
        <f>IF(A53=B53,Studentwise!AP53,"")</f>
        <v>46.428571428571431</v>
      </c>
      <c r="T53" s="109">
        <f>IF(A53=B53,Studentwise!AQ53,"")</f>
        <v>55.555555555555557</v>
      </c>
      <c r="U53" s="109">
        <f>IF(A53=B53,Studentwise!AR53,"")</f>
        <v>66.666666666666657</v>
      </c>
      <c r="V53" s="109">
        <f>IF(A53=B53,Studentwise!AS53,"")</f>
        <v>100</v>
      </c>
      <c r="W53" s="7"/>
      <c r="X53" s="7"/>
      <c r="Y53" s="8" t="b">
        <f t="shared" si="10"/>
        <v>0</v>
      </c>
      <c r="Z53" s="8" t="b">
        <f t="shared" si="10"/>
        <v>0</v>
      </c>
      <c r="AA53" s="8" t="b">
        <f t="shared" si="10"/>
        <v>1</v>
      </c>
      <c r="AB53" s="8" t="b">
        <f t="shared" si="10"/>
        <v>1</v>
      </c>
      <c r="AC53" s="8" t="b">
        <f t="shared" si="10"/>
        <v>0</v>
      </c>
      <c r="AD53" s="8" t="b">
        <f t="shared" si="10"/>
        <v>0</v>
      </c>
      <c r="AE53" s="8">
        <f t="shared" si="14"/>
        <v>2</v>
      </c>
    </row>
    <row r="54" spans="1:31" ht="18" customHeight="1">
      <c r="A54" s="65">
        <v>35</v>
      </c>
      <c r="B54" s="43">
        <v>35</v>
      </c>
      <c r="C54" s="44" t="s">
        <v>362</v>
      </c>
      <c r="D54" s="45">
        <v>1</v>
      </c>
      <c r="E54" s="45">
        <v>1</v>
      </c>
      <c r="F54" s="45">
        <v>1</v>
      </c>
      <c r="G54" s="45">
        <v>1</v>
      </c>
      <c r="H54" s="45">
        <v>1</v>
      </c>
      <c r="I54" s="45">
        <v>0</v>
      </c>
      <c r="J54" s="45">
        <v>4</v>
      </c>
      <c r="K54" s="45">
        <v>1</v>
      </c>
      <c r="L54" s="45" t="s">
        <v>252</v>
      </c>
      <c r="M54" s="45" t="s">
        <v>252</v>
      </c>
      <c r="N54" s="45">
        <v>4</v>
      </c>
      <c r="O54" s="45">
        <v>2</v>
      </c>
      <c r="P54" s="118">
        <f t="shared" si="15"/>
        <v>16</v>
      </c>
      <c r="Q54" s="213"/>
      <c r="R54" s="109">
        <f>IF(A54=B54,Studentwise!AO54,"")</f>
        <v>40</v>
      </c>
      <c r="S54" s="109">
        <f>IF(A54=B54,Studentwise!AP54,"")</f>
        <v>10</v>
      </c>
      <c r="T54" s="109">
        <f>IF(A54=B54,Studentwise!AQ54,"")</f>
        <v>44.444444444444443</v>
      </c>
      <c r="U54" s="109">
        <f>IF(A54=B54,Studentwise!AR54,"")</f>
        <v>61.111111111111114</v>
      </c>
      <c r="V54" s="109">
        <f>IF(A54=B54,Studentwise!AS54,"")</f>
        <v>100</v>
      </c>
      <c r="W54" s="7"/>
      <c r="X54" s="7"/>
      <c r="Y54" s="8" t="b">
        <f t="shared" si="10"/>
        <v>0</v>
      </c>
      <c r="Z54" s="8" t="b">
        <f t="shared" si="10"/>
        <v>0</v>
      </c>
      <c r="AA54" s="8" t="b">
        <f t="shared" si="10"/>
        <v>1</v>
      </c>
      <c r="AB54" s="8" t="b">
        <f t="shared" si="10"/>
        <v>1</v>
      </c>
      <c r="AC54" s="8" t="b">
        <f t="shared" si="10"/>
        <v>0</v>
      </c>
      <c r="AD54" s="8" t="b">
        <f t="shared" si="10"/>
        <v>0</v>
      </c>
      <c r="AE54" s="8">
        <f t="shared" si="14"/>
        <v>2</v>
      </c>
    </row>
    <row r="55" spans="1:31" ht="18" customHeight="1">
      <c r="A55" s="65">
        <v>36</v>
      </c>
      <c r="B55" s="43">
        <v>36</v>
      </c>
      <c r="C55" s="44" t="s">
        <v>363</v>
      </c>
      <c r="D55" s="45">
        <v>0</v>
      </c>
      <c r="E55" s="45">
        <v>1</v>
      </c>
      <c r="F55" s="45">
        <v>1</v>
      </c>
      <c r="G55" s="45">
        <v>1</v>
      </c>
      <c r="H55" s="45">
        <v>0</v>
      </c>
      <c r="I55" s="45">
        <v>1</v>
      </c>
      <c r="J55" s="45">
        <v>4</v>
      </c>
      <c r="K55" s="45">
        <v>2</v>
      </c>
      <c r="L55" s="45" t="s">
        <v>252</v>
      </c>
      <c r="M55" s="45" t="s">
        <v>252</v>
      </c>
      <c r="N55" s="45">
        <v>4</v>
      </c>
      <c r="O55" s="45">
        <v>1</v>
      </c>
      <c r="P55" s="118">
        <f t="shared" si="15"/>
        <v>15</v>
      </c>
      <c r="Q55" s="213"/>
      <c r="R55" s="109">
        <f>IF(A55=B55,Studentwise!AO55,"")</f>
        <v>38.461538461538467</v>
      </c>
      <c r="S55" s="109">
        <f>IF(A55=B55,Studentwise!AP55,"")</f>
        <v>35.714285714285715</v>
      </c>
      <c r="T55" s="109">
        <f>IF(A55=B55,Studentwise!AQ55,"")</f>
        <v>55.555555555555557</v>
      </c>
      <c r="U55" s="109">
        <f>IF(A55=B55,Studentwise!AR55,"")</f>
        <v>61.111111111111114</v>
      </c>
      <c r="V55" s="109">
        <f>IF(A55=B55,Studentwise!AS55,"")</f>
        <v>100</v>
      </c>
      <c r="W55" s="7"/>
      <c r="X55" s="7"/>
      <c r="Y55" s="8" t="b">
        <f t="shared" si="10"/>
        <v>0</v>
      </c>
      <c r="Z55" s="8" t="b">
        <f t="shared" si="10"/>
        <v>0</v>
      </c>
      <c r="AA55" s="8" t="b">
        <f t="shared" si="10"/>
        <v>1</v>
      </c>
      <c r="AB55" s="8" t="b">
        <f t="shared" si="10"/>
        <v>1</v>
      </c>
      <c r="AC55" s="8" t="b">
        <f t="shared" si="10"/>
        <v>0</v>
      </c>
      <c r="AD55" s="8" t="b">
        <f t="shared" si="10"/>
        <v>0</v>
      </c>
      <c r="AE55" s="8">
        <f t="shared" si="14"/>
        <v>2</v>
      </c>
    </row>
    <row r="56" spans="1:31" ht="18" customHeight="1">
      <c r="A56" s="65">
        <v>37</v>
      </c>
      <c r="B56" s="43">
        <v>37</v>
      </c>
      <c r="C56" s="44" t="s">
        <v>364</v>
      </c>
      <c r="D56" s="45">
        <v>0</v>
      </c>
      <c r="E56" s="45">
        <v>1</v>
      </c>
      <c r="F56" s="45">
        <v>0</v>
      </c>
      <c r="G56" s="45">
        <v>1</v>
      </c>
      <c r="H56" s="45">
        <v>1</v>
      </c>
      <c r="I56" s="45">
        <v>1</v>
      </c>
      <c r="J56" s="45">
        <v>3</v>
      </c>
      <c r="K56" s="45">
        <v>0</v>
      </c>
      <c r="L56" s="45" t="s">
        <v>252</v>
      </c>
      <c r="M56" s="45" t="s">
        <v>252</v>
      </c>
      <c r="N56" s="45">
        <v>4</v>
      </c>
      <c r="O56" s="45">
        <v>1</v>
      </c>
      <c r="P56" s="118">
        <f t="shared" si="15"/>
        <v>12</v>
      </c>
      <c r="Q56" s="213"/>
      <c r="R56" s="109">
        <f>IF(A56=B56,Studentwise!AO56,"")</f>
        <v>66.666666666666657</v>
      </c>
      <c r="S56" s="109">
        <f>IF(A56=B56,Studentwise!AP56,"")</f>
        <v>39.285714285714285</v>
      </c>
      <c r="T56" s="109">
        <f>IF(A56=B56,Studentwise!AQ56,"")</f>
        <v>83.333333333333343</v>
      </c>
      <c r="U56" s="109">
        <f>IF(A56=B56,Studentwise!AR56,"")</f>
        <v>100</v>
      </c>
      <c r="V56" s="109">
        <f>IF(A56=B56,Studentwise!AS56,"")</f>
        <v>100</v>
      </c>
      <c r="W56" s="7"/>
      <c r="X56" s="7"/>
      <c r="Y56" s="8" t="b">
        <f t="shared" si="10"/>
        <v>0</v>
      </c>
      <c r="Z56" s="8" t="b">
        <f t="shared" si="10"/>
        <v>0</v>
      </c>
      <c r="AA56" s="8" t="b">
        <f t="shared" si="10"/>
        <v>1</v>
      </c>
      <c r="AB56" s="8" t="b">
        <f t="shared" si="10"/>
        <v>1</v>
      </c>
      <c r="AC56" s="8" t="b">
        <f t="shared" si="10"/>
        <v>0</v>
      </c>
      <c r="AD56" s="8" t="b">
        <f t="shared" si="10"/>
        <v>0</v>
      </c>
      <c r="AE56" s="8">
        <f t="shared" si="14"/>
        <v>2</v>
      </c>
    </row>
    <row r="57" spans="1:31" ht="18" customHeight="1">
      <c r="A57" s="65">
        <v>38</v>
      </c>
      <c r="B57" s="43">
        <v>38</v>
      </c>
      <c r="C57" s="44" t="s">
        <v>365</v>
      </c>
      <c r="D57" s="45">
        <v>0</v>
      </c>
      <c r="E57" s="45">
        <v>1</v>
      </c>
      <c r="F57" s="45">
        <v>1</v>
      </c>
      <c r="G57" s="45">
        <v>0</v>
      </c>
      <c r="H57" s="45">
        <v>0</v>
      </c>
      <c r="I57" s="45">
        <v>1</v>
      </c>
      <c r="J57" s="45">
        <v>4</v>
      </c>
      <c r="K57" s="45">
        <v>2</v>
      </c>
      <c r="L57" s="45" t="s">
        <v>252</v>
      </c>
      <c r="M57" s="45" t="s">
        <v>252</v>
      </c>
      <c r="N57" s="45">
        <v>4</v>
      </c>
      <c r="O57" s="45">
        <v>0</v>
      </c>
      <c r="P57" s="118">
        <f t="shared" si="15"/>
        <v>13</v>
      </c>
      <c r="Q57" s="213"/>
      <c r="R57" s="109">
        <f>IF(A57=B57,Studentwise!AO57,"")</f>
        <v>65</v>
      </c>
      <c r="S57" s="109">
        <f>IF(A57=B57,Studentwise!AP57,"")</f>
        <v>20</v>
      </c>
      <c r="T57" s="109">
        <f>IF(A57=B57,Studentwise!AQ57,"")</f>
        <v>38.888888888888893</v>
      </c>
      <c r="U57" s="109">
        <f>IF(A57=B57,Studentwise!AR57,"")</f>
        <v>88.888888888888886</v>
      </c>
      <c r="V57" s="109">
        <f>IF(A57=B57,Studentwise!AS57,"")</f>
        <v>75</v>
      </c>
      <c r="W57" s="7"/>
      <c r="X57" s="7"/>
      <c r="Y57" s="8" t="b">
        <f t="shared" si="10"/>
        <v>0</v>
      </c>
      <c r="Z57" s="8" t="b">
        <f t="shared" si="10"/>
        <v>0</v>
      </c>
      <c r="AA57" s="8" t="b">
        <f t="shared" si="10"/>
        <v>1</v>
      </c>
      <c r="AB57" s="8" t="b">
        <f t="shared" si="10"/>
        <v>1</v>
      </c>
      <c r="AC57" s="8" t="b">
        <f t="shared" si="10"/>
        <v>0</v>
      </c>
      <c r="AD57" s="8" t="b">
        <f t="shared" si="10"/>
        <v>0</v>
      </c>
      <c r="AE57" s="8">
        <f t="shared" si="14"/>
        <v>2</v>
      </c>
    </row>
    <row r="58" spans="1:31" ht="18" customHeight="1">
      <c r="A58" s="65">
        <v>39</v>
      </c>
      <c r="B58" s="43">
        <v>39</v>
      </c>
      <c r="C58" s="44" t="s">
        <v>366</v>
      </c>
      <c r="D58" s="45">
        <v>0</v>
      </c>
      <c r="E58" s="45">
        <v>1</v>
      </c>
      <c r="F58" s="45">
        <v>1</v>
      </c>
      <c r="G58" s="45">
        <v>0</v>
      </c>
      <c r="H58" s="45">
        <v>1</v>
      </c>
      <c r="I58" s="45">
        <v>1</v>
      </c>
      <c r="J58" s="45">
        <v>4</v>
      </c>
      <c r="K58" s="45">
        <v>2</v>
      </c>
      <c r="L58" s="45" t="s">
        <v>252</v>
      </c>
      <c r="M58" s="45" t="s">
        <v>252</v>
      </c>
      <c r="N58" s="45">
        <v>4</v>
      </c>
      <c r="O58" s="45">
        <v>1</v>
      </c>
      <c r="P58" s="118">
        <f t="shared" si="15"/>
        <v>15</v>
      </c>
      <c r="Q58" s="213"/>
      <c r="R58" s="109">
        <f>IF(A58=B58,Studentwise!AO58,"")</f>
        <v>91.666666666666657</v>
      </c>
      <c r="S58" s="109">
        <f>IF(A58=B58,Studentwise!AP58,"")</f>
        <v>57.142857142857139</v>
      </c>
      <c r="T58" s="109">
        <f>IF(A58=B58,Studentwise!AQ58,"")</f>
        <v>88.888888888888886</v>
      </c>
      <c r="U58" s="109">
        <f>IF(A58=B58,Studentwise!AR58,"")</f>
        <v>83.333333333333343</v>
      </c>
      <c r="V58" s="109">
        <f>IF(A58=B58,Studentwise!AS58,"")</f>
        <v>100</v>
      </c>
      <c r="W58" s="7"/>
      <c r="X58" s="7"/>
      <c r="Y58" s="8" t="b">
        <f t="shared" si="10"/>
        <v>0</v>
      </c>
      <c r="Z58" s="8" t="b">
        <f t="shared" si="10"/>
        <v>0</v>
      </c>
      <c r="AA58" s="8" t="b">
        <f t="shared" si="10"/>
        <v>1</v>
      </c>
      <c r="AB58" s="8" t="b">
        <f t="shared" si="10"/>
        <v>1</v>
      </c>
      <c r="AC58" s="8" t="b">
        <f t="shared" si="10"/>
        <v>0</v>
      </c>
      <c r="AD58" s="8" t="b">
        <f t="shared" si="10"/>
        <v>0</v>
      </c>
      <c r="AE58" s="8">
        <f t="shared" si="14"/>
        <v>2</v>
      </c>
    </row>
    <row r="59" spans="1:31" ht="18" customHeight="1">
      <c r="A59" s="65">
        <v>40</v>
      </c>
      <c r="B59" s="43">
        <v>40</v>
      </c>
      <c r="C59" s="44" t="s">
        <v>367</v>
      </c>
      <c r="D59" s="45">
        <v>1</v>
      </c>
      <c r="E59" s="45">
        <v>1</v>
      </c>
      <c r="F59" s="45">
        <v>0</v>
      </c>
      <c r="G59" s="45">
        <v>1</v>
      </c>
      <c r="H59" s="45">
        <v>1</v>
      </c>
      <c r="I59" s="45">
        <v>0</v>
      </c>
      <c r="J59" s="45" t="s">
        <v>252</v>
      </c>
      <c r="K59" s="45" t="s">
        <v>252</v>
      </c>
      <c r="L59" s="45">
        <v>2</v>
      </c>
      <c r="M59" s="45">
        <v>3</v>
      </c>
      <c r="N59" s="45">
        <v>4</v>
      </c>
      <c r="O59" s="45">
        <v>3</v>
      </c>
      <c r="P59" s="118">
        <f t="shared" si="15"/>
        <v>16</v>
      </c>
      <c r="Q59" s="213"/>
      <c r="R59" s="109">
        <f>IF(A59=B59,Studentwise!AO59,"")</f>
        <v>84.615384615384613</v>
      </c>
      <c r="S59" s="109">
        <f>IF(A59=B59,Studentwise!AP59,"")</f>
        <v>64.285714285714292</v>
      </c>
      <c r="T59" s="109">
        <f>IF(A59=B59,Studentwise!AQ59,"")</f>
        <v>61.111111111111114</v>
      </c>
      <c r="U59" s="109">
        <f>IF(A59=B59,Studentwise!AR59,"")</f>
        <v>94.444444444444443</v>
      </c>
      <c r="V59" s="109">
        <f>IF(A59=B59,Studentwise!AS59,"")</f>
        <v>100</v>
      </c>
      <c r="W59" s="7"/>
      <c r="X59" s="7"/>
      <c r="Y59" s="8" t="b">
        <f t="shared" si="10"/>
        <v>1</v>
      </c>
      <c r="Z59" s="8" t="b">
        <f t="shared" si="10"/>
        <v>1</v>
      </c>
      <c r="AA59" s="8" t="b">
        <f t="shared" si="10"/>
        <v>0</v>
      </c>
      <c r="AB59" s="8" t="b">
        <f t="shared" si="10"/>
        <v>0</v>
      </c>
      <c r="AC59" s="8" t="b">
        <f t="shared" si="10"/>
        <v>0</v>
      </c>
      <c r="AD59" s="8" t="b">
        <f t="shared" si="10"/>
        <v>0</v>
      </c>
      <c r="AE59" s="8">
        <f t="shared" si="14"/>
        <v>2</v>
      </c>
    </row>
    <row r="60" spans="1:31" ht="18" customHeight="1">
      <c r="A60" s="65">
        <v>41</v>
      </c>
      <c r="B60" s="43">
        <v>41</v>
      </c>
      <c r="C60" s="44" t="s">
        <v>368</v>
      </c>
      <c r="D60" s="45">
        <v>1</v>
      </c>
      <c r="E60" s="45">
        <v>0</v>
      </c>
      <c r="F60" s="45">
        <v>1</v>
      </c>
      <c r="G60" s="45">
        <v>1</v>
      </c>
      <c r="H60" s="45">
        <v>1</v>
      </c>
      <c r="I60" s="45">
        <v>1</v>
      </c>
      <c r="J60" s="45" t="s">
        <v>252</v>
      </c>
      <c r="K60" s="45" t="s">
        <v>252</v>
      </c>
      <c r="L60" s="45">
        <v>2</v>
      </c>
      <c r="M60" s="45">
        <v>3</v>
      </c>
      <c r="N60" s="45">
        <v>4</v>
      </c>
      <c r="O60" s="45">
        <v>2</v>
      </c>
      <c r="P60" s="118">
        <f t="shared" si="15"/>
        <v>16</v>
      </c>
      <c r="Q60" s="213"/>
      <c r="R60" s="109">
        <f>IF(A60=B60,Studentwise!AO60,"")</f>
        <v>76.923076923076934</v>
      </c>
      <c r="S60" s="109">
        <f>IF(A60=B60,Studentwise!AP60,"")</f>
        <v>78.571428571428569</v>
      </c>
      <c r="T60" s="109">
        <f>IF(A60=B60,Studentwise!AQ60,"")</f>
        <v>88.888888888888886</v>
      </c>
      <c r="U60" s="109">
        <f>IF(A60=B60,Studentwise!AR60,"")</f>
        <v>94.444444444444443</v>
      </c>
      <c r="V60" s="109">
        <f>IF(A60=B60,Studentwise!AS60,"")</f>
        <v>100</v>
      </c>
      <c r="W60" s="7"/>
      <c r="X60" s="7"/>
      <c r="Y60" s="8" t="b">
        <f t="shared" si="10"/>
        <v>1</v>
      </c>
      <c r="Z60" s="8" t="b">
        <f t="shared" si="10"/>
        <v>1</v>
      </c>
      <c r="AA60" s="8" t="b">
        <f t="shared" si="10"/>
        <v>0</v>
      </c>
      <c r="AB60" s="8" t="b">
        <f t="shared" si="10"/>
        <v>0</v>
      </c>
      <c r="AC60" s="8" t="b">
        <f t="shared" si="10"/>
        <v>0</v>
      </c>
      <c r="AD60" s="8" t="b">
        <f t="shared" si="10"/>
        <v>0</v>
      </c>
      <c r="AE60" s="8">
        <f t="shared" si="14"/>
        <v>2</v>
      </c>
    </row>
    <row r="61" spans="1:31" ht="18" customHeight="1">
      <c r="A61" s="65">
        <v>42</v>
      </c>
      <c r="B61" s="43">
        <v>42</v>
      </c>
      <c r="C61" s="44" t="s">
        <v>369</v>
      </c>
      <c r="D61" s="45">
        <v>1</v>
      </c>
      <c r="E61" s="45">
        <v>1</v>
      </c>
      <c r="F61" s="45">
        <v>1</v>
      </c>
      <c r="G61" s="45">
        <v>1</v>
      </c>
      <c r="H61" s="45">
        <v>1</v>
      </c>
      <c r="I61" s="45">
        <v>1</v>
      </c>
      <c r="J61" s="45">
        <v>4</v>
      </c>
      <c r="K61" s="45">
        <v>2</v>
      </c>
      <c r="L61" s="45" t="s">
        <v>252</v>
      </c>
      <c r="M61" s="45" t="s">
        <v>252</v>
      </c>
      <c r="N61" s="45">
        <v>4</v>
      </c>
      <c r="O61" s="45">
        <v>3</v>
      </c>
      <c r="P61" s="118">
        <f t="shared" si="15"/>
        <v>19</v>
      </c>
      <c r="Q61" s="213"/>
      <c r="R61" s="109">
        <f>IF(A61=B61,Studentwise!AO61,"")</f>
        <v>53.846153846153847</v>
      </c>
      <c r="S61" s="109">
        <f>IF(A61=B61,Studentwise!AP61,"")</f>
        <v>42.857142857142854</v>
      </c>
      <c r="T61" s="109">
        <f>IF(A61=B61,Studentwise!AQ61,"")</f>
        <v>50</v>
      </c>
      <c r="U61" s="109">
        <f>IF(A61=B61,Studentwise!AR61,"")</f>
        <v>44.444444444444443</v>
      </c>
      <c r="V61" s="109">
        <f>IF(A61=B61,Studentwise!AS61,"")</f>
        <v>0</v>
      </c>
      <c r="W61" s="7"/>
      <c r="X61" s="7"/>
      <c r="Y61" s="8" t="b">
        <f t="shared" si="10"/>
        <v>0</v>
      </c>
      <c r="Z61" s="8" t="b">
        <f t="shared" si="10"/>
        <v>0</v>
      </c>
      <c r="AA61" s="8" t="b">
        <f t="shared" si="10"/>
        <v>1</v>
      </c>
      <c r="AB61" s="8" t="b">
        <f t="shared" si="10"/>
        <v>1</v>
      </c>
      <c r="AC61" s="8" t="b">
        <f t="shared" si="10"/>
        <v>0</v>
      </c>
      <c r="AD61" s="8" t="b">
        <f t="shared" si="10"/>
        <v>0</v>
      </c>
      <c r="AE61" s="8">
        <f t="shared" si="14"/>
        <v>2</v>
      </c>
    </row>
    <row r="62" spans="1:31" ht="18" customHeight="1">
      <c r="A62" s="65">
        <v>43</v>
      </c>
      <c r="B62" s="43">
        <v>43</v>
      </c>
      <c r="C62" s="44" t="s">
        <v>370</v>
      </c>
      <c r="D62" s="45">
        <v>0</v>
      </c>
      <c r="E62" s="45">
        <v>0</v>
      </c>
      <c r="F62" s="45">
        <v>1</v>
      </c>
      <c r="G62" s="45">
        <v>0</v>
      </c>
      <c r="H62" s="45">
        <v>0</v>
      </c>
      <c r="I62" s="45">
        <v>1</v>
      </c>
      <c r="J62" s="45">
        <v>4</v>
      </c>
      <c r="K62" s="45">
        <v>2</v>
      </c>
      <c r="L62" s="45" t="s">
        <v>252</v>
      </c>
      <c r="M62" s="45" t="s">
        <v>252</v>
      </c>
      <c r="N62" s="45">
        <v>4</v>
      </c>
      <c r="O62" s="45">
        <v>1</v>
      </c>
      <c r="P62" s="118">
        <f t="shared" si="15"/>
        <v>13</v>
      </c>
      <c r="Q62" s="213"/>
      <c r="R62" s="109">
        <f>IF(A62=B62,Studentwise!AO62,"")</f>
        <v>42.307692307692307</v>
      </c>
      <c r="S62" s="109">
        <f>IF(A62=B62,Studentwise!AP62,"")</f>
        <v>78.571428571428569</v>
      </c>
      <c r="T62" s="109">
        <f>IF(A62=B62,Studentwise!AQ62,"")</f>
        <v>94.444444444444443</v>
      </c>
      <c r="U62" s="109">
        <f>IF(A62=B62,Studentwise!AR62,"")</f>
        <v>100</v>
      </c>
      <c r="V62" s="109">
        <f>IF(A62=B62,Studentwise!AS62,"")</f>
        <v>100</v>
      </c>
      <c r="W62" s="7"/>
      <c r="X62" s="7"/>
      <c r="Y62" s="8" t="b">
        <f t="shared" si="10"/>
        <v>0</v>
      </c>
      <c r="Z62" s="8" t="b">
        <f t="shared" si="10"/>
        <v>0</v>
      </c>
      <c r="AA62" s="8" t="b">
        <f t="shared" si="10"/>
        <v>1</v>
      </c>
      <c r="AB62" s="8" t="b">
        <f t="shared" si="10"/>
        <v>1</v>
      </c>
      <c r="AC62" s="8" t="b">
        <f t="shared" si="10"/>
        <v>0</v>
      </c>
      <c r="AD62" s="8" t="b">
        <f t="shared" si="10"/>
        <v>0</v>
      </c>
      <c r="AE62" s="8">
        <f t="shared" si="14"/>
        <v>2</v>
      </c>
    </row>
    <row r="63" spans="1:31" ht="18" customHeight="1">
      <c r="A63" s="65">
        <v>44</v>
      </c>
      <c r="B63" s="43">
        <v>44</v>
      </c>
      <c r="C63" s="44" t="s">
        <v>371</v>
      </c>
      <c r="D63" s="45">
        <v>0</v>
      </c>
      <c r="E63" s="45">
        <v>0</v>
      </c>
      <c r="F63" s="45">
        <v>1</v>
      </c>
      <c r="G63" s="45">
        <v>0</v>
      </c>
      <c r="H63" s="45">
        <v>1</v>
      </c>
      <c r="I63" s="45">
        <v>1</v>
      </c>
      <c r="J63" s="45">
        <v>3</v>
      </c>
      <c r="K63" s="45">
        <v>2</v>
      </c>
      <c r="L63" s="45" t="s">
        <v>252</v>
      </c>
      <c r="M63" s="45" t="s">
        <v>252</v>
      </c>
      <c r="N63" s="45">
        <v>4</v>
      </c>
      <c r="O63" s="45">
        <v>2</v>
      </c>
      <c r="P63" s="118">
        <f t="shared" si="15"/>
        <v>14</v>
      </c>
      <c r="Q63" s="213"/>
      <c r="R63" s="109">
        <f>IF(A63=B63,Studentwise!AO63,"")</f>
        <v>69.230769230769226</v>
      </c>
      <c r="S63" s="109">
        <f>IF(A63=B63,Studentwise!AP63,"")</f>
        <v>64.285714285714292</v>
      </c>
      <c r="T63" s="109">
        <f>IF(A63=B63,Studentwise!AQ63,"")</f>
        <v>94.444444444444443</v>
      </c>
      <c r="U63" s="109">
        <f>IF(A63=B63,Studentwise!AR63,"")</f>
        <v>75</v>
      </c>
      <c r="V63" s="109">
        <f>IF(A63=B63,Studentwise!AS63,"")</f>
        <v>88.888888888888886</v>
      </c>
      <c r="W63" s="7"/>
      <c r="X63" s="7"/>
      <c r="Y63" s="8" t="b">
        <f t="shared" si="10"/>
        <v>0</v>
      </c>
      <c r="Z63" s="8" t="b">
        <f t="shared" si="10"/>
        <v>0</v>
      </c>
      <c r="AA63" s="8" t="b">
        <f t="shared" si="10"/>
        <v>1</v>
      </c>
      <c r="AB63" s="8" t="b">
        <f t="shared" si="10"/>
        <v>1</v>
      </c>
      <c r="AC63" s="8" t="b">
        <f t="shared" si="10"/>
        <v>0</v>
      </c>
      <c r="AD63" s="8" t="b">
        <f t="shared" si="10"/>
        <v>0</v>
      </c>
      <c r="AE63" s="8">
        <f t="shared" si="14"/>
        <v>2</v>
      </c>
    </row>
    <row r="64" spans="1:31" ht="18" customHeight="1">
      <c r="A64" s="65">
        <v>45</v>
      </c>
      <c r="B64" s="43">
        <v>45</v>
      </c>
      <c r="C64" s="44" t="s">
        <v>372</v>
      </c>
      <c r="D64" s="45">
        <v>1</v>
      </c>
      <c r="E64" s="45">
        <v>1</v>
      </c>
      <c r="F64" s="45">
        <v>1</v>
      </c>
      <c r="G64" s="45">
        <v>1</v>
      </c>
      <c r="H64" s="45">
        <v>1</v>
      </c>
      <c r="I64" s="45">
        <v>1</v>
      </c>
      <c r="J64" s="45">
        <v>3</v>
      </c>
      <c r="K64" s="45">
        <v>2</v>
      </c>
      <c r="L64" s="45" t="s">
        <v>252</v>
      </c>
      <c r="M64" s="45" t="s">
        <v>252</v>
      </c>
      <c r="N64" s="45">
        <v>4</v>
      </c>
      <c r="O64" s="45">
        <v>3</v>
      </c>
      <c r="P64" s="118">
        <f t="shared" si="15"/>
        <v>18</v>
      </c>
      <c r="Q64" s="213"/>
      <c r="R64" s="109">
        <f>IF(A64=B64,Studentwise!AO64,"")</f>
        <v>60</v>
      </c>
      <c r="S64" s="109">
        <f>IF(A64=B64,Studentwise!AP64,"")</f>
        <v>25</v>
      </c>
      <c r="T64" s="109">
        <f>IF(A64=B64,Studentwise!AQ64,"")</f>
        <v>100</v>
      </c>
      <c r="U64" s="109">
        <f>IF(A64=B64,Studentwise!AR64,"")</f>
        <v>72.222222222222214</v>
      </c>
      <c r="V64" s="109">
        <f>IF(A64=B64,Studentwise!AS64,"")</f>
        <v>16.666666666666664</v>
      </c>
      <c r="W64" s="7"/>
      <c r="X64" s="7"/>
      <c r="Y64" s="8" t="b">
        <f t="shared" si="10"/>
        <v>0</v>
      </c>
      <c r="Z64" s="8" t="b">
        <f t="shared" si="10"/>
        <v>0</v>
      </c>
      <c r="AA64" s="8" t="b">
        <f t="shared" si="10"/>
        <v>1</v>
      </c>
      <c r="AB64" s="8" t="b">
        <f t="shared" si="10"/>
        <v>1</v>
      </c>
      <c r="AC64" s="8" t="b">
        <f t="shared" si="10"/>
        <v>0</v>
      </c>
      <c r="AD64" s="8" t="b">
        <f t="shared" si="10"/>
        <v>0</v>
      </c>
      <c r="AE64" s="8">
        <f t="shared" si="14"/>
        <v>2</v>
      </c>
    </row>
    <row r="65" spans="1:31" ht="18" customHeight="1">
      <c r="A65" s="65">
        <v>46</v>
      </c>
      <c r="B65" s="43">
        <v>46</v>
      </c>
      <c r="C65" s="44" t="s">
        <v>373</v>
      </c>
      <c r="D65" s="45">
        <v>1</v>
      </c>
      <c r="E65" s="45">
        <v>1</v>
      </c>
      <c r="F65" s="45">
        <v>1</v>
      </c>
      <c r="G65" s="45">
        <v>1</v>
      </c>
      <c r="H65" s="45">
        <v>1</v>
      </c>
      <c r="I65" s="45">
        <v>1</v>
      </c>
      <c r="J65" s="45">
        <v>3</v>
      </c>
      <c r="K65" s="45">
        <v>3</v>
      </c>
      <c r="L65" s="45">
        <v>4</v>
      </c>
      <c r="M65" s="45">
        <v>3</v>
      </c>
      <c r="N65" s="45" t="s">
        <v>252</v>
      </c>
      <c r="O65" s="45" t="s">
        <v>252</v>
      </c>
      <c r="P65" s="118">
        <f t="shared" si="15"/>
        <v>19</v>
      </c>
      <c r="Q65" s="213"/>
      <c r="R65" s="109">
        <f>IF(A65=B65,Studentwise!AO65,"")</f>
        <v>65.384615384615387</v>
      </c>
      <c r="S65" s="109">
        <f>IF(A65=B65,Studentwise!AP65,"")</f>
        <v>50</v>
      </c>
      <c r="T65" s="109">
        <f>IF(A65=B65,Studentwise!AQ65,"")</f>
        <v>50</v>
      </c>
      <c r="U65" s="109">
        <f>IF(A65=B65,Studentwise!AR65,"")</f>
        <v>55.555555555555557</v>
      </c>
      <c r="V65" s="109">
        <f>IF(A65=B65,Studentwise!AS65,"")</f>
        <v>44.444444444444443</v>
      </c>
      <c r="W65" s="7"/>
      <c r="X65" s="7"/>
      <c r="Y65" s="8" t="b">
        <f t="shared" si="10"/>
        <v>0</v>
      </c>
      <c r="Z65" s="8" t="b">
        <f t="shared" si="10"/>
        <v>0</v>
      </c>
      <c r="AA65" s="8" t="b">
        <f t="shared" si="10"/>
        <v>0</v>
      </c>
      <c r="AB65" s="8" t="b">
        <f t="shared" si="10"/>
        <v>0</v>
      </c>
      <c r="AC65" s="8" t="b">
        <f t="shared" si="10"/>
        <v>1</v>
      </c>
      <c r="AD65" s="8" t="b">
        <f t="shared" si="10"/>
        <v>1</v>
      </c>
      <c r="AE65" s="8">
        <f t="shared" si="14"/>
        <v>2</v>
      </c>
    </row>
    <row r="66" spans="1:31" ht="18" customHeight="1">
      <c r="A66" s="65">
        <v>47</v>
      </c>
      <c r="B66" s="43">
        <v>47</v>
      </c>
      <c r="C66" s="44" t="s">
        <v>374</v>
      </c>
      <c r="D66" s="45">
        <v>1</v>
      </c>
      <c r="E66" s="45">
        <v>1</v>
      </c>
      <c r="F66" s="45">
        <v>1</v>
      </c>
      <c r="G66" s="45">
        <v>1</v>
      </c>
      <c r="H66" s="45">
        <v>1</v>
      </c>
      <c r="I66" s="45">
        <v>1</v>
      </c>
      <c r="J66" s="45">
        <v>4</v>
      </c>
      <c r="K66" s="45">
        <v>3</v>
      </c>
      <c r="L66" s="45" t="s">
        <v>252</v>
      </c>
      <c r="M66" s="45" t="s">
        <v>252</v>
      </c>
      <c r="N66" s="45">
        <v>3</v>
      </c>
      <c r="O66" s="45">
        <v>3</v>
      </c>
      <c r="P66" s="118">
        <f t="shared" si="15"/>
        <v>19</v>
      </c>
      <c r="Q66" s="213"/>
      <c r="R66" s="109">
        <f>IF(A66=B66,Studentwise!AO66,"")</f>
        <v>33.333333333333329</v>
      </c>
      <c r="S66" s="109">
        <f>IF(A66=B66,Studentwise!AP66,"")</f>
        <v>3.5714285714285712</v>
      </c>
      <c r="T66" s="109">
        <f>IF(A66=B66,Studentwise!AQ66,"")</f>
        <v>38.888888888888893</v>
      </c>
      <c r="U66" s="109">
        <f>IF(A66=B66,Studentwise!AR66,"")</f>
        <v>33.333333333333329</v>
      </c>
      <c r="V66" s="109">
        <f>IF(A66=B66,Studentwise!AS66,"")</f>
        <v>50</v>
      </c>
      <c r="W66" s="7"/>
      <c r="X66" s="7"/>
      <c r="Y66" s="8" t="b">
        <f t="shared" si="10"/>
        <v>0</v>
      </c>
      <c r="Z66" s="8" t="b">
        <f t="shared" si="10"/>
        <v>0</v>
      </c>
      <c r="AA66" s="8" t="b">
        <f t="shared" si="10"/>
        <v>1</v>
      </c>
      <c r="AB66" s="8" t="b">
        <f t="shared" si="10"/>
        <v>1</v>
      </c>
      <c r="AC66" s="8" t="b">
        <f t="shared" si="10"/>
        <v>0</v>
      </c>
      <c r="AD66" s="8" t="b">
        <f t="shared" si="10"/>
        <v>0</v>
      </c>
      <c r="AE66" s="8">
        <f t="shared" si="14"/>
        <v>2</v>
      </c>
    </row>
    <row r="67" spans="1:31" ht="18" customHeight="1">
      <c r="A67" s="65">
        <v>48</v>
      </c>
      <c r="B67" s="43">
        <v>48</v>
      </c>
      <c r="C67" s="44" t="s">
        <v>375</v>
      </c>
      <c r="D67" s="45">
        <v>1</v>
      </c>
      <c r="E67" s="45">
        <v>1</v>
      </c>
      <c r="F67" s="45">
        <v>1</v>
      </c>
      <c r="G67" s="45">
        <v>1</v>
      </c>
      <c r="H67" s="45">
        <v>1</v>
      </c>
      <c r="I67" s="45">
        <v>0</v>
      </c>
      <c r="J67" s="45">
        <v>4</v>
      </c>
      <c r="K67" s="45">
        <v>2</v>
      </c>
      <c r="L67" s="45" t="s">
        <v>252</v>
      </c>
      <c r="M67" s="45" t="s">
        <v>252</v>
      </c>
      <c r="N67" s="45">
        <v>4</v>
      </c>
      <c r="O67" s="45">
        <v>0</v>
      </c>
      <c r="P67" s="118">
        <f t="shared" si="15"/>
        <v>15</v>
      </c>
      <c r="Q67" s="213"/>
      <c r="R67" s="109">
        <f>IF(A67=B67,Studentwise!AO67,"")</f>
        <v>70</v>
      </c>
      <c r="S67" s="109">
        <f>IF(A67=B67,Studentwise!AP67,"")</f>
        <v>65</v>
      </c>
      <c r="T67" s="109">
        <f>IF(A67=B67,Studentwise!AQ67,"")</f>
        <v>72.222222222222214</v>
      </c>
      <c r="U67" s="109">
        <f>IF(A67=B67,Studentwise!AR67,"")</f>
        <v>88.888888888888886</v>
      </c>
      <c r="V67" s="109">
        <f>IF(A67=B67,Studentwise!AS67,"")</f>
        <v>100</v>
      </c>
      <c r="W67" s="7"/>
      <c r="X67" s="7"/>
      <c r="Y67" s="8" t="b">
        <f t="shared" si="10"/>
        <v>0</v>
      </c>
      <c r="Z67" s="8" t="b">
        <f t="shared" si="10"/>
        <v>0</v>
      </c>
      <c r="AA67" s="8" t="b">
        <f t="shared" si="10"/>
        <v>1</v>
      </c>
      <c r="AB67" s="8" t="b">
        <f t="shared" si="10"/>
        <v>1</v>
      </c>
      <c r="AC67" s="8" t="b">
        <f t="shared" si="10"/>
        <v>0</v>
      </c>
      <c r="AD67" s="8" t="b">
        <f t="shared" si="10"/>
        <v>0</v>
      </c>
      <c r="AE67" s="8">
        <f t="shared" si="14"/>
        <v>2</v>
      </c>
    </row>
    <row r="68" spans="1:31" ht="18" customHeight="1">
      <c r="A68" s="65">
        <v>49</v>
      </c>
      <c r="B68" s="43">
        <v>49</v>
      </c>
      <c r="C68" s="44" t="s">
        <v>376</v>
      </c>
      <c r="D68" s="45">
        <v>0</v>
      </c>
      <c r="E68" s="45">
        <v>1</v>
      </c>
      <c r="F68" s="45">
        <v>1</v>
      </c>
      <c r="G68" s="45">
        <v>0</v>
      </c>
      <c r="H68" s="45">
        <v>1</v>
      </c>
      <c r="I68" s="45">
        <v>1</v>
      </c>
      <c r="J68" s="45" t="s">
        <v>252</v>
      </c>
      <c r="K68" s="45" t="s">
        <v>252</v>
      </c>
      <c r="L68" s="45">
        <v>1</v>
      </c>
      <c r="M68" s="45">
        <v>3</v>
      </c>
      <c r="N68" s="45">
        <v>4</v>
      </c>
      <c r="O68" s="45">
        <v>1</v>
      </c>
      <c r="P68" s="118">
        <f t="shared" si="15"/>
        <v>13</v>
      </c>
      <c r="Q68" s="213"/>
      <c r="R68" s="109">
        <f>IF(A68=B68,Studentwise!AO68,"")</f>
        <v>76.923076923076934</v>
      </c>
      <c r="S68" s="109">
        <f>IF(A68=B68,Studentwise!AP68,"")</f>
        <v>85.714285714285708</v>
      </c>
      <c r="T68" s="109">
        <f>IF(A68=B68,Studentwise!AQ68,"")</f>
        <v>100</v>
      </c>
      <c r="U68" s="109">
        <f>IF(A68=B68,Studentwise!AR68,"")</f>
        <v>94.444444444444443</v>
      </c>
      <c r="V68" s="109">
        <f>IF(A68=B68,Studentwise!AS68,"")</f>
        <v>100</v>
      </c>
      <c r="W68" s="7"/>
      <c r="X68" s="7"/>
      <c r="Y68" s="8" t="b">
        <f t="shared" si="10"/>
        <v>1</v>
      </c>
      <c r="Z68" s="8" t="b">
        <f t="shared" si="10"/>
        <v>1</v>
      </c>
      <c r="AA68" s="8" t="b">
        <f t="shared" si="10"/>
        <v>0</v>
      </c>
      <c r="AB68" s="8" t="b">
        <f t="shared" si="10"/>
        <v>0</v>
      </c>
      <c r="AC68" s="8" t="b">
        <f t="shared" si="10"/>
        <v>0</v>
      </c>
      <c r="AD68" s="8" t="b">
        <f t="shared" si="10"/>
        <v>0</v>
      </c>
      <c r="AE68" s="8">
        <f t="shared" si="14"/>
        <v>2</v>
      </c>
    </row>
    <row r="69" spans="1:31" ht="18" customHeight="1">
      <c r="A69" s="65">
        <v>50</v>
      </c>
      <c r="B69" s="43">
        <v>50</v>
      </c>
      <c r="C69" s="44" t="s">
        <v>377</v>
      </c>
      <c r="D69" s="45">
        <v>1</v>
      </c>
      <c r="E69" s="45">
        <v>1</v>
      </c>
      <c r="F69" s="45">
        <v>1</v>
      </c>
      <c r="G69" s="45">
        <v>1</v>
      </c>
      <c r="H69" s="45">
        <v>1</v>
      </c>
      <c r="I69" s="45">
        <v>1</v>
      </c>
      <c r="J69" s="45">
        <v>4</v>
      </c>
      <c r="K69" s="45">
        <v>3</v>
      </c>
      <c r="L69" s="45">
        <v>3</v>
      </c>
      <c r="M69" s="45">
        <v>3</v>
      </c>
      <c r="N69" s="45" t="s">
        <v>252</v>
      </c>
      <c r="O69" s="45" t="s">
        <v>252</v>
      </c>
      <c r="P69" s="118">
        <f t="shared" si="15"/>
        <v>19</v>
      </c>
      <c r="Q69" s="213"/>
      <c r="R69" s="109">
        <f>IF(A69=B69,Studentwise!AO69,"")</f>
        <v>57.692307692307686</v>
      </c>
      <c r="S69" s="109">
        <f>IF(A69=B69,Studentwise!AP69,"")</f>
        <v>71.428571428571431</v>
      </c>
      <c r="T69" s="109">
        <f>IF(A69=B69,Studentwise!AQ69,"")</f>
        <v>94.444444444444443</v>
      </c>
      <c r="U69" s="109">
        <f>IF(A69=B69,Studentwise!AR69,"")</f>
        <v>100</v>
      </c>
      <c r="V69" s="109">
        <f>IF(A69=B69,Studentwise!AS69,"")</f>
        <v>100</v>
      </c>
      <c r="W69" s="7"/>
      <c r="X69" s="7"/>
      <c r="Y69" s="8" t="b">
        <f t="shared" si="10"/>
        <v>0</v>
      </c>
      <c r="Z69" s="8" t="b">
        <f t="shared" si="10"/>
        <v>0</v>
      </c>
      <c r="AA69" s="8" t="b">
        <f t="shared" si="10"/>
        <v>0</v>
      </c>
      <c r="AB69" s="8" t="b">
        <f t="shared" si="10"/>
        <v>0</v>
      </c>
      <c r="AC69" s="8" t="b">
        <f t="shared" si="10"/>
        <v>1</v>
      </c>
      <c r="AD69" s="8" t="b">
        <f t="shared" si="10"/>
        <v>1</v>
      </c>
      <c r="AE69" s="8">
        <f t="shared" si="14"/>
        <v>2</v>
      </c>
    </row>
    <row r="70" spans="1:31" ht="18" customHeight="1">
      <c r="A70" s="65">
        <v>51</v>
      </c>
      <c r="B70" s="43">
        <v>51</v>
      </c>
      <c r="C70" s="44" t="s">
        <v>378</v>
      </c>
      <c r="D70" s="45">
        <v>1</v>
      </c>
      <c r="E70" s="45">
        <v>1</v>
      </c>
      <c r="F70" s="45">
        <v>1</v>
      </c>
      <c r="G70" s="45">
        <v>0</v>
      </c>
      <c r="H70" s="45">
        <v>1</v>
      </c>
      <c r="I70" s="45">
        <v>1</v>
      </c>
      <c r="J70" s="45">
        <v>4</v>
      </c>
      <c r="K70" s="45">
        <v>3</v>
      </c>
      <c r="L70" s="45" t="s">
        <v>252</v>
      </c>
      <c r="M70" s="45" t="s">
        <v>252</v>
      </c>
      <c r="N70" s="45">
        <v>4</v>
      </c>
      <c r="O70" s="45">
        <v>3</v>
      </c>
      <c r="P70" s="118">
        <f t="shared" si="15"/>
        <v>19</v>
      </c>
      <c r="Q70" s="213"/>
      <c r="R70" s="109">
        <f>IF(A70=B70,Studentwise!AO70,"")</f>
        <v>91.666666666666657</v>
      </c>
      <c r="S70" s="109">
        <f>IF(A70=B70,Studentwise!AP70,"")</f>
        <v>53.571428571428569</v>
      </c>
      <c r="T70" s="109">
        <f>IF(A70=B70,Studentwise!AQ70,"")</f>
        <v>88.888888888888886</v>
      </c>
      <c r="U70" s="109">
        <f>IF(A70=B70,Studentwise!AR70,"")</f>
        <v>44.444444444444443</v>
      </c>
      <c r="V70" s="109">
        <f>IF(A70=B70,Studentwise!AS70,"")</f>
        <v>50</v>
      </c>
      <c r="W70" s="7"/>
      <c r="X70" s="7"/>
      <c r="Y70" s="8" t="b">
        <f t="shared" si="10"/>
        <v>0</v>
      </c>
      <c r="Z70" s="8" t="b">
        <f t="shared" si="10"/>
        <v>0</v>
      </c>
      <c r="AA70" s="8" t="b">
        <f t="shared" si="10"/>
        <v>1</v>
      </c>
      <c r="AB70" s="8" t="b">
        <f t="shared" si="10"/>
        <v>1</v>
      </c>
      <c r="AC70" s="8" t="b">
        <f t="shared" si="10"/>
        <v>0</v>
      </c>
      <c r="AD70" s="8" t="b">
        <f t="shared" si="10"/>
        <v>0</v>
      </c>
      <c r="AE70" s="8">
        <f t="shared" si="14"/>
        <v>2</v>
      </c>
    </row>
    <row r="71" spans="1:31" ht="18" customHeight="1">
      <c r="A71" s="65">
        <v>52</v>
      </c>
      <c r="B71" s="43">
        <v>52</v>
      </c>
      <c r="C71" s="44" t="s">
        <v>379</v>
      </c>
      <c r="D71" s="45">
        <v>0</v>
      </c>
      <c r="E71" s="45">
        <v>1</v>
      </c>
      <c r="F71" s="45">
        <v>1</v>
      </c>
      <c r="G71" s="45">
        <v>0</v>
      </c>
      <c r="H71" s="45">
        <v>1</v>
      </c>
      <c r="I71" s="45">
        <v>1</v>
      </c>
      <c r="J71" s="45">
        <v>2</v>
      </c>
      <c r="K71" s="45">
        <v>0</v>
      </c>
      <c r="L71" s="45" t="s">
        <v>252</v>
      </c>
      <c r="M71" s="45" t="s">
        <v>252</v>
      </c>
      <c r="N71" s="45">
        <v>4</v>
      </c>
      <c r="O71" s="45">
        <v>2</v>
      </c>
      <c r="P71" s="118">
        <f t="shared" si="15"/>
        <v>12</v>
      </c>
      <c r="Q71" s="213"/>
      <c r="R71" s="109">
        <f>IF(A71=B71,Studentwise!AO71,"")</f>
        <v>69.230769230769226</v>
      </c>
      <c r="S71" s="109">
        <f>IF(A71=B71,Studentwise!AP71,"")</f>
        <v>57.142857142857139</v>
      </c>
      <c r="T71" s="109">
        <f>IF(A71=B71,Studentwise!AQ71,"")</f>
        <v>61.111111111111114</v>
      </c>
      <c r="U71" s="109">
        <f>IF(A71=B71,Studentwise!AR71,"")</f>
        <v>72.222222222222214</v>
      </c>
      <c r="V71" s="109">
        <f>IF(A71=B71,Studentwise!AS71,"")</f>
        <v>50</v>
      </c>
      <c r="W71" s="7"/>
      <c r="X71" s="7"/>
      <c r="Y71" s="8" t="b">
        <f t="shared" si="10"/>
        <v>0</v>
      </c>
      <c r="Z71" s="8" t="b">
        <f t="shared" si="10"/>
        <v>0</v>
      </c>
      <c r="AA71" s="8" t="b">
        <f t="shared" si="10"/>
        <v>1</v>
      </c>
      <c r="AB71" s="8" t="b">
        <f t="shared" si="10"/>
        <v>1</v>
      </c>
      <c r="AC71" s="8" t="b">
        <f t="shared" si="10"/>
        <v>0</v>
      </c>
      <c r="AD71" s="8" t="b">
        <f t="shared" si="10"/>
        <v>0</v>
      </c>
      <c r="AE71" s="8">
        <f t="shared" si="14"/>
        <v>2</v>
      </c>
    </row>
    <row r="72" spans="1:31" ht="18" customHeight="1">
      <c r="A72" s="65">
        <v>53</v>
      </c>
      <c r="B72" s="43">
        <v>53</v>
      </c>
      <c r="C72" s="44" t="s">
        <v>380</v>
      </c>
      <c r="D72" s="45">
        <v>1</v>
      </c>
      <c r="E72" s="45">
        <v>1</v>
      </c>
      <c r="F72" s="45">
        <v>1</v>
      </c>
      <c r="G72" s="45">
        <v>0</v>
      </c>
      <c r="H72" s="45">
        <v>1</v>
      </c>
      <c r="I72" s="45">
        <v>1</v>
      </c>
      <c r="J72" s="45">
        <v>4</v>
      </c>
      <c r="K72" s="45">
        <v>3</v>
      </c>
      <c r="L72" s="45" t="s">
        <v>252</v>
      </c>
      <c r="M72" s="45" t="s">
        <v>252</v>
      </c>
      <c r="N72" s="45">
        <v>4</v>
      </c>
      <c r="O72" s="45">
        <v>1</v>
      </c>
      <c r="P72" s="118">
        <f t="shared" si="15"/>
        <v>17</v>
      </c>
      <c r="Q72" s="213"/>
      <c r="R72" s="109">
        <f>IF(A72=B72,Studentwise!AO72,"")</f>
        <v>30.76923076923077</v>
      </c>
      <c r="S72" s="109">
        <f>IF(A72=B72,Studentwise!AP72,"")</f>
        <v>0</v>
      </c>
      <c r="T72" s="109">
        <f>IF(A72=B72,Studentwise!AQ72,"")</f>
        <v>50</v>
      </c>
      <c r="U72" s="109">
        <f>IF(A72=B72,Studentwise!AR72,"")</f>
        <v>66.666666666666657</v>
      </c>
      <c r="V72" s="109">
        <f>IF(A72=B72,Studentwise!AS72,"")</f>
        <v>0</v>
      </c>
      <c r="W72" s="7"/>
      <c r="X72" s="7"/>
      <c r="Y72" s="8" t="b">
        <f t="shared" si="10"/>
        <v>0</v>
      </c>
      <c r="Z72" s="8" t="b">
        <f t="shared" si="10"/>
        <v>0</v>
      </c>
      <c r="AA72" s="8" t="b">
        <f t="shared" si="10"/>
        <v>1</v>
      </c>
      <c r="AB72" s="8" t="b">
        <f t="shared" si="10"/>
        <v>1</v>
      </c>
      <c r="AC72" s="8" t="b">
        <f t="shared" si="10"/>
        <v>0</v>
      </c>
      <c r="AD72" s="8" t="b">
        <f t="shared" si="10"/>
        <v>0</v>
      </c>
      <c r="AE72" s="8">
        <f t="shared" si="14"/>
        <v>2</v>
      </c>
    </row>
    <row r="73" spans="1:31" ht="18" customHeight="1">
      <c r="A73" s="65">
        <v>54</v>
      </c>
      <c r="B73" s="43">
        <v>54</v>
      </c>
      <c r="C73" s="44" t="s">
        <v>381</v>
      </c>
      <c r="D73" s="45">
        <v>0</v>
      </c>
      <c r="E73" s="45">
        <v>0</v>
      </c>
      <c r="F73" s="45">
        <v>0</v>
      </c>
      <c r="G73" s="45">
        <v>0</v>
      </c>
      <c r="H73" s="45">
        <v>0</v>
      </c>
      <c r="I73" s="45">
        <v>1</v>
      </c>
      <c r="J73" s="45">
        <v>3</v>
      </c>
      <c r="K73" s="45">
        <v>2</v>
      </c>
      <c r="L73" s="45" t="s">
        <v>252</v>
      </c>
      <c r="M73" s="45" t="s">
        <v>252</v>
      </c>
      <c r="N73" s="45">
        <v>4</v>
      </c>
      <c r="O73" s="45">
        <v>2</v>
      </c>
      <c r="P73" s="118">
        <f t="shared" si="15"/>
        <v>12</v>
      </c>
      <c r="Q73" s="213"/>
      <c r="R73" s="109">
        <f>IF(A73=B73,Studentwise!AO73,"")</f>
        <v>58.076923076923073</v>
      </c>
      <c r="S73" s="109">
        <f>IF(A73=B73,Studentwise!AP73,"")</f>
        <v>21.428571428571427</v>
      </c>
      <c r="T73" s="109">
        <f>IF(A73=B73,Studentwise!AQ73,"")</f>
        <v>61.111111111111114</v>
      </c>
      <c r="U73" s="109">
        <f>IF(A73=B73,Studentwise!AR73,"")</f>
        <v>94.444444444444443</v>
      </c>
      <c r="V73" s="109">
        <f>IF(A73=B73,Studentwise!AS73,"")</f>
        <v>100</v>
      </c>
      <c r="W73" s="7"/>
      <c r="X73" s="7"/>
      <c r="Y73" s="8" t="b">
        <f t="shared" si="10"/>
        <v>0</v>
      </c>
      <c r="Z73" s="8" t="b">
        <f t="shared" si="10"/>
        <v>0</v>
      </c>
      <c r="AA73" s="8" t="b">
        <f t="shared" si="10"/>
        <v>1</v>
      </c>
      <c r="AB73" s="8" t="b">
        <f t="shared" si="10"/>
        <v>1</v>
      </c>
      <c r="AC73" s="8" t="b">
        <f t="shared" si="10"/>
        <v>0</v>
      </c>
      <c r="AD73" s="8" t="b">
        <f t="shared" si="10"/>
        <v>0</v>
      </c>
      <c r="AE73" s="8">
        <f t="shared" si="14"/>
        <v>2</v>
      </c>
    </row>
    <row r="74" spans="1:31" ht="18" customHeight="1">
      <c r="A74" s="65">
        <v>55</v>
      </c>
      <c r="B74" s="43">
        <v>55</v>
      </c>
      <c r="C74" s="44" t="s">
        <v>382</v>
      </c>
      <c r="D74" s="45">
        <v>0</v>
      </c>
      <c r="E74" s="45">
        <v>1</v>
      </c>
      <c r="F74" s="45">
        <v>1</v>
      </c>
      <c r="G74" s="45">
        <v>1</v>
      </c>
      <c r="H74" s="45">
        <v>1</v>
      </c>
      <c r="I74" s="45">
        <v>1</v>
      </c>
      <c r="J74" s="45">
        <v>4</v>
      </c>
      <c r="K74" s="45">
        <v>3</v>
      </c>
      <c r="L74" s="45" t="s">
        <v>252</v>
      </c>
      <c r="M74" s="45" t="s">
        <v>252</v>
      </c>
      <c r="N74" s="45">
        <v>4</v>
      </c>
      <c r="O74" s="45">
        <v>3</v>
      </c>
      <c r="P74" s="118">
        <f t="shared" si="15"/>
        <v>19</v>
      </c>
      <c r="Q74" s="213"/>
      <c r="R74" s="109">
        <f>IF(A74=B74,Studentwise!AO74,"")</f>
        <v>57.692307692307686</v>
      </c>
      <c r="S74" s="109">
        <f>IF(A74=B74,Studentwise!AP74,"")</f>
        <v>57.142857142857139</v>
      </c>
      <c r="T74" s="109">
        <f>IF(A74=B74,Studentwise!AQ74,"")</f>
        <v>38.888888888888893</v>
      </c>
      <c r="U74" s="109">
        <f>IF(A74=B74,Studentwise!AR74,"")</f>
        <v>100</v>
      </c>
      <c r="V74" s="109">
        <f>IF(A74=B74,Studentwise!AS74,"")</f>
        <v>66.666666666666657</v>
      </c>
      <c r="W74" s="7"/>
      <c r="X74" s="7"/>
      <c r="Y74" s="8" t="b">
        <f t="shared" si="10"/>
        <v>0</v>
      </c>
      <c r="Z74" s="8" t="b">
        <f t="shared" si="10"/>
        <v>0</v>
      </c>
      <c r="AA74" s="8" t="b">
        <f t="shared" si="10"/>
        <v>1</v>
      </c>
      <c r="AB74" s="8" t="b">
        <f t="shared" si="10"/>
        <v>1</v>
      </c>
      <c r="AC74" s="8" t="b">
        <f t="shared" si="10"/>
        <v>0</v>
      </c>
      <c r="AD74" s="8" t="b">
        <f t="shared" si="10"/>
        <v>0</v>
      </c>
      <c r="AE74" s="8">
        <f t="shared" si="14"/>
        <v>2</v>
      </c>
    </row>
    <row r="75" spans="1:31" ht="18" customHeight="1">
      <c r="A75" s="65">
        <v>56</v>
      </c>
      <c r="B75" s="43">
        <v>56</v>
      </c>
      <c r="C75" s="44" t="s">
        <v>383</v>
      </c>
      <c r="D75" s="45">
        <v>1</v>
      </c>
      <c r="E75" s="45">
        <v>1</v>
      </c>
      <c r="F75" s="45">
        <v>1</v>
      </c>
      <c r="G75" s="45">
        <v>1</v>
      </c>
      <c r="H75" s="45">
        <v>1</v>
      </c>
      <c r="I75" s="45">
        <v>1</v>
      </c>
      <c r="J75" s="45">
        <v>4</v>
      </c>
      <c r="K75" s="45">
        <v>2</v>
      </c>
      <c r="L75" s="45">
        <v>4</v>
      </c>
      <c r="M75" s="45">
        <v>3</v>
      </c>
      <c r="N75" s="45" t="s">
        <v>252</v>
      </c>
      <c r="O75" s="45" t="s">
        <v>252</v>
      </c>
      <c r="P75" s="118">
        <f t="shared" si="15"/>
        <v>19</v>
      </c>
      <c r="Q75" s="213"/>
      <c r="R75" s="109">
        <f>IF(A75=B75,Studentwise!AO75,"")</f>
        <v>95</v>
      </c>
      <c r="S75" s="109">
        <f>IF(A75=B75,Studentwise!AP75,"")</f>
        <v>60</v>
      </c>
      <c r="T75" s="109">
        <f>IF(A75=B75,Studentwise!AQ75,"")</f>
        <v>55.555555555555557</v>
      </c>
      <c r="U75" s="109">
        <f>IF(A75=B75,Studentwise!AR75,"")</f>
        <v>100</v>
      </c>
      <c r="V75" s="109">
        <f>IF(A75=B75,Studentwise!AS75,"")</f>
        <v>50</v>
      </c>
      <c r="W75" s="7"/>
      <c r="X75" s="7"/>
      <c r="Y75" s="8" t="b">
        <f t="shared" si="10"/>
        <v>0</v>
      </c>
      <c r="Z75" s="8" t="b">
        <f t="shared" si="10"/>
        <v>0</v>
      </c>
      <c r="AA75" s="8" t="b">
        <f t="shared" si="10"/>
        <v>0</v>
      </c>
      <c r="AB75" s="8" t="b">
        <f t="shared" si="10"/>
        <v>0</v>
      </c>
      <c r="AC75" s="8" t="b">
        <f t="shared" si="10"/>
        <v>1</v>
      </c>
      <c r="AD75" s="8" t="b">
        <f t="shared" si="10"/>
        <v>1</v>
      </c>
      <c r="AE75" s="8">
        <f t="shared" si="14"/>
        <v>2</v>
      </c>
    </row>
    <row r="76" spans="1:31" ht="18" customHeight="1">
      <c r="A76" s="65">
        <v>57</v>
      </c>
      <c r="B76" s="43">
        <v>57</v>
      </c>
      <c r="C76" s="44" t="s">
        <v>384</v>
      </c>
      <c r="D76" s="45">
        <v>1</v>
      </c>
      <c r="E76" s="45">
        <v>1</v>
      </c>
      <c r="F76" s="45">
        <v>1</v>
      </c>
      <c r="G76" s="45">
        <v>1</v>
      </c>
      <c r="H76" s="45">
        <v>1</v>
      </c>
      <c r="I76" s="45">
        <v>1</v>
      </c>
      <c r="J76" s="45">
        <v>4</v>
      </c>
      <c r="K76" s="45">
        <v>3</v>
      </c>
      <c r="L76" s="45">
        <v>4</v>
      </c>
      <c r="M76" s="45">
        <v>3</v>
      </c>
      <c r="N76" s="45" t="s">
        <v>252</v>
      </c>
      <c r="O76" s="45" t="s">
        <v>252</v>
      </c>
      <c r="P76" s="118">
        <f t="shared" si="15"/>
        <v>20</v>
      </c>
      <c r="Q76" s="213"/>
      <c r="R76" s="109">
        <f>IF(A76=B76,Studentwise!AO76,"")</f>
        <v>80.769230769230774</v>
      </c>
      <c r="S76" s="109">
        <f>IF(A76=B76,Studentwise!AP76,"")</f>
        <v>50</v>
      </c>
      <c r="T76" s="109">
        <f>IF(A76=B76,Studentwise!AQ76,"")</f>
        <v>77.777777777777786</v>
      </c>
      <c r="U76" s="109">
        <f>IF(A76=B76,Studentwise!AR76,"")</f>
        <v>94.444444444444443</v>
      </c>
      <c r="V76" s="109">
        <f>IF(A76=B76,Studentwise!AS76,"")</f>
        <v>100</v>
      </c>
      <c r="W76" s="7"/>
      <c r="X76" s="7"/>
      <c r="Y76" s="8" t="b">
        <f t="shared" ref="Y76:AD118" si="16">ISTEXT(J76)</f>
        <v>0</v>
      </c>
      <c r="Z76" s="8" t="b">
        <f t="shared" si="16"/>
        <v>0</v>
      </c>
      <c r="AA76" s="8" t="b">
        <f t="shared" si="16"/>
        <v>0</v>
      </c>
      <c r="AB76" s="8" t="b">
        <f t="shared" si="16"/>
        <v>0</v>
      </c>
      <c r="AC76" s="8" t="b">
        <f t="shared" si="16"/>
        <v>1</v>
      </c>
      <c r="AD76" s="8" t="b">
        <f t="shared" si="16"/>
        <v>1</v>
      </c>
      <c r="AE76" s="8">
        <f t="shared" si="14"/>
        <v>2</v>
      </c>
    </row>
    <row r="77" spans="1:31" ht="18" customHeight="1">
      <c r="A77" s="65">
        <v>58</v>
      </c>
      <c r="B77" s="43">
        <v>58</v>
      </c>
      <c r="C77" s="44" t="s">
        <v>385</v>
      </c>
      <c r="D77" s="45">
        <v>0</v>
      </c>
      <c r="E77" s="45">
        <v>1</v>
      </c>
      <c r="F77" s="45">
        <v>0</v>
      </c>
      <c r="G77" s="45">
        <v>0</v>
      </c>
      <c r="H77" s="45">
        <v>1</v>
      </c>
      <c r="I77" s="45">
        <v>1</v>
      </c>
      <c r="J77" s="45">
        <v>4</v>
      </c>
      <c r="K77" s="45">
        <v>2</v>
      </c>
      <c r="L77" s="45">
        <v>4</v>
      </c>
      <c r="M77" s="45">
        <v>0</v>
      </c>
      <c r="N77" s="45" t="s">
        <v>252</v>
      </c>
      <c r="O77" s="45" t="s">
        <v>252</v>
      </c>
      <c r="P77" s="118">
        <f t="shared" si="15"/>
        <v>13</v>
      </c>
      <c r="Q77" s="213"/>
      <c r="R77" s="109">
        <f>IF(A77=B77,Studentwise!AO77,"")</f>
        <v>65.384615384615387</v>
      </c>
      <c r="S77" s="109">
        <f>IF(A77=B77,Studentwise!AP77,"")</f>
        <v>50</v>
      </c>
      <c r="T77" s="109">
        <f>IF(A77=B77,Studentwise!AQ77,"")</f>
        <v>25</v>
      </c>
      <c r="U77" s="109">
        <f>IF(A77=B77,Studentwise!AR77,"")</f>
        <v>55.555555555555557</v>
      </c>
      <c r="V77" s="109">
        <f>IF(A77=B77,Studentwise!AS77,"")</f>
        <v>55.555555555555557</v>
      </c>
      <c r="W77" s="7"/>
      <c r="X77" s="7"/>
      <c r="Y77" s="8" t="b">
        <f t="shared" si="16"/>
        <v>0</v>
      </c>
      <c r="Z77" s="8" t="b">
        <f t="shared" si="16"/>
        <v>0</v>
      </c>
      <c r="AA77" s="8" t="b">
        <f t="shared" si="16"/>
        <v>0</v>
      </c>
      <c r="AB77" s="8" t="b">
        <f t="shared" si="16"/>
        <v>0</v>
      </c>
      <c r="AC77" s="8" t="b">
        <f t="shared" si="16"/>
        <v>1</v>
      </c>
      <c r="AD77" s="8" t="b">
        <f t="shared" si="16"/>
        <v>1</v>
      </c>
      <c r="AE77" s="8">
        <f t="shared" si="14"/>
        <v>2</v>
      </c>
    </row>
    <row r="78" spans="1:31" ht="18" customHeight="1">
      <c r="A78" s="65">
        <v>59</v>
      </c>
      <c r="B78" s="43">
        <v>59</v>
      </c>
      <c r="C78" s="44" t="s">
        <v>386</v>
      </c>
      <c r="D78" s="45">
        <v>1</v>
      </c>
      <c r="E78" s="45">
        <v>1</v>
      </c>
      <c r="F78" s="45">
        <v>1</v>
      </c>
      <c r="G78" s="45">
        <v>0</v>
      </c>
      <c r="H78" s="45">
        <v>0</v>
      </c>
      <c r="I78" s="45">
        <v>1</v>
      </c>
      <c r="J78" s="45">
        <v>4</v>
      </c>
      <c r="K78" s="45">
        <v>3</v>
      </c>
      <c r="L78" s="45">
        <v>2</v>
      </c>
      <c r="M78" s="45">
        <v>3</v>
      </c>
      <c r="N78" s="45" t="s">
        <v>252</v>
      </c>
      <c r="O78" s="45" t="s">
        <v>252</v>
      </c>
      <c r="P78" s="118">
        <f t="shared" si="15"/>
        <v>16</v>
      </c>
      <c r="Q78" s="213"/>
      <c r="R78" s="109">
        <f>IF(A78=B78,Studentwise!AO78,"")</f>
        <v>66.666666666666657</v>
      </c>
      <c r="S78" s="109">
        <f>IF(A78=B78,Studentwise!AP78,"")</f>
        <v>25</v>
      </c>
      <c r="T78" s="109">
        <f>IF(A78=B78,Studentwise!AQ78,"")</f>
        <v>33.333333333333329</v>
      </c>
      <c r="U78" s="109">
        <f>IF(A78=B78,Studentwise!AR78,"")</f>
        <v>38.888888888888893</v>
      </c>
      <c r="V78" s="109">
        <f>IF(A78=B78,Studentwise!AS78,"")</f>
        <v>50</v>
      </c>
      <c r="W78" s="7"/>
      <c r="X78" s="7"/>
      <c r="Y78" s="8" t="b">
        <f t="shared" si="16"/>
        <v>0</v>
      </c>
      <c r="Z78" s="8" t="b">
        <f t="shared" si="16"/>
        <v>0</v>
      </c>
      <c r="AA78" s="8" t="b">
        <f t="shared" si="16"/>
        <v>0</v>
      </c>
      <c r="AB78" s="8" t="b">
        <f t="shared" si="16"/>
        <v>0</v>
      </c>
      <c r="AC78" s="8" t="b">
        <f t="shared" si="16"/>
        <v>1</v>
      </c>
      <c r="AD78" s="8" t="b">
        <f t="shared" si="16"/>
        <v>1</v>
      </c>
      <c r="AE78" s="8">
        <f t="shared" si="14"/>
        <v>2</v>
      </c>
    </row>
    <row r="79" spans="1:31" ht="18" customHeight="1">
      <c r="A79" s="65">
        <v>60</v>
      </c>
      <c r="B79" s="43">
        <v>60</v>
      </c>
      <c r="C79" s="44" t="s">
        <v>387</v>
      </c>
      <c r="D79" s="45">
        <v>0</v>
      </c>
      <c r="E79" s="45">
        <v>1</v>
      </c>
      <c r="F79" s="45">
        <v>1</v>
      </c>
      <c r="G79" s="45">
        <v>0</v>
      </c>
      <c r="H79" s="45">
        <v>1</v>
      </c>
      <c r="I79" s="45">
        <v>1</v>
      </c>
      <c r="J79" s="45">
        <v>3</v>
      </c>
      <c r="K79" s="45">
        <v>3</v>
      </c>
      <c r="L79" s="45" t="s">
        <v>252</v>
      </c>
      <c r="M79" s="45" t="s">
        <v>252</v>
      </c>
      <c r="N79" s="45">
        <v>4</v>
      </c>
      <c r="O79" s="45">
        <v>2</v>
      </c>
      <c r="P79" s="118">
        <f t="shared" si="15"/>
        <v>16</v>
      </c>
      <c r="Q79" s="213"/>
      <c r="R79" s="109">
        <f>IF(A79=B79,Studentwise!AO79,"")</f>
        <v>91.666666666666657</v>
      </c>
      <c r="S79" s="109">
        <f>IF(A79=B79,Studentwise!AP79,"")</f>
        <v>35.714285714285715</v>
      </c>
      <c r="T79" s="109">
        <f>IF(A79=B79,Studentwise!AQ79,"")</f>
        <v>88.888888888888886</v>
      </c>
      <c r="U79" s="109">
        <f>IF(A79=B79,Studentwise!AR79,"")</f>
        <v>100</v>
      </c>
      <c r="V79" s="109">
        <f>IF(A79=B79,Studentwise!AS79,"")</f>
        <v>100</v>
      </c>
      <c r="W79" s="7"/>
      <c r="X79" s="7"/>
      <c r="Y79" s="8" t="b">
        <f t="shared" si="16"/>
        <v>0</v>
      </c>
      <c r="Z79" s="8" t="b">
        <f t="shared" si="16"/>
        <v>0</v>
      </c>
      <c r="AA79" s="8" t="b">
        <f t="shared" si="16"/>
        <v>1</v>
      </c>
      <c r="AB79" s="8" t="b">
        <f t="shared" si="16"/>
        <v>1</v>
      </c>
      <c r="AC79" s="8" t="b">
        <f t="shared" si="16"/>
        <v>0</v>
      </c>
      <c r="AD79" s="8" t="b">
        <f t="shared" si="16"/>
        <v>0</v>
      </c>
      <c r="AE79" s="8">
        <f t="shared" si="14"/>
        <v>2</v>
      </c>
    </row>
    <row r="80" spans="1:31" ht="18" customHeight="1">
      <c r="A80" s="65">
        <v>61</v>
      </c>
      <c r="B80" s="43">
        <v>61</v>
      </c>
      <c r="C80" s="44" t="s">
        <v>388</v>
      </c>
      <c r="D80" s="45">
        <v>1</v>
      </c>
      <c r="E80" s="45">
        <v>0</v>
      </c>
      <c r="F80" s="45">
        <v>0</v>
      </c>
      <c r="G80" s="45">
        <v>1</v>
      </c>
      <c r="H80" s="45">
        <v>0</v>
      </c>
      <c r="I80" s="45">
        <v>1</v>
      </c>
      <c r="J80" s="45" t="s">
        <v>252</v>
      </c>
      <c r="K80" s="45" t="s">
        <v>252</v>
      </c>
      <c r="L80" s="45">
        <v>2</v>
      </c>
      <c r="M80" s="45">
        <v>2</v>
      </c>
      <c r="N80" s="45">
        <v>4</v>
      </c>
      <c r="O80" s="45">
        <v>1</v>
      </c>
      <c r="P80" s="118">
        <f t="shared" si="15"/>
        <v>12</v>
      </c>
      <c r="Q80" s="213"/>
      <c r="R80" s="109">
        <f>IF(A80=B80,Studentwise!AO80,"")</f>
        <v>91.666666666666657</v>
      </c>
      <c r="S80" s="109">
        <f>IF(A80=B80,Studentwise!AP80,"")</f>
        <v>60.714285714285708</v>
      </c>
      <c r="T80" s="109">
        <f>IF(A80=B80,Studentwise!AQ80,"")</f>
        <v>55.555555555555557</v>
      </c>
      <c r="U80" s="109">
        <f>IF(A80=B80,Studentwise!AR80,"")</f>
        <v>72.222222222222214</v>
      </c>
      <c r="V80" s="109">
        <f>IF(A80=B80,Studentwise!AS80,"")</f>
        <v>100</v>
      </c>
      <c r="W80" s="7"/>
      <c r="X80" s="7"/>
      <c r="Y80" s="8" t="b">
        <f t="shared" si="16"/>
        <v>1</v>
      </c>
      <c r="Z80" s="8" t="b">
        <f t="shared" si="16"/>
        <v>1</v>
      </c>
      <c r="AA80" s="8" t="b">
        <f t="shared" si="16"/>
        <v>0</v>
      </c>
      <c r="AB80" s="8" t="b">
        <f t="shared" si="16"/>
        <v>0</v>
      </c>
      <c r="AC80" s="8" t="b">
        <f t="shared" si="16"/>
        <v>0</v>
      </c>
      <c r="AD80" s="8" t="b">
        <f t="shared" si="16"/>
        <v>0</v>
      </c>
      <c r="AE80" s="8">
        <f t="shared" si="14"/>
        <v>2</v>
      </c>
    </row>
    <row r="81" spans="1:31" ht="18" customHeight="1">
      <c r="A81" s="65">
        <v>62</v>
      </c>
      <c r="B81" s="43">
        <v>62</v>
      </c>
      <c r="C81" s="44" t="s">
        <v>389</v>
      </c>
      <c r="D81" s="45">
        <v>1</v>
      </c>
      <c r="E81" s="45">
        <v>0</v>
      </c>
      <c r="F81" s="45">
        <v>0</v>
      </c>
      <c r="G81" s="45">
        <v>0</v>
      </c>
      <c r="H81" s="45">
        <v>0</v>
      </c>
      <c r="I81" s="45">
        <v>1</v>
      </c>
      <c r="J81" s="45">
        <v>3</v>
      </c>
      <c r="K81" s="45">
        <v>1</v>
      </c>
      <c r="L81" s="45">
        <v>2</v>
      </c>
      <c r="M81" s="45">
        <v>0</v>
      </c>
      <c r="N81" s="45" t="s">
        <v>252</v>
      </c>
      <c r="O81" s="45" t="s">
        <v>252</v>
      </c>
      <c r="P81" s="118">
        <f t="shared" si="15"/>
        <v>8</v>
      </c>
      <c r="Q81" s="213"/>
      <c r="R81" s="109">
        <f>IF(A81=B81,Studentwise!AO81,"")</f>
        <v>53.846153846153847</v>
      </c>
      <c r="S81" s="109">
        <f>IF(A81=B81,Studentwise!AP81,"")</f>
        <v>21.428571428571427</v>
      </c>
      <c r="T81" s="109">
        <f>IF(A81=B81,Studentwise!AQ81,"")</f>
        <v>44.444444444444443</v>
      </c>
      <c r="U81" s="109">
        <f>IF(A81=B81,Studentwise!AR81,"")</f>
        <v>83.333333333333343</v>
      </c>
      <c r="V81" s="109">
        <f>IF(A81=B81,Studentwise!AS81,"")</f>
        <v>100</v>
      </c>
      <c r="W81" s="7"/>
      <c r="X81" s="7"/>
      <c r="Y81" s="8" t="b">
        <f t="shared" si="16"/>
        <v>0</v>
      </c>
      <c r="Z81" s="8" t="b">
        <f t="shared" si="16"/>
        <v>0</v>
      </c>
      <c r="AA81" s="8" t="b">
        <f t="shared" si="16"/>
        <v>0</v>
      </c>
      <c r="AB81" s="8" t="b">
        <f t="shared" si="16"/>
        <v>0</v>
      </c>
      <c r="AC81" s="8" t="b">
        <f t="shared" si="16"/>
        <v>1</v>
      </c>
      <c r="AD81" s="8" t="b">
        <f t="shared" si="16"/>
        <v>1</v>
      </c>
      <c r="AE81" s="8">
        <f t="shared" si="14"/>
        <v>2</v>
      </c>
    </row>
    <row r="82" spans="1:31" ht="18" customHeight="1">
      <c r="A82" s="65">
        <v>63</v>
      </c>
      <c r="B82" s="43">
        <v>63</v>
      </c>
      <c r="C82" s="44" t="s">
        <v>390</v>
      </c>
      <c r="D82" s="45">
        <v>1</v>
      </c>
      <c r="E82" s="45">
        <v>0</v>
      </c>
      <c r="F82" s="45">
        <v>1</v>
      </c>
      <c r="G82" s="45">
        <v>0</v>
      </c>
      <c r="H82" s="45">
        <v>1</v>
      </c>
      <c r="I82" s="45">
        <v>1</v>
      </c>
      <c r="J82" s="45">
        <v>3</v>
      </c>
      <c r="K82" s="45">
        <v>2</v>
      </c>
      <c r="L82" s="45" t="s">
        <v>252</v>
      </c>
      <c r="M82" s="45" t="s">
        <v>252</v>
      </c>
      <c r="N82" s="45">
        <v>4</v>
      </c>
      <c r="O82" s="45">
        <v>0</v>
      </c>
      <c r="P82" s="118">
        <f t="shared" si="15"/>
        <v>13</v>
      </c>
      <c r="Q82" s="213"/>
      <c r="R82" s="109">
        <f>IF(A82=B82,Studentwise!AO82,"")</f>
        <v>42.307692307692307</v>
      </c>
      <c r="S82" s="109">
        <f>IF(A82=B82,Studentwise!AP82,"")</f>
        <v>28.571428571428569</v>
      </c>
      <c r="T82" s="109">
        <f>IF(A82=B82,Studentwise!AQ82,"")</f>
        <v>44.444444444444443</v>
      </c>
      <c r="U82" s="109">
        <f>IF(A82=B82,Studentwise!AR82,"")</f>
        <v>66.666666666666657</v>
      </c>
      <c r="V82" s="109">
        <f>IF(A82=B82,Studentwise!AS82,"")</f>
        <v>50</v>
      </c>
      <c r="W82" s="7"/>
      <c r="X82" s="7"/>
      <c r="Y82" s="8" t="b">
        <f t="shared" si="16"/>
        <v>0</v>
      </c>
      <c r="Z82" s="8" t="b">
        <f t="shared" si="16"/>
        <v>0</v>
      </c>
      <c r="AA82" s="8" t="b">
        <f t="shared" si="16"/>
        <v>1</v>
      </c>
      <c r="AB82" s="8" t="b">
        <f t="shared" si="16"/>
        <v>1</v>
      </c>
      <c r="AC82" s="8" t="b">
        <f t="shared" si="16"/>
        <v>0</v>
      </c>
      <c r="AD82" s="8" t="b">
        <f t="shared" si="16"/>
        <v>0</v>
      </c>
      <c r="AE82" s="8">
        <f t="shared" si="14"/>
        <v>2</v>
      </c>
    </row>
    <row r="83" spans="1:31" ht="18" customHeight="1">
      <c r="A83" s="65">
        <v>64</v>
      </c>
      <c r="B83" s="43">
        <v>64</v>
      </c>
      <c r="C83" s="44" t="s">
        <v>391</v>
      </c>
      <c r="D83" s="45">
        <v>1</v>
      </c>
      <c r="E83" s="45">
        <v>1</v>
      </c>
      <c r="F83" s="45">
        <v>1</v>
      </c>
      <c r="G83" s="45">
        <v>0</v>
      </c>
      <c r="H83" s="45">
        <v>1</v>
      </c>
      <c r="I83" s="45">
        <v>1</v>
      </c>
      <c r="J83" s="45">
        <v>4</v>
      </c>
      <c r="K83" s="45">
        <v>2</v>
      </c>
      <c r="L83" s="45" t="s">
        <v>252</v>
      </c>
      <c r="M83" s="45" t="s">
        <v>252</v>
      </c>
      <c r="N83" s="45">
        <v>4</v>
      </c>
      <c r="O83" s="45">
        <v>1</v>
      </c>
      <c r="P83" s="118">
        <f t="shared" si="15"/>
        <v>16</v>
      </c>
      <c r="Q83" s="213"/>
      <c r="R83" s="109">
        <f>IF(A83=B83,Studentwise!AO83,"")</f>
        <v>53.846153846153847</v>
      </c>
      <c r="S83" s="109">
        <f>IF(A83=B83,Studentwise!AP83,"")</f>
        <v>21.428571428571427</v>
      </c>
      <c r="T83" s="109">
        <f>IF(A83=B83,Studentwise!AQ83,"")</f>
        <v>11.111111111111111</v>
      </c>
      <c r="U83" s="109">
        <f>IF(A83=B83,Studentwise!AR83,"")</f>
        <v>66.666666666666657</v>
      </c>
      <c r="V83" s="109">
        <f>IF(A83=B83,Studentwise!AS83,"")</f>
        <v>25</v>
      </c>
      <c r="W83" s="7"/>
      <c r="X83" s="7"/>
      <c r="Y83" s="8" t="b">
        <f t="shared" si="16"/>
        <v>0</v>
      </c>
      <c r="Z83" s="8" t="b">
        <f t="shared" si="16"/>
        <v>0</v>
      </c>
      <c r="AA83" s="8" t="b">
        <f t="shared" si="16"/>
        <v>1</v>
      </c>
      <c r="AB83" s="8" t="b">
        <f t="shared" si="16"/>
        <v>1</v>
      </c>
      <c r="AC83" s="8" t="b">
        <f t="shared" si="16"/>
        <v>0</v>
      </c>
      <c r="AD83" s="8" t="b">
        <f t="shared" si="16"/>
        <v>0</v>
      </c>
      <c r="AE83" s="8">
        <f t="shared" si="14"/>
        <v>2</v>
      </c>
    </row>
    <row r="84" spans="1:31" ht="18" customHeight="1">
      <c r="A84" s="65">
        <v>65</v>
      </c>
      <c r="B84" s="43">
        <v>65</v>
      </c>
      <c r="C84" s="44" t="s">
        <v>392</v>
      </c>
      <c r="D84" s="45">
        <v>0</v>
      </c>
      <c r="E84" s="45">
        <v>1</v>
      </c>
      <c r="F84" s="45">
        <v>0</v>
      </c>
      <c r="G84" s="45">
        <v>0</v>
      </c>
      <c r="H84" s="45">
        <v>0</v>
      </c>
      <c r="I84" s="45">
        <v>1</v>
      </c>
      <c r="J84" s="45">
        <v>4</v>
      </c>
      <c r="K84" s="45">
        <v>1</v>
      </c>
      <c r="L84" s="45">
        <v>2</v>
      </c>
      <c r="M84" s="45">
        <v>3</v>
      </c>
      <c r="N84" s="45" t="s">
        <v>252</v>
      </c>
      <c r="O84" s="45" t="s">
        <v>252</v>
      </c>
      <c r="P84" s="118">
        <f t="shared" ref="P84:P115" si="17">IF(A84&lt;=$K$198,SUM(D84:O84),"")</f>
        <v>12</v>
      </c>
      <c r="Q84" s="213"/>
      <c r="R84" s="109">
        <f>IF(A84=B84,Studentwise!AO84,"")</f>
        <v>58.333333333333336</v>
      </c>
      <c r="S84" s="109">
        <f>IF(A84=B84,Studentwise!AP84,"")</f>
        <v>42.857142857142854</v>
      </c>
      <c r="T84" s="109">
        <f>IF(A84=B84,Studentwise!AQ84,"")</f>
        <v>44.444444444444443</v>
      </c>
      <c r="U84" s="109">
        <f>IF(A84=B84,Studentwise!AR84,"")</f>
        <v>83.333333333333343</v>
      </c>
      <c r="V84" s="109">
        <f>IF(A84=B84,Studentwise!AS84,"")</f>
        <v>50</v>
      </c>
      <c r="W84" s="7"/>
      <c r="X84" s="7"/>
      <c r="Y84" s="8" t="b">
        <f t="shared" si="16"/>
        <v>0</v>
      </c>
      <c r="Z84" s="8" t="b">
        <f t="shared" si="16"/>
        <v>0</v>
      </c>
      <c r="AA84" s="8" t="b">
        <f t="shared" si="16"/>
        <v>0</v>
      </c>
      <c r="AB84" s="8" t="b">
        <f t="shared" si="16"/>
        <v>0</v>
      </c>
      <c r="AC84" s="8" t="b">
        <f t="shared" si="16"/>
        <v>1</v>
      </c>
      <c r="AD84" s="8" t="b">
        <f t="shared" si="16"/>
        <v>1</v>
      </c>
      <c r="AE84" s="8">
        <f t="shared" si="14"/>
        <v>2</v>
      </c>
    </row>
    <row r="85" spans="1:31" ht="18" customHeight="1">
      <c r="A85" s="65">
        <v>66</v>
      </c>
      <c r="B85" s="43">
        <v>66</v>
      </c>
      <c r="C85" s="44" t="s">
        <v>393</v>
      </c>
      <c r="D85" s="45">
        <v>0</v>
      </c>
      <c r="E85" s="45">
        <v>1</v>
      </c>
      <c r="F85" s="45">
        <v>0</v>
      </c>
      <c r="G85" s="45">
        <v>0</v>
      </c>
      <c r="H85" s="45">
        <v>1</v>
      </c>
      <c r="I85" s="45">
        <v>1</v>
      </c>
      <c r="J85" s="45">
        <v>4</v>
      </c>
      <c r="K85" s="45">
        <v>1</v>
      </c>
      <c r="L85" s="45">
        <v>3</v>
      </c>
      <c r="M85" s="45">
        <v>3</v>
      </c>
      <c r="N85" s="45" t="s">
        <v>252</v>
      </c>
      <c r="O85" s="45" t="s">
        <v>252</v>
      </c>
      <c r="P85" s="118">
        <f t="shared" si="17"/>
        <v>14</v>
      </c>
      <c r="Q85" s="213"/>
      <c r="R85" s="109">
        <f>IF(A85=B85,Studentwise!AO85,"")</f>
        <v>58.333333333333336</v>
      </c>
      <c r="S85" s="109">
        <f>IF(A85=B85,Studentwise!AP85,"")</f>
        <v>28.571428571428569</v>
      </c>
      <c r="T85" s="109">
        <f>IF(A85=B85,Studentwise!AQ85,"")</f>
        <v>27.777777777777779</v>
      </c>
      <c r="U85" s="109">
        <f>IF(A85=B85,Studentwise!AR85,"")</f>
        <v>100</v>
      </c>
      <c r="V85" s="109">
        <f>IF(A85=B85,Studentwise!AS85,"")</f>
        <v>38.888888888888893</v>
      </c>
      <c r="W85" s="7"/>
      <c r="X85" s="7"/>
      <c r="Y85" s="8" t="b">
        <f t="shared" si="16"/>
        <v>0</v>
      </c>
      <c r="Z85" s="8" t="b">
        <f t="shared" si="16"/>
        <v>0</v>
      </c>
      <c r="AA85" s="8" t="b">
        <f t="shared" si="16"/>
        <v>0</v>
      </c>
      <c r="AB85" s="8" t="b">
        <f t="shared" si="16"/>
        <v>0</v>
      </c>
      <c r="AC85" s="8" t="b">
        <f t="shared" si="16"/>
        <v>1</v>
      </c>
      <c r="AD85" s="8" t="b">
        <f t="shared" si="16"/>
        <v>1</v>
      </c>
      <c r="AE85" s="8">
        <f t="shared" ref="AE85:AE148" si="18">COUNTIF(Y85:AD85,"TRUE")</f>
        <v>2</v>
      </c>
    </row>
    <row r="86" spans="1:31" ht="18" customHeight="1">
      <c r="A86" s="65">
        <v>67</v>
      </c>
      <c r="B86" s="43">
        <v>67</v>
      </c>
      <c r="C86" s="44" t="s">
        <v>394</v>
      </c>
      <c r="D86" s="45">
        <v>1</v>
      </c>
      <c r="E86" s="45">
        <v>1</v>
      </c>
      <c r="F86" s="45">
        <v>1</v>
      </c>
      <c r="G86" s="45">
        <v>1</v>
      </c>
      <c r="H86" s="45">
        <v>1</v>
      </c>
      <c r="I86" s="45">
        <v>1</v>
      </c>
      <c r="J86" s="45">
        <v>4</v>
      </c>
      <c r="K86" s="45">
        <v>2</v>
      </c>
      <c r="L86" s="45">
        <v>3</v>
      </c>
      <c r="M86" s="45">
        <v>3</v>
      </c>
      <c r="N86" s="45" t="s">
        <v>252</v>
      </c>
      <c r="O86" s="45" t="s">
        <v>252</v>
      </c>
      <c r="P86" s="118">
        <f t="shared" si="17"/>
        <v>18</v>
      </c>
      <c r="Q86" s="213"/>
      <c r="R86" s="109">
        <f>IF(A86=B86,Studentwise!AO86,"")</f>
        <v>69.230769230769226</v>
      </c>
      <c r="S86" s="109">
        <f>IF(A86=B86,Studentwise!AP86,"")</f>
        <v>28.571428571428569</v>
      </c>
      <c r="T86" s="109">
        <f>IF(A86=B86,Studentwise!AQ86,"")</f>
        <v>22.222222222222221</v>
      </c>
      <c r="U86" s="109">
        <f>IF(A86=B86,Studentwise!AR86,"")</f>
        <v>61.111111111111114</v>
      </c>
      <c r="V86" s="109">
        <f>IF(A86=B86,Studentwise!AS86,"")</f>
        <v>50</v>
      </c>
      <c r="W86" s="7"/>
      <c r="X86" s="7"/>
      <c r="Y86" s="8" t="b">
        <f t="shared" si="16"/>
        <v>0</v>
      </c>
      <c r="Z86" s="8" t="b">
        <f t="shared" si="16"/>
        <v>0</v>
      </c>
      <c r="AA86" s="8" t="b">
        <f t="shared" si="16"/>
        <v>0</v>
      </c>
      <c r="AB86" s="8" t="b">
        <f t="shared" si="16"/>
        <v>0</v>
      </c>
      <c r="AC86" s="8" t="b">
        <f t="shared" si="16"/>
        <v>1</v>
      </c>
      <c r="AD86" s="8" t="b">
        <f t="shared" si="16"/>
        <v>1</v>
      </c>
      <c r="AE86" s="8">
        <f t="shared" si="18"/>
        <v>2</v>
      </c>
    </row>
    <row r="87" spans="1:31" ht="18" customHeight="1">
      <c r="A87" s="65">
        <v>68</v>
      </c>
      <c r="B87" s="43">
        <v>68</v>
      </c>
      <c r="C87" s="44" t="s">
        <v>395</v>
      </c>
      <c r="D87" s="45">
        <v>0</v>
      </c>
      <c r="E87" s="45">
        <v>1</v>
      </c>
      <c r="F87" s="45">
        <v>0</v>
      </c>
      <c r="G87" s="45">
        <v>0</v>
      </c>
      <c r="H87" s="45">
        <v>0</v>
      </c>
      <c r="I87" s="45">
        <v>0</v>
      </c>
      <c r="J87" s="45">
        <v>4</v>
      </c>
      <c r="K87" s="45">
        <v>2</v>
      </c>
      <c r="L87" s="45">
        <v>3</v>
      </c>
      <c r="M87" s="45">
        <v>3</v>
      </c>
      <c r="N87" s="45" t="s">
        <v>252</v>
      </c>
      <c r="O87" s="45" t="s">
        <v>252</v>
      </c>
      <c r="P87" s="118">
        <f t="shared" si="17"/>
        <v>13</v>
      </c>
      <c r="Q87" s="213"/>
      <c r="R87" s="109">
        <f>IF(A87=B87,Studentwise!AO87,"")</f>
        <v>50</v>
      </c>
      <c r="S87" s="109">
        <f>IF(A87=B87,Studentwise!AP87,"")</f>
        <v>28.571428571428569</v>
      </c>
      <c r="T87" s="109">
        <f>IF(A87=B87,Studentwise!AQ87,"")</f>
        <v>33.333333333333329</v>
      </c>
      <c r="U87" s="109">
        <f>IF(A87=B87,Studentwise!AR87,"")</f>
        <v>44.444444444444443</v>
      </c>
      <c r="V87" s="109">
        <f>IF(A87=B87,Studentwise!AS87,"")</f>
        <v>50</v>
      </c>
      <c r="W87" s="7"/>
      <c r="X87" s="7"/>
      <c r="Y87" s="8" t="b">
        <f t="shared" si="16"/>
        <v>0</v>
      </c>
      <c r="Z87" s="8" t="b">
        <f t="shared" si="16"/>
        <v>0</v>
      </c>
      <c r="AA87" s="8" t="b">
        <f t="shared" si="16"/>
        <v>0</v>
      </c>
      <c r="AB87" s="8" t="b">
        <f t="shared" si="16"/>
        <v>0</v>
      </c>
      <c r="AC87" s="8" t="b">
        <f t="shared" si="16"/>
        <v>1</v>
      </c>
      <c r="AD87" s="8" t="b">
        <f t="shared" si="16"/>
        <v>1</v>
      </c>
      <c r="AE87" s="8">
        <f t="shared" si="18"/>
        <v>2</v>
      </c>
    </row>
    <row r="88" spans="1:31" ht="18" customHeight="1">
      <c r="A88" s="65">
        <v>69</v>
      </c>
      <c r="B88" s="43">
        <v>69</v>
      </c>
      <c r="C88" s="44" t="s">
        <v>396</v>
      </c>
      <c r="D88" s="45">
        <v>0</v>
      </c>
      <c r="E88" s="45">
        <v>0</v>
      </c>
      <c r="F88" s="45">
        <v>1</v>
      </c>
      <c r="G88" s="45">
        <v>1</v>
      </c>
      <c r="H88" s="45">
        <v>1</v>
      </c>
      <c r="I88" s="45">
        <v>1</v>
      </c>
      <c r="J88" s="45" t="s">
        <v>252</v>
      </c>
      <c r="K88" s="45" t="s">
        <v>252</v>
      </c>
      <c r="L88" s="45">
        <v>1</v>
      </c>
      <c r="M88" s="45">
        <v>3</v>
      </c>
      <c r="N88" s="45">
        <v>4</v>
      </c>
      <c r="O88" s="45">
        <v>1</v>
      </c>
      <c r="P88" s="118">
        <f t="shared" si="17"/>
        <v>13</v>
      </c>
      <c r="Q88" s="213"/>
      <c r="R88" s="109">
        <f>IF(A88=B88,Studentwise!AO88,"")</f>
        <v>35</v>
      </c>
      <c r="S88" s="109">
        <f>IF(A88=B88,Studentwise!AP88,"")</f>
        <v>10</v>
      </c>
      <c r="T88" s="109">
        <f>IF(A88=B88,Studentwise!AQ88,"")</f>
        <v>22.222222222222221</v>
      </c>
      <c r="U88" s="109">
        <f>IF(A88=B88,Studentwise!AR88,"")</f>
        <v>100</v>
      </c>
      <c r="V88" s="109">
        <f>IF(A88=B88,Studentwise!AS88,"")</f>
        <v>22.222222222222221</v>
      </c>
      <c r="W88" s="7"/>
      <c r="X88" s="7"/>
      <c r="Y88" s="8" t="b">
        <f t="shared" si="16"/>
        <v>1</v>
      </c>
      <c r="Z88" s="8" t="b">
        <f t="shared" si="16"/>
        <v>1</v>
      </c>
      <c r="AA88" s="8" t="b">
        <f t="shared" si="16"/>
        <v>0</v>
      </c>
      <c r="AB88" s="8" t="b">
        <f t="shared" si="16"/>
        <v>0</v>
      </c>
      <c r="AC88" s="8" t="b">
        <f t="shared" si="16"/>
        <v>0</v>
      </c>
      <c r="AD88" s="8" t="b">
        <f t="shared" si="16"/>
        <v>0</v>
      </c>
      <c r="AE88" s="8">
        <f t="shared" si="18"/>
        <v>2</v>
      </c>
    </row>
    <row r="89" spans="1:31" ht="18" customHeight="1">
      <c r="A89" s="65">
        <v>70</v>
      </c>
      <c r="B89" s="43">
        <v>70</v>
      </c>
      <c r="C89" s="44" t="s">
        <v>397</v>
      </c>
      <c r="D89" s="45">
        <v>0</v>
      </c>
      <c r="E89" s="45">
        <v>0</v>
      </c>
      <c r="F89" s="45">
        <v>0</v>
      </c>
      <c r="G89" s="45">
        <v>0</v>
      </c>
      <c r="H89" s="45">
        <v>0</v>
      </c>
      <c r="I89" s="45">
        <v>0</v>
      </c>
      <c r="J89" s="45">
        <v>4</v>
      </c>
      <c r="K89" s="45">
        <v>0</v>
      </c>
      <c r="L89" s="45">
        <v>1</v>
      </c>
      <c r="M89" s="45">
        <v>3</v>
      </c>
      <c r="N89" s="45" t="s">
        <v>252</v>
      </c>
      <c r="O89" s="45" t="s">
        <v>252</v>
      </c>
      <c r="P89" s="118">
        <f t="shared" si="17"/>
        <v>8</v>
      </c>
      <c r="Q89" s="213"/>
      <c r="R89" s="109">
        <f>IF(A89=B89,Studentwise!AO89,"")</f>
        <v>61.53846153846154</v>
      </c>
      <c r="S89" s="109">
        <f>IF(A89=B89,Studentwise!AP89,"")</f>
        <v>21.428571428571427</v>
      </c>
      <c r="T89" s="109">
        <f>IF(A89=B89,Studentwise!AQ89,"")</f>
        <v>50</v>
      </c>
      <c r="U89" s="109">
        <f>IF(A89=B89,Studentwise!AR89,"")</f>
        <v>77.777777777777786</v>
      </c>
      <c r="V89" s="109">
        <f>IF(A89=B89,Studentwise!AS89,"")</f>
        <v>22.222222222222221</v>
      </c>
      <c r="W89" s="7"/>
      <c r="X89" s="7"/>
      <c r="Y89" s="8" t="b">
        <f t="shared" si="16"/>
        <v>0</v>
      </c>
      <c r="Z89" s="8" t="b">
        <f t="shared" si="16"/>
        <v>0</v>
      </c>
      <c r="AA89" s="8" t="b">
        <f t="shared" si="16"/>
        <v>0</v>
      </c>
      <c r="AB89" s="8" t="b">
        <f t="shared" si="16"/>
        <v>0</v>
      </c>
      <c r="AC89" s="8" t="b">
        <f t="shared" si="16"/>
        <v>1</v>
      </c>
      <c r="AD89" s="8" t="b">
        <f t="shared" si="16"/>
        <v>1</v>
      </c>
      <c r="AE89" s="8">
        <f t="shared" si="18"/>
        <v>2</v>
      </c>
    </row>
    <row r="90" spans="1:31" ht="18" customHeight="1">
      <c r="A90" s="65">
        <v>71</v>
      </c>
      <c r="B90" s="43">
        <v>71</v>
      </c>
      <c r="C90" s="44" t="s">
        <v>398</v>
      </c>
      <c r="D90" s="45">
        <v>0</v>
      </c>
      <c r="E90" s="45">
        <v>1</v>
      </c>
      <c r="F90" s="45">
        <v>1</v>
      </c>
      <c r="G90" s="45">
        <v>1</v>
      </c>
      <c r="H90" s="45">
        <v>0</v>
      </c>
      <c r="I90" s="45">
        <v>1</v>
      </c>
      <c r="J90" s="45">
        <v>2</v>
      </c>
      <c r="K90" s="45">
        <v>1</v>
      </c>
      <c r="L90" s="45" t="s">
        <v>252</v>
      </c>
      <c r="M90" s="45" t="s">
        <v>252</v>
      </c>
      <c r="N90" s="45">
        <v>3</v>
      </c>
      <c r="O90" s="45">
        <v>2</v>
      </c>
      <c r="P90" s="118">
        <f t="shared" si="17"/>
        <v>12</v>
      </c>
      <c r="Q90" s="213"/>
      <c r="R90" s="109">
        <f>IF(A90=B90,Studentwise!AO90,"")</f>
        <v>42.307692307692307</v>
      </c>
      <c r="S90" s="109">
        <f>IF(A90=B90,Studentwise!AP90,"")</f>
        <v>28.571428571428569</v>
      </c>
      <c r="T90" s="109">
        <f>IF(A90=B90,Studentwise!AQ90,"")</f>
        <v>27.777777777777779</v>
      </c>
      <c r="U90" s="109">
        <f>IF(A90=B90,Studentwise!AR90,"")</f>
        <v>66.666666666666657</v>
      </c>
      <c r="V90" s="109">
        <f>IF(A90=B90,Studentwise!AS90,"")</f>
        <v>0</v>
      </c>
      <c r="W90" s="7"/>
      <c r="X90" s="7"/>
      <c r="Y90" s="8" t="b">
        <f t="shared" si="16"/>
        <v>0</v>
      </c>
      <c r="Z90" s="8" t="b">
        <f t="shared" si="16"/>
        <v>0</v>
      </c>
      <c r="AA90" s="8" t="b">
        <f t="shared" si="16"/>
        <v>1</v>
      </c>
      <c r="AB90" s="8" t="b">
        <f t="shared" si="16"/>
        <v>1</v>
      </c>
      <c r="AC90" s="8" t="b">
        <f t="shared" si="16"/>
        <v>0</v>
      </c>
      <c r="AD90" s="8" t="b">
        <f t="shared" si="16"/>
        <v>0</v>
      </c>
      <c r="AE90" s="8">
        <f t="shared" si="18"/>
        <v>2</v>
      </c>
    </row>
    <row r="91" spans="1:31" ht="18" customHeight="1">
      <c r="A91" s="65">
        <v>72</v>
      </c>
      <c r="B91" s="43">
        <v>72</v>
      </c>
      <c r="C91" s="44" t="s">
        <v>399</v>
      </c>
      <c r="D91" s="45">
        <v>0</v>
      </c>
      <c r="E91" s="45">
        <v>1</v>
      </c>
      <c r="F91" s="45">
        <v>0</v>
      </c>
      <c r="G91" s="45">
        <v>1</v>
      </c>
      <c r="H91" s="45">
        <v>0</v>
      </c>
      <c r="I91" s="45">
        <v>1</v>
      </c>
      <c r="J91" s="45">
        <v>3</v>
      </c>
      <c r="K91" s="45">
        <v>1</v>
      </c>
      <c r="L91" s="45" t="s">
        <v>252</v>
      </c>
      <c r="M91" s="45" t="s">
        <v>252</v>
      </c>
      <c r="N91" s="45">
        <v>3</v>
      </c>
      <c r="O91" s="45">
        <v>2</v>
      </c>
      <c r="P91" s="118">
        <f t="shared" si="17"/>
        <v>12</v>
      </c>
      <c r="Q91" s="213"/>
      <c r="R91" s="109">
        <f>IF(A91=B91,Studentwise!AO91,"")</f>
        <v>75</v>
      </c>
      <c r="S91" s="109">
        <f>IF(A91=B91,Studentwise!AP91,"")</f>
        <v>50</v>
      </c>
      <c r="T91" s="109">
        <f>IF(A91=B91,Studentwise!AQ91,"")</f>
        <v>50</v>
      </c>
      <c r="U91" s="109">
        <f>IF(A91=B91,Studentwise!AR91,"")</f>
        <v>77.777777777777786</v>
      </c>
      <c r="V91" s="109">
        <f>IF(A91=B91,Studentwise!AS91,"")</f>
        <v>77.777777777777786</v>
      </c>
      <c r="W91" s="7"/>
      <c r="X91" s="7"/>
      <c r="Y91" s="8" t="b">
        <f t="shared" si="16"/>
        <v>0</v>
      </c>
      <c r="Z91" s="8" t="b">
        <f t="shared" si="16"/>
        <v>0</v>
      </c>
      <c r="AA91" s="8" t="b">
        <f t="shared" si="16"/>
        <v>1</v>
      </c>
      <c r="AB91" s="8" t="b">
        <f t="shared" si="16"/>
        <v>1</v>
      </c>
      <c r="AC91" s="8" t="b">
        <f t="shared" si="16"/>
        <v>0</v>
      </c>
      <c r="AD91" s="8" t="b">
        <f t="shared" si="16"/>
        <v>0</v>
      </c>
      <c r="AE91" s="8">
        <f t="shared" si="18"/>
        <v>2</v>
      </c>
    </row>
    <row r="92" spans="1:31" ht="18" customHeight="1">
      <c r="A92" s="65">
        <v>73</v>
      </c>
      <c r="B92" s="43">
        <v>73</v>
      </c>
      <c r="C92" s="41" t="s">
        <v>400</v>
      </c>
      <c r="D92" s="45">
        <v>1</v>
      </c>
      <c r="E92" s="45">
        <v>1</v>
      </c>
      <c r="F92" s="45">
        <v>0</v>
      </c>
      <c r="G92" s="45">
        <v>0</v>
      </c>
      <c r="H92" s="45">
        <v>0</v>
      </c>
      <c r="I92" s="45">
        <v>1</v>
      </c>
      <c r="J92" s="45">
        <v>1</v>
      </c>
      <c r="K92" s="45">
        <v>1</v>
      </c>
      <c r="L92" s="45" t="s">
        <v>252</v>
      </c>
      <c r="M92" s="45" t="s">
        <v>252</v>
      </c>
      <c r="N92" s="45">
        <v>1</v>
      </c>
      <c r="O92" s="45">
        <v>2</v>
      </c>
      <c r="P92" s="118">
        <f t="shared" si="17"/>
        <v>8</v>
      </c>
      <c r="Q92" s="213"/>
      <c r="R92" s="109">
        <f>IF(A92=B92,Studentwise!AO92,"")</f>
        <v>75</v>
      </c>
      <c r="S92" s="109">
        <f>IF(A92=B92,Studentwise!AP92,"")</f>
        <v>64.285714285714292</v>
      </c>
      <c r="T92" s="109">
        <f>IF(A92=B92,Studentwise!AQ92,"")</f>
        <v>44.444444444444443</v>
      </c>
      <c r="U92" s="109">
        <f>IF(A92=B92,Studentwise!AR92,"")</f>
        <v>75</v>
      </c>
      <c r="V92" s="109">
        <f>IF(A92=B92,Studentwise!AS92,"")</f>
        <v>94.444444444444443</v>
      </c>
      <c r="W92" s="7"/>
      <c r="X92" s="7"/>
      <c r="Y92" s="8" t="b">
        <f t="shared" si="16"/>
        <v>0</v>
      </c>
      <c r="Z92" s="8" t="b">
        <f t="shared" si="16"/>
        <v>0</v>
      </c>
      <c r="AA92" s="8" t="b">
        <f t="shared" si="16"/>
        <v>1</v>
      </c>
      <c r="AB92" s="8" t="b">
        <f t="shared" si="16"/>
        <v>1</v>
      </c>
      <c r="AC92" s="8" t="b">
        <f t="shared" si="16"/>
        <v>0</v>
      </c>
      <c r="AD92" s="8" t="b">
        <f t="shared" si="16"/>
        <v>0</v>
      </c>
      <c r="AE92" s="8">
        <f t="shared" si="18"/>
        <v>2</v>
      </c>
    </row>
    <row r="93" spans="1:31" ht="18" customHeight="1">
      <c r="A93" s="65">
        <v>74</v>
      </c>
      <c r="B93" s="43"/>
      <c r="C93" s="42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118" t="str">
        <f t="shared" si="17"/>
        <v/>
      </c>
      <c r="Q93" s="213"/>
      <c r="R93" s="109" t="str">
        <f>IF(A93=B93,Studentwise!AO93,"")</f>
        <v/>
      </c>
      <c r="S93" s="109" t="str">
        <f>IF(A93=B93,Studentwise!AP93,"")</f>
        <v/>
      </c>
      <c r="T93" s="109" t="str">
        <f>IF(A93=B93,Studentwise!AQ93,"")</f>
        <v/>
      </c>
      <c r="U93" s="109" t="str">
        <f>IF(A93=B93,Studentwise!AR93,"")</f>
        <v/>
      </c>
      <c r="V93" s="109" t="str">
        <f>IF(A93=B93,Studentwise!AS93,"")</f>
        <v/>
      </c>
      <c r="W93" s="7"/>
      <c r="X93" s="7"/>
      <c r="Y93" s="8" t="b">
        <f t="shared" si="16"/>
        <v>0</v>
      </c>
      <c r="Z93" s="8" t="b">
        <f t="shared" si="16"/>
        <v>0</v>
      </c>
      <c r="AA93" s="8" t="b">
        <f t="shared" si="16"/>
        <v>0</v>
      </c>
      <c r="AB93" s="8" t="b">
        <f t="shared" si="16"/>
        <v>0</v>
      </c>
      <c r="AC93" s="8" t="b">
        <f t="shared" si="16"/>
        <v>0</v>
      </c>
      <c r="AD93" s="8" t="b">
        <f t="shared" si="16"/>
        <v>0</v>
      </c>
      <c r="AE93" s="8">
        <f t="shared" si="18"/>
        <v>0</v>
      </c>
    </row>
    <row r="94" spans="1:31">
      <c r="A94" s="65">
        <v>75</v>
      </c>
      <c r="B94" s="43"/>
      <c r="C94" s="41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118" t="str">
        <f t="shared" si="17"/>
        <v/>
      </c>
      <c r="Q94" s="213"/>
      <c r="R94" s="109" t="str">
        <f>IF(A94=B94,Studentwise!AO94,"")</f>
        <v/>
      </c>
      <c r="S94" s="109" t="str">
        <f>IF(A94=B94,Studentwise!AP94,"")</f>
        <v/>
      </c>
      <c r="T94" s="109" t="str">
        <f>IF(A94=B94,Studentwise!AQ94,"")</f>
        <v/>
      </c>
      <c r="U94" s="109" t="str">
        <f>IF(A94=B94,Studentwise!AR94,"")</f>
        <v/>
      </c>
      <c r="V94" s="109" t="str">
        <f>IF(A94=B94,Studentwise!AS94,"")</f>
        <v/>
      </c>
      <c r="W94" s="7"/>
      <c r="X94" s="7"/>
      <c r="Y94" s="8" t="b">
        <f t="shared" si="16"/>
        <v>0</v>
      </c>
      <c r="Z94" s="8" t="b">
        <f t="shared" si="16"/>
        <v>0</v>
      </c>
      <c r="AA94" s="8" t="b">
        <f t="shared" si="16"/>
        <v>0</v>
      </c>
      <c r="AB94" s="8" t="b">
        <f t="shared" si="16"/>
        <v>0</v>
      </c>
      <c r="AC94" s="8" t="b">
        <f t="shared" si="16"/>
        <v>0</v>
      </c>
      <c r="AD94" s="8" t="b">
        <f t="shared" si="16"/>
        <v>0</v>
      </c>
      <c r="AE94" s="8">
        <f t="shared" si="18"/>
        <v>0</v>
      </c>
    </row>
    <row r="95" spans="1:31" ht="18" customHeight="1">
      <c r="A95" s="65">
        <v>76</v>
      </c>
      <c r="B95" s="43"/>
      <c r="C95" s="47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118" t="str">
        <f t="shared" si="17"/>
        <v/>
      </c>
      <c r="Q95" s="213"/>
      <c r="R95" s="109" t="str">
        <f>IF(A95=B95,Studentwise!AO95,"")</f>
        <v/>
      </c>
      <c r="S95" s="109" t="str">
        <f>IF(A95=B95,Studentwise!AP95,"")</f>
        <v/>
      </c>
      <c r="T95" s="109" t="str">
        <f>IF(A95=B95,Studentwise!AQ95,"")</f>
        <v/>
      </c>
      <c r="U95" s="109" t="str">
        <f>IF(A95=B95,Studentwise!AR95,"")</f>
        <v/>
      </c>
      <c r="V95" s="109" t="str">
        <f>IF(A95=B95,Studentwise!AS95,"")</f>
        <v/>
      </c>
      <c r="W95" s="7"/>
      <c r="X95" s="7"/>
      <c r="Y95" s="8" t="b">
        <f t="shared" si="16"/>
        <v>0</v>
      </c>
      <c r="Z95" s="8" t="b">
        <f t="shared" si="16"/>
        <v>0</v>
      </c>
      <c r="AA95" s="8" t="b">
        <f t="shared" si="16"/>
        <v>0</v>
      </c>
      <c r="AB95" s="8" t="b">
        <f t="shared" si="16"/>
        <v>0</v>
      </c>
      <c r="AC95" s="8" t="b">
        <f t="shared" si="16"/>
        <v>0</v>
      </c>
      <c r="AD95" s="8" t="b">
        <f t="shared" si="16"/>
        <v>0</v>
      </c>
      <c r="AE95" s="8">
        <f t="shared" si="18"/>
        <v>0</v>
      </c>
    </row>
    <row r="96" spans="1:31" ht="18" customHeight="1">
      <c r="A96" s="65">
        <v>77</v>
      </c>
      <c r="B96" s="43"/>
      <c r="C96" s="47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118" t="str">
        <f t="shared" si="17"/>
        <v/>
      </c>
      <c r="Q96" s="213"/>
      <c r="R96" s="109" t="str">
        <f>IF(A96=B96,Studentwise!AO96,"")</f>
        <v/>
      </c>
      <c r="S96" s="109" t="str">
        <f>IF(A96=B96,Studentwise!AP96,"")</f>
        <v/>
      </c>
      <c r="T96" s="109" t="str">
        <f>IF(A96=B96,Studentwise!AQ96,"")</f>
        <v/>
      </c>
      <c r="U96" s="109" t="str">
        <f>IF(A96=B96,Studentwise!AR96,"")</f>
        <v/>
      </c>
      <c r="V96" s="109" t="str">
        <f>IF(A96=B96,Studentwise!AS96,"")</f>
        <v/>
      </c>
      <c r="W96" s="7"/>
      <c r="X96" s="7"/>
      <c r="Y96" s="8" t="b">
        <f t="shared" si="16"/>
        <v>0</v>
      </c>
      <c r="Z96" s="8" t="b">
        <f t="shared" si="16"/>
        <v>0</v>
      </c>
      <c r="AA96" s="8" t="b">
        <f t="shared" si="16"/>
        <v>0</v>
      </c>
      <c r="AB96" s="8" t="b">
        <f t="shared" si="16"/>
        <v>0</v>
      </c>
      <c r="AC96" s="8" t="b">
        <f t="shared" si="16"/>
        <v>0</v>
      </c>
      <c r="AD96" s="8" t="b">
        <f t="shared" si="16"/>
        <v>0</v>
      </c>
      <c r="AE96" s="8">
        <f t="shared" si="18"/>
        <v>0</v>
      </c>
    </row>
    <row r="97" spans="1:31" ht="18" customHeight="1">
      <c r="A97" s="65">
        <v>78</v>
      </c>
      <c r="B97" s="43"/>
      <c r="C97" s="47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118" t="str">
        <f t="shared" si="17"/>
        <v/>
      </c>
      <c r="Q97" s="213"/>
      <c r="R97" s="109" t="str">
        <f>IF(A97=B97,Studentwise!AO97,"")</f>
        <v/>
      </c>
      <c r="S97" s="109" t="str">
        <f>IF(A97=B97,Studentwise!AP97,"")</f>
        <v/>
      </c>
      <c r="T97" s="109" t="str">
        <f>IF(A97=B97,Studentwise!AQ97,"")</f>
        <v/>
      </c>
      <c r="U97" s="109" t="str">
        <f>IF(A97=B97,Studentwise!AR97,"")</f>
        <v/>
      </c>
      <c r="V97" s="109" t="str">
        <f>IF(A97=B97,Studentwise!AS97,"")</f>
        <v/>
      </c>
      <c r="W97" s="7"/>
      <c r="X97" s="7"/>
      <c r="Y97" s="8" t="b">
        <f t="shared" si="16"/>
        <v>0</v>
      </c>
      <c r="Z97" s="8" t="b">
        <f t="shared" si="16"/>
        <v>0</v>
      </c>
      <c r="AA97" s="8" t="b">
        <f t="shared" si="16"/>
        <v>0</v>
      </c>
      <c r="AB97" s="8" t="b">
        <f t="shared" si="16"/>
        <v>0</v>
      </c>
      <c r="AC97" s="8" t="b">
        <f t="shared" si="16"/>
        <v>0</v>
      </c>
      <c r="AD97" s="8" t="b">
        <f t="shared" si="16"/>
        <v>0</v>
      </c>
      <c r="AE97" s="8">
        <f t="shared" si="18"/>
        <v>0</v>
      </c>
    </row>
    <row r="98" spans="1:31" ht="18" customHeight="1">
      <c r="A98" s="65">
        <v>79</v>
      </c>
      <c r="B98" s="43"/>
      <c r="C98" s="47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118" t="str">
        <f t="shared" si="17"/>
        <v/>
      </c>
      <c r="Q98" s="213"/>
      <c r="R98" s="109" t="str">
        <f>IF(A98=B98,Studentwise!AO98,"")</f>
        <v/>
      </c>
      <c r="S98" s="109" t="str">
        <f>IF(A98=B98,Studentwise!AP98,"")</f>
        <v/>
      </c>
      <c r="T98" s="109" t="str">
        <f>IF(A98=B98,Studentwise!AQ98,"")</f>
        <v/>
      </c>
      <c r="U98" s="109" t="str">
        <f>IF(A98=B98,Studentwise!AR98,"")</f>
        <v/>
      </c>
      <c r="V98" s="109" t="str">
        <f>IF(A98=B98,Studentwise!AS98,"")</f>
        <v/>
      </c>
      <c r="W98" s="7"/>
      <c r="X98" s="7"/>
      <c r="Y98" s="8" t="b">
        <f t="shared" si="16"/>
        <v>0</v>
      </c>
      <c r="Z98" s="8" t="b">
        <f t="shared" si="16"/>
        <v>0</v>
      </c>
      <c r="AA98" s="8" t="b">
        <f t="shared" si="16"/>
        <v>0</v>
      </c>
      <c r="AB98" s="8" t="b">
        <f t="shared" si="16"/>
        <v>0</v>
      </c>
      <c r="AC98" s="8" t="b">
        <f t="shared" si="16"/>
        <v>0</v>
      </c>
      <c r="AD98" s="8" t="b">
        <f t="shared" si="16"/>
        <v>0</v>
      </c>
      <c r="AE98" s="8">
        <f t="shared" si="18"/>
        <v>0</v>
      </c>
    </row>
    <row r="99" spans="1:31" ht="18" customHeight="1">
      <c r="A99" s="65">
        <v>80</v>
      </c>
      <c r="B99" s="43"/>
      <c r="C99" s="47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118" t="str">
        <f t="shared" si="17"/>
        <v/>
      </c>
      <c r="Q99" s="213"/>
      <c r="R99" s="109" t="str">
        <f>IF(A99=B99,Studentwise!AO99,"")</f>
        <v/>
      </c>
      <c r="S99" s="109" t="str">
        <f>IF(A99=B99,Studentwise!AP99,"")</f>
        <v/>
      </c>
      <c r="T99" s="109" t="str">
        <f>IF(A99=B99,Studentwise!AQ99,"")</f>
        <v/>
      </c>
      <c r="U99" s="109" t="str">
        <f>IF(A99=B99,Studentwise!AR99,"")</f>
        <v/>
      </c>
      <c r="V99" s="109" t="str">
        <f>IF(A99=B99,Studentwise!AS99,"")</f>
        <v/>
      </c>
      <c r="W99" s="7"/>
      <c r="X99" s="7"/>
      <c r="Y99" s="8" t="b">
        <f t="shared" si="16"/>
        <v>0</v>
      </c>
      <c r="Z99" s="8" t="b">
        <f t="shared" si="16"/>
        <v>0</v>
      </c>
      <c r="AA99" s="8" t="b">
        <f t="shared" si="16"/>
        <v>0</v>
      </c>
      <c r="AB99" s="8" t="b">
        <f t="shared" si="16"/>
        <v>0</v>
      </c>
      <c r="AC99" s="8" t="b">
        <f t="shared" si="16"/>
        <v>0</v>
      </c>
      <c r="AD99" s="8" t="b">
        <f t="shared" si="16"/>
        <v>0</v>
      </c>
      <c r="AE99" s="8">
        <f t="shared" si="18"/>
        <v>0</v>
      </c>
    </row>
    <row r="100" spans="1:31" ht="18" customHeight="1">
      <c r="A100" s="65">
        <v>81</v>
      </c>
      <c r="B100" s="43"/>
      <c r="C100" s="47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118" t="str">
        <f t="shared" si="17"/>
        <v/>
      </c>
      <c r="Q100" s="213"/>
      <c r="R100" s="109" t="str">
        <f>IF(A100=B100,Studentwise!AO100,"")</f>
        <v/>
      </c>
      <c r="S100" s="109" t="str">
        <f>IF(A100=B100,Studentwise!AP100,"")</f>
        <v/>
      </c>
      <c r="T100" s="109" t="str">
        <f>IF(A100=B100,Studentwise!AQ100,"")</f>
        <v/>
      </c>
      <c r="U100" s="109" t="str">
        <f>IF(A100=B100,Studentwise!AR100,"")</f>
        <v/>
      </c>
      <c r="V100" s="109" t="str">
        <f>IF(A100=B100,Studentwise!AS100,"")</f>
        <v/>
      </c>
      <c r="W100" s="7"/>
      <c r="X100" s="7"/>
      <c r="Y100" s="8" t="b">
        <f t="shared" si="16"/>
        <v>0</v>
      </c>
      <c r="Z100" s="8" t="b">
        <f t="shared" si="16"/>
        <v>0</v>
      </c>
      <c r="AA100" s="8" t="b">
        <f t="shared" si="16"/>
        <v>0</v>
      </c>
      <c r="AB100" s="8" t="b">
        <f t="shared" si="16"/>
        <v>0</v>
      </c>
      <c r="AC100" s="8" t="b">
        <f t="shared" si="16"/>
        <v>0</v>
      </c>
      <c r="AD100" s="8" t="b">
        <f t="shared" si="16"/>
        <v>0</v>
      </c>
      <c r="AE100" s="8">
        <f t="shared" si="18"/>
        <v>0</v>
      </c>
    </row>
    <row r="101" spans="1:31" ht="18" customHeight="1">
      <c r="A101" s="65">
        <v>82</v>
      </c>
      <c r="B101" s="43"/>
      <c r="C101" s="47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118" t="str">
        <f t="shared" si="17"/>
        <v/>
      </c>
      <c r="Q101" s="213"/>
      <c r="R101" s="109" t="str">
        <f>IF(A101=B101,Studentwise!AO101,"")</f>
        <v/>
      </c>
      <c r="S101" s="109" t="str">
        <f>IF(A101=B101,Studentwise!AP101,"")</f>
        <v/>
      </c>
      <c r="T101" s="109" t="str">
        <f>IF(A101=B101,Studentwise!AQ101,"")</f>
        <v/>
      </c>
      <c r="U101" s="109" t="str">
        <f>IF(A101=B101,Studentwise!AR101,"")</f>
        <v/>
      </c>
      <c r="V101" s="109" t="str">
        <f>IF(A101=B101,Studentwise!AS101,"")</f>
        <v/>
      </c>
      <c r="W101" s="7"/>
      <c r="X101" s="223"/>
      <c r="Y101" s="8" t="b">
        <f t="shared" si="16"/>
        <v>0</v>
      </c>
      <c r="Z101" s="8" t="b">
        <f t="shared" si="16"/>
        <v>0</v>
      </c>
      <c r="AA101" s="8" t="b">
        <f t="shared" si="16"/>
        <v>0</v>
      </c>
      <c r="AB101" s="8" t="b">
        <f t="shared" si="16"/>
        <v>0</v>
      </c>
      <c r="AC101" s="8" t="b">
        <f t="shared" si="16"/>
        <v>0</v>
      </c>
      <c r="AD101" s="8" t="b">
        <f t="shared" si="16"/>
        <v>0</v>
      </c>
      <c r="AE101" s="8">
        <f t="shared" si="18"/>
        <v>0</v>
      </c>
    </row>
    <row r="102" spans="1:31" ht="18" customHeight="1">
      <c r="A102" s="65">
        <v>83</v>
      </c>
      <c r="B102" s="43"/>
      <c r="C102" s="47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118" t="str">
        <f t="shared" si="17"/>
        <v/>
      </c>
      <c r="Q102" s="213"/>
      <c r="R102" s="109" t="str">
        <f>IF(A102=B102,Studentwise!AO102,"")</f>
        <v/>
      </c>
      <c r="S102" s="109" t="str">
        <f>IF(A102=B102,Studentwise!AP102,"")</f>
        <v/>
      </c>
      <c r="T102" s="109" t="str">
        <f>IF(A102=B102,Studentwise!AQ102,"")</f>
        <v/>
      </c>
      <c r="U102" s="109" t="str">
        <f>IF(A102=B102,Studentwise!AR102,"")</f>
        <v/>
      </c>
      <c r="V102" s="109" t="str">
        <f>IF(A102=B102,Studentwise!AS102,"")</f>
        <v/>
      </c>
      <c r="W102" s="7"/>
      <c r="X102" s="223"/>
      <c r="Y102" s="8" t="b">
        <f t="shared" si="16"/>
        <v>0</v>
      </c>
      <c r="Z102" s="8" t="b">
        <f t="shared" si="16"/>
        <v>0</v>
      </c>
      <c r="AA102" s="8" t="b">
        <f t="shared" si="16"/>
        <v>0</v>
      </c>
      <c r="AB102" s="8" t="b">
        <f t="shared" si="16"/>
        <v>0</v>
      </c>
      <c r="AC102" s="8" t="b">
        <f t="shared" si="16"/>
        <v>0</v>
      </c>
      <c r="AD102" s="8" t="b">
        <f t="shared" si="16"/>
        <v>0</v>
      </c>
      <c r="AE102" s="8">
        <f t="shared" si="18"/>
        <v>0</v>
      </c>
    </row>
    <row r="103" spans="1:31" ht="18" customHeight="1">
      <c r="A103" s="65">
        <v>84</v>
      </c>
      <c r="B103" s="43"/>
      <c r="C103" s="47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118" t="str">
        <f t="shared" si="17"/>
        <v/>
      </c>
      <c r="Q103" s="213"/>
      <c r="R103" s="109" t="str">
        <f>IF(A103=B103,Studentwise!AO103,"")</f>
        <v/>
      </c>
      <c r="S103" s="109" t="str">
        <f>IF(A103=B103,Studentwise!AP103,"")</f>
        <v/>
      </c>
      <c r="T103" s="109" t="str">
        <f>IF(A103=B103,Studentwise!AQ103,"")</f>
        <v/>
      </c>
      <c r="U103" s="109" t="str">
        <f>IF(A103=B103,Studentwise!AR103,"")</f>
        <v/>
      </c>
      <c r="V103" s="109" t="str">
        <f>IF(A103=B103,Studentwise!AS103,"")</f>
        <v/>
      </c>
      <c r="W103" s="7"/>
      <c r="X103" s="223"/>
      <c r="Y103" s="8" t="b">
        <f t="shared" si="16"/>
        <v>0</v>
      </c>
      <c r="Z103" s="8" t="b">
        <f t="shared" si="16"/>
        <v>0</v>
      </c>
      <c r="AA103" s="8" t="b">
        <f t="shared" si="16"/>
        <v>0</v>
      </c>
      <c r="AB103" s="8" t="b">
        <f t="shared" si="16"/>
        <v>0</v>
      </c>
      <c r="AC103" s="8" t="b">
        <f t="shared" si="16"/>
        <v>0</v>
      </c>
      <c r="AD103" s="8" t="b">
        <f t="shared" si="16"/>
        <v>0</v>
      </c>
      <c r="AE103" s="8">
        <f t="shared" si="18"/>
        <v>0</v>
      </c>
    </row>
    <row r="104" spans="1:31" ht="18" customHeight="1">
      <c r="A104" s="65">
        <v>85</v>
      </c>
      <c r="B104" s="43"/>
      <c r="C104" s="47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118" t="str">
        <f t="shared" si="17"/>
        <v/>
      </c>
      <c r="Q104" s="213"/>
      <c r="R104" s="109" t="str">
        <f>IF(A104=B104,Studentwise!AO104,"")</f>
        <v/>
      </c>
      <c r="S104" s="109" t="str">
        <f>IF(A104=B104,Studentwise!AP104,"")</f>
        <v/>
      </c>
      <c r="T104" s="109" t="str">
        <f>IF(A104=B104,Studentwise!AQ104,"")</f>
        <v/>
      </c>
      <c r="U104" s="109" t="str">
        <f>IF(A104=B104,Studentwise!AR104,"")</f>
        <v/>
      </c>
      <c r="V104" s="109" t="str">
        <f>IF(A104=B104,Studentwise!AS104,"")</f>
        <v/>
      </c>
      <c r="W104" s="7"/>
      <c r="X104" s="223"/>
      <c r="Y104" s="8" t="b">
        <f t="shared" si="16"/>
        <v>0</v>
      </c>
      <c r="Z104" s="8" t="b">
        <f t="shared" si="16"/>
        <v>0</v>
      </c>
      <c r="AA104" s="8" t="b">
        <f t="shared" si="16"/>
        <v>0</v>
      </c>
      <c r="AB104" s="8" t="b">
        <f t="shared" si="16"/>
        <v>0</v>
      </c>
      <c r="AC104" s="8" t="b">
        <f t="shared" si="16"/>
        <v>0</v>
      </c>
      <c r="AD104" s="8" t="b">
        <f t="shared" si="16"/>
        <v>0</v>
      </c>
      <c r="AE104" s="8">
        <f t="shared" si="18"/>
        <v>0</v>
      </c>
    </row>
    <row r="105" spans="1:31" ht="18" customHeight="1">
      <c r="A105" s="65">
        <v>86</v>
      </c>
      <c r="B105" s="43"/>
      <c r="C105" s="47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118" t="str">
        <f t="shared" si="17"/>
        <v/>
      </c>
      <c r="Q105" s="213"/>
      <c r="R105" s="109" t="str">
        <f>IF(A105=B105,Studentwise!AO105,"")</f>
        <v/>
      </c>
      <c r="S105" s="109" t="str">
        <f>IF(A105=B105,Studentwise!AP105,"")</f>
        <v/>
      </c>
      <c r="T105" s="109" t="str">
        <f>IF(A105=B105,Studentwise!AQ105,"")</f>
        <v/>
      </c>
      <c r="U105" s="109" t="str">
        <f>IF(A105=B105,Studentwise!AR105,"")</f>
        <v/>
      </c>
      <c r="V105" s="109" t="str">
        <f>IF(A105=B105,Studentwise!AS105,"")</f>
        <v/>
      </c>
      <c r="W105" s="7"/>
      <c r="X105" s="223"/>
      <c r="Y105" s="8" t="b">
        <f t="shared" si="16"/>
        <v>0</v>
      </c>
      <c r="Z105" s="8" t="b">
        <f t="shared" si="16"/>
        <v>0</v>
      </c>
      <c r="AA105" s="8" t="b">
        <f t="shared" si="16"/>
        <v>0</v>
      </c>
      <c r="AB105" s="8" t="b">
        <f t="shared" si="16"/>
        <v>0</v>
      </c>
      <c r="AC105" s="8" t="b">
        <f t="shared" si="16"/>
        <v>0</v>
      </c>
      <c r="AD105" s="8" t="b">
        <f t="shared" si="16"/>
        <v>0</v>
      </c>
      <c r="AE105" s="8">
        <f t="shared" si="18"/>
        <v>0</v>
      </c>
    </row>
    <row r="106" spans="1:31" ht="18" customHeight="1">
      <c r="A106" s="65">
        <v>87</v>
      </c>
      <c r="B106" s="43"/>
      <c r="C106" s="47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118" t="str">
        <f t="shared" si="17"/>
        <v/>
      </c>
      <c r="Q106" s="213"/>
      <c r="R106" s="109" t="str">
        <f>IF(A106=B106,Studentwise!AO106,"")</f>
        <v/>
      </c>
      <c r="S106" s="109" t="str">
        <f>IF(A106=B106,Studentwise!AP106,"")</f>
        <v/>
      </c>
      <c r="T106" s="109" t="str">
        <f>IF(A106=B106,Studentwise!AQ106,"")</f>
        <v/>
      </c>
      <c r="U106" s="109" t="str">
        <f>IF(A106=B106,Studentwise!AR106,"")</f>
        <v/>
      </c>
      <c r="V106" s="109" t="str">
        <f>IF(A106=B106,Studentwise!AS106,"")</f>
        <v/>
      </c>
      <c r="W106" s="7"/>
      <c r="X106" s="223"/>
      <c r="Y106" s="8" t="b">
        <f t="shared" si="16"/>
        <v>0</v>
      </c>
      <c r="Z106" s="8" t="b">
        <f t="shared" si="16"/>
        <v>0</v>
      </c>
      <c r="AA106" s="8" t="b">
        <f t="shared" si="16"/>
        <v>0</v>
      </c>
      <c r="AB106" s="8" t="b">
        <f t="shared" si="16"/>
        <v>0</v>
      </c>
      <c r="AC106" s="8" t="b">
        <f t="shared" si="16"/>
        <v>0</v>
      </c>
      <c r="AD106" s="8" t="b">
        <f t="shared" si="16"/>
        <v>0</v>
      </c>
      <c r="AE106" s="8">
        <f t="shared" si="18"/>
        <v>0</v>
      </c>
    </row>
    <row r="107" spans="1:31" ht="18" customHeight="1">
      <c r="A107" s="65">
        <v>88</v>
      </c>
      <c r="B107" s="43"/>
      <c r="C107" s="41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118" t="str">
        <f t="shared" si="17"/>
        <v/>
      </c>
      <c r="Q107" s="213"/>
      <c r="R107" s="109" t="str">
        <f>IF(A107=B107,Studentwise!AO107,"")</f>
        <v/>
      </c>
      <c r="S107" s="109" t="str">
        <f>IF(A107=B107,Studentwise!AP107,"")</f>
        <v/>
      </c>
      <c r="T107" s="109" t="str">
        <f>IF(A107=B107,Studentwise!AQ107,"")</f>
        <v/>
      </c>
      <c r="U107" s="109" t="str">
        <f>IF(A107=B107,Studentwise!AR107,"")</f>
        <v/>
      </c>
      <c r="V107" s="109" t="str">
        <f>IF(A107=B107,Studentwise!AS107,"")</f>
        <v/>
      </c>
      <c r="W107" s="7"/>
      <c r="X107" s="223"/>
      <c r="Y107" s="8" t="b">
        <f t="shared" si="16"/>
        <v>0</v>
      </c>
      <c r="Z107" s="8" t="b">
        <f t="shared" si="16"/>
        <v>0</v>
      </c>
      <c r="AA107" s="8" t="b">
        <f t="shared" si="16"/>
        <v>0</v>
      </c>
      <c r="AB107" s="8" t="b">
        <f t="shared" si="16"/>
        <v>0</v>
      </c>
      <c r="AC107" s="8" t="b">
        <f t="shared" si="16"/>
        <v>0</v>
      </c>
      <c r="AD107" s="8" t="b">
        <f t="shared" si="16"/>
        <v>0</v>
      </c>
      <c r="AE107" s="8">
        <f t="shared" si="18"/>
        <v>0</v>
      </c>
    </row>
    <row r="108" spans="1:31" ht="18" customHeight="1">
      <c r="A108" s="65">
        <v>89</v>
      </c>
      <c r="B108" s="43"/>
      <c r="C108" s="42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118" t="str">
        <f t="shared" si="17"/>
        <v/>
      </c>
      <c r="Q108" s="213"/>
      <c r="R108" s="109" t="str">
        <f>IF(A108=B108,Studentwise!AO108,"")</f>
        <v/>
      </c>
      <c r="S108" s="109" t="str">
        <f>IF(A108=B108,Studentwise!AP108,"")</f>
        <v/>
      </c>
      <c r="T108" s="109" t="str">
        <f>IF(A108=B108,Studentwise!AQ108,"")</f>
        <v/>
      </c>
      <c r="U108" s="109" t="str">
        <f>IF(A108=B108,Studentwise!AR108,"")</f>
        <v/>
      </c>
      <c r="V108" s="109" t="str">
        <f>IF(A108=B108,Studentwise!AS108,"")</f>
        <v/>
      </c>
      <c r="W108" s="7"/>
      <c r="X108" s="223"/>
      <c r="Y108" s="8" t="b">
        <f t="shared" si="16"/>
        <v>0</v>
      </c>
      <c r="Z108" s="8" t="b">
        <f t="shared" si="16"/>
        <v>0</v>
      </c>
      <c r="AA108" s="8" t="b">
        <f t="shared" si="16"/>
        <v>0</v>
      </c>
      <c r="AB108" s="8" t="b">
        <f t="shared" si="16"/>
        <v>0</v>
      </c>
      <c r="AC108" s="8" t="b">
        <f t="shared" si="16"/>
        <v>0</v>
      </c>
      <c r="AD108" s="8" t="b">
        <f t="shared" si="16"/>
        <v>0</v>
      </c>
      <c r="AE108" s="8">
        <f t="shared" si="18"/>
        <v>0</v>
      </c>
    </row>
    <row r="109" spans="1:31">
      <c r="A109" s="65">
        <v>90</v>
      </c>
      <c r="B109" s="43"/>
      <c r="C109" s="41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118" t="str">
        <f t="shared" si="17"/>
        <v/>
      </c>
      <c r="Q109" s="213"/>
      <c r="R109" s="109" t="str">
        <f>IF(A109=B109,Studentwise!AO109,"")</f>
        <v/>
      </c>
      <c r="S109" s="109" t="str">
        <f>IF(A109=B109,Studentwise!AP109,"")</f>
        <v/>
      </c>
      <c r="T109" s="109" t="str">
        <f>IF(A109=B109,Studentwise!AQ109,"")</f>
        <v/>
      </c>
      <c r="U109" s="109" t="str">
        <f>IF(A109=B109,Studentwise!AR109,"")</f>
        <v/>
      </c>
      <c r="V109" s="109" t="str">
        <f>IF(A109=B109,Studentwise!AS109,"")</f>
        <v/>
      </c>
      <c r="W109" s="7"/>
      <c r="X109" s="223"/>
      <c r="Y109" s="8" t="b">
        <f t="shared" si="16"/>
        <v>0</v>
      </c>
      <c r="Z109" s="8" t="b">
        <f t="shared" si="16"/>
        <v>0</v>
      </c>
      <c r="AA109" s="8" t="b">
        <f t="shared" si="16"/>
        <v>0</v>
      </c>
      <c r="AB109" s="8" t="b">
        <f t="shared" si="16"/>
        <v>0</v>
      </c>
      <c r="AC109" s="8" t="b">
        <f t="shared" si="16"/>
        <v>0</v>
      </c>
      <c r="AD109" s="8" t="b">
        <f t="shared" si="16"/>
        <v>0</v>
      </c>
      <c r="AE109" s="8">
        <f t="shared" si="18"/>
        <v>0</v>
      </c>
    </row>
    <row r="110" spans="1:31" ht="18" customHeight="1">
      <c r="A110" s="65">
        <v>91</v>
      </c>
      <c r="B110" s="43"/>
      <c r="C110" s="47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118" t="str">
        <f t="shared" si="17"/>
        <v/>
      </c>
      <c r="Q110" s="213"/>
      <c r="R110" s="109" t="str">
        <f>IF(A110=B110,Studentwise!AO110,"")</f>
        <v/>
      </c>
      <c r="S110" s="109" t="str">
        <f>IF(A110=B110,Studentwise!AP110,"")</f>
        <v/>
      </c>
      <c r="T110" s="109" t="str">
        <f>IF(A110=B110,Studentwise!AQ110,"")</f>
        <v/>
      </c>
      <c r="U110" s="109" t="str">
        <f>IF(A110=B110,Studentwise!AR110,"")</f>
        <v/>
      </c>
      <c r="V110" s="109" t="str">
        <f>IF(A110=B110,Studentwise!AS110,"")</f>
        <v/>
      </c>
      <c r="W110" s="7"/>
      <c r="X110" s="223"/>
      <c r="Y110" s="8" t="b">
        <f t="shared" si="16"/>
        <v>0</v>
      </c>
      <c r="Z110" s="8" t="b">
        <f t="shared" si="16"/>
        <v>0</v>
      </c>
      <c r="AA110" s="8" t="b">
        <f t="shared" si="16"/>
        <v>0</v>
      </c>
      <c r="AB110" s="8" t="b">
        <f t="shared" si="16"/>
        <v>0</v>
      </c>
      <c r="AC110" s="8" t="b">
        <f t="shared" si="16"/>
        <v>0</v>
      </c>
      <c r="AD110" s="8" t="b">
        <f t="shared" si="16"/>
        <v>0</v>
      </c>
      <c r="AE110" s="8">
        <f t="shared" si="18"/>
        <v>0</v>
      </c>
    </row>
    <row r="111" spans="1:31" ht="18" customHeight="1">
      <c r="A111" s="65">
        <v>92</v>
      </c>
      <c r="B111" s="43"/>
      <c r="C111" s="47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118" t="str">
        <f t="shared" si="17"/>
        <v/>
      </c>
      <c r="Q111" s="213"/>
      <c r="R111" s="109" t="str">
        <f>IF(A111=B111,Studentwise!AO111,"")</f>
        <v/>
      </c>
      <c r="S111" s="109" t="str">
        <f>IF(A111=B111,Studentwise!AP111,"")</f>
        <v/>
      </c>
      <c r="T111" s="109" t="str">
        <f>IF(A111=B111,Studentwise!AQ111,"")</f>
        <v/>
      </c>
      <c r="U111" s="109" t="str">
        <f>IF(A111=B111,Studentwise!AR111,"")</f>
        <v/>
      </c>
      <c r="V111" s="109" t="str">
        <f>IF(A111=B111,Studentwise!AS111,"")</f>
        <v/>
      </c>
      <c r="W111" s="7"/>
      <c r="X111" s="223"/>
      <c r="Y111" s="8" t="b">
        <f t="shared" si="16"/>
        <v>0</v>
      </c>
      <c r="Z111" s="8" t="b">
        <f t="shared" si="16"/>
        <v>0</v>
      </c>
      <c r="AA111" s="8" t="b">
        <f t="shared" si="16"/>
        <v>0</v>
      </c>
      <c r="AB111" s="8" t="b">
        <f t="shared" si="16"/>
        <v>0</v>
      </c>
      <c r="AC111" s="8" t="b">
        <f t="shared" si="16"/>
        <v>0</v>
      </c>
      <c r="AD111" s="8" t="b">
        <f t="shared" si="16"/>
        <v>0</v>
      </c>
      <c r="AE111" s="8">
        <f t="shared" si="18"/>
        <v>0</v>
      </c>
    </row>
    <row r="112" spans="1:31" ht="18" customHeight="1">
      <c r="A112" s="65">
        <v>93</v>
      </c>
      <c r="B112" s="43"/>
      <c r="C112" s="47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118" t="str">
        <f t="shared" si="17"/>
        <v/>
      </c>
      <c r="Q112" s="213"/>
      <c r="R112" s="109" t="str">
        <f>IF(A112=B112,Studentwise!AO112,"")</f>
        <v/>
      </c>
      <c r="S112" s="109" t="str">
        <f>IF(A112=B112,Studentwise!AP112,"")</f>
        <v/>
      </c>
      <c r="T112" s="109" t="str">
        <f>IF(A112=B112,Studentwise!AQ112,"")</f>
        <v/>
      </c>
      <c r="U112" s="109" t="str">
        <f>IF(A112=B112,Studentwise!AR112,"")</f>
        <v/>
      </c>
      <c r="V112" s="109" t="str">
        <f>IF(A112=B112,Studentwise!AS112,"")</f>
        <v/>
      </c>
      <c r="W112" s="7"/>
      <c r="X112" s="223"/>
      <c r="Y112" s="8" t="b">
        <f t="shared" si="16"/>
        <v>0</v>
      </c>
      <c r="Z112" s="8" t="b">
        <f t="shared" si="16"/>
        <v>0</v>
      </c>
      <c r="AA112" s="8" t="b">
        <f t="shared" si="16"/>
        <v>0</v>
      </c>
      <c r="AB112" s="8" t="b">
        <f t="shared" si="16"/>
        <v>0</v>
      </c>
      <c r="AC112" s="8" t="b">
        <f t="shared" si="16"/>
        <v>0</v>
      </c>
      <c r="AD112" s="8" t="b">
        <f t="shared" si="16"/>
        <v>0</v>
      </c>
      <c r="AE112" s="8">
        <f t="shared" si="18"/>
        <v>0</v>
      </c>
    </row>
    <row r="113" spans="1:31" ht="18" customHeight="1">
      <c r="A113" s="65">
        <v>94</v>
      </c>
      <c r="B113" s="43"/>
      <c r="C113" s="47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118" t="str">
        <f t="shared" si="17"/>
        <v/>
      </c>
      <c r="Q113" s="213"/>
      <c r="R113" s="109" t="str">
        <f>IF(A113=B113,Studentwise!AO113,"")</f>
        <v/>
      </c>
      <c r="S113" s="109" t="str">
        <f>IF(A113=B113,Studentwise!AP113,"")</f>
        <v/>
      </c>
      <c r="T113" s="109" t="str">
        <f>IF(A113=B113,Studentwise!AQ113,"")</f>
        <v/>
      </c>
      <c r="U113" s="109" t="str">
        <f>IF(A113=B113,Studentwise!AR113,"")</f>
        <v/>
      </c>
      <c r="V113" s="109" t="str">
        <f>IF(A113=B113,Studentwise!AS113,"")</f>
        <v/>
      </c>
      <c r="W113" s="7"/>
      <c r="X113" s="223"/>
      <c r="Y113" s="8" t="b">
        <f t="shared" si="16"/>
        <v>0</v>
      </c>
      <c r="Z113" s="8" t="b">
        <f t="shared" si="16"/>
        <v>0</v>
      </c>
      <c r="AA113" s="8" t="b">
        <f t="shared" si="16"/>
        <v>0</v>
      </c>
      <c r="AB113" s="8" t="b">
        <f t="shared" si="16"/>
        <v>0</v>
      </c>
      <c r="AC113" s="8" t="b">
        <f t="shared" si="16"/>
        <v>0</v>
      </c>
      <c r="AD113" s="8" t="b">
        <f t="shared" si="16"/>
        <v>0</v>
      </c>
      <c r="AE113" s="8">
        <f t="shared" si="18"/>
        <v>0</v>
      </c>
    </row>
    <row r="114" spans="1:31" ht="18" customHeight="1">
      <c r="A114" s="65">
        <v>95</v>
      </c>
      <c r="B114" s="43"/>
      <c r="C114" s="47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118" t="str">
        <f t="shared" si="17"/>
        <v/>
      </c>
      <c r="Q114" s="213"/>
      <c r="R114" s="109" t="str">
        <f>IF(A114=B114,Studentwise!AO114,"")</f>
        <v/>
      </c>
      <c r="S114" s="109" t="str">
        <f>IF(A114=B114,Studentwise!AP114,"")</f>
        <v/>
      </c>
      <c r="T114" s="109" t="str">
        <f>IF(A114=B114,Studentwise!AQ114,"")</f>
        <v/>
      </c>
      <c r="U114" s="109" t="str">
        <f>IF(A114=B114,Studentwise!AR114,"")</f>
        <v/>
      </c>
      <c r="V114" s="109" t="str">
        <f>IF(A114=B114,Studentwise!AS114,"")</f>
        <v/>
      </c>
      <c r="W114" s="7"/>
      <c r="X114" s="223"/>
      <c r="Y114" s="8" t="b">
        <f t="shared" si="16"/>
        <v>0</v>
      </c>
      <c r="Z114" s="8" t="b">
        <f t="shared" si="16"/>
        <v>0</v>
      </c>
      <c r="AA114" s="8" t="b">
        <f t="shared" si="16"/>
        <v>0</v>
      </c>
      <c r="AB114" s="8" t="b">
        <f t="shared" si="16"/>
        <v>0</v>
      </c>
      <c r="AC114" s="8" t="b">
        <f t="shared" si="16"/>
        <v>0</v>
      </c>
      <c r="AD114" s="8" t="b">
        <f t="shared" si="16"/>
        <v>0</v>
      </c>
      <c r="AE114" s="8">
        <f t="shared" si="18"/>
        <v>0</v>
      </c>
    </row>
    <row r="115" spans="1:31" ht="18" customHeight="1">
      <c r="A115" s="65">
        <v>96</v>
      </c>
      <c r="B115" s="43"/>
      <c r="C115" s="47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118" t="str">
        <f t="shared" si="17"/>
        <v/>
      </c>
      <c r="Q115" s="213"/>
      <c r="R115" s="109" t="str">
        <f>IF(A115=B115,Studentwise!AO115,"")</f>
        <v/>
      </c>
      <c r="S115" s="109" t="str">
        <f>IF(A115=B115,Studentwise!AP115,"")</f>
        <v/>
      </c>
      <c r="T115" s="109" t="str">
        <f>IF(A115=B115,Studentwise!AQ115,"")</f>
        <v/>
      </c>
      <c r="U115" s="109" t="str">
        <f>IF(A115=B115,Studentwise!AR115,"")</f>
        <v/>
      </c>
      <c r="V115" s="109" t="str">
        <f>IF(A115=B115,Studentwise!AS115,"")</f>
        <v/>
      </c>
      <c r="W115" s="7"/>
      <c r="X115" s="223"/>
      <c r="Y115" s="8" t="b">
        <f t="shared" si="16"/>
        <v>0</v>
      </c>
      <c r="Z115" s="8" t="b">
        <f t="shared" si="16"/>
        <v>0</v>
      </c>
      <c r="AA115" s="8" t="b">
        <f t="shared" si="16"/>
        <v>0</v>
      </c>
      <c r="AB115" s="8" t="b">
        <f t="shared" si="16"/>
        <v>0</v>
      </c>
      <c r="AC115" s="8" t="b">
        <f t="shared" si="16"/>
        <v>0</v>
      </c>
      <c r="AD115" s="8" t="b">
        <f t="shared" si="16"/>
        <v>0</v>
      </c>
      <c r="AE115" s="8">
        <f t="shared" si="18"/>
        <v>0</v>
      </c>
    </row>
    <row r="116" spans="1:31" ht="18" customHeight="1">
      <c r="A116" s="65">
        <v>97</v>
      </c>
      <c r="B116" s="43"/>
      <c r="C116" s="47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118" t="str">
        <f t="shared" ref="P116:P147" si="19">IF(A116&lt;=$K$198,SUM(D116:O116),"")</f>
        <v/>
      </c>
      <c r="Q116" s="213"/>
      <c r="R116" s="109" t="str">
        <f>IF(A116=B116,Studentwise!AO116,"")</f>
        <v/>
      </c>
      <c r="S116" s="109" t="str">
        <f>IF(A116=B116,Studentwise!AP116,"")</f>
        <v/>
      </c>
      <c r="T116" s="109" t="str">
        <f>IF(A116=B116,Studentwise!AQ116,"")</f>
        <v/>
      </c>
      <c r="U116" s="109" t="str">
        <f>IF(A116=B116,Studentwise!AR116,"")</f>
        <v/>
      </c>
      <c r="V116" s="109" t="str">
        <f>IF(A116=B116,Studentwise!AS116,"")</f>
        <v/>
      </c>
      <c r="W116" s="7"/>
      <c r="X116" s="223"/>
      <c r="Y116" s="8" t="b">
        <f t="shared" si="16"/>
        <v>0</v>
      </c>
      <c r="Z116" s="8" t="b">
        <f t="shared" si="16"/>
        <v>0</v>
      </c>
      <c r="AA116" s="8" t="b">
        <f t="shared" si="16"/>
        <v>0</v>
      </c>
      <c r="AB116" s="8" t="b">
        <f t="shared" si="16"/>
        <v>0</v>
      </c>
      <c r="AC116" s="8" t="b">
        <f t="shared" si="16"/>
        <v>0</v>
      </c>
      <c r="AD116" s="8" t="b">
        <f t="shared" si="16"/>
        <v>0</v>
      </c>
      <c r="AE116" s="8">
        <f t="shared" si="18"/>
        <v>0</v>
      </c>
    </row>
    <row r="117" spans="1:31" ht="18" customHeight="1">
      <c r="A117" s="65">
        <v>98</v>
      </c>
      <c r="B117" s="43"/>
      <c r="C117" s="47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118" t="str">
        <f t="shared" si="19"/>
        <v/>
      </c>
      <c r="Q117" s="213"/>
      <c r="R117" s="109" t="str">
        <f>IF(A117=B117,Studentwise!AO117,"")</f>
        <v/>
      </c>
      <c r="S117" s="109" t="str">
        <f>IF(A117=B117,Studentwise!AP117,"")</f>
        <v/>
      </c>
      <c r="T117" s="109" t="str">
        <f>IF(A117=B117,Studentwise!AQ117,"")</f>
        <v/>
      </c>
      <c r="U117" s="109" t="str">
        <f>IF(A117=B117,Studentwise!AR117,"")</f>
        <v/>
      </c>
      <c r="V117" s="109" t="str">
        <f>IF(A117=B117,Studentwise!AS117,"")</f>
        <v/>
      </c>
      <c r="W117" s="7"/>
      <c r="X117" s="223"/>
      <c r="Y117" s="8" t="b">
        <f t="shared" si="16"/>
        <v>0</v>
      </c>
      <c r="Z117" s="8" t="b">
        <f t="shared" si="16"/>
        <v>0</v>
      </c>
      <c r="AA117" s="8" t="b">
        <f t="shared" si="16"/>
        <v>0</v>
      </c>
      <c r="AB117" s="8" t="b">
        <f t="shared" si="16"/>
        <v>0</v>
      </c>
      <c r="AC117" s="8" t="b">
        <f t="shared" si="16"/>
        <v>0</v>
      </c>
      <c r="AD117" s="8" t="b">
        <f t="shared" si="16"/>
        <v>0</v>
      </c>
      <c r="AE117" s="8">
        <f t="shared" si="18"/>
        <v>0</v>
      </c>
    </row>
    <row r="118" spans="1:31" ht="18" customHeight="1">
      <c r="A118" s="65">
        <v>99</v>
      </c>
      <c r="B118" s="43"/>
      <c r="C118" s="47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118" t="str">
        <f t="shared" si="19"/>
        <v/>
      </c>
      <c r="Q118" s="213"/>
      <c r="R118" s="109" t="str">
        <f>IF(A118=B118,Studentwise!AO118,"")</f>
        <v/>
      </c>
      <c r="S118" s="109" t="str">
        <f>IF(A118=B118,Studentwise!AP118,"")</f>
        <v/>
      </c>
      <c r="T118" s="109" t="str">
        <f>IF(A118=B118,Studentwise!AQ118,"")</f>
        <v/>
      </c>
      <c r="U118" s="109" t="str">
        <f>IF(A118=B118,Studentwise!AR118,"")</f>
        <v/>
      </c>
      <c r="V118" s="109" t="str">
        <f>IF(A118=B118,Studentwise!AS118,"")</f>
        <v/>
      </c>
      <c r="W118" s="7"/>
      <c r="X118" s="223"/>
      <c r="Y118" s="8" t="b">
        <f t="shared" si="16"/>
        <v>0</v>
      </c>
      <c r="Z118" s="8" t="b">
        <f t="shared" si="16"/>
        <v>0</v>
      </c>
      <c r="AA118" s="8" t="b">
        <f t="shared" si="16"/>
        <v>0</v>
      </c>
      <c r="AB118" s="8" t="b">
        <f t="shared" ref="AB118:AD165" si="20">ISTEXT(M118)</f>
        <v>0</v>
      </c>
      <c r="AC118" s="8" t="b">
        <f t="shared" si="20"/>
        <v>0</v>
      </c>
      <c r="AD118" s="8" t="b">
        <f t="shared" si="20"/>
        <v>0</v>
      </c>
      <c r="AE118" s="8">
        <f t="shared" si="18"/>
        <v>0</v>
      </c>
    </row>
    <row r="119" spans="1:31" ht="18" customHeight="1">
      <c r="A119" s="65">
        <v>100</v>
      </c>
      <c r="B119" s="43"/>
      <c r="C119" s="47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118" t="str">
        <f t="shared" si="19"/>
        <v/>
      </c>
      <c r="Q119" s="213"/>
      <c r="R119" s="109" t="str">
        <f>IF(A119=B119,Studentwise!AO119,"")</f>
        <v/>
      </c>
      <c r="S119" s="109" t="str">
        <f>IF(A119=B119,Studentwise!AP119,"")</f>
        <v/>
      </c>
      <c r="T119" s="109" t="str">
        <f>IF(A119=B119,Studentwise!AQ119,"")</f>
        <v/>
      </c>
      <c r="U119" s="109" t="str">
        <f>IF(A119=B119,Studentwise!AR119,"")</f>
        <v/>
      </c>
      <c r="V119" s="109" t="str">
        <f>IF(A119=B119,Studentwise!AS119,"")</f>
        <v/>
      </c>
      <c r="W119" s="7"/>
      <c r="X119" s="223"/>
      <c r="Y119" s="8" t="b">
        <f t="shared" ref="Y119:AA165" si="21">ISTEXT(J119)</f>
        <v>0</v>
      </c>
      <c r="Z119" s="8" t="b">
        <f t="shared" si="21"/>
        <v>0</v>
      </c>
      <c r="AA119" s="8" t="b">
        <f t="shared" si="21"/>
        <v>0</v>
      </c>
      <c r="AB119" s="8" t="b">
        <f t="shared" si="20"/>
        <v>0</v>
      </c>
      <c r="AC119" s="8" t="b">
        <f t="shared" si="20"/>
        <v>0</v>
      </c>
      <c r="AD119" s="8" t="b">
        <f t="shared" si="20"/>
        <v>0</v>
      </c>
      <c r="AE119" s="8">
        <f t="shared" si="18"/>
        <v>0</v>
      </c>
    </row>
    <row r="120" spans="1:31" ht="18" customHeight="1">
      <c r="A120" s="65">
        <v>101</v>
      </c>
      <c r="B120" s="43"/>
      <c r="C120" s="47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118" t="str">
        <f t="shared" si="19"/>
        <v/>
      </c>
      <c r="Q120" s="213"/>
      <c r="R120" s="109" t="str">
        <f>IF(A120=B120,Studentwise!AO120,"")</f>
        <v/>
      </c>
      <c r="S120" s="109" t="str">
        <f>IF(A120=B120,Studentwise!AP120,"")</f>
        <v/>
      </c>
      <c r="T120" s="109" t="str">
        <f>IF(A120=B120,Studentwise!AQ120,"")</f>
        <v/>
      </c>
      <c r="U120" s="109" t="str">
        <f>IF(A120=B120,Studentwise!AR120,"")</f>
        <v/>
      </c>
      <c r="V120" s="109" t="str">
        <f>IF(A120=B120,Studentwise!AS120,"")</f>
        <v/>
      </c>
      <c r="W120" s="7"/>
      <c r="X120" s="223"/>
      <c r="Y120" s="8" t="b">
        <f t="shared" si="21"/>
        <v>0</v>
      </c>
      <c r="Z120" s="8" t="b">
        <f t="shared" si="21"/>
        <v>0</v>
      </c>
      <c r="AA120" s="8" t="b">
        <f t="shared" si="21"/>
        <v>0</v>
      </c>
      <c r="AB120" s="8" t="b">
        <f t="shared" si="20"/>
        <v>0</v>
      </c>
      <c r="AC120" s="8" t="b">
        <f t="shared" si="20"/>
        <v>0</v>
      </c>
      <c r="AD120" s="8" t="b">
        <f t="shared" si="20"/>
        <v>0</v>
      </c>
      <c r="AE120" s="8">
        <f t="shared" si="18"/>
        <v>0</v>
      </c>
    </row>
    <row r="121" spans="1:31" ht="18" customHeight="1">
      <c r="A121" s="65">
        <v>102</v>
      </c>
      <c r="B121" s="43"/>
      <c r="C121" s="47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118" t="str">
        <f t="shared" si="19"/>
        <v/>
      </c>
      <c r="Q121" s="213"/>
      <c r="R121" s="109" t="str">
        <f>IF(A121=B121,Studentwise!AO121,"")</f>
        <v/>
      </c>
      <c r="S121" s="109" t="str">
        <f>IF(A121=B121,Studentwise!AP121,"")</f>
        <v/>
      </c>
      <c r="T121" s="109" t="str">
        <f>IF(A121=B121,Studentwise!AQ121,"")</f>
        <v/>
      </c>
      <c r="U121" s="109" t="str">
        <f>IF(A121=B121,Studentwise!AR121,"")</f>
        <v/>
      </c>
      <c r="V121" s="109" t="str">
        <f>IF(A121=B121,Studentwise!AS121,"")</f>
        <v/>
      </c>
      <c r="W121" s="7"/>
      <c r="X121" s="223"/>
      <c r="Y121" s="8" t="b">
        <f t="shared" si="21"/>
        <v>0</v>
      </c>
      <c r="Z121" s="8" t="b">
        <f t="shared" si="21"/>
        <v>0</v>
      </c>
      <c r="AA121" s="8" t="b">
        <f t="shared" si="21"/>
        <v>0</v>
      </c>
      <c r="AB121" s="8" t="b">
        <f t="shared" si="20"/>
        <v>0</v>
      </c>
      <c r="AC121" s="8" t="b">
        <f t="shared" si="20"/>
        <v>0</v>
      </c>
      <c r="AD121" s="8" t="b">
        <f t="shared" si="20"/>
        <v>0</v>
      </c>
      <c r="AE121" s="8">
        <f t="shared" si="18"/>
        <v>0</v>
      </c>
    </row>
    <row r="122" spans="1:31" ht="18" customHeight="1">
      <c r="A122" s="65">
        <v>103</v>
      </c>
      <c r="B122" s="43"/>
      <c r="C122" s="41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118" t="str">
        <f t="shared" si="19"/>
        <v/>
      </c>
      <c r="Q122" s="213"/>
      <c r="R122" s="109" t="str">
        <f>IF(A122=B122,Studentwise!AO122,"")</f>
        <v/>
      </c>
      <c r="S122" s="109" t="str">
        <f>IF(A122=B122,Studentwise!AP122,"")</f>
        <v/>
      </c>
      <c r="T122" s="109" t="str">
        <f>IF(A122=B122,Studentwise!AQ122,"")</f>
        <v/>
      </c>
      <c r="U122" s="109" t="str">
        <f>IF(A122=B122,Studentwise!AR122,"")</f>
        <v/>
      </c>
      <c r="V122" s="109" t="str">
        <f>IF(A122=B122,Studentwise!AS122,"")</f>
        <v/>
      </c>
      <c r="W122" s="7"/>
      <c r="X122" s="223"/>
      <c r="Y122" s="8" t="b">
        <f t="shared" si="21"/>
        <v>0</v>
      </c>
      <c r="Z122" s="8" t="b">
        <f t="shared" si="21"/>
        <v>0</v>
      </c>
      <c r="AA122" s="8" t="b">
        <f t="shared" si="21"/>
        <v>0</v>
      </c>
      <c r="AB122" s="8" t="b">
        <f t="shared" si="20"/>
        <v>0</v>
      </c>
      <c r="AC122" s="8" t="b">
        <f t="shared" si="20"/>
        <v>0</v>
      </c>
      <c r="AD122" s="8" t="b">
        <f t="shared" si="20"/>
        <v>0</v>
      </c>
      <c r="AE122" s="8">
        <f t="shared" si="18"/>
        <v>0</v>
      </c>
    </row>
    <row r="123" spans="1:31" ht="18" customHeight="1">
      <c r="A123" s="65">
        <v>104</v>
      </c>
      <c r="B123" s="43"/>
      <c r="C123" s="42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118" t="str">
        <f t="shared" si="19"/>
        <v/>
      </c>
      <c r="Q123" s="213"/>
      <c r="R123" s="109" t="str">
        <f>IF(A123=B123,Studentwise!AO123,"")</f>
        <v/>
      </c>
      <c r="S123" s="109" t="str">
        <f>IF(A123=B123,Studentwise!AP123,"")</f>
        <v/>
      </c>
      <c r="T123" s="109" t="str">
        <f>IF(A123=B123,Studentwise!AQ123,"")</f>
        <v/>
      </c>
      <c r="U123" s="109" t="str">
        <f>IF(A123=B123,Studentwise!AR123,"")</f>
        <v/>
      </c>
      <c r="V123" s="109" t="str">
        <f>IF(A123=B123,Studentwise!AS123,"")</f>
        <v/>
      </c>
      <c r="W123" s="7"/>
      <c r="X123" s="223"/>
      <c r="Y123" s="8" t="b">
        <f t="shared" si="21"/>
        <v>0</v>
      </c>
      <c r="Z123" s="8" t="b">
        <f t="shared" si="21"/>
        <v>0</v>
      </c>
      <c r="AA123" s="8" t="b">
        <f t="shared" si="21"/>
        <v>0</v>
      </c>
      <c r="AB123" s="8" t="b">
        <f t="shared" si="20"/>
        <v>0</v>
      </c>
      <c r="AC123" s="8" t="b">
        <f t="shared" si="20"/>
        <v>0</v>
      </c>
      <c r="AD123" s="8" t="b">
        <f t="shared" si="20"/>
        <v>0</v>
      </c>
      <c r="AE123" s="8">
        <f t="shared" si="18"/>
        <v>0</v>
      </c>
    </row>
    <row r="124" spans="1:31">
      <c r="A124" s="65">
        <v>105</v>
      </c>
      <c r="B124" s="43"/>
      <c r="C124" s="41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118" t="str">
        <f t="shared" si="19"/>
        <v/>
      </c>
      <c r="Q124" s="213"/>
      <c r="R124" s="109" t="str">
        <f>IF(A124=B124,Studentwise!AO124,"")</f>
        <v/>
      </c>
      <c r="S124" s="109" t="str">
        <f>IF(A124=B124,Studentwise!AP124,"")</f>
        <v/>
      </c>
      <c r="T124" s="109" t="str">
        <f>IF(A124=B124,Studentwise!AQ124,"")</f>
        <v/>
      </c>
      <c r="U124" s="109" t="str">
        <f>IF(A124=B124,Studentwise!AR124,"")</f>
        <v/>
      </c>
      <c r="V124" s="109" t="str">
        <f>IF(A124=B124,Studentwise!AS124,"")</f>
        <v/>
      </c>
      <c r="W124" s="7"/>
      <c r="X124" s="223"/>
      <c r="Y124" s="8" t="b">
        <f t="shared" si="21"/>
        <v>0</v>
      </c>
      <c r="Z124" s="8" t="b">
        <f t="shared" si="21"/>
        <v>0</v>
      </c>
      <c r="AA124" s="8" t="b">
        <f t="shared" si="21"/>
        <v>0</v>
      </c>
      <c r="AB124" s="8" t="b">
        <f t="shared" si="20"/>
        <v>0</v>
      </c>
      <c r="AC124" s="8" t="b">
        <f t="shared" si="20"/>
        <v>0</v>
      </c>
      <c r="AD124" s="8" t="b">
        <f t="shared" si="20"/>
        <v>0</v>
      </c>
      <c r="AE124" s="8">
        <f t="shared" si="18"/>
        <v>0</v>
      </c>
    </row>
    <row r="125" spans="1:31" ht="18" customHeight="1">
      <c r="A125" s="65">
        <v>106</v>
      </c>
      <c r="B125" s="43"/>
      <c r="C125" s="47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118" t="str">
        <f t="shared" si="19"/>
        <v/>
      </c>
      <c r="Q125" s="213"/>
      <c r="R125" s="109" t="str">
        <f>IF(A125=B125,Studentwise!AO125,"")</f>
        <v/>
      </c>
      <c r="S125" s="109" t="str">
        <f>IF(A125=B125,Studentwise!AP125,"")</f>
        <v/>
      </c>
      <c r="T125" s="109" t="str">
        <f>IF(A125=B125,Studentwise!AQ125,"")</f>
        <v/>
      </c>
      <c r="U125" s="109" t="str">
        <f>IF(A125=B125,Studentwise!AR125,"")</f>
        <v/>
      </c>
      <c r="V125" s="109" t="str">
        <f>IF(A125=B125,Studentwise!AS125,"")</f>
        <v/>
      </c>
      <c r="W125" s="7"/>
      <c r="X125" s="223"/>
      <c r="Y125" s="8" t="b">
        <f t="shared" si="21"/>
        <v>0</v>
      </c>
      <c r="Z125" s="8" t="b">
        <f t="shared" si="21"/>
        <v>0</v>
      </c>
      <c r="AA125" s="8" t="b">
        <f t="shared" si="21"/>
        <v>0</v>
      </c>
      <c r="AB125" s="8" t="b">
        <f t="shared" si="20"/>
        <v>0</v>
      </c>
      <c r="AC125" s="8" t="b">
        <f t="shared" si="20"/>
        <v>0</v>
      </c>
      <c r="AD125" s="8" t="b">
        <f t="shared" si="20"/>
        <v>0</v>
      </c>
      <c r="AE125" s="8">
        <f t="shared" si="18"/>
        <v>0</v>
      </c>
    </row>
    <row r="126" spans="1:31" ht="18" customHeight="1">
      <c r="A126" s="65">
        <v>107</v>
      </c>
      <c r="B126" s="43"/>
      <c r="C126" s="47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118" t="str">
        <f t="shared" si="19"/>
        <v/>
      </c>
      <c r="Q126" s="213"/>
      <c r="R126" s="109" t="str">
        <f>IF(A126=B126,Studentwise!AO126,"")</f>
        <v/>
      </c>
      <c r="S126" s="109" t="str">
        <f>IF(A126=B126,Studentwise!AP126,"")</f>
        <v/>
      </c>
      <c r="T126" s="109" t="str">
        <f>IF(A126=B126,Studentwise!AQ126,"")</f>
        <v/>
      </c>
      <c r="U126" s="109" t="str">
        <f>IF(A126=B126,Studentwise!AR126,"")</f>
        <v/>
      </c>
      <c r="V126" s="109" t="str">
        <f>IF(A126=B126,Studentwise!AS126,"")</f>
        <v/>
      </c>
      <c r="W126" s="7"/>
      <c r="X126" s="223"/>
      <c r="Y126" s="8" t="b">
        <f t="shared" si="21"/>
        <v>0</v>
      </c>
      <c r="Z126" s="8" t="b">
        <f t="shared" si="21"/>
        <v>0</v>
      </c>
      <c r="AA126" s="8" t="b">
        <f t="shared" si="21"/>
        <v>0</v>
      </c>
      <c r="AB126" s="8" t="b">
        <f t="shared" si="20"/>
        <v>0</v>
      </c>
      <c r="AC126" s="8" t="b">
        <f t="shared" si="20"/>
        <v>0</v>
      </c>
      <c r="AD126" s="8" t="b">
        <f t="shared" si="20"/>
        <v>0</v>
      </c>
      <c r="AE126" s="8">
        <f t="shared" si="18"/>
        <v>0</v>
      </c>
    </row>
    <row r="127" spans="1:31" ht="18" customHeight="1">
      <c r="A127" s="65">
        <v>108</v>
      </c>
      <c r="B127" s="43"/>
      <c r="C127" s="47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118" t="str">
        <f t="shared" si="19"/>
        <v/>
      </c>
      <c r="Q127" s="213"/>
      <c r="R127" s="109" t="str">
        <f>IF(A127=B127,Studentwise!AO127,"")</f>
        <v/>
      </c>
      <c r="S127" s="109" t="str">
        <f>IF(A127=B127,Studentwise!AP127,"")</f>
        <v/>
      </c>
      <c r="T127" s="109" t="str">
        <f>IF(A127=B127,Studentwise!AQ127,"")</f>
        <v/>
      </c>
      <c r="U127" s="109" t="str">
        <f>IF(A127=B127,Studentwise!AR127,"")</f>
        <v/>
      </c>
      <c r="V127" s="109" t="str">
        <f>IF(A127=B127,Studentwise!AS127,"")</f>
        <v/>
      </c>
      <c r="W127" s="7"/>
      <c r="X127" s="223"/>
      <c r="Y127" s="8" t="b">
        <f t="shared" si="21"/>
        <v>0</v>
      </c>
      <c r="Z127" s="8" t="b">
        <f t="shared" si="21"/>
        <v>0</v>
      </c>
      <c r="AA127" s="8" t="b">
        <f t="shared" si="21"/>
        <v>0</v>
      </c>
      <c r="AB127" s="8" t="b">
        <f t="shared" si="20"/>
        <v>0</v>
      </c>
      <c r="AC127" s="8" t="b">
        <f t="shared" si="20"/>
        <v>0</v>
      </c>
      <c r="AD127" s="8" t="b">
        <f t="shared" si="20"/>
        <v>0</v>
      </c>
      <c r="AE127" s="8">
        <f t="shared" si="18"/>
        <v>0</v>
      </c>
    </row>
    <row r="128" spans="1:31" ht="18" customHeight="1">
      <c r="A128" s="65">
        <v>109</v>
      </c>
      <c r="B128" s="43"/>
      <c r="C128" s="47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118" t="str">
        <f t="shared" si="19"/>
        <v/>
      </c>
      <c r="Q128" s="213"/>
      <c r="R128" s="109" t="str">
        <f>IF(A128=B128,Studentwise!AO128,"")</f>
        <v/>
      </c>
      <c r="S128" s="109" t="str">
        <f>IF(A128=B128,Studentwise!AP128,"")</f>
        <v/>
      </c>
      <c r="T128" s="109" t="str">
        <f>IF(A128=B128,Studentwise!AQ128,"")</f>
        <v/>
      </c>
      <c r="U128" s="109" t="str">
        <f>IF(A128=B128,Studentwise!AR128,"")</f>
        <v/>
      </c>
      <c r="V128" s="109" t="str">
        <f>IF(A128=B128,Studentwise!AS128,"")</f>
        <v/>
      </c>
      <c r="W128" s="7"/>
      <c r="X128" s="223"/>
      <c r="Y128" s="8" t="b">
        <f t="shared" si="21"/>
        <v>0</v>
      </c>
      <c r="Z128" s="8" t="b">
        <f t="shared" si="21"/>
        <v>0</v>
      </c>
      <c r="AA128" s="8" t="b">
        <f t="shared" si="21"/>
        <v>0</v>
      </c>
      <c r="AB128" s="8" t="b">
        <f t="shared" si="20"/>
        <v>0</v>
      </c>
      <c r="AC128" s="8" t="b">
        <f t="shared" si="20"/>
        <v>0</v>
      </c>
      <c r="AD128" s="8" t="b">
        <f t="shared" si="20"/>
        <v>0</v>
      </c>
      <c r="AE128" s="8">
        <f t="shared" si="18"/>
        <v>0</v>
      </c>
    </row>
    <row r="129" spans="1:31" ht="18" customHeight="1">
      <c r="A129" s="65">
        <v>110</v>
      </c>
      <c r="B129" s="43"/>
      <c r="C129" s="47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118" t="str">
        <f t="shared" si="19"/>
        <v/>
      </c>
      <c r="Q129" s="213"/>
      <c r="R129" s="109" t="str">
        <f>IF(A129=B129,Studentwise!AO129,"")</f>
        <v/>
      </c>
      <c r="S129" s="109" t="str">
        <f>IF(A129=B129,Studentwise!AP129,"")</f>
        <v/>
      </c>
      <c r="T129" s="109" t="str">
        <f>IF(A129=B129,Studentwise!AQ129,"")</f>
        <v/>
      </c>
      <c r="U129" s="109" t="str">
        <f>IF(A129=B129,Studentwise!AR129,"")</f>
        <v/>
      </c>
      <c r="V129" s="109" t="str">
        <f>IF(A129=B129,Studentwise!AS129,"")</f>
        <v/>
      </c>
      <c r="W129" s="7"/>
      <c r="X129" s="223"/>
      <c r="Y129" s="8" t="b">
        <f t="shared" si="21"/>
        <v>0</v>
      </c>
      <c r="Z129" s="8" t="b">
        <f t="shared" si="21"/>
        <v>0</v>
      </c>
      <c r="AA129" s="8" t="b">
        <f t="shared" si="21"/>
        <v>0</v>
      </c>
      <c r="AB129" s="8" t="b">
        <f t="shared" si="20"/>
        <v>0</v>
      </c>
      <c r="AC129" s="8" t="b">
        <f t="shared" si="20"/>
        <v>0</v>
      </c>
      <c r="AD129" s="8" t="b">
        <f t="shared" si="20"/>
        <v>0</v>
      </c>
      <c r="AE129" s="8">
        <f t="shared" si="18"/>
        <v>0</v>
      </c>
    </row>
    <row r="130" spans="1:31" ht="18" customHeight="1">
      <c r="A130" s="65">
        <v>111</v>
      </c>
      <c r="B130" s="43"/>
      <c r="C130" s="47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118" t="str">
        <f t="shared" si="19"/>
        <v/>
      </c>
      <c r="Q130" s="213"/>
      <c r="R130" s="109" t="str">
        <f>IF(A130=B130,Studentwise!AO130,"")</f>
        <v/>
      </c>
      <c r="S130" s="109" t="str">
        <f>IF(A130=B130,Studentwise!AP130,"")</f>
        <v/>
      </c>
      <c r="T130" s="109" t="str">
        <f>IF(A130=B130,Studentwise!AQ130,"")</f>
        <v/>
      </c>
      <c r="U130" s="109" t="str">
        <f>IF(A130=B130,Studentwise!AR130,"")</f>
        <v/>
      </c>
      <c r="V130" s="109" t="str">
        <f>IF(A130=B130,Studentwise!AS130,"")</f>
        <v/>
      </c>
      <c r="W130" s="7"/>
      <c r="X130" s="223"/>
      <c r="Y130" s="8" t="b">
        <f t="shared" si="21"/>
        <v>0</v>
      </c>
      <c r="Z130" s="8" t="b">
        <f t="shared" si="21"/>
        <v>0</v>
      </c>
      <c r="AA130" s="8" t="b">
        <f t="shared" si="21"/>
        <v>0</v>
      </c>
      <c r="AB130" s="8" t="b">
        <f t="shared" si="20"/>
        <v>0</v>
      </c>
      <c r="AC130" s="8" t="b">
        <f t="shared" si="20"/>
        <v>0</v>
      </c>
      <c r="AD130" s="8" t="b">
        <f t="shared" si="20"/>
        <v>0</v>
      </c>
      <c r="AE130" s="8">
        <f t="shared" si="18"/>
        <v>0</v>
      </c>
    </row>
    <row r="131" spans="1:31" ht="18" customHeight="1">
      <c r="A131" s="65">
        <v>112</v>
      </c>
      <c r="B131" s="43"/>
      <c r="C131" s="47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118" t="str">
        <f t="shared" si="19"/>
        <v/>
      </c>
      <c r="Q131" s="213"/>
      <c r="R131" s="109" t="str">
        <f>IF(A131=B131,Studentwise!AO131,"")</f>
        <v/>
      </c>
      <c r="S131" s="109" t="str">
        <f>IF(A131=B131,Studentwise!AP131,"")</f>
        <v/>
      </c>
      <c r="T131" s="109" t="str">
        <f>IF(A131=B131,Studentwise!AQ131,"")</f>
        <v/>
      </c>
      <c r="U131" s="109" t="str">
        <f>IF(A131=B131,Studentwise!AR131,"")</f>
        <v/>
      </c>
      <c r="V131" s="109" t="str">
        <f>IF(A131=B131,Studentwise!AS131,"")</f>
        <v/>
      </c>
      <c r="W131" s="7"/>
      <c r="X131" s="223"/>
      <c r="Y131" s="8" t="b">
        <f t="shared" si="21"/>
        <v>0</v>
      </c>
      <c r="Z131" s="8" t="b">
        <f t="shared" si="21"/>
        <v>0</v>
      </c>
      <c r="AA131" s="8" t="b">
        <f t="shared" si="21"/>
        <v>0</v>
      </c>
      <c r="AB131" s="8" t="b">
        <f t="shared" si="20"/>
        <v>0</v>
      </c>
      <c r="AC131" s="8" t="b">
        <f t="shared" si="20"/>
        <v>0</v>
      </c>
      <c r="AD131" s="8" t="b">
        <f t="shared" si="20"/>
        <v>0</v>
      </c>
      <c r="AE131" s="8">
        <f t="shared" si="18"/>
        <v>0</v>
      </c>
    </row>
    <row r="132" spans="1:31" ht="18" customHeight="1">
      <c r="A132" s="65">
        <v>113</v>
      </c>
      <c r="B132" s="43"/>
      <c r="C132" s="47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118" t="str">
        <f t="shared" si="19"/>
        <v/>
      </c>
      <c r="Q132" s="213"/>
      <c r="R132" s="109" t="str">
        <f>IF(A132=B132,Studentwise!AO132,"")</f>
        <v/>
      </c>
      <c r="S132" s="109" t="str">
        <f>IF(A132=B132,Studentwise!AP132,"")</f>
        <v/>
      </c>
      <c r="T132" s="109" t="str">
        <f>IF(A132=B132,Studentwise!AQ132,"")</f>
        <v/>
      </c>
      <c r="U132" s="109" t="str">
        <f>IF(A132=B132,Studentwise!AR132,"")</f>
        <v/>
      </c>
      <c r="V132" s="109" t="str">
        <f>IF(A132=B132,Studentwise!AS132,"")</f>
        <v/>
      </c>
      <c r="W132" s="7"/>
      <c r="X132" s="223"/>
      <c r="Y132" s="8" t="b">
        <f t="shared" si="21"/>
        <v>0</v>
      </c>
      <c r="Z132" s="8" t="b">
        <f t="shared" si="21"/>
        <v>0</v>
      </c>
      <c r="AA132" s="8" t="b">
        <f t="shared" si="21"/>
        <v>0</v>
      </c>
      <c r="AB132" s="8" t="b">
        <f t="shared" si="20"/>
        <v>0</v>
      </c>
      <c r="AC132" s="8" t="b">
        <f t="shared" si="20"/>
        <v>0</v>
      </c>
      <c r="AD132" s="8" t="b">
        <f t="shared" si="20"/>
        <v>0</v>
      </c>
      <c r="AE132" s="8">
        <f t="shared" si="18"/>
        <v>0</v>
      </c>
    </row>
    <row r="133" spans="1:31" ht="18" customHeight="1">
      <c r="A133" s="65">
        <v>114</v>
      </c>
      <c r="B133" s="43"/>
      <c r="C133" s="47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118" t="str">
        <f t="shared" si="19"/>
        <v/>
      </c>
      <c r="Q133" s="213"/>
      <c r="R133" s="109" t="str">
        <f>IF(A133=B133,Studentwise!AO133,"")</f>
        <v/>
      </c>
      <c r="S133" s="109" t="str">
        <f>IF(A133=B133,Studentwise!AP133,"")</f>
        <v/>
      </c>
      <c r="T133" s="109" t="str">
        <f>IF(A133=B133,Studentwise!AQ133,"")</f>
        <v/>
      </c>
      <c r="U133" s="109" t="str">
        <f>IF(A133=B133,Studentwise!AR133,"")</f>
        <v/>
      </c>
      <c r="V133" s="109" t="str">
        <f>IF(A133=B133,Studentwise!AS133,"")</f>
        <v/>
      </c>
      <c r="W133" s="7"/>
      <c r="X133" s="223"/>
      <c r="Y133" s="8" t="b">
        <f t="shared" si="21"/>
        <v>0</v>
      </c>
      <c r="Z133" s="8" t="b">
        <f t="shared" si="21"/>
        <v>0</v>
      </c>
      <c r="AA133" s="8" t="b">
        <f t="shared" si="21"/>
        <v>0</v>
      </c>
      <c r="AB133" s="8" t="b">
        <f t="shared" si="20"/>
        <v>0</v>
      </c>
      <c r="AC133" s="8" t="b">
        <f t="shared" si="20"/>
        <v>0</v>
      </c>
      <c r="AD133" s="8" t="b">
        <f t="shared" si="20"/>
        <v>0</v>
      </c>
      <c r="AE133" s="8">
        <f t="shared" si="18"/>
        <v>0</v>
      </c>
    </row>
    <row r="134" spans="1:31" ht="18" customHeight="1">
      <c r="A134" s="65">
        <v>115</v>
      </c>
      <c r="B134" s="43"/>
      <c r="C134" s="47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118" t="str">
        <f t="shared" si="19"/>
        <v/>
      </c>
      <c r="Q134" s="213"/>
      <c r="R134" s="109" t="str">
        <f>IF(A134=B134,Studentwise!AO134,"")</f>
        <v/>
      </c>
      <c r="S134" s="109" t="str">
        <f>IF(A134=B134,Studentwise!AP134,"")</f>
        <v/>
      </c>
      <c r="T134" s="109" t="str">
        <f>IF(A134=B134,Studentwise!AQ134,"")</f>
        <v/>
      </c>
      <c r="U134" s="109" t="str">
        <f>IF(A134=B134,Studentwise!AR134,"")</f>
        <v/>
      </c>
      <c r="V134" s="109" t="str">
        <f>IF(A134=B134,Studentwise!AS134,"")</f>
        <v/>
      </c>
      <c r="W134" s="7"/>
      <c r="X134" s="223"/>
      <c r="Y134" s="8" t="b">
        <f t="shared" si="21"/>
        <v>0</v>
      </c>
      <c r="Z134" s="8" t="b">
        <f t="shared" si="21"/>
        <v>0</v>
      </c>
      <c r="AA134" s="8" t="b">
        <f t="shared" si="21"/>
        <v>0</v>
      </c>
      <c r="AB134" s="8" t="b">
        <f t="shared" si="20"/>
        <v>0</v>
      </c>
      <c r="AC134" s="8" t="b">
        <f t="shared" si="20"/>
        <v>0</v>
      </c>
      <c r="AD134" s="8" t="b">
        <f t="shared" si="20"/>
        <v>0</v>
      </c>
      <c r="AE134" s="8">
        <f t="shared" si="18"/>
        <v>0</v>
      </c>
    </row>
    <row r="135" spans="1:31" ht="18" customHeight="1">
      <c r="A135" s="65">
        <v>116</v>
      </c>
      <c r="B135" s="43"/>
      <c r="C135" s="47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118" t="str">
        <f t="shared" si="19"/>
        <v/>
      </c>
      <c r="Q135" s="213"/>
      <c r="R135" s="109" t="str">
        <f>IF(A135=B135,Studentwise!AO135,"")</f>
        <v/>
      </c>
      <c r="S135" s="109" t="str">
        <f>IF(A135=B135,Studentwise!AP135,"")</f>
        <v/>
      </c>
      <c r="T135" s="109" t="str">
        <f>IF(A135=B135,Studentwise!AQ135,"")</f>
        <v/>
      </c>
      <c r="U135" s="109" t="str">
        <f>IF(A135=B135,Studentwise!AR135,"")</f>
        <v/>
      </c>
      <c r="V135" s="109" t="str">
        <f>IF(A135=B135,Studentwise!AS135,"")</f>
        <v/>
      </c>
      <c r="W135" s="7"/>
      <c r="X135" s="223"/>
      <c r="Y135" s="8" t="b">
        <f t="shared" si="21"/>
        <v>0</v>
      </c>
      <c r="Z135" s="8" t="b">
        <f t="shared" si="21"/>
        <v>0</v>
      </c>
      <c r="AA135" s="8" t="b">
        <f t="shared" si="21"/>
        <v>0</v>
      </c>
      <c r="AB135" s="8" t="b">
        <f t="shared" si="20"/>
        <v>0</v>
      </c>
      <c r="AC135" s="8" t="b">
        <f t="shared" si="20"/>
        <v>0</v>
      </c>
      <c r="AD135" s="8" t="b">
        <f t="shared" si="20"/>
        <v>0</v>
      </c>
      <c r="AE135" s="8">
        <f t="shared" si="18"/>
        <v>0</v>
      </c>
    </row>
    <row r="136" spans="1:31" ht="18" customHeight="1">
      <c r="A136" s="65">
        <v>117</v>
      </c>
      <c r="B136" s="43"/>
      <c r="C136" s="47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118" t="str">
        <f t="shared" si="19"/>
        <v/>
      </c>
      <c r="Q136" s="213"/>
      <c r="R136" s="109" t="str">
        <f>IF(A136=B136,Studentwise!AO136,"")</f>
        <v/>
      </c>
      <c r="S136" s="109" t="str">
        <f>IF(A136=B136,Studentwise!AP136,"")</f>
        <v/>
      </c>
      <c r="T136" s="109" t="str">
        <f>IF(A136=B136,Studentwise!AQ136,"")</f>
        <v/>
      </c>
      <c r="U136" s="109" t="str">
        <f>IF(A136=B136,Studentwise!AR136,"")</f>
        <v/>
      </c>
      <c r="V136" s="109" t="str">
        <f>IF(A136=B136,Studentwise!AS136,"")</f>
        <v/>
      </c>
      <c r="W136" s="7"/>
      <c r="X136" s="223"/>
      <c r="Y136" s="8" t="b">
        <f t="shared" si="21"/>
        <v>0</v>
      </c>
      <c r="Z136" s="8" t="b">
        <f t="shared" si="21"/>
        <v>0</v>
      </c>
      <c r="AA136" s="8" t="b">
        <f t="shared" si="21"/>
        <v>0</v>
      </c>
      <c r="AB136" s="8" t="b">
        <f t="shared" si="20"/>
        <v>0</v>
      </c>
      <c r="AC136" s="8" t="b">
        <f t="shared" si="20"/>
        <v>0</v>
      </c>
      <c r="AD136" s="8" t="b">
        <f t="shared" si="20"/>
        <v>0</v>
      </c>
      <c r="AE136" s="8">
        <f t="shared" si="18"/>
        <v>0</v>
      </c>
    </row>
    <row r="137" spans="1:31" ht="18" customHeight="1">
      <c r="A137" s="65">
        <v>118</v>
      </c>
      <c r="B137" s="43"/>
      <c r="C137" s="41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118" t="str">
        <f t="shared" si="19"/>
        <v/>
      </c>
      <c r="Q137" s="213"/>
      <c r="R137" s="109" t="str">
        <f>IF(A137=B137,Studentwise!AO137,"")</f>
        <v/>
      </c>
      <c r="S137" s="109" t="str">
        <f>IF(A137=B137,Studentwise!AP137,"")</f>
        <v/>
      </c>
      <c r="T137" s="109" t="str">
        <f>IF(A137=B137,Studentwise!AQ137,"")</f>
        <v/>
      </c>
      <c r="U137" s="109" t="str">
        <f>IF(A137=B137,Studentwise!AR137,"")</f>
        <v/>
      </c>
      <c r="V137" s="109" t="str">
        <f>IF(A137=B137,Studentwise!AS137,"")</f>
        <v/>
      </c>
      <c r="W137" s="7"/>
      <c r="X137" s="223"/>
      <c r="Y137" s="8" t="b">
        <f t="shared" si="21"/>
        <v>0</v>
      </c>
      <c r="Z137" s="8" t="b">
        <f t="shared" si="21"/>
        <v>0</v>
      </c>
      <c r="AA137" s="8" t="b">
        <f t="shared" si="21"/>
        <v>0</v>
      </c>
      <c r="AB137" s="8" t="b">
        <f t="shared" si="20"/>
        <v>0</v>
      </c>
      <c r="AC137" s="8" t="b">
        <f t="shared" si="20"/>
        <v>0</v>
      </c>
      <c r="AD137" s="8" t="b">
        <f t="shared" si="20"/>
        <v>0</v>
      </c>
      <c r="AE137" s="8">
        <f t="shared" si="18"/>
        <v>0</v>
      </c>
    </row>
    <row r="138" spans="1:31" ht="18" customHeight="1">
      <c r="A138" s="65">
        <v>119</v>
      </c>
      <c r="B138" s="43"/>
      <c r="C138" s="42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118" t="str">
        <f t="shared" si="19"/>
        <v/>
      </c>
      <c r="Q138" s="213"/>
      <c r="R138" s="109" t="str">
        <f>IF(A138=B138,Studentwise!AO138,"")</f>
        <v/>
      </c>
      <c r="S138" s="109" t="str">
        <f>IF(A138=B138,Studentwise!AP138,"")</f>
        <v/>
      </c>
      <c r="T138" s="109" t="str">
        <f>IF(A138=B138,Studentwise!AQ138,"")</f>
        <v/>
      </c>
      <c r="U138" s="109" t="str">
        <f>IF(A138=B138,Studentwise!AR138,"")</f>
        <v/>
      </c>
      <c r="V138" s="109" t="str">
        <f>IF(A138=B138,Studentwise!AS138,"")</f>
        <v/>
      </c>
      <c r="W138" s="7"/>
      <c r="X138" s="223"/>
      <c r="Y138" s="8" t="b">
        <f t="shared" si="21"/>
        <v>0</v>
      </c>
      <c r="Z138" s="8" t="b">
        <f t="shared" si="21"/>
        <v>0</v>
      </c>
      <c r="AA138" s="8" t="b">
        <f t="shared" si="21"/>
        <v>0</v>
      </c>
      <c r="AB138" s="8" t="b">
        <f t="shared" si="20"/>
        <v>0</v>
      </c>
      <c r="AC138" s="8" t="b">
        <f t="shared" si="20"/>
        <v>0</v>
      </c>
      <c r="AD138" s="8" t="b">
        <f t="shared" si="20"/>
        <v>0</v>
      </c>
      <c r="AE138" s="8">
        <f t="shared" si="18"/>
        <v>0</v>
      </c>
    </row>
    <row r="139" spans="1:31">
      <c r="A139" s="65">
        <v>120</v>
      </c>
      <c r="B139" s="43"/>
      <c r="C139" s="41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118" t="str">
        <f t="shared" si="19"/>
        <v/>
      </c>
      <c r="Q139" s="213"/>
      <c r="R139" s="109" t="str">
        <f>IF(A139=B139,Studentwise!AO139,"")</f>
        <v/>
      </c>
      <c r="S139" s="109" t="str">
        <f>IF(A139=B139,Studentwise!AP139,"")</f>
        <v/>
      </c>
      <c r="T139" s="109" t="str">
        <f>IF(A139=B139,Studentwise!AQ139,"")</f>
        <v/>
      </c>
      <c r="U139" s="109" t="str">
        <f>IF(A139=B139,Studentwise!AR139,"")</f>
        <v/>
      </c>
      <c r="V139" s="109" t="str">
        <f>IF(A139=B139,Studentwise!AS139,"")</f>
        <v/>
      </c>
      <c r="W139" s="7"/>
      <c r="X139" s="223"/>
      <c r="Y139" s="8" t="b">
        <f t="shared" si="21"/>
        <v>0</v>
      </c>
      <c r="Z139" s="8" t="b">
        <f t="shared" si="21"/>
        <v>0</v>
      </c>
      <c r="AA139" s="8" t="b">
        <f t="shared" si="21"/>
        <v>0</v>
      </c>
      <c r="AB139" s="8" t="b">
        <f t="shared" si="20"/>
        <v>0</v>
      </c>
      <c r="AC139" s="8" t="b">
        <f t="shared" si="20"/>
        <v>0</v>
      </c>
      <c r="AD139" s="8" t="b">
        <f t="shared" si="20"/>
        <v>0</v>
      </c>
      <c r="AE139" s="8">
        <f t="shared" si="18"/>
        <v>0</v>
      </c>
    </row>
    <row r="140" spans="1:31" ht="18" customHeight="1">
      <c r="A140" s="65">
        <v>121</v>
      </c>
      <c r="B140" s="43"/>
      <c r="C140" s="47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118" t="str">
        <f t="shared" si="19"/>
        <v/>
      </c>
      <c r="Q140" s="213"/>
      <c r="R140" s="109" t="str">
        <f>IF(A140=B140,Studentwise!AO140,"")</f>
        <v/>
      </c>
      <c r="S140" s="109" t="str">
        <f>IF(A140=B140,Studentwise!AP140,"")</f>
        <v/>
      </c>
      <c r="T140" s="109" t="str">
        <f>IF(A140=B140,Studentwise!AQ140,"")</f>
        <v/>
      </c>
      <c r="U140" s="109" t="str">
        <f>IF(A140=B140,Studentwise!AR140,"")</f>
        <v/>
      </c>
      <c r="V140" s="109" t="str">
        <f>IF(A140=B140,Studentwise!AS140,"")</f>
        <v/>
      </c>
      <c r="W140" s="7"/>
      <c r="X140" s="223"/>
      <c r="Y140" s="8" t="b">
        <f t="shared" si="21"/>
        <v>0</v>
      </c>
      <c r="Z140" s="8" t="b">
        <f t="shared" si="21"/>
        <v>0</v>
      </c>
      <c r="AA140" s="8" t="b">
        <f t="shared" si="21"/>
        <v>0</v>
      </c>
      <c r="AB140" s="8" t="b">
        <f t="shared" si="20"/>
        <v>0</v>
      </c>
      <c r="AC140" s="8" t="b">
        <f t="shared" si="20"/>
        <v>0</v>
      </c>
      <c r="AD140" s="8" t="b">
        <f t="shared" si="20"/>
        <v>0</v>
      </c>
      <c r="AE140" s="8">
        <f t="shared" si="18"/>
        <v>0</v>
      </c>
    </row>
    <row r="141" spans="1:31" ht="18" customHeight="1">
      <c r="A141" s="65">
        <v>122</v>
      </c>
      <c r="B141" s="43"/>
      <c r="C141" s="47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118" t="str">
        <f t="shared" si="19"/>
        <v/>
      </c>
      <c r="Q141" s="213"/>
      <c r="R141" s="109" t="str">
        <f>IF(A141=B141,Studentwise!AO170,"")</f>
        <v/>
      </c>
      <c r="S141" s="109" t="str">
        <f>IF(A141=B141,Studentwise!AP170,"")</f>
        <v/>
      </c>
      <c r="T141" s="109" t="str">
        <f>IF(A141=B141,Studentwise!AQ170,"")</f>
        <v/>
      </c>
      <c r="U141" s="109" t="str">
        <f>IF(A141=B141,Studentwise!AR170,"")</f>
        <v/>
      </c>
      <c r="V141" s="109" t="str">
        <f>IF(A141=B141,Studentwise!AS170,"")</f>
        <v/>
      </c>
      <c r="W141" s="7"/>
      <c r="X141" s="223"/>
      <c r="Y141" s="8" t="b">
        <f t="shared" si="21"/>
        <v>0</v>
      </c>
      <c r="Z141" s="8" t="b">
        <f t="shared" si="21"/>
        <v>0</v>
      </c>
      <c r="AA141" s="8" t="b">
        <f t="shared" si="21"/>
        <v>0</v>
      </c>
      <c r="AB141" s="8" t="b">
        <f t="shared" si="20"/>
        <v>0</v>
      </c>
      <c r="AC141" s="8" t="b">
        <f t="shared" si="20"/>
        <v>0</v>
      </c>
      <c r="AD141" s="8" t="b">
        <f t="shared" si="20"/>
        <v>0</v>
      </c>
      <c r="AE141" s="8">
        <f t="shared" si="18"/>
        <v>0</v>
      </c>
    </row>
    <row r="142" spans="1:31" ht="18" customHeight="1">
      <c r="A142" s="65">
        <v>123</v>
      </c>
      <c r="B142" s="43"/>
      <c r="C142" s="47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118" t="str">
        <f t="shared" si="19"/>
        <v/>
      </c>
      <c r="Q142" s="213"/>
      <c r="R142" s="109" t="str">
        <f>IF(A142=B142,Studentwise!AO171,"")</f>
        <v/>
      </c>
      <c r="S142" s="109" t="str">
        <f>IF(A142=B142,Studentwise!AP171,"")</f>
        <v/>
      </c>
      <c r="T142" s="109" t="str">
        <f>IF(A142=B142,Studentwise!AQ171,"")</f>
        <v/>
      </c>
      <c r="U142" s="109" t="str">
        <f>IF(A142=B142,Studentwise!AR171,"")</f>
        <v/>
      </c>
      <c r="V142" s="109" t="str">
        <f>IF(A142=B142,Studentwise!AS171,"")</f>
        <v/>
      </c>
      <c r="W142" s="7"/>
      <c r="X142" s="223"/>
      <c r="Y142" s="8" t="b">
        <f t="shared" si="21"/>
        <v>0</v>
      </c>
      <c r="Z142" s="8" t="b">
        <f t="shared" si="21"/>
        <v>0</v>
      </c>
      <c r="AA142" s="8" t="b">
        <f t="shared" si="21"/>
        <v>0</v>
      </c>
      <c r="AB142" s="8" t="b">
        <f t="shared" si="20"/>
        <v>0</v>
      </c>
      <c r="AC142" s="8" t="b">
        <f t="shared" si="20"/>
        <v>0</v>
      </c>
      <c r="AD142" s="8" t="b">
        <f t="shared" si="20"/>
        <v>0</v>
      </c>
      <c r="AE142" s="8">
        <f t="shared" si="18"/>
        <v>0</v>
      </c>
    </row>
    <row r="143" spans="1:31" ht="18" customHeight="1">
      <c r="A143" s="65">
        <v>124</v>
      </c>
      <c r="B143" s="43"/>
      <c r="C143" s="47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118" t="str">
        <f t="shared" si="19"/>
        <v/>
      </c>
      <c r="Q143" s="213"/>
      <c r="R143" s="109" t="str">
        <f>IF(A143=B143,Studentwise!AO172,"")</f>
        <v/>
      </c>
      <c r="S143" s="109" t="str">
        <f>IF(A143=B143,Studentwise!AP172,"")</f>
        <v/>
      </c>
      <c r="T143" s="109" t="str">
        <f>IF(A143=B143,Studentwise!AQ172,"")</f>
        <v/>
      </c>
      <c r="U143" s="109" t="str">
        <f>IF(A143=B143,Studentwise!AR172,"")</f>
        <v/>
      </c>
      <c r="V143" s="109" t="str">
        <f>IF(A143=B143,Studentwise!AS172,"")</f>
        <v/>
      </c>
      <c r="W143" s="7"/>
      <c r="X143" s="223"/>
      <c r="Y143" s="8" t="b">
        <f t="shared" si="21"/>
        <v>0</v>
      </c>
      <c r="Z143" s="8" t="b">
        <f t="shared" si="21"/>
        <v>0</v>
      </c>
      <c r="AA143" s="8" t="b">
        <f t="shared" si="21"/>
        <v>0</v>
      </c>
      <c r="AB143" s="8" t="b">
        <f t="shared" si="20"/>
        <v>0</v>
      </c>
      <c r="AC143" s="8" t="b">
        <f t="shared" si="20"/>
        <v>0</v>
      </c>
      <c r="AD143" s="8" t="b">
        <f t="shared" si="20"/>
        <v>0</v>
      </c>
      <c r="AE143" s="8">
        <f t="shared" si="18"/>
        <v>0</v>
      </c>
    </row>
    <row r="144" spans="1:31" ht="18" customHeight="1">
      <c r="A144" s="65">
        <v>125</v>
      </c>
      <c r="B144" s="43"/>
      <c r="C144" s="47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118" t="str">
        <f t="shared" si="19"/>
        <v/>
      </c>
      <c r="Q144" s="213"/>
      <c r="R144" s="109" t="str">
        <f>IF(A144=B144,Studentwise!AO173,"")</f>
        <v/>
      </c>
      <c r="S144" s="109" t="str">
        <f>IF(A144=B144,Studentwise!AP173,"")</f>
        <v/>
      </c>
      <c r="T144" s="109" t="str">
        <f>IF(A144=B144,Studentwise!AQ173,"")</f>
        <v/>
      </c>
      <c r="U144" s="109" t="str">
        <f>IF(A144=B144,Studentwise!AR173,"")</f>
        <v/>
      </c>
      <c r="V144" s="109" t="str">
        <f>IF(A144=B144,Studentwise!AS173,"")</f>
        <v/>
      </c>
      <c r="W144" s="7"/>
      <c r="X144" s="223"/>
      <c r="Y144" s="8" t="b">
        <f t="shared" si="21"/>
        <v>0</v>
      </c>
      <c r="Z144" s="8" t="b">
        <f t="shared" si="21"/>
        <v>0</v>
      </c>
      <c r="AA144" s="8" t="b">
        <f t="shared" si="21"/>
        <v>0</v>
      </c>
      <c r="AB144" s="8" t="b">
        <f t="shared" si="20"/>
        <v>0</v>
      </c>
      <c r="AC144" s="8" t="b">
        <f t="shared" si="20"/>
        <v>0</v>
      </c>
      <c r="AD144" s="8" t="b">
        <f t="shared" si="20"/>
        <v>0</v>
      </c>
      <c r="AE144" s="8">
        <f t="shared" si="18"/>
        <v>0</v>
      </c>
    </row>
    <row r="145" spans="1:31" ht="18" customHeight="1">
      <c r="A145" s="65">
        <v>126</v>
      </c>
      <c r="B145" s="43"/>
      <c r="C145" s="47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118" t="str">
        <f t="shared" si="19"/>
        <v/>
      </c>
      <c r="Q145" s="213"/>
      <c r="R145" s="109" t="str">
        <f>IF(A145=B145,Studentwise!AO174,"")</f>
        <v/>
      </c>
      <c r="S145" s="109" t="str">
        <f>IF(A145=B145,Studentwise!AP174,"")</f>
        <v/>
      </c>
      <c r="T145" s="109" t="str">
        <f>IF(A145=B145,Studentwise!AQ174,"")</f>
        <v/>
      </c>
      <c r="U145" s="109" t="str">
        <f>IF(A145=B145,Studentwise!AR174,"")</f>
        <v/>
      </c>
      <c r="V145" s="109" t="str">
        <f>IF(A145=B145,Studentwise!AS174,"")</f>
        <v/>
      </c>
      <c r="W145" s="7"/>
      <c r="X145" s="223"/>
      <c r="Y145" s="8" t="b">
        <f t="shared" si="21"/>
        <v>0</v>
      </c>
      <c r="Z145" s="8" t="b">
        <f t="shared" si="21"/>
        <v>0</v>
      </c>
      <c r="AA145" s="8" t="b">
        <f t="shared" si="21"/>
        <v>0</v>
      </c>
      <c r="AB145" s="8" t="b">
        <f t="shared" si="20"/>
        <v>0</v>
      </c>
      <c r="AC145" s="8" t="b">
        <f t="shared" si="20"/>
        <v>0</v>
      </c>
      <c r="AD145" s="8" t="b">
        <f t="shared" si="20"/>
        <v>0</v>
      </c>
      <c r="AE145" s="8">
        <f t="shared" si="18"/>
        <v>0</v>
      </c>
    </row>
    <row r="146" spans="1:31" ht="18" customHeight="1">
      <c r="A146" s="65">
        <v>127</v>
      </c>
      <c r="B146" s="43"/>
      <c r="C146" s="47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118" t="str">
        <f t="shared" si="19"/>
        <v/>
      </c>
      <c r="Q146" s="213"/>
      <c r="R146" s="109" t="str">
        <f>IF(A146=B146,Studentwise!AO146,"")</f>
        <v/>
      </c>
      <c r="S146" s="109" t="str">
        <f>IF(A146=B146,Studentwise!AP146,"")</f>
        <v/>
      </c>
      <c r="T146" s="109" t="str">
        <f>IF(A146=B146,Studentwise!AQ146,"")</f>
        <v/>
      </c>
      <c r="U146" s="109" t="str">
        <f>IF(A146=B146,Studentwise!AR146,"")</f>
        <v/>
      </c>
      <c r="V146" s="109" t="str">
        <f>IF(A146=B146,Studentwise!AS146,"")</f>
        <v/>
      </c>
      <c r="W146" s="7"/>
      <c r="X146" s="223"/>
      <c r="Y146" s="8" t="b">
        <f t="shared" si="21"/>
        <v>0</v>
      </c>
      <c r="Z146" s="8" t="b">
        <f t="shared" si="21"/>
        <v>0</v>
      </c>
      <c r="AA146" s="8" t="b">
        <f t="shared" si="21"/>
        <v>0</v>
      </c>
      <c r="AB146" s="8" t="b">
        <f t="shared" si="20"/>
        <v>0</v>
      </c>
      <c r="AC146" s="8" t="b">
        <f t="shared" si="20"/>
        <v>0</v>
      </c>
      <c r="AD146" s="8" t="b">
        <f t="shared" si="20"/>
        <v>0</v>
      </c>
      <c r="AE146" s="8">
        <f t="shared" si="18"/>
        <v>0</v>
      </c>
    </row>
    <row r="147" spans="1:31" ht="18" customHeight="1">
      <c r="A147" s="65">
        <v>128</v>
      </c>
      <c r="B147" s="43"/>
      <c r="C147" s="47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118" t="str">
        <f t="shared" si="19"/>
        <v/>
      </c>
      <c r="Q147" s="213"/>
      <c r="R147" s="109" t="str">
        <f>IF(A147=B147,Studentwise!AO147,"")</f>
        <v/>
      </c>
      <c r="S147" s="109" t="str">
        <f>IF(A147=B147,Studentwise!AP147,"")</f>
        <v/>
      </c>
      <c r="T147" s="109" t="str">
        <f>IF(A147=B147,Studentwise!AQ147,"")</f>
        <v/>
      </c>
      <c r="U147" s="109" t="str">
        <f>IF(A147=B147,Studentwise!AR147,"")</f>
        <v/>
      </c>
      <c r="V147" s="109" t="str">
        <f>IF(A147=B147,Studentwise!AS147,"")</f>
        <v/>
      </c>
      <c r="W147" s="7"/>
      <c r="X147" s="223"/>
      <c r="Y147" s="8" t="b">
        <f t="shared" si="21"/>
        <v>0</v>
      </c>
      <c r="Z147" s="8" t="b">
        <f t="shared" si="21"/>
        <v>0</v>
      </c>
      <c r="AA147" s="8" t="b">
        <f t="shared" si="21"/>
        <v>0</v>
      </c>
      <c r="AB147" s="8" t="b">
        <f t="shared" si="20"/>
        <v>0</v>
      </c>
      <c r="AC147" s="8" t="b">
        <f t="shared" si="20"/>
        <v>0</v>
      </c>
      <c r="AD147" s="8" t="b">
        <f t="shared" si="20"/>
        <v>0</v>
      </c>
      <c r="AE147" s="8">
        <f t="shared" si="18"/>
        <v>0</v>
      </c>
    </row>
    <row r="148" spans="1:31" ht="18" customHeight="1">
      <c r="A148" s="65">
        <v>129</v>
      </c>
      <c r="B148" s="43"/>
      <c r="C148" s="47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118" t="str">
        <f t="shared" ref="P148:P169" si="22">IF(A148&lt;=$K$198,SUM(D148:O148),"")</f>
        <v/>
      </c>
      <c r="Q148" s="213"/>
      <c r="R148" s="109" t="str">
        <f>IF(A148=B148,Studentwise!AO148,"")</f>
        <v/>
      </c>
      <c r="S148" s="109" t="str">
        <f>IF(A148=B148,Studentwise!AP148,"")</f>
        <v/>
      </c>
      <c r="T148" s="109" t="str">
        <f>IF(A148=B148,Studentwise!AQ148,"")</f>
        <v/>
      </c>
      <c r="U148" s="109" t="str">
        <f>IF(A148=B148,Studentwise!AR148,"")</f>
        <v/>
      </c>
      <c r="V148" s="109" t="str">
        <f>IF(A148=B148,Studentwise!AS148,"")</f>
        <v/>
      </c>
      <c r="W148" s="7"/>
      <c r="X148" s="223"/>
      <c r="Y148" s="8" t="b">
        <f t="shared" si="21"/>
        <v>0</v>
      </c>
      <c r="Z148" s="8" t="b">
        <f t="shared" si="21"/>
        <v>0</v>
      </c>
      <c r="AA148" s="8" t="b">
        <f t="shared" si="21"/>
        <v>0</v>
      </c>
      <c r="AB148" s="8" t="b">
        <f t="shared" si="20"/>
        <v>0</v>
      </c>
      <c r="AC148" s="8" t="b">
        <f t="shared" si="20"/>
        <v>0</v>
      </c>
      <c r="AD148" s="8" t="b">
        <f t="shared" si="20"/>
        <v>0</v>
      </c>
      <c r="AE148" s="8">
        <f t="shared" si="18"/>
        <v>0</v>
      </c>
    </row>
    <row r="149" spans="1:31" ht="18" customHeight="1">
      <c r="A149" s="65">
        <v>130</v>
      </c>
      <c r="B149" s="43"/>
      <c r="C149" s="47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118" t="str">
        <f t="shared" si="22"/>
        <v/>
      </c>
      <c r="Q149" s="213"/>
      <c r="R149" s="109" t="str">
        <f>IF(A149=B149,Studentwise!AO149,"")</f>
        <v/>
      </c>
      <c r="S149" s="109" t="str">
        <f>IF(A149=B149,Studentwise!AP149,"")</f>
        <v/>
      </c>
      <c r="T149" s="109" t="str">
        <f>IF(A149=B149,Studentwise!AQ149,"")</f>
        <v/>
      </c>
      <c r="U149" s="109" t="str">
        <f>IF(A149=B149,Studentwise!AR149,"")</f>
        <v/>
      </c>
      <c r="V149" s="109" t="str">
        <f>IF(A149=B149,Studentwise!AS149,"")</f>
        <v/>
      </c>
      <c r="W149" s="7"/>
      <c r="X149" s="223"/>
      <c r="Y149" s="8" t="b">
        <f t="shared" si="21"/>
        <v>0</v>
      </c>
      <c r="Z149" s="8" t="b">
        <f t="shared" si="21"/>
        <v>0</v>
      </c>
      <c r="AA149" s="8" t="b">
        <f t="shared" si="21"/>
        <v>0</v>
      </c>
      <c r="AB149" s="8" t="b">
        <f t="shared" si="20"/>
        <v>0</v>
      </c>
      <c r="AC149" s="8" t="b">
        <f t="shared" si="20"/>
        <v>0</v>
      </c>
      <c r="AD149" s="8" t="b">
        <f t="shared" si="20"/>
        <v>0</v>
      </c>
      <c r="AE149" s="8">
        <f t="shared" ref="AE149:AE165" si="23">COUNTIF(Y149:AD149,"TRUE")</f>
        <v>0</v>
      </c>
    </row>
    <row r="150" spans="1:31" ht="18" customHeight="1">
      <c r="A150" s="65">
        <v>131</v>
      </c>
      <c r="B150" s="43"/>
      <c r="C150" s="47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118" t="str">
        <f t="shared" si="22"/>
        <v/>
      </c>
      <c r="Q150" s="213"/>
      <c r="R150" s="109" t="str">
        <f>IF(A150=B150,Studentwise!AO150,"")</f>
        <v/>
      </c>
      <c r="S150" s="109" t="str">
        <f>IF(A150=B150,Studentwise!AP150,"")</f>
        <v/>
      </c>
      <c r="T150" s="109" t="str">
        <f>IF(A150=B150,Studentwise!AQ150,"")</f>
        <v/>
      </c>
      <c r="U150" s="109" t="str">
        <f>IF(A150=B150,Studentwise!AR150,"")</f>
        <v/>
      </c>
      <c r="V150" s="109" t="str">
        <f>IF(A150=B150,Studentwise!AS150,"")</f>
        <v/>
      </c>
      <c r="W150" s="7"/>
      <c r="X150" s="223"/>
      <c r="Y150" s="8" t="b">
        <f t="shared" si="21"/>
        <v>0</v>
      </c>
      <c r="Z150" s="8" t="b">
        <f t="shared" si="21"/>
        <v>0</v>
      </c>
      <c r="AA150" s="8" t="b">
        <f t="shared" si="21"/>
        <v>0</v>
      </c>
      <c r="AB150" s="8" t="b">
        <f t="shared" si="20"/>
        <v>0</v>
      </c>
      <c r="AC150" s="8" t="b">
        <f t="shared" si="20"/>
        <v>0</v>
      </c>
      <c r="AD150" s="8" t="b">
        <f t="shared" si="20"/>
        <v>0</v>
      </c>
      <c r="AE150" s="8">
        <f t="shared" si="23"/>
        <v>0</v>
      </c>
    </row>
    <row r="151" spans="1:31" ht="18" customHeight="1">
      <c r="A151" s="65">
        <v>132</v>
      </c>
      <c r="B151" s="43"/>
      <c r="C151" s="47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118" t="str">
        <f t="shared" si="22"/>
        <v/>
      </c>
      <c r="Q151" s="213"/>
      <c r="R151" s="109" t="str">
        <f>IF(A151=B151,Studentwise!AO151,"")</f>
        <v/>
      </c>
      <c r="S151" s="109" t="str">
        <f>IF(A151=B151,Studentwise!AP151,"")</f>
        <v/>
      </c>
      <c r="T151" s="109" t="str">
        <f>IF(A151=B151,Studentwise!AQ151,"")</f>
        <v/>
      </c>
      <c r="U151" s="109" t="str">
        <f>IF(A151=B151,Studentwise!AR151,"")</f>
        <v/>
      </c>
      <c r="V151" s="109" t="str">
        <f>IF(A151=B151,Studentwise!AS151,"")</f>
        <v/>
      </c>
      <c r="W151" s="7"/>
      <c r="X151" s="223"/>
      <c r="Y151" s="8" t="b">
        <f t="shared" si="21"/>
        <v>0</v>
      </c>
      <c r="Z151" s="8" t="b">
        <f t="shared" si="21"/>
        <v>0</v>
      </c>
      <c r="AA151" s="8" t="b">
        <f t="shared" si="21"/>
        <v>0</v>
      </c>
      <c r="AB151" s="8" t="b">
        <f t="shared" si="20"/>
        <v>0</v>
      </c>
      <c r="AC151" s="8" t="b">
        <f t="shared" si="20"/>
        <v>0</v>
      </c>
      <c r="AD151" s="8" t="b">
        <f t="shared" si="20"/>
        <v>0</v>
      </c>
      <c r="AE151" s="8">
        <f t="shared" si="23"/>
        <v>0</v>
      </c>
    </row>
    <row r="152" spans="1:31" ht="18" customHeight="1">
      <c r="A152" s="65">
        <v>133</v>
      </c>
      <c r="B152" s="43"/>
      <c r="C152" s="41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118" t="str">
        <f t="shared" si="22"/>
        <v/>
      </c>
      <c r="Q152" s="213"/>
      <c r="R152" s="109" t="str">
        <f>IF(A152=B152,Studentwise!AO152,"")</f>
        <v/>
      </c>
      <c r="S152" s="109" t="str">
        <f>IF(A152=B152,Studentwise!AP152,"")</f>
        <v/>
      </c>
      <c r="T152" s="109" t="str">
        <f>IF(A152=B152,Studentwise!AQ152,"")</f>
        <v/>
      </c>
      <c r="U152" s="109" t="str">
        <f>IF(A152=B152,Studentwise!AR152,"")</f>
        <v/>
      </c>
      <c r="V152" s="109" t="str">
        <f>IF(A152=B152,Studentwise!AS152,"")</f>
        <v/>
      </c>
      <c r="W152" s="7"/>
      <c r="X152" s="223"/>
      <c r="Y152" s="8" t="b">
        <f t="shared" si="21"/>
        <v>0</v>
      </c>
      <c r="Z152" s="8" t="b">
        <f t="shared" si="21"/>
        <v>0</v>
      </c>
      <c r="AA152" s="8" t="b">
        <f t="shared" si="21"/>
        <v>0</v>
      </c>
      <c r="AB152" s="8" t="b">
        <f t="shared" si="20"/>
        <v>0</v>
      </c>
      <c r="AC152" s="8" t="b">
        <f t="shared" si="20"/>
        <v>0</v>
      </c>
      <c r="AD152" s="8" t="b">
        <f t="shared" si="20"/>
        <v>0</v>
      </c>
      <c r="AE152" s="8">
        <f t="shared" si="23"/>
        <v>0</v>
      </c>
    </row>
    <row r="153" spans="1:31" ht="18" customHeight="1">
      <c r="A153" s="65">
        <v>134</v>
      </c>
      <c r="B153" s="43"/>
      <c r="C153" s="42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118" t="str">
        <f t="shared" si="22"/>
        <v/>
      </c>
      <c r="Q153" s="213"/>
      <c r="R153" s="109" t="str">
        <f>IF(A153=B153,Studentwise!AO153,"")</f>
        <v/>
      </c>
      <c r="S153" s="109" t="str">
        <f>IF(A153=B153,Studentwise!AP153,"")</f>
        <v/>
      </c>
      <c r="T153" s="109" t="str">
        <f>IF(A153=B153,Studentwise!AQ153,"")</f>
        <v/>
      </c>
      <c r="U153" s="109" t="str">
        <f>IF(A153=B153,Studentwise!AR153,"")</f>
        <v/>
      </c>
      <c r="V153" s="109" t="str">
        <f>IF(A153=B153,Studentwise!AS153,"")</f>
        <v/>
      </c>
      <c r="W153" s="7"/>
      <c r="X153" s="223"/>
      <c r="Y153" s="8" t="b">
        <f t="shared" si="21"/>
        <v>0</v>
      </c>
      <c r="Z153" s="8" t="b">
        <f t="shared" si="21"/>
        <v>0</v>
      </c>
      <c r="AA153" s="8" t="b">
        <f t="shared" si="21"/>
        <v>0</v>
      </c>
      <c r="AB153" s="8" t="b">
        <f t="shared" si="20"/>
        <v>0</v>
      </c>
      <c r="AC153" s="8" t="b">
        <f t="shared" si="20"/>
        <v>0</v>
      </c>
      <c r="AD153" s="8" t="b">
        <f t="shared" si="20"/>
        <v>0</v>
      </c>
      <c r="AE153" s="8">
        <f t="shared" si="23"/>
        <v>0</v>
      </c>
    </row>
    <row r="154" spans="1:31">
      <c r="A154" s="65">
        <v>135</v>
      </c>
      <c r="B154" s="43"/>
      <c r="C154" s="41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118" t="str">
        <f t="shared" si="22"/>
        <v/>
      </c>
      <c r="Q154" s="213"/>
      <c r="R154" s="109" t="str">
        <f>IF(A154=B154,Studentwise!AO154,"")</f>
        <v/>
      </c>
      <c r="S154" s="109" t="str">
        <f>IF(A154=B154,Studentwise!AP154,"")</f>
        <v/>
      </c>
      <c r="T154" s="109" t="str">
        <f>IF(A154=B154,Studentwise!AQ154,"")</f>
        <v/>
      </c>
      <c r="U154" s="109" t="str">
        <f>IF(A154=B154,Studentwise!AR154,"")</f>
        <v/>
      </c>
      <c r="V154" s="109" t="str">
        <f>IF(A154=B154,Studentwise!AS154,"")</f>
        <v/>
      </c>
      <c r="W154" s="7"/>
      <c r="X154" s="223"/>
      <c r="Y154" s="8" t="b">
        <f t="shared" si="21"/>
        <v>0</v>
      </c>
      <c r="Z154" s="8" t="b">
        <f t="shared" si="21"/>
        <v>0</v>
      </c>
      <c r="AA154" s="8" t="b">
        <f t="shared" si="21"/>
        <v>0</v>
      </c>
      <c r="AB154" s="8" t="b">
        <f t="shared" si="20"/>
        <v>0</v>
      </c>
      <c r="AC154" s="8" t="b">
        <f t="shared" si="20"/>
        <v>0</v>
      </c>
      <c r="AD154" s="8" t="b">
        <f t="shared" si="20"/>
        <v>0</v>
      </c>
      <c r="AE154" s="8">
        <f t="shared" si="23"/>
        <v>0</v>
      </c>
    </row>
    <row r="155" spans="1:31" ht="18" customHeight="1">
      <c r="A155" s="65">
        <v>136</v>
      </c>
      <c r="B155" s="43"/>
      <c r="C155" s="47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118" t="str">
        <f t="shared" si="22"/>
        <v/>
      </c>
      <c r="Q155" s="213"/>
      <c r="R155" s="109" t="str">
        <f>IF(A155=B155,Studentwise!AO155,"")</f>
        <v/>
      </c>
      <c r="S155" s="109" t="str">
        <f>IF(A155=B155,Studentwise!AP155,"")</f>
        <v/>
      </c>
      <c r="T155" s="109" t="str">
        <f>IF(A155=B155,Studentwise!AQ155,"")</f>
        <v/>
      </c>
      <c r="U155" s="109" t="str">
        <f>IF(A155=B155,Studentwise!AR155,"")</f>
        <v/>
      </c>
      <c r="V155" s="109" t="str">
        <f>IF(A155=B155,Studentwise!AS155,"")</f>
        <v/>
      </c>
      <c r="W155" s="7"/>
      <c r="X155" s="223"/>
      <c r="Y155" s="8" t="b">
        <f t="shared" si="21"/>
        <v>0</v>
      </c>
      <c r="Z155" s="8" t="b">
        <f t="shared" si="21"/>
        <v>0</v>
      </c>
      <c r="AA155" s="8" t="b">
        <f t="shared" si="21"/>
        <v>0</v>
      </c>
      <c r="AB155" s="8" t="b">
        <f t="shared" si="20"/>
        <v>0</v>
      </c>
      <c r="AC155" s="8" t="b">
        <f t="shared" si="20"/>
        <v>0</v>
      </c>
      <c r="AD155" s="8" t="b">
        <f t="shared" si="20"/>
        <v>0</v>
      </c>
      <c r="AE155" s="8">
        <f t="shared" si="23"/>
        <v>0</v>
      </c>
    </row>
    <row r="156" spans="1:31" ht="18" customHeight="1">
      <c r="A156" s="65">
        <v>137</v>
      </c>
      <c r="B156" s="43"/>
      <c r="C156" s="47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118" t="str">
        <f t="shared" si="22"/>
        <v/>
      </c>
      <c r="Q156" s="213"/>
      <c r="R156" s="109" t="str">
        <f>IF(A156=B156,Studentwise!AO156,"")</f>
        <v/>
      </c>
      <c r="S156" s="109" t="str">
        <f>IF(A156=B156,Studentwise!AP156,"")</f>
        <v/>
      </c>
      <c r="T156" s="109" t="str">
        <f>IF(A156=B156,Studentwise!AQ156,"")</f>
        <v/>
      </c>
      <c r="U156" s="109" t="str">
        <f>IF(A156=B156,Studentwise!AR156,"")</f>
        <v/>
      </c>
      <c r="V156" s="109" t="str">
        <f>IF(A156=B156,Studentwise!AS156,"")</f>
        <v/>
      </c>
      <c r="W156" s="7"/>
      <c r="X156" s="223"/>
      <c r="Y156" s="8" t="b">
        <f t="shared" si="21"/>
        <v>0</v>
      </c>
      <c r="Z156" s="8" t="b">
        <f t="shared" si="21"/>
        <v>0</v>
      </c>
      <c r="AA156" s="8" t="b">
        <f t="shared" si="21"/>
        <v>0</v>
      </c>
      <c r="AB156" s="8" t="b">
        <f t="shared" si="20"/>
        <v>0</v>
      </c>
      <c r="AC156" s="8" t="b">
        <f t="shared" si="20"/>
        <v>0</v>
      </c>
      <c r="AD156" s="8" t="b">
        <f t="shared" si="20"/>
        <v>0</v>
      </c>
      <c r="AE156" s="8">
        <f t="shared" si="23"/>
        <v>0</v>
      </c>
    </row>
    <row r="157" spans="1:31" ht="18" customHeight="1">
      <c r="A157" s="65">
        <v>138</v>
      </c>
      <c r="B157" s="43"/>
      <c r="C157" s="47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118" t="str">
        <f t="shared" si="22"/>
        <v/>
      </c>
      <c r="Q157" s="213"/>
      <c r="R157" s="109" t="str">
        <f>IF(A157=B157,Studentwise!AO157,"")</f>
        <v/>
      </c>
      <c r="S157" s="109" t="str">
        <f>IF(A157=B157,Studentwise!AP157,"")</f>
        <v/>
      </c>
      <c r="T157" s="109" t="str">
        <f>IF(A157=B157,Studentwise!AQ157,"")</f>
        <v/>
      </c>
      <c r="U157" s="109" t="str">
        <f>IF(A157=B157,Studentwise!AR157,"")</f>
        <v/>
      </c>
      <c r="V157" s="109" t="str">
        <f>IF(A157=B157,Studentwise!AS157,"")</f>
        <v/>
      </c>
      <c r="W157" s="7"/>
      <c r="X157" s="223"/>
      <c r="Y157" s="8" t="b">
        <f t="shared" si="21"/>
        <v>0</v>
      </c>
      <c r="Z157" s="8" t="b">
        <f t="shared" si="21"/>
        <v>0</v>
      </c>
      <c r="AA157" s="8" t="b">
        <f t="shared" si="21"/>
        <v>0</v>
      </c>
      <c r="AB157" s="8" t="b">
        <f t="shared" si="20"/>
        <v>0</v>
      </c>
      <c r="AC157" s="8" t="b">
        <f t="shared" si="20"/>
        <v>0</v>
      </c>
      <c r="AD157" s="8" t="b">
        <f t="shared" si="20"/>
        <v>0</v>
      </c>
      <c r="AE157" s="8">
        <f t="shared" si="23"/>
        <v>0</v>
      </c>
    </row>
    <row r="158" spans="1:31" ht="18" customHeight="1">
      <c r="A158" s="65">
        <v>139</v>
      </c>
      <c r="B158" s="43"/>
      <c r="C158" s="47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118" t="str">
        <f t="shared" si="22"/>
        <v/>
      </c>
      <c r="Q158" s="213"/>
      <c r="R158" s="109" t="str">
        <f>IF(A158=B158,Studentwise!AO158,"")</f>
        <v/>
      </c>
      <c r="S158" s="109" t="str">
        <f>IF(A158=B158,Studentwise!AP158,"")</f>
        <v/>
      </c>
      <c r="T158" s="109" t="str">
        <f>IF(A158=B158,Studentwise!AQ158,"")</f>
        <v/>
      </c>
      <c r="U158" s="109" t="str">
        <f>IF(A158=B158,Studentwise!AR158,"")</f>
        <v/>
      </c>
      <c r="V158" s="109" t="str">
        <f>IF(A158=B158,Studentwise!AS158,"")</f>
        <v/>
      </c>
      <c r="W158" s="7"/>
      <c r="X158" s="223"/>
      <c r="Y158" s="8" t="b">
        <f t="shared" si="21"/>
        <v>0</v>
      </c>
      <c r="Z158" s="8" t="b">
        <f t="shared" si="21"/>
        <v>0</v>
      </c>
      <c r="AA158" s="8" t="b">
        <f t="shared" si="21"/>
        <v>0</v>
      </c>
      <c r="AB158" s="8" t="b">
        <f t="shared" si="20"/>
        <v>0</v>
      </c>
      <c r="AC158" s="8" t="b">
        <f t="shared" si="20"/>
        <v>0</v>
      </c>
      <c r="AD158" s="8" t="b">
        <f t="shared" si="20"/>
        <v>0</v>
      </c>
      <c r="AE158" s="8">
        <f t="shared" si="23"/>
        <v>0</v>
      </c>
    </row>
    <row r="159" spans="1:31" ht="18" customHeight="1">
      <c r="A159" s="65">
        <v>140</v>
      </c>
      <c r="B159" s="43"/>
      <c r="C159" s="47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118" t="str">
        <f t="shared" si="22"/>
        <v/>
      </c>
      <c r="Q159" s="213"/>
      <c r="R159" s="109" t="str">
        <f>IF(A159=B159,Studentwise!AO159,"")</f>
        <v/>
      </c>
      <c r="S159" s="109" t="str">
        <f>IF(A159=B159,Studentwise!AP159,"")</f>
        <v/>
      </c>
      <c r="T159" s="109" t="str">
        <f>IF(A159=B159,Studentwise!AQ159,"")</f>
        <v/>
      </c>
      <c r="U159" s="109" t="str">
        <f>IF(A159=B159,Studentwise!AR159,"")</f>
        <v/>
      </c>
      <c r="V159" s="109" t="str">
        <f>IF(A159=B159,Studentwise!AS159,"")</f>
        <v/>
      </c>
      <c r="W159" s="7"/>
      <c r="X159" s="223"/>
      <c r="Y159" s="8" t="b">
        <f t="shared" si="21"/>
        <v>0</v>
      </c>
      <c r="Z159" s="8" t="b">
        <f t="shared" si="21"/>
        <v>0</v>
      </c>
      <c r="AA159" s="8" t="b">
        <f t="shared" si="21"/>
        <v>0</v>
      </c>
      <c r="AB159" s="8" t="b">
        <f t="shared" si="20"/>
        <v>0</v>
      </c>
      <c r="AC159" s="8" t="b">
        <f t="shared" si="20"/>
        <v>0</v>
      </c>
      <c r="AD159" s="8" t="b">
        <f t="shared" si="20"/>
        <v>0</v>
      </c>
      <c r="AE159" s="8">
        <f t="shared" si="23"/>
        <v>0</v>
      </c>
    </row>
    <row r="160" spans="1:31" ht="18" customHeight="1">
      <c r="A160" s="65">
        <v>141</v>
      </c>
      <c r="B160" s="43"/>
      <c r="C160" s="47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118" t="str">
        <f t="shared" si="22"/>
        <v/>
      </c>
      <c r="Q160" s="213"/>
      <c r="R160" s="109" t="str">
        <f>IF(A160=B160,Studentwise!AO160,"")</f>
        <v/>
      </c>
      <c r="S160" s="109" t="str">
        <f>IF(A160=B160,Studentwise!AP160,"")</f>
        <v/>
      </c>
      <c r="T160" s="109" t="str">
        <f>IF(A160=B160,Studentwise!AQ160,"")</f>
        <v/>
      </c>
      <c r="U160" s="109" t="str">
        <f>IF(A160=B160,Studentwise!AR160,"")</f>
        <v/>
      </c>
      <c r="V160" s="109" t="str">
        <f>IF(A160=B160,Studentwise!AS160,"")</f>
        <v/>
      </c>
      <c r="W160" s="7"/>
      <c r="X160" s="223"/>
      <c r="Y160" s="8" t="b">
        <f t="shared" si="21"/>
        <v>0</v>
      </c>
      <c r="Z160" s="8" t="b">
        <f t="shared" si="21"/>
        <v>0</v>
      </c>
      <c r="AA160" s="8" t="b">
        <f t="shared" si="21"/>
        <v>0</v>
      </c>
      <c r="AB160" s="8" t="b">
        <f t="shared" si="20"/>
        <v>0</v>
      </c>
      <c r="AC160" s="8" t="b">
        <f t="shared" si="20"/>
        <v>0</v>
      </c>
      <c r="AD160" s="8" t="b">
        <f t="shared" si="20"/>
        <v>0</v>
      </c>
      <c r="AE160" s="8">
        <f t="shared" si="23"/>
        <v>0</v>
      </c>
    </row>
    <row r="161" spans="1:31" ht="18" customHeight="1">
      <c r="A161" s="65">
        <v>142</v>
      </c>
      <c r="B161" s="43"/>
      <c r="C161" s="47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118" t="str">
        <f t="shared" si="22"/>
        <v/>
      </c>
      <c r="Q161" s="213"/>
      <c r="R161" s="109" t="str">
        <f>IF(A161=B161,Studentwise!AO161,"")</f>
        <v/>
      </c>
      <c r="S161" s="109" t="str">
        <f>IF(A161=B161,Studentwise!AP161,"")</f>
        <v/>
      </c>
      <c r="T161" s="109" t="str">
        <f>IF(A161=B161,Studentwise!AQ161,"")</f>
        <v/>
      </c>
      <c r="U161" s="109" t="str">
        <f>IF(A161=B161,Studentwise!AR161,"")</f>
        <v/>
      </c>
      <c r="V161" s="109" t="str">
        <f>IF(A161=B161,Studentwise!AS161,"")</f>
        <v/>
      </c>
      <c r="W161" s="7"/>
      <c r="X161" s="223"/>
      <c r="Y161" s="8" t="b">
        <f t="shared" si="21"/>
        <v>0</v>
      </c>
      <c r="Z161" s="8" t="b">
        <f t="shared" si="21"/>
        <v>0</v>
      </c>
      <c r="AA161" s="8" t="b">
        <f t="shared" si="21"/>
        <v>0</v>
      </c>
      <c r="AB161" s="8" t="b">
        <f t="shared" si="20"/>
        <v>0</v>
      </c>
      <c r="AC161" s="8" t="b">
        <f t="shared" si="20"/>
        <v>0</v>
      </c>
      <c r="AD161" s="8" t="b">
        <f t="shared" si="20"/>
        <v>0</v>
      </c>
      <c r="AE161" s="8">
        <f t="shared" si="23"/>
        <v>0</v>
      </c>
    </row>
    <row r="162" spans="1:31" ht="18" customHeight="1">
      <c r="A162" s="65">
        <v>143</v>
      </c>
      <c r="B162" s="43"/>
      <c r="C162" s="47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118" t="str">
        <f t="shared" si="22"/>
        <v/>
      </c>
      <c r="Q162" s="213"/>
      <c r="R162" s="109" t="str">
        <f>IF(A162=B162,Studentwise!AO162,"")</f>
        <v/>
      </c>
      <c r="S162" s="109" t="str">
        <f>IF(A162=B162,Studentwise!AP162,"")</f>
        <v/>
      </c>
      <c r="T162" s="109" t="str">
        <f>IF(A162=B162,Studentwise!AQ162,"")</f>
        <v/>
      </c>
      <c r="U162" s="109" t="str">
        <f>IF(A162=B162,Studentwise!AR162,"")</f>
        <v/>
      </c>
      <c r="V162" s="109" t="str">
        <f>IF(A162=B162,Studentwise!AS162,"")</f>
        <v/>
      </c>
      <c r="W162" s="7"/>
      <c r="X162" s="223"/>
      <c r="Y162" s="8" t="b">
        <f t="shared" si="21"/>
        <v>0</v>
      </c>
      <c r="Z162" s="8" t="b">
        <f t="shared" si="21"/>
        <v>0</v>
      </c>
      <c r="AA162" s="8" t="b">
        <f t="shared" si="21"/>
        <v>0</v>
      </c>
      <c r="AB162" s="8" t="b">
        <f t="shared" si="20"/>
        <v>0</v>
      </c>
      <c r="AC162" s="8" t="b">
        <f t="shared" si="20"/>
        <v>0</v>
      </c>
      <c r="AD162" s="8" t="b">
        <f t="shared" si="20"/>
        <v>0</v>
      </c>
      <c r="AE162" s="8">
        <f t="shared" si="23"/>
        <v>0</v>
      </c>
    </row>
    <row r="163" spans="1:31" ht="18" customHeight="1">
      <c r="A163" s="65">
        <v>144</v>
      </c>
      <c r="B163" s="43"/>
      <c r="C163" s="41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118" t="str">
        <f t="shared" si="22"/>
        <v/>
      </c>
      <c r="Q163" s="213"/>
      <c r="R163" s="109" t="str">
        <f>IF(A163=B163,Studentwise!AO163,"")</f>
        <v/>
      </c>
      <c r="S163" s="109" t="str">
        <f>IF(A163=B163,Studentwise!AP163,"")</f>
        <v/>
      </c>
      <c r="T163" s="109" t="str">
        <f>IF(A163=B163,Studentwise!AQ163,"")</f>
        <v/>
      </c>
      <c r="U163" s="109" t="str">
        <f>IF(A163=B163,Studentwise!AR163,"")</f>
        <v/>
      </c>
      <c r="V163" s="109" t="str">
        <f>IF(A163=B163,Studentwise!AS163,"")</f>
        <v/>
      </c>
      <c r="W163" s="7"/>
      <c r="X163" s="223"/>
      <c r="Y163" s="8" t="b">
        <f>ISTEXT(J163)</f>
        <v>0</v>
      </c>
      <c r="Z163" s="8" t="b">
        <f t="shared" si="21"/>
        <v>0</v>
      </c>
      <c r="AA163" s="8" t="b">
        <f t="shared" si="21"/>
        <v>0</v>
      </c>
      <c r="AB163" s="8" t="b">
        <f t="shared" si="20"/>
        <v>0</v>
      </c>
      <c r="AC163" s="8" t="b">
        <f t="shared" si="20"/>
        <v>0</v>
      </c>
      <c r="AD163" s="8" t="b">
        <f t="shared" si="20"/>
        <v>0</v>
      </c>
      <c r="AE163" s="8">
        <f t="shared" si="23"/>
        <v>0</v>
      </c>
    </row>
    <row r="164" spans="1:31" ht="18" customHeight="1">
      <c r="A164" s="65">
        <v>145</v>
      </c>
      <c r="B164" s="43"/>
      <c r="C164" s="42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118" t="str">
        <f t="shared" si="22"/>
        <v/>
      </c>
      <c r="Q164" s="213"/>
      <c r="R164" s="109" t="str">
        <f>IF(A164=B164,Studentwise!AO164,"")</f>
        <v/>
      </c>
      <c r="S164" s="109" t="str">
        <f>IF(A164=B164,Studentwise!AP164,"")</f>
        <v/>
      </c>
      <c r="T164" s="109" t="str">
        <f>IF(A164=B164,Studentwise!AQ164,"")</f>
        <v/>
      </c>
      <c r="U164" s="109" t="str">
        <f>IF(A164=B164,Studentwise!AR164,"")</f>
        <v/>
      </c>
      <c r="V164" s="109" t="str">
        <f>IF(A164=B164,Studentwise!AS164,"")</f>
        <v/>
      </c>
      <c r="W164" s="7"/>
      <c r="X164" s="223"/>
      <c r="Y164" s="8" t="b">
        <f t="shared" si="21"/>
        <v>0</v>
      </c>
      <c r="Z164" s="8" t="b">
        <f t="shared" si="21"/>
        <v>0</v>
      </c>
      <c r="AA164" s="8" t="b">
        <f t="shared" si="21"/>
        <v>0</v>
      </c>
      <c r="AB164" s="8" t="b">
        <f t="shared" si="20"/>
        <v>0</v>
      </c>
      <c r="AC164" s="8" t="b">
        <f t="shared" si="20"/>
        <v>0</v>
      </c>
      <c r="AD164" s="8" t="b">
        <f t="shared" si="20"/>
        <v>0</v>
      </c>
      <c r="AE164" s="8">
        <f t="shared" si="23"/>
        <v>0</v>
      </c>
    </row>
    <row r="165" spans="1:31">
      <c r="A165" s="65">
        <v>146</v>
      </c>
      <c r="B165" s="43"/>
      <c r="C165" s="41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118" t="str">
        <f t="shared" si="22"/>
        <v/>
      </c>
      <c r="Q165" s="213"/>
      <c r="R165" s="109" t="str">
        <f>IF(A165=B165,Studentwise!AO165,"")</f>
        <v/>
      </c>
      <c r="S165" s="109" t="str">
        <f>IF(A165=B165,Studentwise!AP165,"")</f>
        <v/>
      </c>
      <c r="T165" s="109" t="str">
        <f>IF(A165=B165,Studentwise!AQ165,"")</f>
        <v/>
      </c>
      <c r="U165" s="109" t="str">
        <f>IF(A165=B165,Studentwise!AR165,"")</f>
        <v/>
      </c>
      <c r="V165" s="109" t="str">
        <f>IF(A165=B165,Studentwise!AS165,"")</f>
        <v/>
      </c>
      <c r="W165" s="7"/>
      <c r="X165" s="223"/>
      <c r="Y165" s="8" t="b">
        <f t="shared" si="21"/>
        <v>0</v>
      </c>
      <c r="Z165" s="8" t="b">
        <f t="shared" si="21"/>
        <v>0</v>
      </c>
      <c r="AA165" s="8" t="b">
        <f t="shared" si="21"/>
        <v>0</v>
      </c>
      <c r="AB165" s="8" t="b">
        <f t="shared" si="20"/>
        <v>0</v>
      </c>
      <c r="AC165" s="8" t="b">
        <f t="shared" si="20"/>
        <v>0</v>
      </c>
      <c r="AD165" s="8" t="b">
        <f t="shared" si="20"/>
        <v>0</v>
      </c>
      <c r="AE165" s="8">
        <f t="shared" si="23"/>
        <v>0</v>
      </c>
    </row>
    <row r="166" spans="1:31" ht="18" customHeight="1">
      <c r="A166" s="65">
        <v>147</v>
      </c>
      <c r="B166" s="43"/>
      <c r="C166" s="47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118" t="str">
        <f t="shared" si="22"/>
        <v/>
      </c>
      <c r="Q166" s="213"/>
      <c r="R166" s="109" t="str">
        <f>IF(A166=B166,Studentwise!AO166,"")</f>
        <v/>
      </c>
      <c r="S166" s="109" t="str">
        <f>IF(A166=B166,Studentwise!AP166,"")</f>
        <v/>
      </c>
      <c r="T166" s="109" t="str">
        <f>IF(A166=B166,Studentwise!AQ166,"")</f>
        <v/>
      </c>
      <c r="U166" s="109" t="str">
        <f>IF(A166=B166,Studentwise!AR166,"")</f>
        <v/>
      </c>
      <c r="V166" s="109" t="str">
        <f>IF(A166=B166,Studentwise!AS166,"")</f>
        <v/>
      </c>
      <c r="W166" s="7"/>
      <c r="X166" s="223"/>
      <c r="Y166" s="8" t="b">
        <f t="shared" ref="Y166" si="24">ISTEXT(J166)</f>
        <v>0</v>
      </c>
      <c r="Z166" s="8" t="b">
        <f t="shared" ref="Z166:Z169" si="25">ISTEXT(K166)</f>
        <v>0</v>
      </c>
      <c r="AA166" s="8" t="b">
        <f t="shared" ref="AA166:AA169" si="26">ISTEXT(L166)</f>
        <v>0</v>
      </c>
      <c r="AB166" s="8" t="b">
        <f t="shared" ref="AB166:AB169" si="27">ISTEXT(M166)</f>
        <v>0</v>
      </c>
      <c r="AC166" s="8" t="b">
        <f t="shared" ref="AC166:AC169" si="28">ISTEXT(N166)</f>
        <v>0</v>
      </c>
      <c r="AD166" s="8" t="b">
        <f t="shared" ref="AD166:AD169" si="29">ISTEXT(O166)</f>
        <v>0</v>
      </c>
      <c r="AE166" s="8">
        <f t="shared" ref="AE166:AE169" si="30">COUNTIF(Y166:AD166,"TRUE")</f>
        <v>0</v>
      </c>
    </row>
    <row r="167" spans="1:31" ht="18" customHeight="1">
      <c r="A167" s="65">
        <v>148</v>
      </c>
      <c r="B167" s="43"/>
      <c r="C167" s="41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118" t="str">
        <f t="shared" si="22"/>
        <v/>
      </c>
      <c r="Q167" s="213"/>
      <c r="R167" s="109" t="str">
        <f>IF(A167=B167,Studentwise!AO167,"")</f>
        <v/>
      </c>
      <c r="S167" s="109" t="str">
        <f>IF(A167=B167,Studentwise!AP167,"")</f>
        <v/>
      </c>
      <c r="T167" s="109" t="str">
        <f>IF(A167=B167,Studentwise!AQ167,"")</f>
        <v/>
      </c>
      <c r="U167" s="109" t="str">
        <f>IF(A167=B167,Studentwise!AR167,"")</f>
        <v/>
      </c>
      <c r="V167" s="109" t="str">
        <f>IF(A167=B167,Studentwise!AS167,"")</f>
        <v/>
      </c>
      <c r="W167" s="7"/>
      <c r="X167" s="223"/>
      <c r="Y167" s="8" t="b">
        <f>ISTEXT(J167)</f>
        <v>0</v>
      </c>
      <c r="Z167" s="8" t="b">
        <f t="shared" si="25"/>
        <v>0</v>
      </c>
      <c r="AA167" s="8" t="b">
        <f t="shared" si="26"/>
        <v>0</v>
      </c>
      <c r="AB167" s="8" t="b">
        <f t="shared" si="27"/>
        <v>0</v>
      </c>
      <c r="AC167" s="8" t="b">
        <f t="shared" si="28"/>
        <v>0</v>
      </c>
      <c r="AD167" s="8" t="b">
        <f t="shared" si="29"/>
        <v>0</v>
      </c>
      <c r="AE167" s="8">
        <f t="shared" si="30"/>
        <v>0</v>
      </c>
    </row>
    <row r="168" spans="1:31" ht="18" customHeight="1">
      <c r="A168" s="65">
        <v>149</v>
      </c>
      <c r="B168" s="43"/>
      <c r="C168" s="42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118" t="str">
        <f t="shared" si="22"/>
        <v/>
      </c>
      <c r="Q168" s="213"/>
      <c r="R168" s="109" t="str">
        <f>IF(A168=B168,Studentwise!AO168,"")</f>
        <v/>
      </c>
      <c r="S168" s="109" t="str">
        <f>IF(A168=B168,Studentwise!AP168,"")</f>
        <v/>
      </c>
      <c r="T168" s="109" t="str">
        <f>IF(A168=B168,Studentwise!AQ168,"")</f>
        <v/>
      </c>
      <c r="U168" s="109" t="str">
        <f>IF(A168=B168,Studentwise!AR168,"")</f>
        <v/>
      </c>
      <c r="V168" s="109" t="str">
        <f>IF(A168=B168,Studentwise!AS168,"")</f>
        <v/>
      </c>
      <c r="W168" s="7"/>
      <c r="X168" s="223"/>
      <c r="Y168" s="8" t="b">
        <f t="shared" ref="Y168:Y169" si="31">ISTEXT(J168)</f>
        <v>0</v>
      </c>
      <c r="Z168" s="8" t="b">
        <f t="shared" si="25"/>
        <v>0</v>
      </c>
      <c r="AA168" s="8" t="b">
        <f t="shared" si="26"/>
        <v>0</v>
      </c>
      <c r="AB168" s="8" t="b">
        <f t="shared" si="27"/>
        <v>0</v>
      </c>
      <c r="AC168" s="8" t="b">
        <f t="shared" si="28"/>
        <v>0</v>
      </c>
      <c r="AD168" s="8" t="b">
        <f t="shared" si="29"/>
        <v>0</v>
      </c>
      <c r="AE168" s="8">
        <f t="shared" si="30"/>
        <v>0</v>
      </c>
    </row>
    <row r="169" spans="1:31">
      <c r="A169" s="65">
        <v>150</v>
      </c>
      <c r="B169" s="43"/>
      <c r="C169" s="41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118" t="str">
        <f t="shared" si="22"/>
        <v/>
      </c>
      <c r="Q169" s="213"/>
      <c r="R169" s="7"/>
      <c r="S169" s="7"/>
      <c r="T169" s="7"/>
      <c r="U169" s="7"/>
      <c r="V169" s="7"/>
      <c r="W169" s="7"/>
      <c r="X169" s="223"/>
      <c r="Y169" s="8" t="b">
        <f t="shared" si="31"/>
        <v>0</v>
      </c>
      <c r="Z169" s="8" t="b">
        <f t="shared" si="25"/>
        <v>0</v>
      </c>
      <c r="AA169" s="8" t="b">
        <f t="shared" si="26"/>
        <v>0</v>
      </c>
      <c r="AB169" s="8" t="b">
        <f t="shared" si="27"/>
        <v>0</v>
      </c>
      <c r="AC169" s="8" t="b">
        <f t="shared" si="28"/>
        <v>0</v>
      </c>
      <c r="AD169" s="8" t="b">
        <f t="shared" si="29"/>
        <v>0</v>
      </c>
      <c r="AE169" s="8">
        <f t="shared" si="30"/>
        <v>0</v>
      </c>
    </row>
    <row r="170" spans="1:31">
      <c r="B170" s="11"/>
      <c r="C170" s="12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4"/>
      <c r="Q170" s="14"/>
      <c r="R170" s="7"/>
      <c r="S170" s="7"/>
      <c r="T170" s="7"/>
      <c r="U170" s="7"/>
      <c r="V170" s="7"/>
      <c r="W170" s="7"/>
      <c r="X170" s="223"/>
    </row>
    <row r="171" spans="1:31">
      <c r="B171" s="11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4"/>
      <c r="Q171" s="14"/>
      <c r="R171" s="5"/>
      <c r="S171" s="5"/>
      <c r="T171" s="5"/>
      <c r="U171" s="5"/>
      <c r="V171" s="5"/>
      <c r="W171" s="5"/>
      <c r="X171" s="5"/>
    </row>
    <row r="172" spans="1:31" ht="15" customHeight="1">
      <c r="B172" s="283" t="str">
        <f>"No of Students &gt;= " &amp;E6 &amp;"% marks"</f>
        <v>No of Students &gt;= 60% marks</v>
      </c>
      <c r="C172" s="284"/>
      <c r="D172" s="16">
        <f>IF(D19&gt;0, COUNTIF(D20:D171,"&gt;="&amp;D19), 0)</f>
        <v>41</v>
      </c>
      <c r="E172" s="16">
        <f t="shared" ref="E172:O172" si="32">IF(E19&gt;0, COUNTIF(E20:E171,"&gt;="&amp;E19), 0)</f>
        <v>61</v>
      </c>
      <c r="F172" s="16">
        <f t="shared" si="32"/>
        <v>56</v>
      </c>
      <c r="G172" s="16">
        <f t="shared" si="32"/>
        <v>36</v>
      </c>
      <c r="H172" s="16">
        <f t="shared" si="32"/>
        <v>46</v>
      </c>
      <c r="I172" s="16">
        <f t="shared" si="32"/>
        <v>60</v>
      </c>
      <c r="J172" s="58">
        <f t="shared" si="32"/>
        <v>64</v>
      </c>
      <c r="K172" s="16">
        <f t="shared" si="32"/>
        <v>51</v>
      </c>
      <c r="L172" s="16">
        <f t="shared" si="32"/>
        <v>22</v>
      </c>
      <c r="M172" s="16">
        <f t="shared" si="32"/>
        <v>30</v>
      </c>
      <c r="N172" s="16">
        <f t="shared" si="32"/>
        <v>42</v>
      </c>
      <c r="O172" s="16">
        <f t="shared" si="32"/>
        <v>21</v>
      </c>
      <c r="P172" s="223"/>
      <c r="Q172" s="223"/>
      <c r="R172" s="16">
        <f>COUNTIF(R22:R171,"&gt;=60")</f>
        <v>46</v>
      </c>
      <c r="S172" s="16">
        <f t="shared" ref="S172:U172" si="33">COUNTIF(S22:S171,"&gt;=60")</f>
        <v>15</v>
      </c>
      <c r="T172" s="16">
        <f t="shared" si="33"/>
        <v>33</v>
      </c>
      <c r="U172" s="16">
        <f t="shared" si="33"/>
        <v>60</v>
      </c>
      <c r="V172" s="16">
        <f>COUNTIF(V22:V171,"&gt;=60")</f>
        <v>38</v>
      </c>
      <c r="W172" s="7"/>
      <c r="X172" s="223"/>
    </row>
    <row r="173" spans="1:31" ht="15" customHeight="1">
      <c r="B173" s="283" t="str">
        <f>"% of students &gt;= "&amp;E6 &amp;"%"</f>
        <v>% of students &gt;= 60%</v>
      </c>
      <c r="C173" s="284"/>
      <c r="D173" s="60">
        <f>D172/K198*100</f>
        <v>56.164383561643838</v>
      </c>
      <c r="E173" s="60">
        <f>E172/K198*100</f>
        <v>83.561643835616437</v>
      </c>
      <c r="F173" s="60">
        <f>F172/K198*100</f>
        <v>76.712328767123282</v>
      </c>
      <c r="G173" s="60">
        <f>G172/K198*100</f>
        <v>49.315068493150683</v>
      </c>
      <c r="H173" s="60">
        <f>H172/K198*100</f>
        <v>63.013698630136986</v>
      </c>
      <c r="I173" s="61">
        <f>I172/K198*100</f>
        <v>82.191780821917803</v>
      </c>
      <c r="J173" s="59">
        <f t="shared" ref="J173:O173" si="34">IFERROR(J172/COUNT(J20:J171)*100,0)</f>
        <v>94.117647058823522</v>
      </c>
      <c r="K173" s="53">
        <f t="shared" si="34"/>
        <v>75</v>
      </c>
      <c r="L173" s="54">
        <f t="shared" si="34"/>
        <v>66.666666666666657</v>
      </c>
      <c r="M173" s="54">
        <f t="shared" si="34"/>
        <v>90.909090909090907</v>
      </c>
      <c r="N173" s="54">
        <f t="shared" si="34"/>
        <v>93.333333333333329</v>
      </c>
      <c r="O173" s="54">
        <f t="shared" si="34"/>
        <v>46.666666666666664</v>
      </c>
      <c r="P173" s="223"/>
      <c r="Q173" s="223"/>
      <c r="R173" s="60">
        <f>R172/SUM($E$4:$E$5)*100</f>
        <v>63.013698630136986</v>
      </c>
      <c r="S173" s="60">
        <f t="shared" ref="S173:V173" si="35">S172/SUM($E$4:$E$5)*100</f>
        <v>20.547945205479451</v>
      </c>
      <c r="T173" s="60">
        <f t="shared" si="35"/>
        <v>45.205479452054789</v>
      </c>
      <c r="U173" s="60">
        <f t="shared" si="35"/>
        <v>82.191780821917803</v>
      </c>
      <c r="V173" s="60">
        <f t="shared" si="35"/>
        <v>52.054794520547944</v>
      </c>
      <c r="W173" s="7"/>
      <c r="X173" s="223"/>
    </row>
    <row r="174" spans="1:31">
      <c r="B174" s="7"/>
      <c r="C174" s="5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23">
        <f>IF(R173&gt;=$E$9,$D$9,IF(AND(R173&gt;=$E$10,R173&lt;$E$9),$D$10,IF(AND(R173&gt;=$E$11,R173&lt;$E$10),$D$11,IF(AND(R173&gt;=$E$12,R173&lt;$E$11),$D$12,IF(AND(R173&gt;=$E$13,R173&lt;$E$12),$D$13,0)))))</f>
        <v>3</v>
      </c>
      <c r="S174" s="223">
        <f t="shared" ref="S174:U174" si="36">IF(S173&gt;=$E$9,$D$9,IF(AND(S173&gt;=$E$10,S173&lt;$E$9),$D$10,IF(AND(S173&gt;=$E$11,S173&lt;$E$10),$D$11,IF(AND(S173&gt;=$E$12,S173&lt;$E$11),$D$12,IF(AND(S173&gt;=$E$13,S173&lt;$E$12),$D$13,0)))))</f>
        <v>1</v>
      </c>
      <c r="T174" s="223">
        <f t="shared" si="36"/>
        <v>1</v>
      </c>
      <c r="U174" s="223">
        <f t="shared" si="36"/>
        <v>3</v>
      </c>
      <c r="V174" s="223">
        <f>IF(V173&gt;=$E$9,$D$9,IF(AND(V173&gt;=$E$10,V173&lt;$E$9),$D$10,IF(AND(V173&gt;=$E$11,V173&lt;$E$10),$D$11,IF(AND(V173&gt;=$E$12,V173&lt;$E$11),$D$12,IF(AND(V173&gt;=$E$13,V173&lt;$E$12),$D$13,0)))))</f>
        <v>2</v>
      </c>
      <c r="W174" s="7"/>
      <c r="X174" s="223"/>
    </row>
    <row r="175" spans="1:31" hidden="1">
      <c r="B175" s="7"/>
      <c r="C175" s="6" t="s">
        <v>20</v>
      </c>
      <c r="D175" s="62">
        <f>IF(D16=C175,D173,"")</f>
        <v>56.164383561643838</v>
      </c>
      <c r="E175" s="62">
        <f>IF(E16=C175,E173,"")</f>
        <v>83.561643835616437</v>
      </c>
      <c r="F175" s="62">
        <f>IF(F16=C175,F173,"")</f>
        <v>76.712328767123282</v>
      </c>
      <c r="G175" s="62" t="str">
        <f>IF(G16=C175,G173,"")</f>
        <v/>
      </c>
      <c r="H175" s="62" t="str">
        <f>IF(H16=C175,H173,"")</f>
        <v/>
      </c>
      <c r="I175" s="62" t="str">
        <f>IF(I16=C175,I173,"")</f>
        <v/>
      </c>
      <c r="J175" s="62">
        <f>IF(J16=C175,J173,"")</f>
        <v>94.117647058823522</v>
      </c>
      <c r="K175" s="62">
        <f>IF(K16=C175,K173,"")</f>
        <v>75</v>
      </c>
      <c r="L175" s="62" t="str">
        <f>IF(L16=C175,L173,"")</f>
        <v/>
      </c>
      <c r="M175" s="62" t="str">
        <f>IF(M16=C175,M173,"")</f>
        <v/>
      </c>
      <c r="N175" s="62">
        <f>IF(N16=C175,N173,"")</f>
        <v>93.333333333333329</v>
      </c>
      <c r="O175" s="62" t="str">
        <f>IF(O16=C175,O173,"")</f>
        <v/>
      </c>
      <c r="P175" s="223"/>
      <c r="Q175" s="223"/>
      <c r="R175" s="7"/>
      <c r="S175" s="7"/>
      <c r="T175" s="7"/>
      <c r="U175" s="7"/>
      <c r="V175" s="7"/>
      <c r="W175" s="7"/>
      <c r="X175" s="223"/>
    </row>
    <row r="176" spans="1:31" hidden="1">
      <c r="B176" s="7"/>
      <c r="C176" s="66" t="s">
        <v>28</v>
      </c>
      <c r="D176" s="67" t="str">
        <f>IF(D16=C176,D173,"")</f>
        <v/>
      </c>
      <c r="E176" s="67" t="str">
        <f>IF(E16=C176,E173,"")</f>
        <v/>
      </c>
      <c r="F176" s="67" t="str">
        <f>IF(F16=C176,F173,"")</f>
        <v/>
      </c>
      <c r="G176" s="67">
        <f>IF(G16=C176,G173,"")</f>
        <v>49.315068493150683</v>
      </c>
      <c r="H176" s="67">
        <f>IF(H16=C176,H173,"")</f>
        <v>63.013698630136986</v>
      </c>
      <c r="I176" s="67">
        <f>IF(I16=C176,I173,"")</f>
        <v>82.191780821917803</v>
      </c>
      <c r="J176" s="67" t="str">
        <f>IF(J16=C176,J173,"")</f>
        <v/>
      </c>
      <c r="K176" s="67" t="str">
        <f>IF(K16=C176,K173,"")</f>
        <v/>
      </c>
      <c r="L176" s="67">
        <f>IF(L16=C176,L173,"")</f>
        <v>66.666666666666657</v>
      </c>
      <c r="M176" s="67">
        <f>IF(M16=C176,M173,"")</f>
        <v>90.909090909090907</v>
      </c>
      <c r="N176" s="67" t="str">
        <f>IF(N16=C176,N173,"")</f>
        <v/>
      </c>
      <c r="O176" s="67">
        <f>IF(O16=C176,O173,"")</f>
        <v>46.666666666666664</v>
      </c>
      <c r="P176" s="223"/>
      <c r="Q176" s="223"/>
      <c r="R176" s="7"/>
      <c r="S176" s="7"/>
      <c r="T176" s="7"/>
      <c r="U176" s="7"/>
      <c r="V176" s="7"/>
      <c r="W176" s="7"/>
      <c r="X176" s="223"/>
    </row>
    <row r="177" spans="2:24" hidden="1">
      <c r="B177" s="7"/>
      <c r="C177" s="17" t="s">
        <v>34</v>
      </c>
      <c r="D177" s="54" t="str">
        <f>IF(D16=C177,D173,"")</f>
        <v/>
      </c>
      <c r="E177" s="54" t="str">
        <f>IF(E16=C177,E173,"")</f>
        <v/>
      </c>
      <c r="F177" s="54" t="str">
        <f>IF(F16=C177,F173,"")</f>
        <v/>
      </c>
      <c r="G177" s="54" t="str">
        <f>IF(G16=C177,G173,"")</f>
        <v/>
      </c>
      <c r="H177" s="54" t="str">
        <f>IF(H16=C177,H173,"")</f>
        <v/>
      </c>
      <c r="I177" s="54" t="str">
        <f>IF(I16=C177,I173,"")</f>
        <v/>
      </c>
      <c r="J177" s="54" t="str">
        <f>IF(J16=C177,J173,"")</f>
        <v/>
      </c>
      <c r="K177" s="54" t="str">
        <f>IF(K16=C177,K173,"")</f>
        <v/>
      </c>
      <c r="L177" s="54" t="str">
        <f>IF(L16=C177,L173,"")</f>
        <v/>
      </c>
      <c r="M177" s="54" t="str">
        <f>IF(M16=C177,M173,"")</f>
        <v/>
      </c>
      <c r="N177" s="54" t="str">
        <f>IF(N16=C177,N173,"")</f>
        <v/>
      </c>
      <c r="O177" s="54" t="str">
        <f>IF(O16=C177,O173,"")</f>
        <v/>
      </c>
      <c r="P177" s="223"/>
      <c r="Q177" s="223"/>
      <c r="R177" s="7"/>
      <c r="S177" s="7"/>
      <c r="T177" s="7"/>
      <c r="U177" s="7"/>
      <c r="V177" s="7"/>
      <c r="W177" s="7"/>
      <c r="X177" s="223"/>
    </row>
    <row r="178" spans="2:24" hidden="1">
      <c r="B178" s="7"/>
      <c r="C178" s="17" t="s">
        <v>41</v>
      </c>
      <c r="D178" s="54" t="str">
        <f>IF(D16=C178,D173,"")</f>
        <v/>
      </c>
      <c r="E178" s="54" t="str">
        <f>IF(E16=C178,E173,"")</f>
        <v/>
      </c>
      <c r="F178" s="54" t="str">
        <f>IF(F16=C178,F173,"")</f>
        <v/>
      </c>
      <c r="G178" s="54" t="str">
        <f>IF(G16=C178,G173,"")</f>
        <v/>
      </c>
      <c r="H178" s="54" t="str">
        <f>IF(H16=C178,H173,"")</f>
        <v/>
      </c>
      <c r="I178" s="54" t="str">
        <f>IF(I16=C1716,I173,"")</f>
        <v/>
      </c>
      <c r="J178" s="54" t="str">
        <f>IF(J16=C178,J173,"")</f>
        <v/>
      </c>
      <c r="K178" s="54" t="str">
        <f>IF(K16=C178,K173,"")</f>
        <v/>
      </c>
      <c r="L178" s="54" t="str">
        <f>IF(L16=C178,L173,"")</f>
        <v/>
      </c>
      <c r="M178" s="54" t="str">
        <f>IF(M16=C178,M173,"")</f>
        <v/>
      </c>
      <c r="N178" s="54" t="str">
        <f>IF(N16=C178,N173,"")</f>
        <v/>
      </c>
      <c r="O178" s="54" t="str">
        <f>IF(O16=C178,O173,"")</f>
        <v/>
      </c>
      <c r="P178" s="223"/>
      <c r="Q178" s="223"/>
      <c r="R178" s="7"/>
      <c r="S178" s="7"/>
      <c r="T178" s="7"/>
      <c r="U178" s="7"/>
      <c r="V178" s="7"/>
      <c r="W178" s="7"/>
      <c r="X178" s="223"/>
    </row>
    <row r="179" spans="2:24" hidden="1">
      <c r="B179" s="7"/>
      <c r="C179" s="17" t="s">
        <v>50</v>
      </c>
      <c r="D179" s="54" t="str">
        <f>IF(D16=C179,D173,"")</f>
        <v/>
      </c>
      <c r="E179" s="54" t="str">
        <f>IF(E16=C179,E173,"")</f>
        <v/>
      </c>
      <c r="F179" s="54" t="str">
        <f>IF(F16=C179,F173,"")</f>
        <v/>
      </c>
      <c r="G179" s="54" t="str">
        <f>IF(G16=C179,G173,"")</f>
        <v/>
      </c>
      <c r="H179" s="54" t="str">
        <f>IF(H16=C179,H173,"")</f>
        <v/>
      </c>
      <c r="I179" s="54" t="str">
        <f>IF(I16=C179,I173,"")</f>
        <v/>
      </c>
      <c r="J179" s="54" t="str">
        <f>IF(J16=C179,J173,"")</f>
        <v/>
      </c>
      <c r="K179" s="54" t="str">
        <f>IF(K16=C179,K173,"")</f>
        <v/>
      </c>
      <c r="L179" s="54" t="str">
        <f>IF(L16=C179,L173,"")</f>
        <v/>
      </c>
      <c r="M179" s="54" t="str">
        <f>IF(M16=C179,M173,"")</f>
        <v/>
      </c>
      <c r="N179" s="54" t="str">
        <f>IF(N16=C179,N173,"")</f>
        <v/>
      </c>
      <c r="O179" s="54" t="str">
        <f>IF(O16=C179,O173,"")</f>
        <v/>
      </c>
      <c r="P179" s="223"/>
      <c r="Q179" s="223"/>
      <c r="R179" s="7"/>
      <c r="S179" s="7"/>
      <c r="T179" s="7"/>
      <c r="U179" s="7"/>
      <c r="V179" s="7"/>
      <c r="W179" s="7"/>
      <c r="X179" s="223"/>
    </row>
    <row r="180" spans="2:24" s="121" customFormat="1" hidden="1">
      <c r="B180" s="122"/>
      <c r="C180" s="17" t="s">
        <v>57</v>
      </c>
      <c r="D180" s="54" t="str">
        <f>IF(D16=C180,D173,"")</f>
        <v/>
      </c>
      <c r="E180" s="54" t="str">
        <f>IF(E16=C180,E173,"")</f>
        <v/>
      </c>
      <c r="F180" s="54" t="str">
        <f>IF(F16=C180,F173,"")</f>
        <v/>
      </c>
      <c r="G180" s="54" t="str">
        <f>IF(G16=C180,G173,"")</f>
        <v/>
      </c>
      <c r="H180" s="54" t="str">
        <f>IF(H16=C180,H173,"")</f>
        <v/>
      </c>
      <c r="I180" s="54" t="str">
        <f>IF(I16=C180,I173,"")</f>
        <v/>
      </c>
      <c r="J180" s="54" t="str">
        <f>IF(J16=C180,J173,"")</f>
        <v/>
      </c>
      <c r="K180" s="54" t="str">
        <f>IF(K16=C180,K173,"")</f>
        <v/>
      </c>
      <c r="L180" s="54" t="str">
        <f>IF(L16=C180,L173,"")</f>
        <v/>
      </c>
      <c r="M180" s="54" t="str">
        <f>IF(M16=C180,M173,"")</f>
        <v/>
      </c>
      <c r="N180" s="54" t="str">
        <f>IF(N16=C180,N173,"")</f>
        <v/>
      </c>
      <c r="O180" s="54" t="str">
        <f>IF(O16=C180,O173,"")</f>
        <v/>
      </c>
      <c r="P180" s="123"/>
      <c r="Q180" s="123"/>
      <c r="R180" s="122"/>
      <c r="S180" s="122"/>
      <c r="T180" s="122"/>
      <c r="U180" s="122"/>
      <c r="V180" s="122"/>
      <c r="W180" s="122"/>
      <c r="X180" s="123"/>
    </row>
    <row r="181" spans="2:24"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</row>
    <row r="182" spans="2:24" ht="15" customHeight="1">
      <c r="B182" s="285" t="s">
        <v>253</v>
      </c>
      <c r="C182" s="286"/>
      <c r="D182" s="274" t="str">
        <f>E9 &amp; "% of students scoring &gt;= "&amp;E6&amp; "% marks"</f>
        <v>60% of students scoring &gt;= 60% marks</v>
      </c>
      <c r="E182" s="275"/>
      <c r="F182" s="275"/>
      <c r="G182" s="275"/>
      <c r="H182" s="275"/>
      <c r="I182" s="276"/>
      <c r="J182" s="223"/>
      <c r="K182" s="289" t="s">
        <v>246</v>
      </c>
      <c r="L182" s="290"/>
      <c r="M182" s="289" t="str">
        <f>"% of Students scoring &gt;= " &amp;E6 &amp;"% marks"</f>
        <v>% of Students scoring &gt;= 60% marks</v>
      </c>
      <c r="N182" s="290"/>
      <c r="O182" s="288" t="s">
        <v>254</v>
      </c>
      <c r="P182" s="288"/>
      <c r="Q182" s="84"/>
      <c r="R182" s="7"/>
      <c r="S182" s="7"/>
      <c r="T182" s="7"/>
      <c r="U182" s="7"/>
      <c r="V182" s="7"/>
      <c r="W182" s="7"/>
      <c r="X182" s="223"/>
    </row>
    <row r="183" spans="2:24" ht="15" customHeight="1">
      <c r="B183" s="285" t="s">
        <v>255</v>
      </c>
      <c r="C183" s="286"/>
      <c r="D183" s="274" t="str">
        <f>E10 &amp; "% of students scoring &gt;= "&amp;E6&amp; "% marks"</f>
        <v>59.9% of students scoring &gt;= 60% marks</v>
      </c>
      <c r="E183" s="275"/>
      <c r="F183" s="275"/>
      <c r="G183" s="275"/>
      <c r="H183" s="275"/>
      <c r="I183" s="276"/>
      <c r="J183" s="223"/>
      <c r="K183" s="291"/>
      <c r="L183" s="292"/>
      <c r="M183" s="291"/>
      <c r="N183" s="292"/>
      <c r="O183" s="288"/>
      <c r="P183" s="288"/>
      <c r="Q183" s="84"/>
      <c r="R183" s="7"/>
      <c r="S183" s="7"/>
      <c r="T183" s="7"/>
      <c r="U183" s="7"/>
      <c r="V183" s="7"/>
      <c r="W183" s="7"/>
      <c r="X183" s="223"/>
    </row>
    <row r="184" spans="2:24" ht="15" customHeight="1">
      <c r="B184" s="285" t="s">
        <v>256</v>
      </c>
      <c r="C184" s="286"/>
      <c r="D184" s="274" t="str">
        <f>E11 &amp; "% of students scoring &gt;= "&amp;E6&amp; "% marks"</f>
        <v>50% of students scoring &gt;= 60% marks</v>
      </c>
      <c r="E184" s="275"/>
      <c r="F184" s="275"/>
      <c r="G184" s="275"/>
      <c r="H184" s="275"/>
      <c r="I184" s="276"/>
      <c r="J184" s="223"/>
      <c r="K184" s="277" t="str">
        <f>C175</f>
        <v>CO 1</v>
      </c>
      <c r="L184" s="278"/>
      <c r="M184" s="279">
        <f>IFERROR((SUM(D175:O175)+SUM('2'!D175:O175))/(COUNTIF(D175:O175,"&gt;=0")+COUNTIF('2'!D175:O175,"&gt;=0")),0)</f>
        <v>79.814889426090062</v>
      </c>
      <c r="N184" s="280"/>
      <c r="O184" s="281">
        <f>IF(M184&gt;=E9,D9,IF(AND(M184&gt;=E10,M184&lt;E9),D10,IF(AND(M184&gt;=E11,M184&lt;E10),D11,IF(AND(M184&gt;=E12,M184&lt;E11),D12,IF(AND(M184&gt;=E13,M184&lt;E12),D13,0)))))</f>
        <v>3</v>
      </c>
      <c r="P184" s="281"/>
      <c r="Q184" s="85"/>
      <c r="R184" s="7"/>
      <c r="S184" s="7"/>
      <c r="T184" s="7"/>
      <c r="U184" s="7"/>
      <c r="V184" s="114">
        <f>M184</f>
        <v>79.814889426090062</v>
      </c>
      <c r="W184" s="7"/>
      <c r="X184" s="223"/>
    </row>
    <row r="185" spans="2:24" ht="15" customHeight="1">
      <c r="B185" s="285" t="s">
        <v>257</v>
      </c>
      <c r="C185" s="286"/>
      <c r="D185" s="274" t="str">
        <f>E12 &amp; "% of students scoring &gt;= "&amp;E6&amp; "% marks"</f>
        <v>49.9% of students scoring &gt;= 60% marks</v>
      </c>
      <c r="E185" s="275"/>
      <c r="F185" s="275"/>
      <c r="G185" s="275"/>
      <c r="H185" s="275"/>
      <c r="I185" s="276"/>
      <c r="J185" s="223"/>
      <c r="K185" s="277" t="str">
        <f>C176</f>
        <v>CO 2</v>
      </c>
      <c r="L185" s="278"/>
      <c r="M185" s="279">
        <f>IFERROR((SUM(D176:O176)+SUM('2'!D176:O176))/(COUNTIF(D176:O176,"&gt;=0")+COUNTIF('2'!D176:O176,"&gt;=0")),0)</f>
        <v>66.460495364604952</v>
      </c>
      <c r="N185" s="280"/>
      <c r="O185" s="281">
        <f>IF(M185&gt;=E9,D9,IF(AND(M185&gt;=E10,M185&lt;E9),D10,IF(AND(M185&gt;=E11,M185&lt;E10),D11,IF(AND(M185&gt;=E12,M185&lt;E11),D12,IF(AND(M185&gt;=E13,M185&lt;E12),D13,0)))))</f>
        <v>3</v>
      </c>
      <c r="P185" s="281"/>
      <c r="Q185" s="85"/>
      <c r="R185" s="7"/>
      <c r="S185" s="7"/>
      <c r="T185" s="7"/>
      <c r="U185" s="7"/>
      <c r="V185" s="114">
        <f t="shared" ref="V185:V188" si="37">M185</f>
        <v>66.460495364604952</v>
      </c>
      <c r="W185" s="7"/>
      <c r="X185" s="223"/>
    </row>
    <row r="186" spans="2:24" ht="15" customHeight="1">
      <c r="B186" s="285" t="s">
        <v>258</v>
      </c>
      <c r="C186" s="286"/>
      <c r="D186" s="274" t="str">
        <f>E13 &amp;"% of students scoring &gt;= "&amp;E6&amp; "% marks"</f>
        <v>0% of students scoring &gt;= 60% marks</v>
      </c>
      <c r="E186" s="275"/>
      <c r="F186" s="275"/>
      <c r="G186" s="275"/>
      <c r="H186" s="275"/>
      <c r="I186" s="276"/>
      <c r="J186" s="223"/>
      <c r="K186" s="277" t="str">
        <f t="shared" ref="K186:K188" si="38">C177</f>
        <v>CO 3</v>
      </c>
      <c r="L186" s="278"/>
      <c r="M186" s="279">
        <f>IFERROR((SUM(D177:O177)+SUM('2'!D177:O177))/(COUNTIF(D177:O177,"&gt;=0")+COUNTIF('2'!D177:O177,"&gt;=0")),0)</f>
        <v>82.81012176560121</v>
      </c>
      <c r="N186" s="280"/>
      <c r="O186" s="293">
        <f>IF(M186&gt;=E9,D9,IF(AND(M186&gt;=E10,M186&lt;E9),D10,IF(AND(M186&gt;=E11,M186&lt;E10),D11,IF(AND(M186&gt;=E12,M186&lt;E11),D12,IF(AND(M186&gt;=E13,M186&lt;E12),D13,0)))))</f>
        <v>3</v>
      </c>
      <c r="P186" s="293"/>
      <c r="Q186" s="86"/>
      <c r="R186" s="7"/>
      <c r="S186" s="7"/>
      <c r="T186" s="7"/>
      <c r="U186" s="7"/>
      <c r="V186" s="114">
        <f t="shared" si="37"/>
        <v>82.81012176560121</v>
      </c>
      <c r="W186" s="7"/>
      <c r="X186" s="223"/>
    </row>
    <row r="187" spans="2:24" ht="15" customHeight="1">
      <c r="K187" s="277" t="str">
        <f t="shared" si="38"/>
        <v>CO 4</v>
      </c>
      <c r="L187" s="278"/>
      <c r="M187" s="279">
        <f>IFERROR((SUM(D178:O178)+SUM('2'!D178:O178))/(COUNTIF(D178:O178,"&gt;=0")+COUNTIF('2'!D178:O178,"&gt;=0")),0)</f>
        <v>75.425487754254874</v>
      </c>
      <c r="N187" s="280"/>
      <c r="O187" s="293">
        <f>IF(M187&gt;=E9,D9,IF(AND(M187&gt;=E10,M187&lt;E9),D10,IF(AND(M187&gt;=E11,M187&lt;E10),D11,IF(AND(M187&gt;=E12,M187&lt;E11),D12,IF(AND(M187&gt;=E13,M187&lt;E12),D13,0)))))</f>
        <v>3</v>
      </c>
      <c r="P187" s="293"/>
      <c r="Q187" s="86"/>
      <c r="V187" s="114">
        <f t="shared" si="37"/>
        <v>75.425487754254874</v>
      </c>
    </row>
    <row r="188" spans="2:24" ht="15" customHeight="1">
      <c r="K188" s="277" t="str">
        <f t="shared" si="38"/>
        <v>CO 5</v>
      </c>
      <c r="L188" s="278"/>
      <c r="M188" s="279">
        <f>IFERROR((SUM(D179:O179)+SUM('2'!D179:O179))/(COUNTIF(D179:O179,"&gt;=0")+COUNTIF('2'!D179:O179,"&gt;=0")),0)</f>
        <v>67.851027397260282</v>
      </c>
      <c r="N188" s="280"/>
      <c r="O188" s="293">
        <f>IF(M188&gt;=E9,D9,IF(AND(M188&gt;=E10,M188&lt;E9),D10,IF(AND(M188&gt;=E11,M188&lt;E10),D11,IF(AND(M188&gt;=E12,M188&lt;E11),D12,IF(AND(M188&gt;=E13,M188&lt;E12),D13,0)))))</f>
        <v>3</v>
      </c>
      <c r="P188" s="293"/>
      <c r="Q188" s="86"/>
      <c r="V188" s="114">
        <f t="shared" si="37"/>
        <v>67.851027397260282</v>
      </c>
    </row>
    <row r="189" spans="2:24">
      <c r="K189" s="277" t="s">
        <v>57</v>
      </c>
      <c r="L189" s="278"/>
      <c r="M189" s="279">
        <f>IFERROR((SUM(D180:O180)+SUM('1'!D180:O180))/(COUNTIF(D180:O180,"&gt;=0")+COUNTIF('1'!D180:O180,"&gt;=0")),0)</f>
        <v>0</v>
      </c>
      <c r="N189" s="280"/>
      <c r="O189" s="293">
        <f>IF(M189&gt;=E9,D9,IF(AND(M189&gt;=E10,M189&lt;E9),D10,IF(AND(M189&gt;=E11,M189&lt;E10),D11,IF(AND(M189&gt;=E12,M189&lt;E11),D12,IF(AND(M189&gt;=E13,M189&lt;E12),D13,0)))))</f>
        <v>1</v>
      </c>
      <c r="P189" s="293"/>
    </row>
    <row r="190" spans="2:24">
      <c r="D190" s="97"/>
    </row>
    <row r="191" spans="2:24">
      <c r="O191" s="68"/>
    </row>
    <row r="192" spans="2:24"/>
    <row r="193" spans="11:11"/>
    <row r="194" spans="11:11"/>
    <row r="195" spans="11:11" hidden="1"/>
    <row r="196" spans="11:11" hidden="1"/>
    <row r="197" spans="11:11" hidden="1"/>
    <row r="198" spans="11:11" hidden="1">
      <c r="K198" s="8">
        <f>E4+E5</f>
        <v>73</v>
      </c>
    </row>
  </sheetData>
  <sheetProtection selectLockedCells="1"/>
  <mergeCells count="50">
    <mergeCell ref="K189:L189"/>
    <mergeCell ref="M189:N189"/>
    <mergeCell ref="O189:P189"/>
    <mergeCell ref="B6:D6"/>
    <mergeCell ref="F9:H9"/>
    <mergeCell ref="F10:H10"/>
    <mergeCell ref="K182:L183"/>
    <mergeCell ref="F12:H12"/>
    <mergeCell ref="F13:H13"/>
    <mergeCell ref="E8:I8"/>
    <mergeCell ref="F11:H11"/>
    <mergeCell ref="K184:L184"/>
    <mergeCell ref="B182:C182"/>
    <mergeCell ref="O187:P187"/>
    <mergeCell ref="O188:P188"/>
    <mergeCell ref="K186:L186"/>
    <mergeCell ref="N4:P4"/>
    <mergeCell ref="N5:P5"/>
    <mergeCell ref="L4:M4"/>
    <mergeCell ref="L5:M5"/>
    <mergeCell ref="B4:D4"/>
    <mergeCell ref="B5:D5"/>
    <mergeCell ref="G5:K5"/>
    <mergeCell ref="B1:P1"/>
    <mergeCell ref="B2:P2"/>
    <mergeCell ref="B172:C172"/>
    <mergeCell ref="B173:C173"/>
    <mergeCell ref="B186:C186"/>
    <mergeCell ref="D186:I186"/>
    <mergeCell ref="B14:P14"/>
    <mergeCell ref="B183:C183"/>
    <mergeCell ref="D183:I183"/>
    <mergeCell ref="O182:P183"/>
    <mergeCell ref="M182:N183"/>
    <mergeCell ref="B185:C185"/>
    <mergeCell ref="D185:I185"/>
    <mergeCell ref="O186:P186"/>
    <mergeCell ref="B184:C184"/>
    <mergeCell ref="D184:I184"/>
    <mergeCell ref="O184:P184"/>
    <mergeCell ref="O185:P185"/>
    <mergeCell ref="K185:L185"/>
    <mergeCell ref="M184:N184"/>
    <mergeCell ref="M185:N185"/>
    <mergeCell ref="D182:I182"/>
    <mergeCell ref="K187:L187"/>
    <mergeCell ref="K188:L188"/>
    <mergeCell ref="M186:N186"/>
    <mergeCell ref="M187:N187"/>
    <mergeCell ref="M188:N188"/>
  </mergeCells>
  <conditionalFormatting sqref="J20">
    <cfRule type="expression" priority="76" stopIfTrue="1">
      <formula>"ISBLANK($K$181)"</formula>
    </cfRule>
    <cfRule type="expression" dxfId="12272" priority="77">
      <formula>AND(OR(AE20=0,ISBLANK(J20)),B20&lt;&gt;"")</formula>
    </cfRule>
    <cfRule type="expression" dxfId="12271" priority="78">
      <formula>AND(J20="NA",NOT(ISTEXT(K20)))</formula>
    </cfRule>
    <cfRule type="expression" dxfId="12270" priority="79">
      <formula>AND(AE20&gt;2,J20="NA")</formula>
    </cfRule>
    <cfRule type="expression" dxfId="12269" priority="80">
      <formula>AND(J20&lt;&gt;"NA",J20&gt;$J$17)</formula>
    </cfRule>
  </conditionalFormatting>
  <conditionalFormatting sqref="K20:K169">
    <cfRule type="expression" priority="71" stopIfTrue="1">
      <formula>"ISBLANK($K$181)"</formula>
    </cfRule>
    <cfRule type="expression" dxfId="12268" priority="72">
      <formula>AND(OR(AE20=0,ISBLANK(K20)),B20&lt;&gt;"")</formula>
    </cfRule>
    <cfRule type="expression" dxfId="12267" priority="73">
      <formula>AND(K20="NA",NOT(ISTEXT(J20)))</formula>
    </cfRule>
    <cfRule type="expression" dxfId="12266" priority="74">
      <formula>AND(AE20&gt;2,K20="NA")</formula>
    </cfRule>
    <cfRule type="expression" dxfId="12265" priority="75">
      <formula>AND(K20&lt;&gt;"NA",K20&gt;$K$17)</formula>
    </cfRule>
  </conditionalFormatting>
  <conditionalFormatting sqref="L20:L169">
    <cfRule type="expression" priority="66" stopIfTrue="1">
      <formula>"ISBLANK($K$181)"</formula>
    </cfRule>
    <cfRule type="expression" dxfId="12264" priority="67">
      <formula>AND(OR(AE20=0,ISBLANK(L20)),B20&lt;&gt;"")</formula>
    </cfRule>
    <cfRule type="expression" dxfId="12263" priority="68">
      <formula>AND(L20="NA",NOT(ISTEXT(M20)))</formula>
    </cfRule>
    <cfRule type="expression" dxfId="12262" priority="69">
      <formula>AND(AE20&gt;2,L20="NA")</formula>
    </cfRule>
    <cfRule type="expression" dxfId="12261" priority="70">
      <formula>AND(L20&lt;&gt;"NA",L20&gt;$L$17)</formula>
    </cfRule>
  </conditionalFormatting>
  <conditionalFormatting sqref="M20:M169">
    <cfRule type="expression" priority="61" stopIfTrue="1">
      <formula>"ISBLANK($K$181)"</formula>
    </cfRule>
    <cfRule type="expression" dxfId="12260" priority="62">
      <formula>AND(OR(AE20=0,ISBLANK(M20)),B20&lt;&gt;"")</formula>
    </cfRule>
    <cfRule type="expression" dxfId="12259" priority="63">
      <formula>AND(M20="NA",NOT(ISTEXT(L20)))</formula>
    </cfRule>
    <cfRule type="expression" dxfId="12258" priority="64">
      <formula>AND(AE20&gt;2,M20="NA")</formula>
    </cfRule>
    <cfRule type="expression" dxfId="12257" priority="65">
      <formula>AND(M20&lt;&gt;"NA",M20&gt;$M$17)</formula>
    </cfRule>
  </conditionalFormatting>
  <conditionalFormatting sqref="N20:N169">
    <cfRule type="expression" priority="56" stopIfTrue="1">
      <formula>"ISBLANK($K$181)"</formula>
    </cfRule>
    <cfRule type="expression" dxfId="12256" priority="57">
      <formula>AND(OR(AE20=0,ISBLANK(N20)),B20&lt;&gt;"")</formula>
    </cfRule>
    <cfRule type="expression" dxfId="12255" priority="58">
      <formula>AND(N20="NA",NOT(ISTEXT(O20)))</formula>
    </cfRule>
    <cfRule type="expression" dxfId="12254" priority="59">
      <formula>AND(AE20&gt;2,N20="NA")</formula>
    </cfRule>
    <cfRule type="expression" dxfId="12253" priority="60">
      <formula>AND(N20&lt;&gt;"NA",N20&gt;$N$17)</formula>
    </cfRule>
  </conditionalFormatting>
  <conditionalFormatting sqref="O20:O169">
    <cfRule type="expression" priority="51" stopIfTrue="1">
      <formula>"ISBLANK($K$181)"</formula>
    </cfRule>
    <cfRule type="expression" dxfId="12252" priority="52">
      <formula>AND(OR(AE20=0,ISBLANK(O20)),B20&lt;&gt;"")</formula>
    </cfRule>
    <cfRule type="expression" dxfId="12251" priority="53">
      <formula>AND(O20="NA",NOT(ISTEXT(N20)))</formula>
    </cfRule>
    <cfRule type="expression" dxfId="12250" priority="54">
      <formula>AND(AE20&gt;2,O20="NA")</formula>
    </cfRule>
    <cfRule type="expression" dxfId="12249" priority="55">
      <formula>AND(O20&lt;&gt;"NA",O20&gt;$O$17)</formula>
    </cfRule>
  </conditionalFormatting>
  <conditionalFormatting sqref="J21:J169">
    <cfRule type="expression" priority="46" stopIfTrue="1">
      <formula>"ISBLANK($J$181)"</formula>
    </cfRule>
    <cfRule type="expression" dxfId="12248" priority="47">
      <formula>AND(OR(AE21=0,ISBLANK(J21)),B21&lt;&gt;"")</formula>
    </cfRule>
    <cfRule type="expression" dxfId="12247" priority="48">
      <formula>AND(J21="NA",NOT(ISTEXT(K21)))</formula>
    </cfRule>
    <cfRule type="expression" dxfId="12246" priority="49">
      <formula>AND(AE21&gt;2,J21="NA")</formula>
    </cfRule>
    <cfRule type="expression" dxfId="12245" priority="50">
      <formula>AND(J21&lt;&gt;"NA",J21&gt;$J$17)</formula>
    </cfRule>
  </conditionalFormatting>
  <conditionalFormatting sqref="P17:Q18">
    <cfRule type="expression" dxfId="12244" priority="20">
      <formula>"AND(OR(AA12=0,ISBLANK(J12)),NOT(ISBLANK(B12)))"</formula>
    </cfRule>
  </conditionalFormatting>
  <conditionalFormatting sqref="D20:D169">
    <cfRule type="cellIs" dxfId="12243" priority="18" operator="notBetween">
      <formula>0</formula>
      <formula>1</formula>
    </cfRule>
    <cfRule type="expression" dxfId="12242" priority="19">
      <formula>AND(A20=B20,ISBLANK(D20))</formula>
    </cfRule>
  </conditionalFormatting>
  <conditionalFormatting sqref="E20:E169">
    <cfRule type="expression" dxfId="12241" priority="16">
      <formula>AND(A20=B20,ISBLANK(E20))</formula>
    </cfRule>
    <cfRule type="cellIs" dxfId="12240" priority="17" operator="notBetween">
      <formula>0</formula>
      <formula>1</formula>
    </cfRule>
  </conditionalFormatting>
  <conditionalFormatting sqref="E21:E169">
    <cfRule type="expression" dxfId="12239" priority="14">
      <formula>AND(A21=B21,ISBLANK(E21))</formula>
    </cfRule>
    <cfRule type="cellIs" dxfId="12238" priority="15" operator="notBetween">
      <formula>0</formula>
      <formula>1</formula>
    </cfRule>
  </conditionalFormatting>
  <conditionalFormatting sqref="F20:F169">
    <cfRule type="expression" dxfId="12237" priority="12">
      <formula>AND(A20=B20,ISBLANK(F20))</formula>
    </cfRule>
    <cfRule type="cellIs" dxfId="12236" priority="13" operator="notBetween">
      <formula>0</formula>
      <formula>1</formula>
    </cfRule>
  </conditionalFormatting>
  <conditionalFormatting sqref="G20:G169">
    <cfRule type="expression" dxfId="12235" priority="10">
      <formula>AND(A20=B20,ISBLANK(G20))</formula>
    </cfRule>
    <cfRule type="cellIs" dxfId="12234" priority="11" operator="notBetween">
      <formula>0</formula>
      <formula>1</formula>
    </cfRule>
  </conditionalFormatting>
  <conditionalFormatting sqref="H20:H169">
    <cfRule type="expression" dxfId="12233" priority="8">
      <formula>AND(A20=B20,ISBLANK(H20))</formula>
    </cfRule>
    <cfRule type="cellIs" dxfId="12232" priority="9" operator="notBetween">
      <formula>0</formula>
      <formula>1</formula>
    </cfRule>
  </conditionalFormatting>
  <conditionalFormatting sqref="I20:I169">
    <cfRule type="expression" dxfId="12231" priority="6">
      <formula>AND(A20=B20,ISBLANK(I20))</formula>
    </cfRule>
    <cfRule type="cellIs" dxfId="12230" priority="7" operator="notBetween">
      <formula>0</formula>
      <formula>1</formula>
    </cfRule>
  </conditionalFormatting>
  <conditionalFormatting sqref="D17:D18 E18:O18">
    <cfRule type="expression" dxfId="12229" priority="5">
      <formula>"if($S$8&lt;&gt;27)"</formula>
    </cfRule>
  </conditionalFormatting>
  <conditionalFormatting sqref="J17:K18">
    <cfRule type="expression" dxfId="12228" priority="4">
      <formula>SUM($J$17:$K$17)&lt;&gt;7</formula>
    </cfRule>
  </conditionalFormatting>
  <conditionalFormatting sqref="L17:M18">
    <cfRule type="expression" dxfId="12227" priority="3">
      <formula>SUM($L$17:$M$17)&lt;&gt;7</formula>
    </cfRule>
  </conditionalFormatting>
  <conditionalFormatting sqref="N17:O18">
    <cfRule type="expression" dxfId="12226" priority="2">
      <formula>SUM($N$17:$O$17)&lt;&gt;7</formula>
    </cfRule>
  </conditionalFormatting>
  <dataValidations count="2">
    <dataValidation errorStyle="warning" showErrorMessage="1" errorTitle="More NA" error="You cannot have more than 2 NA's for each student" sqref="J20:O20"/>
    <dataValidation type="list" allowBlank="1" showInputMessage="1" showErrorMessage="1" prompt=" - " sqref="D16:O16">
      <formula1>$X$20:$X$25</formula1>
    </dataValidation>
  </dataValidations>
  <printOptions horizontalCentered="1"/>
  <pageMargins left="0.45" right="0.2" top="0.28999999999999998" bottom="0.31" header="0.3" footer="0.3"/>
  <pageSetup paperSize="9" scale="81" orientation="landscape" r:id="rId1"/>
  <rowBreaks count="1" manualBreakCount="1">
    <brk id="169" max="16383" man="1"/>
  </rowBreaks>
  <colBreaks count="1" manualBreakCount="1">
    <brk id="16" max="192" man="1"/>
  </colBreak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E211"/>
  <sheetViews>
    <sheetView topLeftCell="B1" zoomScale="90" zoomScaleSheetLayoutView="153" workbookViewId="0">
      <pane ySplit="19" topLeftCell="A170" activePane="bottomLeft" state="frozen"/>
      <selection activeCell="AF6" sqref="AF6"/>
      <selection pane="bottomLeft" activeCell="O173" activeCellId="3" sqref="H173 I173 N173 O173"/>
    </sheetView>
  </sheetViews>
  <sheetFormatPr defaultColWidth="0" defaultRowHeight="15" zeroHeight="1"/>
  <cols>
    <col min="1" max="1" width="5.7109375" style="8" hidden="1" customWidth="1"/>
    <col min="2" max="2" width="11.7109375" style="8" customWidth="1"/>
    <col min="3" max="3" width="23.28515625" style="8" customWidth="1"/>
    <col min="4" max="5" width="9.140625" style="8" customWidth="1"/>
    <col min="6" max="6" width="7.7109375" style="8" customWidth="1"/>
    <col min="7" max="10" width="9.140625" style="8" customWidth="1"/>
    <col min="11" max="11" width="10.7109375" style="8" customWidth="1"/>
    <col min="12" max="12" width="8.85546875" style="8" customWidth="1"/>
    <col min="13" max="13" width="10.7109375" style="8" customWidth="1"/>
    <col min="14" max="16" width="9.140625" style="8" customWidth="1"/>
    <col min="17" max="31" width="0" style="8" hidden="1" customWidth="1"/>
    <col min="32" max="16384" width="9.140625" style="8" hidden="1"/>
  </cols>
  <sheetData>
    <row r="1" spans="2:24" s="24" customFormat="1" ht="15" hidden="1" customHeight="1">
      <c r="B1" s="282" t="s">
        <v>0</v>
      </c>
      <c r="C1" s="282"/>
      <c r="D1" s="282"/>
      <c r="E1" s="282"/>
      <c r="F1" s="282"/>
      <c r="G1" s="282"/>
      <c r="H1" s="282"/>
      <c r="I1" s="282"/>
      <c r="J1" s="282"/>
      <c r="K1" s="282"/>
      <c r="L1" s="282"/>
      <c r="M1" s="282"/>
      <c r="N1" s="282"/>
      <c r="O1" s="282"/>
      <c r="P1" s="282"/>
      <c r="Q1" s="222"/>
      <c r="R1" s="222"/>
      <c r="S1" s="222"/>
      <c r="T1" s="222"/>
      <c r="U1" s="222"/>
      <c r="V1" s="222"/>
      <c r="W1" s="222"/>
      <c r="X1" s="222"/>
    </row>
    <row r="2" spans="2:24" s="24" customFormat="1" ht="15" hidden="1" customHeight="1">
      <c r="B2" s="282" t="str">
        <f>INPUT!E4</f>
        <v>Department of Computer Science &amp; Engineering</v>
      </c>
      <c r="C2" s="282"/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2"/>
      <c r="Q2" s="222"/>
      <c r="R2" s="222"/>
      <c r="S2" s="222"/>
      <c r="T2" s="222"/>
      <c r="U2" s="222"/>
      <c r="V2" s="222"/>
      <c r="W2" s="222"/>
      <c r="X2" s="222"/>
    </row>
    <row r="3" spans="2:24" s="24" customFormat="1" ht="15" hidden="1" customHeight="1">
      <c r="B3" s="101" t="s">
        <v>231</v>
      </c>
      <c r="C3" s="102" t="str">
        <f>INPUT!E5</f>
        <v>2018-19</v>
      </c>
      <c r="D3" s="35"/>
      <c r="E3" s="35"/>
      <c r="F3" s="222"/>
      <c r="G3" s="48" t="s">
        <v>232</v>
      </c>
      <c r="H3" s="103" t="str">
        <f>INPUT!E6</f>
        <v>3/4</v>
      </c>
      <c r="I3" s="36"/>
      <c r="J3" s="222"/>
      <c r="K3" s="222"/>
      <c r="L3" s="98" t="s">
        <v>233</v>
      </c>
      <c r="M3" s="104" t="str">
        <f>INPUT!E7</f>
        <v>II</v>
      </c>
      <c r="N3" s="222"/>
      <c r="O3" s="222"/>
      <c r="P3" s="222"/>
      <c r="Q3" s="222"/>
      <c r="R3" s="222"/>
      <c r="S3" s="222"/>
      <c r="T3" s="222"/>
      <c r="U3" s="222"/>
      <c r="V3" s="222"/>
      <c r="W3" s="222"/>
      <c r="X3" s="222"/>
    </row>
    <row r="4" spans="2:24" s="24" customFormat="1" ht="22.7" hidden="1" customHeight="1">
      <c r="B4" s="296" t="s">
        <v>234</v>
      </c>
      <c r="C4" s="296"/>
      <c r="D4" s="296"/>
      <c r="E4" s="103">
        <f>INPUT!E8</f>
        <v>73</v>
      </c>
      <c r="F4" s="8"/>
      <c r="G4" s="35"/>
      <c r="H4" s="36"/>
      <c r="I4" s="8"/>
      <c r="J4" s="8"/>
      <c r="L4" s="295" t="str">
        <f>INPUT!B11</f>
        <v>Name of the Faculty (A)</v>
      </c>
      <c r="M4" s="295"/>
      <c r="N4" s="294" t="str">
        <f>INPUT!E11</f>
        <v>S. Vinay Kumar</v>
      </c>
      <c r="O4" s="294"/>
      <c r="P4" s="294"/>
      <c r="Q4" s="115"/>
      <c r="R4" s="115"/>
      <c r="S4" s="115"/>
      <c r="T4" s="115"/>
      <c r="U4" s="115"/>
      <c r="V4" s="115"/>
      <c r="W4" s="115"/>
      <c r="X4" s="34"/>
    </row>
    <row r="5" spans="2:24" s="24" customFormat="1" ht="21.2" hidden="1" customHeight="1">
      <c r="B5" s="296" t="s">
        <v>235</v>
      </c>
      <c r="C5" s="296"/>
      <c r="D5" s="296"/>
      <c r="E5" s="103">
        <f>INPUT!E9</f>
        <v>0</v>
      </c>
      <c r="F5" s="55" t="s">
        <v>236</v>
      </c>
      <c r="G5" s="297" t="str">
        <f>INPUT!E10</f>
        <v>Web Programming &amp; Services</v>
      </c>
      <c r="H5" s="297"/>
      <c r="I5" s="297"/>
      <c r="J5" s="297"/>
      <c r="K5" s="298"/>
      <c r="L5" s="295" t="str">
        <f>INPUT!B12</f>
        <v>Name of the Faculty (B)</v>
      </c>
      <c r="M5" s="295"/>
      <c r="N5" s="294" t="str">
        <f>INPUT!E12</f>
        <v>M.S.V.Sashi Kumar</v>
      </c>
      <c r="O5" s="294"/>
      <c r="P5" s="294"/>
      <c r="Q5" s="115"/>
      <c r="R5" s="115"/>
      <c r="S5" s="115"/>
      <c r="T5" s="115"/>
      <c r="U5" s="115"/>
      <c r="V5" s="115"/>
      <c r="W5" s="115"/>
      <c r="X5" s="223"/>
    </row>
    <row r="6" spans="2:24" s="24" customFormat="1" ht="21.2" hidden="1" customHeight="1">
      <c r="B6" s="299" t="s">
        <v>259</v>
      </c>
      <c r="C6" s="300"/>
      <c r="D6" s="301"/>
      <c r="E6" s="103">
        <f>INPUT!E13</f>
        <v>60</v>
      </c>
      <c r="F6" s="70"/>
      <c r="G6" s="83"/>
      <c r="H6" s="83"/>
      <c r="I6" s="83"/>
      <c r="J6" s="83"/>
      <c r="K6" s="83"/>
      <c r="N6" s="105"/>
      <c r="O6" s="105"/>
      <c r="P6" s="223"/>
      <c r="Q6" s="223"/>
      <c r="R6" s="223"/>
      <c r="S6" s="223"/>
      <c r="T6" s="223"/>
      <c r="U6" s="223"/>
      <c r="V6" s="223"/>
      <c r="W6" s="223"/>
      <c r="X6" s="223"/>
    </row>
    <row r="7" spans="2:24" s="24" customFormat="1" ht="10.15" hidden="1" customHeight="1">
      <c r="B7" s="72"/>
      <c r="C7" s="72"/>
      <c r="D7" s="69"/>
      <c r="E7" s="213"/>
      <c r="F7" s="70"/>
      <c r="G7" s="83"/>
      <c r="H7" s="83"/>
      <c r="I7" s="83"/>
      <c r="J7" s="83"/>
      <c r="K7" s="83"/>
      <c r="L7" s="71"/>
      <c r="M7" s="71"/>
      <c r="N7" s="105"/>
      <c r="O7" s="105"/>
      <c r="P7" s="223"/>
      <c r="Q7" s="223"/>
      <c r="R7" s="223"/>
      <c r="S7" s="223"/>
      <c r="T7" s="223"/>
      <c r="U7" s="223"/>
      <c r="V7" s="223"/>
      <c r="W7" s="223"/>
      <c r="X7" s="223"/>
    </row>
    <row r="8" spans="2:24" s="24" customFormat="1" ht="14.45" hidden="1" customHeight="1">
      <c r="B8" s="69"/>
      <c r="D8" s="211" t="s">
        <v>96</v>
      </c>
      <c r="E8" s="251" t="s">
        <v>97</v>
      </c>
      <c r="F8" s="251"/>
      <c r="G8" s="251"/>
      <c r="H8" s="251"/>
      <c r="I8" s="251"/>
      <c r="J8" s="83"/>
      <c r="K8" s="83"/>
      <c r="L8" s="71"/>
      <c r="M8" s="71"/>
      <c r="N8" s="105"/>
      <c r="O8" s="105"/>
      <c r="P8" s="223"/>
      <c r="Q8" s="223"/>
      <c r="R8" s="223"/>
      <c r="S8" s="223"/>
      <c r="T8" s="223"/>
      <c r="U8" s="223"/>
      <c r="V8" s="223"/>
      <c r="W8" s="223"/>
      <c r="X8" s="223"/>
    </row>
    <row r="9" spans="2:24" s="24" customFormat="1" ht="14.45" hidden="1" customHeight="1">
      <c r="B9" s="69"/>
      <c r="D9" s="221">
        <f>INPUT!B16</f>
        <v>3</v>
      </c>
      <c r="E9" s="216">
        <f>INPUT!C16</f>
        <v>60</v>
      </c>
      <c r="F9" s="302" t="s">
        <v>104</v>
      </c>
      <c r="G9" s="302"/>
      <c r="H9" s="302"/>
      <c r="I9" s="100">
        <f>E6</f>
        <v>60</v>
      </c>
      <c r="J9" s="83"/>
      <c r="M9" s="71"/>
      <c r="N9" s="105"/>
      <c r="O9" s="105"/>
      <c r="P9" s="223"/>
      <c r="Q9" s="223"/>
      <c r="R9" s="223"/>
      <c r="S9" s="223"/>
      <c r="T9" s="223"/>
      <c r="U9" s="223"/>
      <c r="V9" s="223"/>
      <c r="W9" s="223"/>
      <c r="X9" s="223"/>
    </row>
    <row r="10" spans="2:24" s="24" customFormat="1" ht="14.45" hidden="1" customHeight="1">
      <c r="B10" s="69"/>
      <c r="D10" s="221">
        <f>INPUT!B17</f>
        <v>2</v>
      </c>
      <c r="E10" s="216">
        <f>INPUT!C17</f>
        <v>59.9</v>
      </c>
      <c r="F10" s="302" t="s">
        <v>104</v>
      </c>
      <c r="G10" s="302"/>
      <c r="H10" s="302"/>
      <c r="I10" s="100">
        <f>E6</f>
        <v>60</v>
      </c>
      <c r="J10" s="83"/>
      <c r="M10" s="71"/>
      <c r="N10" s="105"/>
      <c r="O10" s="105"/>
      <c r="P10" s="223"/>
      <c r="Q10" s="223"/>
      <c r="R10" s="223"/>
      <c r="S10" s="223"/>
      <c r="T10" s="223"/>
      <c r="U10" s="223"/>
      <c r="V10" s="223"/>
      <c r="W10" s="223"/>
      <c r="X10" s="223"/>
    </row>
    <row r="11" spans="2:24" s="24" customFormat="1" ht="14.45" hidden="1" customHeight="1">
      <c r="B11" s="69"/>
      <c r="D11" s="221">
        <f>INPUT!B18</f>
        <v>2</v>
      </c>
      <c r="E11" s="216">
        <f>INPUT!C18</f>
        <v>50</v>
      </c>
      <c r="F11" s="302" t="s">
        <v>104</v>
      </c>
      <c r="G11" s="302"/>
      <c r="H11" s="302"/>
      <c r="I11" s="100">
        <f>E6</f>
        <v>60</v>
      </c>
      <c r="J11" s="83"/>
      <c r="K11" s="83"/>
      <c r="L11" s="71"/>
      <c r="M11" s="71"/>
      <c r="N11" s="105"/>
      <c r="O11" s="105"/>
      <c r="P11" s="223"/>
      <c r="Q11" s="223"/>
      <c r="R11" s="223"/>
      <c r="S11" s="223"/>
      <c r="T11" s="223"/>
      <c r="U11" s="223"/>
      <c r="V11" s="223"/>
      <c r="W11" s="223"/>
      <c r="X11" s="223"/>
    </row>
    <row r="12" spans="2:24" s="24" customFormat="1" ht="14.45" hidden="1" customHeight="1">
      <c r="B12" s="69"/>
      <c r="D12" s="221">
        <f>INPUT!B19</f>
        <v>1</v>
      </c>
      <c r="E12" s="216">
        <f>INPUT!C19</f>
        <v>49.9</v>
      </c>
      <c r="F12" s="302" t="s">
        <v>104</v>
      </c>
      <c r="G12" s="302"/>
      <c r="H12" s="302"/>
      <c r="I12" s="100">
        <f>E6</f>
        <v>60</v>
      </c>
      <c r="J12" s="83"/>
      <c r="K12" s="83"/>
      <c r="L12" s="71"/>
      <c r="M12" s="71"/>
      <c r="N12" s="105"/>
      <c r="O12" s="105"/>
      <c r="P12" s="223"/>
      <c r="Q12" s="223"/>
      <c r="R12" s="223"/>
      <c r="S12" s="223"/>
      <c r="T12" s="223"/>
      <c r="U12" s="223"/>
      <c r="V12" s="223"/>
      <c r="W12" s="223"/>
      <c r="X12" s="223"/>
    </row>
    <row r="13" spans="2:24" s="24" customFormat="1" ht="14.45" hidden="1" customHeight="1">
      <c r="B13" s="69"/>
      <c r="D13" s="221">
        <f>INPUT!B20</f>
        <v>1</v>
      </c>
      <c r="E13" s="216">
        <f>INPUT!C20</f>
        <v>0</v>
      </c>
      <c r="F13" s="302" t="s">
        <v>104</v>
      </c>
      <c r="G13" s="302"/>
      <c r="H13" s="302"/>
      <c r="I13" s="100">
        <f>E6</f>
        <v>60</v>
      </c>
      <c r="J13" s="83"/>
      <c r="K13" s="83"/>
      <c r="L13" s="71"/>
      <c r="M13" s="71"/>
      <c r="N13" s="105"/>
      <c r="O13" s="105"/>
      <c r="P13" s="223"/>
      <c r="Q13" s="223"/>
      <c r="R13" s="223"/>
      <c r="S13" s="223"/>
      <c r="T13" s="223"/>
      <c r="U13" s="223"/>
      <c r="V13" s="223"/>
      <c r="W13" s="223"/>
      <c r="X13" s="223"/>
    </row>
    <row r="14" spans="2:24">
      <c r="B14" s="287" t="s">
        <v>260</v>
      </c>
      <c r="C14" s="287"/>
      <c r="D14" s="287"/>
      <c r="E14" s="287"/>
      <c r="F14" s="287"/>
      <c r="G14" s="287"/>
      <c r="H14" s="287"/>
      <c r="I14" s="287"/>
      <c r="J14" s="287"/>
      <c r="K14" s="287"/>
      <c r="L14" s="287"/>
      <c r="M14" s="287"/>
      <c r="N14" s="287"/>
      <c r="O14" s="287"/>
      <c r="P14" s="287"/>
      <c r="Q14" s="213"/>
      <c r="R14" s="213"/>
      <c r="S14" s="213"/>
      <c r="T14" s="213"/>
      <c r="U14" s="213"/>
      <c r="V14" s="213"/>
      <c r="W14" s="213"/>
      <c r="X14" s="7"/>
    </row>
    <row r="15" spans="2:24" ht="21">
      <c r="C15" s="142" t="s">
        <v>238</v>
      </c>
      <c r="D15" s="143">
        <v>1</v>
      </c>
      <c r="E15" s="143">
        <v>2</v>
      </c>
      <c r="F15" s="143">
        <v>3</v>
      </c>
      <c r="G15" s="143">
        <v>4</v>
      </c>
      <c r="H15" s="143">
        <v>5</v>
      </c>
      <c r="I15" s="143">
        <v>6</v>
      </c>
      <c r="J15" s="143" t="s">
        <v>239</v>
      </c>
      <c r="K15" s="143" t="s">
        <v>240</v>
      </c>
      <c r="L15" s="143" t="s">
        <v>241</v>
      </c>
      <c r="M15" s="143" t="s">
        <v>242</v>
      </c>
      <c r="N15" s="143" t="s">
        <v>243</v>
      </c>
      <c r="O15" s="143" t="s">
        <v>244</v>
      </c>
      <c r="P15" s="143" t="s">
        <v>245</v>
      </c>
      <c r="Q15" s="10"/>
      <c r="R15" s="10"/>
      <c r="S15" s="10"/>
      <c r="T15" s="10"/>
      <c r="U15" s="10"/>
      <c r="V15" s="10"/>
      <c r="W15" s="10"/>
    </row>
    <row r="16" spans="2:24">
      <c r="B16" s="7"/>
      <c r="C16" s="144" t="s">
        <v>246</v>
      </c>
      <c r="D16" s="145" t="s">
        <v>34</v>
      </c>
      <c r="E16" s="145" t="s">
        <v>34</v>
      </c>
      <c r="F16" s="145" t="s">
        <v>41</v>
      </c>
      <c r="G16" s="145" t="s">
        <v>41</v>
      </c>
      <c r="H16" s="145" t="s">
        <v>50</v>
      </c>
      <c r="I16" s="145" t="s">
        <v>50</v>
      </c>
      <c r="J16" s="145" t="s">
        <v>34</v>
      </c>
      <c r="K16" s="145" t="s">
        <v>34</v>
      </c>
      <c r="L16" s="145" t="s">
        <v>41</v>
      </c>
      <c r="M16" s="145" t="s">
        <v>41</v>
      </c>
      <c r="N16" s="145" t="s">
        <v>50</v>
      </c>
      <c r="O16" s="145" t="s">
        <v>50</v>
      </c>
      <c r="P16" s="223"/>
      <c r="Q16" s="108" t="s">
        <v>67</v>
      </c>
      <c r="R16" s="2" t="s">
        <v>20</v>
      </c>
      <c r="S16" s="2" t="s">
        <v>28</v>
      </c>
      <c r="T16" s="2" t="s">
        <v>34</v>
      </c>
      <c r="U16" s="2" t="s">
        <v>41</v>
      </c>
      <c r="V16" s="2" t="s">
        <v>50</v>
      </c>
      <c r="W16" s="223"/>
      <c r="X16" s="7"/>
    </row>
    <row r="17" spans="1:31">
      <c r="B17" s="7"/>
      <c r="C17" s="146" t="s">
        <v>247</v>
      </c>
      <c r="D17" s="147">
        <v>1</v>
      </c>
      <c r="E17" s="147">
        <v>1</v>
      </c>
      <c r="F17" s="147">
        <v>1</v>
      </c>
      <c r="G17" s="147">
        <v>1</v>
      </c>
      <c r="H17" s="147">
        <v>1</v>
      </c>
      <c r="I17" s="147">
        <v>1</v>
      </c>
      <c r="J17" s="148">
        <v>4</v>
      </c>
      <c r="K17" s="148">
        <v>3</v>
      </c>
      <c r="L17" s="148">
        <v>4</v>
      </c>
      <c r="M17" s="148">
        <v>3</v>
      </c>
      <c r="N17" s="148">
        <v>4</v>
      </c>
      <c r="O17" s="148">
        <v>3</v>
      </c>
      <c r="P17" s="223"/>
      <c r="Q17" s="223"/>
      <c r="R17" s="7"/>
      <c r="S17" s="7"/>
      <c r="T17" s="7"/>
      <c r="U17" s="7"/>
      <c r="V17" s="7"/>
      <c r="W17" s="223"/>
      <c r="X17" s="7"/>
    </row>
    <row r="18" spans="1:31">
      <c r="B18" s="7"/>
      <c r="C18" s="149" t="s">
        <v>248</v>
      </c>
      <c r="D18" s="147">
        <f t="shared" ref="D18:O18" si="0">$E$6</f>
        <v>60</v>
      </c>
      <c r="E18" s="147">
        <f t="shared" si="0"/>
        <v>60</v>
      </c>
      <c r="F18" s="147">
        <f t="shared" si="0"/>
        <v>60</v>
      </c>
      <c r="G18" s="147">
        <f t="shared" si="0"/>
        <v>60</v>
      </c>
      <c r="H18" s="147">
        <f t="shared" si="0"/>
        <v>60</v>
      </c>
      <c r="I18" s="147">
        <f t="shared" si="0"/>
        <v>60</v>
      </c>
      <c r="J18" s="147">
        <f t="shared" si="0"/>
        <v>60</v>
      </c>
      <c r="K18" s="147">
        <f t="shared" si="0"/>
        <v>60</v>
      </c>
      <c r="L18" s="147">
        <f t="shared" si="0"/>
        <v>60</v>
      </c>
      <c r="M18" s="147">
        <f t="shared" si="0"/>
        <v>60</v>
      </c>
      <c r="N18" s="147">
        <f t="shared" si="0"/>
        <v>60</v>
      </c>
      <c r="O18" s="147">
        <f t="shared" si="0"/>
        <v>60</v>
      </c>
      <c r="P18" s="223"/>
      <c r="Q18" s="223"/>
      <c r="R18" s="7"/>
      <c r="S18" s="7"/>
      <c r="T18" s="7"/>
      <c r="U18" s="7"/>
      <c r="V18" s="7"/>
      <c r="W18" s="223"/>
      <c r="X18" s="7"/>
    </row>
    <row r="19" spans="1:31" ht="12.2" customHeight="1">
      <c r="B19" s="9" t="s">
        <v>249</v>
      </c>
      <c r="C19" s="150" t="s">
        <v>250</v>
      </c>
      <c r="D19" s="151">
        <f t="shared" ref="D19:O19" si="1">D17*D18/100</f>
        <v>0.6</v>
      </c>
      <c r="E19" s="151">
        <f t="shared" si="1"/>
        <v>0.6</v>
      </c>
      <c r="F19" s="151">
        <f t="shared" si="1"/>
        <v>0.6</v>
      </c>
      <c r="G19" s="151">
        <f t="shared" si="1"/>
        <v>0.6</v>
      </c>
      <c r="H19" s="151">
        <f t="shared" si="1"/>
        <v>0.6</v>
      </c>
      <c r="I19" s="151">
        <f t="shared" si="1"/>
        <v>0.6</v>
      </c>
      <c r="J19" s="151">
        <f t="shared" si="1"/>
        <v>2.4</v>
      </c>
      <c r="K19" s="151">
        <f t="shared" si="1"/>
        <v>1.8</v>
      </c>
      <c r="L19" s="151">
        <f t="shared" si="1"/>
        <v>2.4</v>
      </c>
      <c r="M19" s="151">
        <f t="shared" si="1"/>
        <v>1.8</v>
      </c>
      <c r="N19" s="151">
        <f t="shared" si="1"/>
        <v>2.4</v>
      </c>
      <c r="O19" s="151">
        <f t="shared" si="1"/>
        <v>1.8</v>
      </c>
      <c r="P19" s="223"/>
      <c r="Q19" s="223"/>
      <c r="S19" s="7"/>
      <c r="T19" s="7"/>
      <c r="U19" s="7"/>
      <c r="V19" s="7"/>
      <c r="W19" s="223"/>
      <c r="X19" s="27" t="s">
        <v>251</v>
      </c>
    </row>
    <row r="20" spans="1:31" ht="18" customHeight="1">
      <c r="A20" s="65">
        <v>1</v>
      </c>
      <c r="B20" s="43">
        <v>1</v>
      </c>
      <c r="C20" s="44" t="s">
        <v>328</v>
      </c>
      <c r="D20" s="45">
        <v>1</v>
      </c>
      <c r="E20" s="45">
        <v>1</v>
      </c>
      <c r="F20" s="45">
        <v>1</v>
      </c>
      <c r="G20" s="45">
        <v>1</v>
      </c>
      <c r="H20" s="45">
        <v>1</v>
      </c>
      <c r="I20" s="45">
        <v>1</v>
      </c>
      <c r="J20" s="45">
        <v>3</v>
      </c>
      <c r="K20" s="45">
        <v>3</v>
      </c>
      <c r="L20" s="45">
        <v>4</v>
      </c>
      <c r="M20" s="45">
        <v>3</v>
      </c>
      <c r="N20" s="45" t="s">
        <v>252</v>
      </c>
      <c r="O20" s="45" t="s">
        <v>252</v>
      </c>
      <c r="P20" s="118">
        <f>IF(A20&lt;=$K$211,SUM(D20:O20),"")</f>
        <v>19</v>
      </c>
      <c r="Q20" s="94"/>
      <c r="R20" s="109">
        <f>IF(A20=B20,Studentwise!AO20,"")</f>
        <v>92.307692307692307</v>
      </c>
      <c r="S20" s="109">
        <f>IF(A20=B20,Studentwise!AP20,"")</f>
        <v>100</v>
      </c>
      <c r="T20" s="109">
        <f>IF(A20=B20,Studentwise!AQ20,"")</f>
        <v>94.444444444444443</v>
      </c>
      <c r="U20" s="109">
        <f>IF(A20=B20,Studentwise!AR20,"")</f>
        <v>100</v>
      </c>
      <c r="V20" s="109">
        <f>IF(A20=B20,Studentwise!AS20,"")</f>
        <v>100</v>
      </c>
      <c r="W20" s="63"/>
      <c r="X20" s="216" t="s">
        <v>20</v>
      </c>
      <c r="Y20" s="8" t="b">
        <f t="shared" ref="Y20:Y51" si="2">ISTEXT(J20)</f>
        <v>0</v>
      </c>
      <c r="Z20" s="8" t="b">
        <f t="shared" ref="Z20:Z51" si="3">ISTEXT(K20)</f>
        <v>0</v>
      </c>
      <c r="AA20" s="8" t="b">
        <f t="shared" ref="AA20:AA51" si="4">ISTEXT(L20)</f>
        <v>0</v>
      </c>
      <c r="AB20" s="8" t="b">
        <f t="shared" ref="AB20:AB51" si="5">ISTEXT(M20)</f>
        <v>0</v>
      </c>
      <c r="AC20" s="8" t="b">
        <f t="shared" ref="AC20:AC51" si="6">ISTEXT(N20)</f>
        <v>1</v>
      </c>
      <c r="AD20" s="8" t="b">
        <f t="shared" ref="AD20:AD51" si="7">ISTEXT(O20)</f>
        <v>1</v>
      </c>
      <c r="AE20" s="8">
        <f>COUNTIF(Y20:AD20,"TRUE")</f>
        <v>2</v>
      </c>
    </row>
    <row r="21" spans="1:31" ht="18" customHeight="1">
      <c r="A21" s="65">
        <v>2</v>
      </c>
      <c r="B21" s="43">
        <v>2</v>
      </c>
      <c r="C21" s="44" t="s">
        <v>329</v>
      </c>
      <c r="D21" s="45">
        <v>1</v>
      </c>
      <c r="E21" s="45">
        <v>1</v>
      </c>
      <c r="F21" s="45">
        <v>0</v>
      </c>
      <c r="G21" s="45">
        <v>1</v>
      </c>
      <c r="H21" s="45">
        <v>1</v>
      </c>
      <c r="I21" s="45">
        <v>1</v>
      </c>
      <c r="J21" s="45">
        <v>4</v>
      </c>
      <c r="K21" s="45">
        <v>3</v>
      </c>
      <c r="L21" s="45">
        <v>4</v>
      </c>
      <c r="M21" s="45">
        <v>3</v>
      </c>
      <c r="N21" s="45" t="s">
        <v>252</v>
      </c>
      <c r="O21" s="45" t="s">
        <v>252</v>
      </c>
      <c r="P21" s="118">
        <f t="shared" ref="P21:P84" si="8">IF(A21&lt;=$K$211,SUM(D21:O21),"")</f>
        <v>19</v>
      </c>
      <c r="Q21" s="95"/>
      <c r="R21" s="109">
        <f>IF(A21=B21,Studentwise!AO21,"")</f>
        <v>90</v>
      </c>
      <c r="S21" s="109">
        <f>IF(A21=B21,Studentwise!AP21,"")</f>
        <v>55.000000000000007</v>
      </c>
      <c r="T21" s="109">
        <f>IF(A21=B21,Studentwise!AQ21,"")</f>
        <v>88.888888888888886</v>
      </c>
      <c r="U21" s="109">
        <f>IF(A21=B21,Studentwise!AR21,"")</f>
        <v>55.555555555555557</v>
      </c>
      <c r="V21" s="109">
        <f>IF(A21=B21,Studentwise!AS21,"")</f>
        <v>100</v>
      </c>
      <c r="W21" s="221"/>
      <c r="X21" s="216" t="s">
        <v>28</v>
      </c>
      <c r="Y21" s="8" t="b">
        <f t="shared" si="2"/>
        <v>0</v>
      </c>
      <c r="Z21" s="8" t="b">
        <f t="shared" si="3"/>
        <v>0</v>
      </c>
      <c r="AA21" s="8" t="b">
        <f t="shared" si="4"/>
        <v>0</v>
      </c>
      <c r="AB21" s="8" t="b">
        <f t="shared" si="5"/>
        <v>0</v>
      </c>
      <c r="AC21" s="8" t="b">
        <f t="shared" si="6"/>
        <v>1</v>
      </c>
      <c r="AD21" s="8" t="b">
        <f t="shared" si="7"/>
        <v>1</v>
      </c>
      <c r="AE21" s="8">
        <f t="shared" ref="AE21:AE84" si="9">COUNTIF(Y21:AD21,"TRUE")</f>
        <v>2</v>
      </c>
    </row>
    <row r="22" spans="1:31" ht="18" customHeight="1">
      <c r="A22" s="65">
        <v>3</v>
      </c>
      <c r="B22" s="43">
        <v>3</v>
      </c>
      <c r="C22" s="44" t="s">
        <v>330</v>
      </c>
      <c r="D22" s="45">
        <v>0</v>
      </c>
      <c r="E22" s="45">
        <v>1</v>
      </c>
      <c r="F22" s="45">
        <v>1</v>
      </c>
      <c r="G22" s="45">
        <v>1</v>
      </c>
      <c r="H22" s="45">
        <v>1</v>
      </c>
      <c r="I22" s="45">
        <v>0</v>
      </c>
      <c r="J22" s="45">
        <v>2</v>
      </c>
      <c r="K22" s="45">
        <v>3</v>
      </c>
      <c r="L22" s="45">
        <v>4</v>
      </c>
      <c r="M22" s="45">
        <v>3</v>
      </c>
      <c r="N22" s="45" t="s">
        <v>252</v>
      </c>
      <c r="O22" s="45" t="s">
        <v>252</v>
      </c>
      <c r="P22" s="118">
        <f t="shared" si="8"/>
        <v>16</v>
      </c>
      <c r="Q22" s="95"/>
      <c r="R22" s="109">
        <f>IF(A22=B22,Studentwise!AO22,"")</f>
        <v>76.923076923076934</v>
      </c>
      <c r="S22" s="109">
        <f>IF(A22=B22,Studentwise!AP22,"")</f>
        <v>57.142857142857139</v>
      </c>
      <c r="T22" s="109">
        <f>IF(A22=B22,Studentwise!AQ22,"")</f>
        <v>77.777777777777786</v>
      </c>
      <c r="U22" s="109">
        <f>IF(A22=B22,Studentwise!AR22,"")</f>
        <v>83.333333333333343</v>
      </c>
      <c r="V22" s="109">
        <f>IF(A22=B22,Studentwise!AS22,"")</f>
        <v>100</v>
      </c>
      <c r="W22" s="221"/>
      <c r="X22" s="216" t="s">
        <v>34</v>
      </c>
      <c r="Y22" s="8" t="b">
        <f t="shared" si="2"/>
        <v>0</v>
      </c>
      <c r="Z22" s="8" t="b">
        <f t="shared" si="3"/>
        <v>0</v>
      </c>
      <c r="AA22" s="8" t="b">
        <f t="shared" si="4"/>
        <v>0</v>
      </c>
      <c r="AB22" s="8" t="b">
        <f t="shared" si="5"/>
        <v>0</v>
      </c>
      <c r="AC22" s="8" t="b">
        <f t="shared" si="6"/>
        <v>1</v>
      </c>
      <c r="AD22" s="8" t="b">
        <f t="shared" si="7"/>
        <v>1</v>
      </c>
      <c r="AE22" s="8">
        <f t="shared" si="9"/>
        <v>2</v>
      </c>
    </row>
    <row r="23" spans="1:31" ht="18" customHeight="1">
      <c r="A23" s="65">
        <v>4</v>
      </c>
      <c r="B23" s="43">
        <v>4</v>
      </c>
      <c r="C23" s="44" t="s">
        <v>331</v>
      </c>
      <c r="D23" s="45">
        <v>1</v>
      </c>
      <c r="E23" s="45">
        <v>1</v>
      </c>
      <c r="F23" s="45">
        <v>1</v>
      </c>
      <c r="G23" s="45">
        <v>1</v>
      </c>
      <c r="H23" s="45">
        <v>1</v>
      </c>
      <c r="I23" s="45">
        <v>1</v>
      </c>
      <c r="J23" s="45">
        <v>4</v>
      </c>
      <c r="K23" s="45">
        <v>1</v>
      </c>
      <c r="L23" s="45">
        <v>4</v>
      </c>
      <c r="M23" s="45">
        <v>3</v>
      </c>
      <c r="N23" s="45" t="s">
        <v>252</v>
      </c>
      <c r="O23" s="45" t="s">
        <v>252</v>
      </c>
      <c r="P23" s="118">
        <f t="shared" si="8"/>
        <v>18</v>
      </c>
      <c r="Q23" s="95"/>
      <c r="R23" s="109">
        <f>IF(A23=B23,Studentwise!AO23,"")</f>
        <v>75</v>
      </c>
      <c r="S23" s="109">
        <f>IF(A23=B23,Studentwise!AP23,"")</f>
        <v>46.428571428571431</v>
      </c>
      <c r="T23" s="109">
        <f>IF(A23=B23,Studentwise!AQ23,"")</f>
        <v>77.777777777777786</v>
      </c>
      <c r="U23" s="109">
        <f>IF(A23=B23,Studentwise!AR23,"")</f>
        <v>72.222222222222214</v>
      </c>
      <c r="V23" s="109">
        <f>IF(A23=B23,Studentwise!AS23,"")</f>
        <v>100</v>
      </c>
      <c r="W23" s="221"/>
      <c r="X23" s="216" t="s">
        <v>41</v>
      </c>
      <c r="Y23" s="8" t="b">
        <f t="shared" si="2"/>
        <v>0</v>
      </c>
      <c r="Z23" s="8" t="b">
        <f t="shared" si="3"/>
        <v>0</v>
      </c>
      <c r="AA23" s="8" t="b">
        <f t="shared" si="4"/>
        <v>0</v>
      </c>
      <c r="AB23" s="8" t="b">
        <f t="shared" si="5"/>
        <v>0</v>
      </c>
      <c r="AC23" s="8" t="b">
        <f t="shared" si="6"/>
        <v>1</v>
      </c>
      <c r="AD23" s="8" t="b">
        <f t="shared" si="7"/>
        <v>1</v>
      </c>
      <c r="AE23" s="8">
        <f t="shared" si="9"/>
        <v>2</v>
      </c>
    </row>
    <row r="24" spans="1:31" ht="18" customHeight="1">
      <c r="A24" s="65">
        <v>5</v>
      </c>
      <c r="B24" s="43">
        <v>5</v>
      </c>
      <c r="C24" s="44" t="s">
        <v>332</v>
      </c>
      <c r="D24" s="45">
        <v>1</v>
      </c>
      <c r="E24" s="45">
        <v>1</v>
      </c>
      <c r="F24" s="45">
        <v>1</v>
      </c>
      <c r="G24" s="45">
        <v>1</v>
      </c>
      <c r="H24" s="45">
        <v>1</v>
      </c>
      <c r="I24" s="45">
        <v>1</v>
      </c>
      <c r="J24" s="45" t="s">
        <v>252</v>
      </c>
      <c r="K24" s="45" t="s">
        <v>252</v>
      </c>
      <c r="L24" s="45">
        <v>4</v>
      </c>
      <c r="M24" s="45">
        <v>2</v>
      </c>
      <c r="N24" s="45">
        <v>4</v>
      </c>
      <c r="O24" s="45">
        <v>2</v>
      </c>
      <c r="P24" s="118">
        <f t="shared" si="8"/>
        <v>18</v>
      </c>
      <c r="Q24" s="95"/>
      <c r="R24" s="109">
        <f>IF(A24=B24,Studentwise!AO24,"")</f>
        <v>70</v>
      </c>
      <c r="S24" s="109">
        <f>IF(A24=B24,Studentwise!AP24,"")</f>
        <v>20</v>
      </c>
      <c r="T24" s="109">
        <f>IF(A24=B24,Studentwise!AQ24,"")</f>
        <v>44.444444444444443</v>
      </c>
      <c r="U24" s="109">
        <f>IF(A24=B24,Studentwise!AR24,"")</f>
        <v>77.777777777777786</v>
      </c>
      <c r="V24" s="109">
        <f>IF(A24=B24,Studentwise!AS24,"")</f>
        <v>50</v>
      </c>
      <c r="W24" s="221"/>
      <c r="X24" s="216" t="s">
        <v>50</v>
      </c>
      <c r="Y24" s="8" t="b">
        <f t="shared" si="2"/>
        <v>1</v>
      </c>
      <c r="Z24" s="8" t="b">
        <f t="shared" si="3"/>
        <v>1</v>
      </c>
      <c r="AA24" s="8" t="b">
        <f t="shared" si="4"/>
        <v>0</v>
      </c>
      <c r="AB24" s="8" t="b">
        <f t="shared" si="5"/>
        <v>0</v>
      </c>
      <c r="AC24" s="8" t="b">
        <f t="shared" si="6"/>
        <v>0</v>
      </c>
      <c r="AD24" s="8" t="b">
        <f t="shared" si="7"/>
        <v>0</v>
      </c>
      <c r="AE24" s="8">
        <f t="shared" si="9"/>
        <v>2</v>
      </c>
    </row>
    <row r="25" spans="1:31" ht="18" customHeight="1">
      <c r="A25" s="65">
        <v>6</v>
      </c>
      <c r="B25" s="43">
        <v>6</v>
      </c>
      <c r="C25" s="44" t="s">
        <v>333</v>
      </c>
      <c r="D25" s="45">
        <v>1</v>
      </c>
      <c r="E25" s="45">
        <v>1</v>
      </c>
      <c r="F25" s="45">
        <v>1</v>
      </c>
      <c r="G25" s="45">
        <v>1</v>
      </c>
      <c r="H25" s="45">
        <v>1</v>
      </c>
      <c r="I25" s="45">
        <v>1</v>
      </c>
      <c r="J25" s="45">
        <v>3</v>
      </c>
      <c r="K25" s="45">
        <v>3</v>
      </c>
      <c r="L25" s="45">
        <v>4</v>
      </c>
      <c r="M25" s="45">
        <v>3</v>
      </c>
      <c r="N25" s="45" t="s">
        <v>252</v>
      </c>
      <c r="O25" s="45" t="s">
        <v>252</v>
      </c>
      <c r="P25" s="118">
        <f t="shared" si="8"/>
        <v>19</v>
      </c>
      <c r="Q25" s="213"/>
      <c r="R25" s="109">
        <f>IF(A25=B25,Studentwise!AO25,"")</f>
        <v>69.230769230769226</v>
      </c>
      <c r="S25" s="109">
        <f>IF(A25=B25,Studentwise!AP25,"")</f>
        <v>42.857142857142854</v>
      </c>
      <c r="T25" s="109">
        <f>IF(A25=B25,Studentwise!AQ25,"")</f>
        <v>77.777777777777786</v>
      </c>
      <c r="U25" s="109">
        <f>IF(A25=B25,Studentwise!AR25,"")</f>
        <v>94.444444444444443</v>
      </c>
      <c r="V25" s="109">
        <f>IF(A25=B25,Studentwise!AS25,"")</f>
        <v>100</v>
      </c>
      <c r="W25" s="213"/>
      <c r="X25" s="216" t="s">
        <v>57</v>
      </c>
      <c r="Y25" s="8" t="b">
        <f t="shared" si="2"/>
        <v>0</v>
      </c>
      <c r="Z25" s="8" t="b">
        <f t="shared" si="3"/>
        <v>0</v>
      </c>
      <c r="AA25" s="8" t="b">
        <f t="shared" si="4"/>
        <v>0</v>
      </c>
      <c r="AB25" s="8" t="b">
        <f t="shared" si="5"/>
        <v>0</v>
      </c>
      <c r="AC25" s="8" t="b">
        <f t="shared" si="6"/>
        <v>1</v>
      </c>
      <c r="AD25" s="8" t="b">
        <f t="shared" si="7"/>
        <v>1</v>
      </c>
      <c r="AE25" s="8">
        <f t="shared" si="9"/>
        <v>2</v>
      </c>
    </row>
    <row r="26" spans="1:31" ht="18" customHeight="1">
      <c r="A26" s="65">
        <v>7</v>
      </c>
      <c r="B26" s="43">
        <v>7</v>
      </c>
      <c r="C26" s="44" t="s">
        <v>334</v>
      </c>
      <c r="D26" s="45">
        <v>1</v>
      </c>
      <c r="E26" s="45">
        <v>0</v>
      </c>
      <c r="F26" s="45">
        <v>1</v>
      </c>
      <c r="G26" s="45">
        <v>0</v>
      </c>
      <c r="H26" s="45">
        <v>1</v>
      </c>
      <c r="I26" s="45">
        <v>1</v>
      </c>
      <c r="J26" s="45">
        <v>3</v>
      </c>
      <c r="K26" s="45">
        <v>3</v>
      </c>
      <c r="L26" s="45" t="s">
        <v>252</v>
      </c>
      <c r="M26" s="45" t="s">
        <v>252</v>
      </c>
      <c r="N26" s="45">
        <v>0</v>
      </c>
      <c r="O26" s="45">
        <v>3</v>
      </c>
      <c r="P26" s="118">
        <f t="shared" si="8"/>
        <v>13</v>
      </c>
      <c r="Q26" s="213"/>
      <c r="R26" s="109">
        <f>IF(A26=B26,Studentwise!AO26,"")</f>
        <v>33.333333333333329</v>
      </c>
      <c r="S26" s="109">
        <f>IF(A26=B26,Studentwise!AP26,"")</f>
        <v>60.714285714285708</v>
      </c>
      <c r="T26" s="109">
        <f>IF(A26=B26,Studentwise!AQ26,"")</f>
        <v>33.333333333333329</v>
      </c>
      <c r="U26" s="109">
        <f>IF(A26=B26,Studentwise!AR26,"")</f>
        <v>72.222222222222214</v>
      </c>
      <c r="V26" s="109">
        <f>IF(A26=B26,Studentwise!AS26,"")</f>
        <v>50</v>
      </c>
      <c r="W26" s="213"/>
      <c r="X26" s="7"/>
      <c r="Y26" s="8" t="b">
        <f t="shared" si="2"/>
        <v>0</v>
      </c>
      <c r="Z26" s="8" t="b">
        <f t="shared" si="3"/>
        <v>0</v>
      </c>
      <c r="AA26" s="8" t="b">
        <f t="shared" si="4"/>
        <v>1</v>
      </c>
      <c r="AB26" s="8" t="b">
        <f t="shared" si="5"/>
        <v>1</v>
      </c>
      <c r="AC26" s="8" t="b">
        <f t="shared" si="6"/>
        <v>0</v>
      </c>
      <c r="AD26" s="8" t="b">
        <f t="shared" si="7"/>
        <v>0</v>
      </c>
      <c r="AE26" s="8">
        <f t="shared" si="9"/>
        <v>2</v>
      </c>
    </row>
    <row r="27" spans="1:31" ht="18" customHeight="1">
      <c r="A27" s="65">
        <v>8</v>
      </c>
      <c r="B27" s="43">
        <v>8</v>
      </c>
      <c r="C27" s="44" t="s">
        <v>335</v>
      </c>
      <c r="D27" s="45">
        <v>1</v>
      </c>
      <c r="E27" s="45">
        <v>1</v>
      </c>
      <c r="F27" s="45">
        <v>0</v>
      </c>
      <c r="G27" s="45">
        <v>0</v>
      </c>
      <c r="H27" s="45">
        <v>1</v>
      </c>
      <c r="I27" s="45">
        <v>1</v>
      </c>
      <c r="J27" s="45">
        <v>4</v>
      </c>
      <c r="K27" s="45">
        <v>0</v>
      </c>
      <c r="L27" s="45">
        <v>2</v>
      </c>
      <c r="M27" s="45">
        <v>2</v>
      </c>
      <c r="N27" s="45" t="s">
        <v>252</v>
      </c>
      <c r="O27" s="45" t="s">
        <v>252</v>
      </c>
      <c r="P27" s="118">
        <f t="shared" si="8"/>
        <v>12</v>
      </c>
      <c r="Q27" s="213"/>
      <c r="R27" s="109">
        <f>IF(A27=B27,Studentwise!AO27,"")</f>
        <v>83.333333333333343</v>
      </c>
      <c r="S27" s="109">
        <f>IF(A27=B27,Studentwise!AP27,"")</f>
        <v>46.428571428571431</v>
      </c>
      <c r="T27" s="109">
        <f>IF(A27=B27,Studentwise!AQ27,"")</f>
        <v>88.888888888888886</v>
      </c>
      <c r="U27" s="109">
        <f>IF(A27=B27,Studentwise!AR27,"")</f>
        <v>94.444444444444443</v>
      </c>
      <c r="V27" s="109">
        <f>IF(A27=B27,Studentwise!AS27,"")</f>
        <v>50</v>
      </c>
      <c r="W27" s="213"/>
      <c r="X27" s="7"/>
      <c r="Y27" s="8" t="b">
        <f t="shared" si="2"/>
        <v>0</v>
      </c>
      <c r="Z27" s="8" t="b">
        <f t="shared" si="3"/>
        <v>0</v>
      </c>
      <c r="AA27" s="8" t="b">
        <f t="shared" si="4"/>
        <v>0</v>
      </c>
      <c r="AB27" s="8" t="b">
        <f t="shared" si="5"/>
        <v>0</v>
      </c>
      <c r="AC27" s="8" t="b">
        <f t="shared" si="6"/>
        <v>1</v>
      </c>
      <c r="AD27" s="8" t="b">
        <f t="shared" si="7"/>
        <v>1</v>
      </c>
      <c r="AE27" s="8">
        <f t="shared" si="9"/>
        <v>2</v>
      </c>
    </row>
    <row r="28" spans="1:31" ht="18" customHeight="1">
      <c r="A28" s="65">
        <v>9</v>
      </c>
      <c r="B28" s="43">
        <v>9</v>
      </c>
      <c r="C28" s="44" t="s">
        <v>336</v>
      </c>
      <c r="D28" s="45">
        <v>1</v>
      </c>
      <c r="E28" s="45">
        <v>1</v>
      </c>
      <c r="F28" s="45">
        <v>0</v>
      </c>
      <c r="G28" s="45">
        <v>1</v>
      </c>
      <c r="H28" s="45">
        <v>1</v>
      </c>
      <c r="I28" s="45">
        <v>0</v>
      </c>
      <c r="J28" s="45">
        <v>4</v>
      </c>
      <c r="K28" s="45">
        <v>1</v>
      </c>
      <c r="L28" s="45">
        <v>4</v>
      </c>
      <c r="M28" s="45">
        <v>2</v>
      </c>
      <c r="N28" s="45" t="s">
        <v>252</v>
      </c>
      <c r="O28" s="45" t="s">
        <v>252</v>
      </c>
      <c r="P28" s="118">
        <f t="shared" si="8"/>
        <v>15</v>
      </c>
      <c r="Q28" s="213"/>
      <c r="R28" s="109">
        <f>IF(A28=B28,Studentwise!AO28,"")</f>
        <v>50</v>
      </c>
      <c r="S28" s="109">
        <f>IF(A28=B28,Studentwise!AP28,"")</f>
        <v>57.142857142857139</v>
      </c>
      <c r="T28" s="109">
        <f>IF(A28=B28,Studentwise!AQ28,"")</f>
        <v>50</v>
      </c>
      <c r="U28" s="109">
        <f>IF(A28=B28,Studentwise!AR28,"")</f>
        <v>44.444444444444443</v>
      </c>
      <c r="V28" s="109">
        <f>IF(A28=B28,Studentwise!AS28,"")</f>
        <v>50</v>
      </c>
      <c r="W28" s="213"/>
      <c r="X28" s="7"/>
      <c r="Y28" s="8" t="b">
        <f t="shared" si="2"/>
        <v>0</v>
      </c>
      <c r="Z28" s="8" t="b">
        <f t="shared" si="3"/>
        <v>0</v>
      </c>
      <c r="AA28" s="8" t="b">
        <f t="shared" si="4"/>
        <v>0</v>
      </c>
      <c r="AB28" s="8" t="b">
        <f t="shared" si="5"/>
        <v>0</v>
      </c>
      <c r="AC28" s="8" t="b">
        <f t="shared" si="6"/>
        <v>1</v>
      </c>
      <c r="AD28" s="8" t="b">
        <f t="shared" si="7"/>
        <v>1</v>
      </c>
      <c r="AE28" s="8">
        <f t="shared" si="9"/>
        <v>2</v>
      </c>
    </row>
    <row r="29" spans="1:31" ht="18" customHeight="1">
      <c r="A29" s="65">
        <v>10</v>
      </c>
      <c r="B29" s="43">
        <v>10</v>
      </c>
      <c r="C29" s="44" t="s">
        <v>337</v>
      </c>
      <c r="D29" s="45">
        <v>1</v>
      </c>
      <c r="E29" s="45">
        <v>1</v>
      </c>
      <c r="F29" s="45">
        <v>1</v>
      </c>
      <c r="G29" s="45">
        <v>0</v>
      </c>
      <c r="H29" s="45">
        <v>1</v>
      </c>
      <c r="I29" s="45">
        <v>1</v>
      </c>
      <c r="J29" s="45">
        <v>3</v>
      </c>
      <c r="K29" s="45">
        <v>3</v>
      </c>
      <c r="L29" s="45">
        <v>4</v>
      </c>
      <c r="M29" s="45">
        <v>3</v>
      </c>
      <c r="N29" s="45" t="s">
        <v>252</v>
      </c>
      <c r="O29" s="45" t="s">
        <v>252</v>
      </c>
      <c r="P29" s="118">
        <f t="shared" si="8"/>
        <v>18</v>
      </c>
      <c r="Q29" s="213"/>
      <c r="R29" s="109">
        <f>IF(A29=B29,Studentwise!AO29,"")</f>
        <v>92.307692307692307</v>
      </c>
      <c r="S29" s="109">
        <f>IF(A29=B29,Studentwise!AP29,"")</f>
        <v>50</v>
      </c>
      <c r="T29" s="109">
        <f>IF(A29=B29,Studentwise!AQ29,"")</f>
        <v>61.111111111111114</v>
      </c>
      <c r="U29" s="109">
        <f>IF(A29=B29,Studentwise!AR29,"")</f>
        <v>66.666666666666657</v>
      </c>
      <c r="V29" s="109">
        <f>IF(A29=B29,Studentwise!AS29,"")</f>
        <v>100</v>
      </c>
      <c r="W29" s="213"/>
      <c r="X29" s="7"/>
      <c r="Y29" s="8" t="b">
        <f t="shared" si="2"/>
        <v>0</v>
      </c>
      <c r="Z29" s="8" t="b">
        <f t="shared" si="3"/>
        <v>0</v>
      </c>
      <c r="AA29" s="8" t="b">
        <f t="shared" si="4"/>
        <v>0</v>
      </c>
      <c r="AB29" s="8" t="b">
        <f t="shared" si="5"/>
        <v>0</v>
      </c>
      <c r="AC29" s="8" t="b">
        <f t="shared" si="6"/>
        <v>1</v>
      </c>
      <c r="AD29" s="8" t="b">
        <f t="shared" si="7"/>
        <v>1</v>
      </c>
      <c r="AE29" s="8">
        <f t="shared" si="9"/>
        <v>2</v>
      </c>
    </row>
    <row r="30" spans="1:31" ht="18" customHeight="1">
      <c r="A30" s="65">
        <v>11</v>
      </c>
      <c r="B30" s="43">
        <v>11</v>
      </c>
      <c r="C30" s="44" t="s">
        <v>338</v>
      </c>
      <c r="D30" s="45">
        <v>1</v>
      </c>
      <c r="E30" s="45">
        <v>1</v>
      </c>
      <c r="F30" s="45">
        <v>1</v>
      </c>
      <c r="G30" s="45">
        <v>1</v>
      </c>
      <c r="H30" s="45">
        <v>1</v>
      </c>
      <c r="I30" s="45">
        <v>1</v>
      </c>
      <c r="J30" s="45">
        <v>3</v>
      </c>
      <c r="K30" s="45">
        <v>3</v>
      </c>
      <c r="L30" s="45">
        <v>4</v>
      </c>
      <c r="M30" s="45">
        <v>3</v>
      </c>
      <c r="N30" s="45" t="s">
        <v>252</v>
      </c>
      <c r="O30" s="45" t="s">
        <v>252</v>
      </c>
      <c r="P30" s="118">
        <f t="shared" si="8"/>
        <v>19</v>
      </c>
      <c r="Q30" s="213"/>
      <c r="R30" s="109">
        <f>IF(A30=B30,Studentwise!AO30,"")</f>
        <v>60</v>
      </c>
      <c r="S30" s="109">
        <f>IF(A30=B30,Studentwise!AP30,"")</f>
        <v>95</v>
      </c>
      <c r="T30" s="109">
        <f>IF(A30=B30,Studentwise!AQ30,"")</f>
        <v>83.333333333333343</v>
      </c>
      <c r="U30" s="109">
        <f>IF(A30=B30,Studentwise!AR30,"")</f>
        <v>100</v>
      </c>
      <c r="V30" s="109">
        <f>IF(A30=B30,Studentwise!AS30,"")</f>
        <v>100</v>
      </c>
      <c r="W30" s="213"/>
      <c r="X30" s="7"/>
      <c r="Y30" s="8" t="b">
        <f t="shared" si="2"/>
        <v>0</v>
      </c>
      <c r="Z30" s="8" t="b">
        <f t="shared" si="3"/>
        <v>0</v>
      </c>
      <c r="AA30" s="8" t="b">
        <f t="shared" si="4"/>
        <v>0</v>
      </c>
      <c r="AB30" s="8" t="b">
        <f t="shared" si="5"/>
        <v>0</v>
      </c>
      <c r="AC30" s="8" t="b">
        <f t="shared" si="6"/>
        <v>1</v>
      </c>
      <c r="AD30" s="8" t="b">
        <f t="shared" si="7"/>
        <v>1</v>
      </c>
      <c r="AE30" s="8">
        <f t="shared" si="9"/>
        <v>2</v>
      </c>
    </row>
    <row r="31" spans="1:31" ht="18" customHeight="1">
      <c r="A31" s="65">
        <v>12</v>
      </c>
      <c r="B31" s="43">
        <v>12</v>
      </c>
      <c r="C31" s="44" t="s">
        <v>339</v>
      </c>
      <c r="D31" s="45">
        <v>0</v>
      </c>
      <c r="E31" s="45">
        <v>1</v>
      </c>
      <c r="F31" s="45">
        <v>1</v>
      </c>
      <c r="G31" s="45">
        <v>1</v>
      </c>
      <c r="H31" s="45">
        <v>1</v>
      </c>
      <c r="I31" s="45">
        <v>0</v>
      </c>
      <c r="J31" s="45">
        <v>3</v>
      </c>
      <c r="K31" s="45">
        <v>3</v>
      </c>
      <c r="L31" s="45">
        <v>4</v>
      </c>
      <c r="M31" s="45">
        <v>3</v>
      </c>
      <c r="N31" s="45" t="s">
        <v>252</v>
      </c>
      <c r="O31" s="45" t="s">
        <v>252</v>
      </c>
      <c r="P31" s="118">
        <f t="shared" si="8"/>
        <v>17</v>
      </c>
      <c r="Q31" s="213"/>
      <c r="R31" s="109">
        <f>IF(A31=B31,Studentwise!AO31,"")</f>
        <v>83.333333333333343</v>
      </c>
      <c r="S31" s="109">
        <f>IF(A31=B31,Studentwise!AP31,"")</f>
        <v>42.857142857142854</v>
      </c>
      <c r="T31" s="109">
        <f>IF(A31=B31,Studentwise!AQ31,"")</f>
        <v>83.333333333333343</v>
      </c>
      <c r="U31" s="109">
        <f>IF(A31=B31,Studentwise!AR31,"")</f>
        <v>94.444444444444443</v>
      </c>
      <c r="V31" s="109">
        <f>IF(A31=B31,Studentwise!AS31,"")</f>
        <v>75</v>
      </c>
      <c r="W31" s="213"/>
      <c r="X31" s="7"/>
      <c r="Y31" s="8" t="b">
        <f t="shared" si="2"/>
        <v>0</v>
      </c>
      <c r="Z31" s="8" t="b">
        <f t="shared" si="3"/>
        <v>0</v>
      </c>
      <c r="AA31" s="8" t="b">
        <f t="shared" si="4"/>
        <v>0</v>
      </c>
      <c r="AB31" s="8" t="b">
        <f t="shared" si="5"/>
        <v>0</v>
      </c>
      <c r="AC31" s="8" t="b">
        <f t="shared" si="6"/>
        <v>1</v>
      </c>
      <c r="AD31" s="8" t="b">
        <f t="shared" si="7"/>
        <v>1</v>
      </c>
      <c r="AE31" s="8">
        <f t="shared" si="9"/>
        <v>2</v>
      </c>
    </row>
    <row r="32" spans="1:31" ht="18" customHeight="1">
      <c r="A32" s="65">
        <v>13</v>
      </c>
      <c r="B32" s="43">
        <v>13</v>
      </c>
      <c r="C32" s="44" t="s">
        <v>340</v>
      </c>
      <c r="D32" s="45">
        <v>1</v>
      </c>
      <c r="E32" s="45">
        <v>1</v>
      </c>
      <c r="F32" s="45">
        <v>1</v>
      </c>
      <c r="G32" s="45">
        <v>0</v>
      </c>
      <c r="H32" s="45">
        <v>1</v>
      </c>
      <c r="I32" s="45">
        <v>0</v>
      </c>
      <c r="J32" s="45">
        <v>3</v>
      </c>
      <c r="K32" s="45">
        <v>3</v>
      </c>
      <c r="L32" s="45">
        <v>4</v>
      </c>
      <c r="M32" s="45">
        <v>3</v>
      </c>
      <c r="N32" s="45" t="s">
        <v>252</v>
      </c>
      <c r="O32" s="45" t="s">
        <v>252</v>
      </c>
      <c r="P32" s="118">
        <f t="shared" si="8"/>
        <v>17</v>
      </c>
      <c r="Q32" s="213"/>
      <c r="R32" s="109">
        <f>IF(A32=B32,Studentwise!AO32,"")</f>
        <v>42.307692307692307</v>
      </c>
      <c r="S32" s="109">
        <f>IF(A32=B32,Studentwise!AP32,"")</f>
        <v>28.571428571428569</v>
      </c>
      <c r="T32" s="109">
        <f>IF(A32=B32,Studentwise!AQ32,"")</f>
        <v>50</v>
      </c>
      <c r="U32" s="109">
        <f>IF(A32=B32,Studentwise!AR32,"")</f>
        <v>88.888888888888886</v>
      </c>
      <c r="V32" s="109">
        <f>IF(A32=B32,Studentwise!AS32,"")</f>
        <v>50</v>
      </c>
      <c r="W32" s="213"/>
      <c r="X32" s="7"/>
      <c r="Y32" s="8" t="b">
        <f t="shared" si="2"/>
        <v>0</v>
      </c>
      <c r="Z32" s="8" t="b">
        <f t="shared" si="3"/>
        <v>0</v>
      </c>
      <c r="AA32" s="8" t="b">
        <f t="shared" si="4"/>
        <v>0</v>
      </c>
      <c r="AB32" s="8" t="b">
        <f t="shared" si="5"/>
        <v>0</v>
      </c>
      <c r="AC32" s="8" t="b">
        <f t="shared" si="6"/>
        <v>1</v>
      </c>
      <c r="AD32" s="8" t="b">
        <f t="shared" si="7"/>
        <v>1</v>
      </c>
      <c r="AE32" s="8">
        <f t="shared" si="9"/>
        <v>2</v>
      </c>
    </row>
    <row r="33" spans="1:31" ht="18" customHeight="1">
      <c r="A33" s="65">
        <v>14</v>
      </c>
      <c r="B33" s="43">
        <v>14</v>
      </c>
      <c r="C33" s="44" t="s">
        <v>341</v>
      </c>
      <c r="D33" s="45">
        <v>1</v>
      </c>
      <c r="E33" s="45">
        <v>1</v>
      </c>
      <c r="F33" s="45">
        <v>0</v>
      </c>
      <c r="G33" s="45">
        <v>1</v>
      </c>
      <c r="H33" s="45">
        <v>1</v>
      </c>
      <c r="I33" s="45">
        <v>1</v>
      </c>
      <c r="J33" s="45">
        <v>4</v>
      </c>
      <c r="K33" s="45">
        <v>3</v>
      </c>
      <c r="L33" s="45">
        <v>4</v>
      </c>
      <c r="M33" s="45">
        <v>3</v>
      </c>
      <c r="N33" s="45" t="s">
        <v>252</v>
      </c>
      <c r="O33" s="45" t="s">
        <v>252</v>
      </c>
      <c r="P33" s="118">
        <f t="shared" si="8"/>
        <v>19</v>
      </c>
      <c r="Q33" s="213"/>
      <c r="R33" s="109">
        <f>IF(A33=B33,Studentwise!AO33,"")</f>
        <v>25</v>
      </c>
      <c r="S33" s="109">
        <f>IF(A33=B33,Studentwise!AP33,"")</f>
        <v>10</v>
      </c>
      <c r="T33" s="109">
        <f>IF(A33=B33,Studentwise!AQ33,"")</f>
        <v>38.888888888888893</v>
      </c>
      <c r="U33" s="109">
        <f>IF(A33=B33,Studentwise!AR33,"")</f>
        <v>61.111111111111114</v>
      </c>
      <c r="V33" s="109">
        <f>IF(A33=B33,Studentwise!AS33,"")</f>
        <v>0</v>
      </c>
      <c r="W33" s="213"/>
      <c r="X33" s="7"/>
      <c r="Y33" s="8" t="b">
        <f t="shared" si="2"/>
        <v>0</v>
      </c>
      <c r="Z33" s="8" t="b">
        <f t="shared" si="3"/>
        <v>0</v>
      </c>
      <c r="AA33" s="8" t="b">
        <f t="shared" si="4"/>
        <v>0</v>
      </c>
      <c r="AB33" s="8" t="b">
        <f t="shared" si="5"/>
        <v>0</v>
      </c>
      <c r="AC33" s="8" t="b">
        <f t="shared" si="6"/>
        <v>1</v>
      </c>
      <c r="AD33" s="8" t="b">
        <f t="shared" si="7"/>
        <v>1</v>
      </c>
      <c r="AE33" s="8">
        <f t="shared" si="9"/>
        <v>2</v>
      </c>
    </row>
    <row r="34" spans="1:31" ht="18" customHeight="1">
      <c r="A34" s="65">
        <v>15</v>
      </c>
      <c r="B34" s="43">
        <v>15</v>
      </c>
      <c r="C34" s="44" t="s">
        <v>342</v>
      </c>
      <c r="D34" s="45">
        <v>1</v>
      </c>
      <c r="E34" s="45">
        <v>1</v>
      </c>
      <c r="F34" s="45">
        <v>0</v>
      </c>
      <c r="G34" s="45">
        <v>1</v>
      </c>
      <c r="H34" s="45">
        <v>0</v>
      </c>
      <c r="I34" s="45">
        <v>1</v>
      </c>
      <c r="J34" s="45">
        <v>3</v>
      </c>
      <c r="K34" s="45">
        <v>3</v>
      </c>
      <c r="L34" s="45">
        <v>4</v>
      </c>
      <c r="M34" s="45">
        <v>3</v>
      </c>
      <c r="N34" s="45" t="s">
        <v>252</v>
      </c>
      <c r="O34" s="45" t="s">
        <v>252</v>
      </c>
      <c r="P34" s="118">
        <f t="shared" si="8"/>
        <v>17</v>
      </c>
      <c r="Q34" s="213"/>
      <c r="R34" s="109">
        <f>IF(A34=B34,Studentwise!AO34,"")</f>
        <v>96.15384615384616</v>
      </c>
      <c r="S34" s="109">
        <f>IF(A34=B34,Studentwise!AP34,"")</f>
        <v>28.571428571428569</v>
      </c>
      <c r="T34" s="109">
        <f>IF(A34=B34,Studentwise!AQ34,"")</f>
        <v>27.777777777777779</v>
      </c>
      <c r="U34" s="109">
        <f>IF(A34=B34,Studentwise!AR34,"")</f>
        <v>61.111111111111114</v>
      </c>
      <c r="V34" s="109">
        <f>IF(A34=B34,Studentwise!AS34,"")</f>
        <v>50</v>
      </c>
      <c r="W34" s="213"/>
      <c r="X34" s="7"/>
      <c r="Y34" s="8" t="b">
        <f t="shared" si="2"/>
        <v>0</v>
      </c>
      <c r="Z34" s="8" t="b">
        <f t="shared" si="3"/>
        <v>0</v>
      </c>
      <c r="AA34" s="8" t="b">
        <f t="shared" si="4"/>
        <v>0</v>
      </c>
      <c r="AB34" s="8" t="b">
        <f t="shared" si="5"/>
        <v>0</v>
      </c>
      <c r="AC34" s="8" t="b">
        <f t="shared" si="6"/>
        <v>1</v>
      </c>
      <c r="AD34" s="8" t="b">
        <f t="shared" si="7"/>
        <v>1</v>
      </c>
      <c r="AE34" s="8">
        <f t="shared" si="9"/>
        <v>2</v>
      </c>
    </row>
    <row r="35" spans="1:31" ht="18" customHeight="1">
      <c r="A35" s="65">
        <v>16</v>
      </c>
      <c r="B35" s="43">
        <v>16</v>
      </c>
      <c r="C35" s="44" t="s">
        <v>343</v>
      </c>
      <c r="D35" s="45">
        <v>1</v>
      </c>
      <c r="E35" s="45">
        <v>1</v>
      </c>
      <c r="F35" s="45">
        <v>1</v>
      </c>
      <c r="G35" s="45">
        <v>0</v>
      </c>
      <c r="H35" s="45">
        <v>1</v>
      </c>
      <c r="I35" s="45">
        <v>1</v>
      </c>
      <c r="J35" s="45">
        <v>3</v>
      </c>
      <c r="K35" s="45">
        <v>3</v>
      </c>
      <c r="L35" s="45">
        <v>3</v>
      </c>
      <c r="M35" s="45">
        <v>3</v>
      </c>
      <c r="N35" s="45" t="s">
        <v>252</v>
      </c>
      <c r="O35" s="45" t="s">
        <v>252</v>
      </c>
      <c r="P35" s="118">
        <f t="shared" si="8"/>
        <v>17</v>
      </c>
      <c r="Q35" s="213"/>
      <c r="R35" s="109">
        <f>IF(A35=B35,Studentwise!AO35,"")</f>
        <v>88.461538461538453</v>
      </c>
      <c r="S35" s="109">
        <f>IF(A35=B35,Studentwise!AP35,"")</f>
        <v>28.571428571428569</v>
      </c>
      <c r="T35" s="109">
        <f>IF(A35=B35,Studentwise!AQ35,"")</f>
        <v>83.333333333333343</v>
      </c>
      <c r="U35" s="109">
        <f>IF(A35=B35,Studentwise!AR35,"")</f>
        <v>94.444444444444443</v>
      </c>
      <c r="V35" s="109">
        <f>IF(A35=B35,Studentwise!AS35,"")</f>
        <v>100</v>
      </c>
      <c r="W35" s="213"/>
      <c r="X35" s="7"/>
      <c r="Y35" s="8" t="b">
        <f t="shared" si="2"/>
        <v>0</v>
      </c>
      <c r="Z35" s="8" t="b">
        <f t="shared" si="3"/>
        <v>0</v>
      </c>
      <c r="AA35" s="8" t="b">
        <f t="shared" si="4"/>
        <v>0</v>
      </c>
      <c r="AB35" s="8" t="b">
        <f t="shared" si="5"/>
        <v>0</v>
      </c>
      <c r="AC35" s="8" t="b">
        <f t="shared" si="6"/>
        <v>1</v>
      </c>
      <c r="AD35" s="8" t="b">
        <f t="shared" si="7"/>
        <v>1</v>
      </c>
      <c r="AE35" s="8">
        <f t="shared" si="9"/>
        <v>2</v>
      </c>
    </row>
    <row r="36" spans="1:31" ht="18" customHeight="1">
      <c r="A36" s="65">
        <v>17</v>
      </c>
      <c r="B36" s="43">
        <v>17</v>
      </c>
      <c r="C36" s="44" t="s">
        <v>344</v>
      </c>
      <c r="D36" s="45">
        <v>0</v>
      </c>
      <c r="E36" s="45">
        <v>1</v>
      </c>
      <c r="F36" s="45">
        <v>0</v>
      </c>
      <c r="G36" s="45">
        <v>1</v>
      </c>
      <c r="H36" s="45">
        <v>1</v>
      </c>
      <c r="I36" s="45">
        <v>1</v>
      </c>
      <c r="J36" s="45">
        <v>3</v>
      </c>
      <c r="K36" s="45">
        <v>3</v>
      </c>
      <c r="L36" s="45">
        <v>3</v>
      </c>
      <c r="M36" s="45">
        <v>3</v>
      </c>
      <c r="N36" s="45" t="s">
        <v>252</v>
      </c>
      <c r="O36" s="45" t="s">
        <v>252</v>
      </c>
      <c r="P36" s="118">
        <f t="shared" si="8"/>
        <v>16</v>
      </c>
      <c r="Q36" s="213"/>
      <c r="R36" s="109">
        <f>IF(A36=B36,Studentwise!AO36,"")</f>
        <v>88.461538461538453</v>
      </c>
      <c r="S36" s="109">
        <f>IF(A36=B36,Studentwise!AP36,"")</f>
        <v>42.857142857142854</v>
      </c>
      <c r="T36" s="109">
        <f>IF(A36=B36,Studentwise!AQ36,"")</f>
        <v>72.222222222222214</v>
      </c>
      <c r="U36" s="109">
        <f>IF(A36=B36,Studentwise!AR36,"")</f>
        <v>88.888888888888886</v>
      </c>
      <c r="V36" s="109">
        <f>IF(A36=B36,Studentwise!AS36,"")</f>
        <v>50</v>
      </c>
      <c r="W36" s="213"/>
      <c r="X36" s="7"/>
      <c r="Y36" s="8" t="b">
        <f t="shared" si="2"/>
        <v>0</v>
      </c>
      <c r="Z36" s="8" t="b">
        <f t="shared" si="3"/>
        <v>0</v>
      </c>
      <c r="AA36" s="8" t="b">
        <f t="shared" si="4"/>
        <v>0</v>
      </c>
      <c r="AB36" s="8" t="b">
        <f t="shared" si="5"/>
        <v>0</v>
      </c>
      <c r="AC36" s="8" t="b">
        <f t="shared" si="6"/>
        <v>1</v>
      </c>
      <c r="AD36" s="8" t="b">
        <f t="shared" si="7"/>
        <v>1</v>
      </c>
      <c r="AE36" s="8">
        <f t="shared" si="9"/>
        <v>2</v>
      </c>
    </row>
    <row r="37" spans="1:31" ht="18" customHeight="1">
      <c r="A37" s="65">
        <v>18</v>
      </c>
      <c r="B37" s="43">
        <v>18</v>
      </c>
      <c r="C37" s="44" t="s">
        <v>345</v>
      </c>
      <c r="D37" s="45">
        <v>1</v>
      </c>
      <c r="E37" s="45">
        <v>1</v>
      </c>
      <c r="F37" s="45">
        <v>1</v>
      </c>
      <c r="G37" s="45">
        <v>1</v>
      </c>
      <c r="H37" s="45">
        <v>1</v>
      </c>
      <c r="I37" s="45">
        <v>1</v>
      </c>
      <c r="J37" s="45">
        <v>4</v>
      </c>
      <c r="K37" s="45">
        <v>3</v>
      </c>
      <c r="L37" s="45">
        <v>4</v>
      </c>
      <c r="M37" s="45">
        <v>3</v>
      </c>
      <c r="N37" s="45" t="s">
        <v>252</v>
      </c>
      <c r="O37" s="45" t="s">
        <v>252</v>
      </c>
      <c r="P37" s="118">
        <f t="shared" si="8"/>
        <v>20</v>
      </c>
      <c r="Q37" s="213"/>
      <c r="R37" s="109">
        <f>IF(A37=B37,Studentwise!AO37,"")</f>
        <v>84.615384615384613</v>
      </c>
      <c r="S37" s="109">
        <f>IF(A37=B37,Studentwise!AP37,"")</f>
        <v>35.714285714285715</v>
      </c>
      <c r="T37" s="109">
        <f>IF(A37=B37,Studentwise!AQ37,"")</f>
        <v>25</v>
      </c>
      <c r="U37" s="109">
        <f>IF(A37=B37,Studentwise!AR37,"")</f>
        <v>88.888888888888886</v>
      </c>
      <c r="V37" s="109">
        <f>IF(A37=B37,Studentwise!AS37,"")</f>
        <v>88.888888888888886</v>
      </c>
      <c r="W37" s="213"/>
      <c r="X37" s="7"/>
      <c r="Y37" s="8" t="b">
        <f t="shared" si="2"/>
        <v>0</v>
      </c>
      <c r="Z37" s="8" t="b">
        <f t="shared" si="3"/>
        <v>0</v>
      </c>
      <c r="AA37" s="8" t="b">
        <f t="shared" si="4"/>
        <v>0</v>
      </c>
      <c r="AB37" s="8" t="b">
        <f t="shared" si="5"/>
        <v>0</v>
      </c>
      <c r="AC37" s="8" t="b">
        <f t="shared" si="6"/>
        <v>1</v>
      </c>
      <c r="AD37" s="8" t="b">
        <f t="shared" si="7"/>
        <v>1</v>
      </c>
      <c r="AE37" s="8">
        <f t="shared" si="9"/>
        <v>2</v>
      </c>
    </row>
    <row r="38" spans="1:31" ht="18" customHeight="1">
      <c r="A38" s="65">
        <v>19</v>
      </c>
      <c r="B38" s="43">
        <v>19</v>
      </c>
      <c r="C38" s="44" t="s">
        <v>346</v>
      </c>
      <c r="D38" s="45">
        <v>1</v>
      </c>
      <c r="E38" s="45">
        <v>1</v>
      </c>
      <c r="F38" s="45">
        <v>1</v>
      </c>
      <c r="G38" s="45">
        <v>1</v>
      </c>
      <c r="H38" s="45">
        <v>1</v>
      </c>
      <c r="I38" s="45">
        <v>0</v>
      </c>
      <c r="J38" s="45">
        <v>4</v>
      </c>
      <c r="K38" s="45">
        <v>2</v>
      </c>
      <c r="L38" s="45">
        <v>2</v>
      </c>
      <c r="M38" s="45">
        <v>1</v>
      </c>
      <c r="N38" s="45" t="s">
        <v>252</v>
      </c>
      <c r="O38" s="45" t="s">
        <v>252</v>
      </c>
      <c r="P38" s="118">
        <f t="shared" si="8"/>
        <v>14</v>
      </c>
      <c r="Q38" s="213"/>
      <c r="R38" s="109">
        <f>IF(A38=B38,Studentwise!AO38,"")</f>
        <v>66.666666666666657</v>
      </c>
      <c r="S38" s="109">
        <f>IF(A38=B38,Studentwise!AP38,"")</f>
        <v>25</v>
      </c>
      <c r="T38" s="109">
        <f>IF(A38=B38,Studentwise!AQ38,"")</f>
        <v>38.888888888888893</v>
      </c>
      <c r="U38" s="109">
        <f>IF(A38=B38,Studentwise!AR38,"")</f>
        <v>77.777777777777786</v>
      </c>
      <c r="V38" s="109">
        <f>IF(A38=B38,Studentwise!AS38,"")</f>
        <v>50</v>
      </c>
      <c r="W38" s="213"/>
      <c r="X38" s="7"/>
      <c r="Y38" s="8" t="b">
        <f t="shared" si="2"/>
        <v>0</v>
      </c>
      <c r="Z38" s="8" t="b">
        <f t="shared" si="3"/>
        <v>0</v>
      </c>
      <c r="AA38" s="8" t="b">
        <f t="shared" si="4"/>
        <v>0</v>
      </c>
      <c r="AB38" s="8" t="b">
        <f t="shared" si="5"/>
        <v>0</v>
      </c>
      <c r="AC38" s="8" t="b">
        <f t="shared" si="6"/>
        <v>1</v>
      </c>
      <c r="AD38" s="8" t="b">
        <f t="shared" si="7"/>
        <v>1</v>
      </c>
      <c r="AE38" s="8">
        <f t="shared" si="9"/>
        <v>2</v>
      </c>
    </row>
    <row r="39" spans="1:31" ht="18" customHeight="1">
      <c r="A39" s="65">
        <v>20</v>
      </c>
      <c r="B39" s="43">
        <v>20</v>
      </c>
      <c r="C39" s="44" t="s">
        <v>347</v>
      </c>
      <c r="D39" s="45">
        <v>1</v>
      </c>
      <c r="E39" s="45">
        <v>1</v>
      </c>
      <c r="F39" s="45">
        <v>1</v>
      </c>
      <c r="G39" s="45">
        <v>1</v>
      </c>
      <c r="H39" s="45">
        <v>1</v>
      </c>
      <c r="I39" s="45">
        <v>1</v>
      </c>
      <c r="J39" s="45">
        <v>4</v>
      </c>
      <c r="K39" s="45">
        <v>3</v>
      </c>
      <c r="L39" s="45">
        <v>3</v>
      </c>
      <c r="M39" s="45">
        <v>3</v>
      </c>
      <c r="N39" s="45" t="s">
        <v>252</v>
      </c>
      <c r="O39" s="45" t="s">
        <v>252</v>
      </c>
      <c r="P39" s="118">
        <f t="shared" si="8"/>
        <v>19</v>
      </c>
      <c r="Q39" s="213"/>
      <c r="R39" s="109">
        <f>IF(A39=B39,Studentwise!AO39,"")</f>
        <v>50</v>
      </c>
      <c r="S39" s="109">
        <f>IF(A39=B39,Studentwise!AP39,"")</f>
        <v>30</v>
      </c>
      <c r="T39" s="109">
        <f>IF(A39=B39,Studentwise!AQ39,"")</f>
        <v>27.777777777777779</v>
      </c>
      <c r="U39" s="109">
        <f>IF(A39=B39,Studentwise!AR39,"")</f>
        <v>44.444444444444443</v>
      </c>
      <c r="V39" s="109">
        <f>IF(A39=B39,Studentwise!AS39,"")</f>
        <v>0</v>
      </c>
      <c r="W39" s="213"/>
      <c r="X39" s="7"/>
      <c r="Y39" s="8" t="b">
        <f t="shared" si="2"/>
        <v>0</v>
      </c>
      <c r="Z39" s="8" t="b">
        <f t="shared" si="3"/>
        <v>0</v>
      </c>
      <c r="AA39" s="8" t="b">
        <f t="shared" si="4"/>
        <v>0</v>
      </c>
      <c r="AB39" s="8" t="b">
        <f t="shared" si="5"/>
        <v>0</v>
      </c>
      <c r="AC39" s="8" t="b">
        <f t="shared" si="6"/>
        <v>1</v>
      </c>
      <c r="AD39" s="8" t="b">
        <f t="shared" si="7"/>
        <v>1</v>
      </c>
      <c r="AE39" s="8">
        <f t="shared" si="9"/>
        <v>2</v>
      </c>
    </row>
    <row r="40" spans="1:31" ht="18" customHeight="1">
      <c r="A40" s="65">
        <v>21</v>
      </c>
      <c r="B40" s="43">
        <v>21</v>
      </c>
      <c r="C40" s="44" t="s">
        <v>348</v>
      </c>
      <c r="D40" s="45">
        <v>1</v>
      </c>
      <c r="E40" s="45">
        <v>1</v>
      </c>
      <c r="F40" s="45">
        <v>0</v>
      </c>
      <c r="G40" s="45">
        <v>1</v>
      </c>
      <c r="H40" s="45">
        <v>1</v>
      </c>
      <c r="I40" s="45">
        <v>1</v>
      </c>
      <c r="J40" s="45">
        <v>4</v>
      </c>
      <c r="K40" s="45">
        <v>3</v>
      </c>
      <c r="L40" s="45">
        <v>3</v>
      </c>
      <c r="M40" s="45">
        <v>0</v>
      </c>
      <c r="N40" s="45" t="s">
        <v>252</v>
      </c>
      <c r="O40" s="45" t="s">
        <v>252</v>
      </c>
      <c r="P40" s="118">
        <f t="shared" si="8"/>
        <v>15</v>
      </c>
      <c r="Q40" s="213"/>
      <c r="R40" s="109">
        <f>IF(A40=B40,Studentwise!AO40,"")</f>
        <v>75</v>
      </c>
      <c r="S40" s="109">
        <f>IF(A40=B40,Studentwise!AP40,"")</f>
        <v>55.000000000000007</v>
      </c>
      <c r="T40" s="109">
        <f>IF(A40=B40,Studentwise!AQ40,"")</f>
        <v>83.333333333333343</v>
      </c>
      <c r="U40" s="109">
        <f>IF(A40=B40,Studentwise!AR40,"")</f>
        <v>100</v>
      </c>
      <c r="V40" s="109">
        <f>IF(A40=B40,Studentwise!AS40,"")</f>
        <v>75</v>
      </c>
      <c r="W40" s="213"/>
      <c r="X40" s="7"/>
      <c r="Y40" s="8" t="b">
        <f t="shared" si="2"/>
        <v>0</v>
      </c>
      <c r="Z40" s="8" t="b">
        <f t="shared" si="3"/>
        <v>0</v>
      </c>
      <c r="AA40" s="8" t="b">
        <f t="shared" si="4"/>
        <v>0</v>
      </c>
      <c r="AB40" s="8" t="b">
        <f t="shared" si="5"/>
        <v>0</v>
      </c>
      <c r="AC40" s="8" t="b">
        <f t="shared" si="6"/>
        <v>1</v>
      </c>
      <c r="AD40" s="8" t="b">
        <f t="shared" si="7"/>
        <v>1</v>
      </c>
      <c r="AE40" s="8">
        <f t="shared" si="9"/>
        <v>2</v>
      </c>
    </row>
    <row r="41" spans="1:31" ht="18" customHeight="1">
      <c r="A41" s="65">
        <v>22</v>
      </c>
      <c r="B41" s="43">
        <v>22</v>
      </c>
      <c r="C41" s="44" t="s">
        <v>349</v>
      </c>
      <c r="D41" s="45">
        <v>0</v>
      </c>
      <c r="E41" s="45">
        <v>0</v>
      </c>
      <c r="F41" s="45">
        <v>0</v>
      </c>
      <c r="G41" s="45">
        <v>1</v>
      </c>
      <c r="H41" s="45">
        <v>1</v>
      </c>
      <c r="I41" s="45">
        <v>0</v>
      </c>
      <c r="J41" s="45">
        <v>3</v>
      </c>
      <c r="K41" s="45">
        <v>2</v>
      </c>
      <c r="L41" s="45">
        <v>4</v>
      </c>
      <c r="M41" s="45">
        <v>3</v>
      </c>
      <c r="N41" s="45" t="s">
        <v>252</v>
      </c>
      <c r="O41" s="45" t="s">
        <v>252</v>
      </c>
      <c r="P41" s="118">
        <f t="shared" si="8"/>
        <v>14</v>
      </c>
      <c r="Q41" s="213"/>
      <c r="R41" s="109">
        <f>IF(A41=B41,Studentwise!AO41,"")</f>
        <v>76.923076923076934</v>
      </c>
      <c r="S41" s="109">
        <f>IF(A41=B41,Studentwise!AP41,"")</f>
        <v>78.571428571428569</v>
      </c>
      <c r="T41" s="109">
        <f>IF(A41=B41,Studentwise!AQ41,"")</f>
        <v>83.333333333333343</v>
      </c>
      <c r="U41" s="109">
        <f>IF(A41=B41,Studentwise!AR41,"")</f>
        <v>94.444444444444443</v>
      </c>
      <c r="V41" s="109">
        <f>IF(A41=B41,Studentwise!AS41,"")</f>
        <v>50</v>
      </c>
      <c r="W41" s="213"/>
      <c r="X41" s="7"/>
      <c r="Y41" s="8" t="b">
        <f t="shared" si="2"/>
        <v>0</v>
      </c>
      <c r="Z41" s="8" t="b">
        <f t="shared" si="3"/>
        <v>0</v>
      </c>
      <c r="AA41" s="8" t="b">
        <f t="shared" si="4"/>
        <v>0</v>
      </c>
      <c r="AB41" s="8" t="b">
        <f t="shared" si="5"/>
        <v>0</v>
      </c>
      <c r="AC41" s="8" t="b">
        <f t="shared" si="6"/>
        <v>1</v>
      </c>
      <c r="AD41" s="8" t="b">
        <f t="shared" si="7"/>
        <v>1</v>
      </c>
      <c r="AE41" s="8">
        <f t="shared" si="9"/>
        <v>2</v>
      </c>
    </row>
    <row r="42" spans="1:31" ht="18" customHeight="1">
      <c r="A42" s="65">
        <v>23</v>
      </c>
      <c r="B42" s="43">
        <v>23</v>
      </c>
      <c r="C42" s="44" t="s">
        <v>350</v>
      </c>
      <c r="D42" s="45">
        <v>1</v>
      </c>
      <c r="E42" s="45">
        <v>1</v>
      </c>
      <c r="F42" s="45">
        <v>0</v>
      </c>
      <c r="G42" s="45">
        <v>1</v>
      </c>
      <c r="H42" s="45">
        <v>1</v>
      </c>
      <c r="I42" s="45">
        <v>0</v>
      </c>
      <c r="J42" s="45">
        <v>4</v>
      </c>
      <c r="K42" s="45">
        <v>1</v>
      </c>
      <c r="L42" s="45">
        <v>4</v>
      </c>
      <c r="M42" s="45">
        <v>3</v>
      </c>
      <c r="N42" s="45" t="s">
        <v>252</v>
      </c>
      <c r="O42" s="45" t="s">
        <v>252</v>
      </c>
      <c r="P42" s="118">
        <f t="shared" si="8"/>
        <v>16</v>
      </c>
      <c r="Q42" s="213"/>
      <c r="R42" s="109">
        <f>IF(A42=B42,Studentwise!AO42,"")</f>
        <v>85</v>
      </c>
      <c r="S42" s="109">
        <f>IF(A42=B42,Studentwise!AP42,"")</f>
        <v>40</v>
      </c>
      <c r="T42" s="109">
        <f>IF(A42=B42,Studentwise!AQ42,"")</f>
        <v>83.333333333333343</v>
      </c>
      <c r="U42" s="109">
        <f>IF(A42=B42,Studentwise!AR42,"")</f>
        <v>94.444444444444443</v>
      </c>
      <c r="V42" s="109">
        <f>IF(A42=B42,Studentwise!AS42,"")</f>
        <v>50</v>
      </c>
      <c r="W42" s="213"/>
      <c r="X42" s="7"/>
      <c r="Y42" s="8" t="b">
        <f t="shared" si="2"/>
        <v>0</v>
      </c>
      <c r="Z42" s="8" t="b">
        <f t="shared" si="3"/>
        <v>0</v>
      </c>
      <c r="AA42" s="8" t="b">
        <f t="shared" si="4"/>
        <v>0</v>
      </c>
      <c r="AB42" s="8" t="b">
        <f t="shared" si="5"/>
        <v>0</v>
      </c>
      <c r="AC42" s="8" t="b">
        <f t="shared" si="6"/>
        <v>1</v>
      </c>
      <c r="AD42" s="8" t="b">
        <f t="shared" si="7"/>
        <v>1</v>
      </c>
      <c r="AE42" s="8">
        <f t="shared" si="9"/>
        <v>2</v>
      </c>
    </row>
    <row r="43" spans="1:31" ht="18" customHeight="1">
      <c r="A43" s="65">
        <v>24</v>
      </c>
      <c r="B43" s="43">
        <v>24</v>
      </c>
      <c r="C43" s="44" t="s">
        <v>351</v>
      </c>
      <c r="D43" s="45">
        <v>0</v>
      </c>
      <c r="E43" s="45">
        <v>0</v>
      </c>
      <c r="F43" s="45">
        <v>1</v>
      </c>
      <c r="G43" s="45">
        <v>1</v>
      </c>
      <c r="H43" s="45">
        <v>1</v>
      </c>
      <c r="I43" s="45">
        <v>1</v>
      </c>
      <c r="J43" s="45">
        <v>3</v>
      </c>
      <c r="K43" s="45">
        <v>1</v>
      </c>
      <c r="L43" s="45">
        <v>4</v>
      </c>
      <c r="M43" s="45">
        <v>0</v>
      </c>
      <c r="N43" s="45" t="s">
        <v>252</v>
      </c>
      <c r="O43" s="45" t="s">
        <v>252</v>
      </c>
      <c r="P43" s="118">
        <f t="shared" si="8"/>
        <v>12</v>
      </c>
      <c r="Q43" s="213"/>
      <c r="R43" s="109">
        <f>IF(A43=B43,Studentwise!AO43,"")</f>
        <v>92.307692307692307</v>
      </c>
      <c r="S43" s="109">
        <f>IF(A43=B43,Studentwise!AP43,"")</f>
        <v>14.285714285714285</v>
      </c>
      <c r="T43" s="109">
        <f>IF(A43=B43,Studentwise!AQ43,"")</f>
        <v>88.888888888888886</v>
      </c>
      <c r="U43" s="109">
        <f>IF(A43=B43,Studentwise!AR43,"")</f>
        <v>33.333333333333329</v>
      </c>
      <c r="V43" s="109">
        <f>IF(A43=B43,Studentwise!AS43,"")</f>
        <v>25</v>
      </c>
      <c r="W43" s="213"/>
      <c r="X43" s="7"/>
      <c r="Y43" s="8" t="b">
        <f t="shared" si="2"/>
        <v>0</v>
      </c>
      <c r="Z43" s="8" t="b">
        <f t="shared" si="3"/>
        <v>0</v>
      </c>
      <c r="AA43" s="8" t="b">
        <f t="shared" si="4"/>
        <v>0</v>
      </c>
      <c r="AB43" s="8" t="b">
        <f t="shared" si="5"/>
        <v>0</v>
      </c>
      <c r="AC43" s="8" t="b">
        <f t="shared" si="6"/>
        <v>1</v>
      </c>
      <c r="AD43" s="8" t="b">
        <f t="shared" si="7"/>
        <v>1</v>
      </c>
      <c r="AE43" s="8">
        <f t="shared" si="9"/>
        <v>2</v>
      </c>
    </row>
    <row r="44" spans="1:31" ht="18" customHeight="1">
      <c r="A44" s="65">
        <v>25</v>
      </c>
      <c r="B44" s="43">
        <v>25</v>
      </c>
      <c r="C44" s="44" t="s">
        <v>352</v>
      </c>
      <c r="D44" s="45">
        <v>1</v>
      </c>
      <c r="E44" s="45">
        <v>1</v>
      </c>
      <c r="F44" s="45">
        <v>1</v>
      </c>
      <c r="G44" s="45">
        <v>1</v>
      </c>
      <c r="H44" s="45">
        <v>1</v>
      </c>
      <c r="I44" s="45">
        <v>1</v>
      </c>
      <c r="J44" s="45">
        <v>4</v>
      </c>
      <c r="K44" s="45">
        <v>3</v>
      </c>
      <c r="L44" s="45">
        <v>3</v>
      </c>
      <c r="M44" s="45">
        <v>3</v>
      </c>
      <c r="N44" s="45" t="s">
        <v>252</v>
      </c>
      <c r="O44" s="45" t="s">
        <v>252</v>
      </c>
      <c r="P44" s="118">
        <f t="shared" si="8"/>
        <v>19</v>
      </c>
      <c r="Q44" s="213"/>
      <c r="R44" s="109">
        <f>IF(A44=B44,Studentwise!AO44,"")</f>
        <v>75</v>
      </c>
      <c r="S44" s="109">
        <f>IF(A44=B44,Studentwise!AP44,"")</f>
        <v>55.000000000000007</v>
      </c>
      <c r="T44" s="109">
        <f>IF(A44=B44,Studentwise!AQ44,"")</f>
        <v>88.888888888888886</v>
      </c>
      <c r="U44" s="109">
        <f>IF(A44=B44,Studentwise!AR44,"")</f>
        <v>100</v>
      </c>
      <c r="V44" s="109">
        <f>IF(A44=B44,Studentwise!AS44,"")</f>
        <v>75</v>
      </c>
      <c r="W44" s="213"/>
      <c r="X44" s="7"/>
      <c r="Y44" s="8" t="b">
        <f t="shared" si="2"/>
        <v>0</v>
      </c>
      <c r="Z44" s="8" t="b">
        <f t="shared" si="3"/>
        <v>0</v>
      </c>
      <c r="AA44" s="8" t="b">
        <f t="shared" si="4"/>
        <v>0</v>
      </c>
      <c r="AB44" s="8" t="b">
        <f t="shared" si="5"/>
        <v>0</v>
      </c>
      <c r="AC44" s="8" t="b">
        <f t="shared" si="6"/>
        <v>1</v>
      </c>
      <c r="AD44" s="8" t="b">
        <f t="shared" si="7"/>
        <v>1</v>
      </c>
      <c r="AE44" s="8">
        <f t="shared" si="9"/>
        <v>2</v>
      </c>
    </row>
    <row r="45" spans="1:31" ht="18" customHeight="1">
      <c r="A45" s="65">
        <v>26</v>
      </c>
      <c r="B45" s="43">
        <v>26</v>
      </c>
      <c r="C45" s="44" t="s">
        <v>353</v>
      </c>
      <c r="D45" s="45">
        <v>1</v>
      </c>
      <c r="E45" s="45">
        <v>1</v>
      </c>
      <c r="F45" s="45">
        <v>0</v>
      </c>
      <c r="G45" s="45">
        <v>1</v>
      </c>
      <c r="H45" s="45">
        <v>1</v>
      </c>
      <c r="I45" s="45">
        <v>1</v>
      </c>
      <c r="J45" s="45">
        <v>4</v>
      </c>
      <c r="K45" s="45">
        <v>3</v>
      </c>
      <c r="L45" s="45">
        <v>4</v>
      </c>
      <c r="M45" s="45">
        <v>3</v>
      </c>
      <c r="N45" s="45" t="s">
        <v>252</v>
      </c>
      <c r="O45" s="45" t="s">
        <v>252</v>
      </c>
      <c r="P45" s="118">
        <f t="shared" si="8"/>
        <v>19</v>
      </c>
      <c r="Q45" s="213"/>
      <c r="R45" s="109">
        <f>IF(A45=B45,Studentwise!AO45,"")</f>
        <v>75</v>
      </c>
      <c r="S45" s="109">
        <f>IF(A45=B45,Studentwise!AP45,"")</f>
        <v>42.857142857142854</v>
      </c>
      <c r="T45" s="109">
        <f>IF(A45=B45,Studentwise!AQ45,"")</f>
        <v>50</v>
      </c>
      <c r="U45" s="109">
        <f>IF(A45=B45,Studentwise!AR45,"")</f>
        <v>77.777777777777786</v>
      </c>
      <c r="V45" s="109">
        <f>IF(A45=B45,Studentwise!AS45,"")</f>
        <v>100</v>
      </c>
      <c r="W45" s="213"/>
      <c r="X45" s="7"/>
      <c r="Y45" s="8" t="b">
        <f t="shared" si="2"/>
        <v>0</v>
      </c>
      <c r="Z45" s="8" t="b">
        <f t="shared" si="3"/>
        <v>0</v>
      </c>
      <c r="AA45" s="8" t="b">
        <f t="shared" si="4"/>
        <v>0</v>
      </c>
      <c r="AB45" s="8" t="b">
        <f t="shared" si="5"/>
        <v>0</v>
      </c>
      <c r="AC45" s="8" t="b">
        <f t="shared" si="6"/>
        <v>1</v>
      </c>
      <c r="AD45" s="8" t="b">
        <f t="shared" si="7"/>
        <v>1</v>
      </c>
      <c r="AE45" s="8">
        <f t="shared" si="9"/>
        <v>2</v>
      </c>
    </row>
    <row r="46" spans="1:31" ht="18" customHeight="1">
      <c r="A46" s="65">
        <v>27</v>
      </c>
      <c r="B46" s="43">
        <v>27</v>
      </c>
      <c r="C46" s="44" t="s">
        <v>354</v>
      </c>
      <c r="D46" s="45">
        <v>1</v>
      </c>
      <c r="E46" s="45">
        <v>1</v>
      </c>
      <c r="F46" s="45">
        <v>1</v>
      </c>
      <c r="G46" s="45">
        <v>1</v>
      </c>
      <c r="H46" s="45">
        <v>1</v>
      </c>
      <c r="I46" s="45">
        <v>1</v>
      </c>
      <c r="J46" s="45">
        <v>3</v>
      </c>
      <c r="K46" s="45">
        <v>3</v>
      </c>
      <c r="L46" s="45">
        <v>4</v>
      </c>
      <c r="M46" s="45">
        <v>3</v>
      </c>
      <c r="N46" s="45" t="s">
        <v>252</v>
      </c>
      <c r="O46" s="45" t="s">
        <v>252</v>
      </c>
      <c r="P46" s="118">
        <f t="shared" si="8"/>
        <v>19</v>
      </c>
      <c r="Q46" s="213"/>
      <c r="R46" s="109">
        <f>IF(A46=B46,Studentwise!AO46,"")</f>
        <v>19.230769230769234</v>
      </c>
      <c r="S46" s="109">
        <f>IF(A46=B46,Studentwise!AP46,"")</f>
        <v>28.571428571428569</v>
      </c>
      <c r="T46" s="109">
        <f>IF(A46=B46,Studentwise!AQ46,"")</f>
        <v>38.888888888888893</v>
      </c>
      <c r="U46" s="109">
        <f>IF(A46=B46,Studentwise!AR46,"")</f>
        <v>61.111111111111114</v>
      </c>
      <c r="V46" s="109">
        <f>IF(A46=B46,Studentwise!AS46,"")</f>
        <v>0</v>
      </c>
      <c r="W46" s="213"/>
      <c r="X46" s="7"/>
      <c r="Y46" s="8" t="b">
        <f t="shared" si="2"/>
        <v>0</v>
      </c>
      <c r="Z46" s="8" t="b">
        <f t="shared" si="3"/>
        <v>0</v>
      </c>
      <c r="AA46" s="8" t="b">
        <f t="shared" si="4"/>
        <v>0</v>
      </c>
      <c r="AB46" s="8" t="b">
        <f t="shared" si="5"/>
        <v>0</v>
      </c>
      <c r="AC46" s="8" t="b">
        <f t="shared" si="6"/>
        <v>1</v>
      </c>
      <c r="AD46" s="8" t="b">
        <f t="shared" si="7"/>
        <v>1</v>
      </c>
      <c r="AE46" s="8">
        <f t="shared" si="9"/>
        <v>2</v>
      </c>
    </row>
    <row r="47" spans="1:31" ht="18" customHeight="1">
      <c r="A47" s="65">
        <v>28</v>
      </c>
      <c r="B47" s="43">
        <v>28</v>
      </c>
      <c r="C47" s="44" t="s">
        <v>355</v>
      </c>
      <c r="D47" s="45">
        <v>0</v>
      </c>
      <c r="E47" s="45">
        <v>1</v>
      </c>
      <c r="F47" s="45">
        <v>0</v>
      </c>
      <c r="G47" s="45">
        <v>1</v>
      </c>
      <c r="H47" s="45">
        <v>1</v>
      </c>
      <c r="I47" s="45">
        <v>0</v>
      </c>
      <c r="J47" s="45">
        <v>3</v>
      </c>
      <c r="K47" s="45">
        <v>1</v>
      </c>
      <c r="L47" s="45">
        <v>3</v>
      </c>
      <c r="M47" s="45">
        <v>2</v>
      </c>
      <c r="N47" s="45" t="s">
        <v>252</v>
      </c>
      <c r="O47" s="45" t="s">
        <v>252</v>
      </c>
      <c r="P47" s="118">
        <f t="shared" si="8"/>
        <v>12</v>
      </c>
      <c r="Q47" s="213"/>
      <c r="R47" s="109">
        <f>IF(A47=B47,Studentwise!AO47,"")</f>
        <v>38.461538461538467</v>
      </c>
      <c r="S47" s="109">
        <f>IF(A47=B47,Studentwise!AP47,"")</f>
        <v>42.857142857142854</v>
      </c>
      <c r="T47" s="109">
        <f>IF(A47=B47,Studentwise!AQ47,"")</f>
        <v>61.111111111111114</v>
      </c>
      <c r="U47" s="109">
        <f>IF(A47=B47,Studentwise!AR47,"")</f>
        <v>44.444444444444443</v>
      </c>
      <c r="V47" s="109">
        <f>IF(A47=B47,Studentwise!AS47,"")</f>
        <v>75</v>
      </c>
      <c r="W47" s="213"/>
      <c r="X47" s="7"/>
      <c r="Y47" s="8" t="b">
        <f t="shared" si="2"/>
        <v>0</v>
      </c>
      <c r="Z47" s="8" t="b">
        <f t="shared" si="3"/>
        <v>0</v>
      </c>
      <c r="AA47" s="8" t="b">
        <f t="shared" si="4"/>
        <v>0</v>
      </c>
      <c r="AB47" s="8" t="b">
        <f t="shared" si="5"/>
        <v>0</v>
      </c>
      <c r="AC47" s="8" t="b">
        <f t="shared" si="6"/>
        <v>1</v>
      </c>
      <c r="AD47" s="8" t="b">
        <f t="shared" si="7"/>
        <v>1</v>
      </c>
      <c r="AE47" s="8">
        <f t="shared" si="9"/>
        <v>2</v>
      </c>
    </row>
    <row r="48" spans="1:31" ht="18" customHeight="1">
      <c r="A48" s="65">
        <v>29</v>
      </c>
      <c r="B48" s="43">
        <v>29</v>
      </c>
      <c r="C48" s="44" t="s">
        <v>356</v>
      </c>
      <c r="D48" s="45">
        <v>1</v>
      </c>
      <c r="E48" s="45">
        <v>1</v>
      </c>
      <c r="F48" s="45">
        <v>1</v>
      </c>
      <c r="G48" s="45">
        <v>1</v>
      </c>
      <c r="H48" s="45">
        <v>1</v>
      </c>
      <c r="I48" s="45">
        <v>1</v>
      </c>
      <c r="J48" s="45">
        <v>4</v>
      </c>
      <c r="K48" s="45">
        <v>3</v>
      </c>
      <c r="L48" s="45" t="s">
        <v>252</v>
      </c>
      <c r="M48" s="45" t="s">
        <v>252</v>
      </c>
      <c r="N48" s="45">
        <v>3</v>
      </c>
      <c r="O48" s="45">
        <v>3</v>
      </c>
      <c r="P48" s="118">
        <f t="shared" si="8"/>
        <v>19</v>
      </c>
      <c r="Q48" s="213"/>
      <c r="R48" s="109">
        <f>IF(A48=B48,Studentwise!AO48,"")</f>
        <v>46.153846153846153</v>
      </c>
      <c r="S48" s="109">
        <f>IF(A48=B48,Studentwise!AP48,"")</f>
        <v>50</v>
      </c>
      <c r="T48" s="109">
        <f>IF(A48=B48,Studentwise!AQ48,"")</f>
        <v>55.555555555555557</v>
      </c>
      <c r="U48" s="109">
        <f>IF(A48=B48,Studentwise!AR48,"")</f>
        <v>100</v>
      </c>
      <c r="V48" s="109">
        <f>IF(A48=B48,Studentwise!AS48,"")</f>
        <v>100</v>
      </c>
      <c r="W48" s="213"/>
      <c r="X48" s="7"/>
      <c r="Y48" s="8" t="b">
        <f t="shared" si="2"/>
        <v>0</v>
      </c>
      <c r="Z48" s="8" t="b">
        <f t="shared" si="3"/>
        <v>0</v>
      </c>
      <c r="AA48" s="8" t="b">
        <f t="shared" si="4"/>
        <v>1</v>
      </c>
      <c r="AB48" s="8" t="b">
        <f t="shared" si="5"/>
        <v>1</v>
      </c>
      <c r="AC48" s="8" t="b">
        <f t="shared" si="6"/>
        <v>0</v>
      </c>
      <c r="AD48" s="8" t="b">
        <f t="shared" si="7"/>
        <v>0</v>
      </c>
      <c r="AE48" s="8">
        <f t="shared" si="9"/>
        <v>2</v>
      </c>
    </row>
    <row r="49" spans="1:31" ht="18" customHeight="1">
      <c r="A49" s="65">
        <v>30</v>
      </c>
      <c r="B49" s="43">
        <v>30</v>
      </c>
      <c r="C49" s="46" t="s">
        <v>357</v>
      </c>
      <c r="D49" s="45">
        <v>1</v>
      </c>
      <c r="E49" s="45">
        <v>1</v>
      </c>
      <c r="F49" s="45">
        <v>1</v>
      </c>
      <c r="G49" s="45">
        <v>1</v>
      </c>
      <c r="H49" s="45">
        <v>1</v>
      </c>
      <c r="I49" s="45">
        <v>1</v>
      </c>
      <c r="J49" s="45">
        <v>4</v>
      </c>
      <c r="K49" s="45">
        <v>3</v>
      </c>
      <c r="L49" s="45">
        <v>4</v>
      </c>
      <c r="M49" s="45">
        <v>3</v>
      </c>
      <c r="N49" s="45" t="s">
        <v>252</v>
      </c>
      <c r="O49" s="45" t="s">
        <v>252</v>
      </c>
      <c r="P49" s="118">
        <f t="shared" si="8"/>
        <v>20</v>
      </c>
      <c r="Q49" s="213"/>
      <c r="R49" s="109">
        <f>IF(A49=B49,Studentwise!AO49,"")</f>
        <v>90</v>
      </c>
      <c r="S49" s="109">
        <f>IF(A49=B49,Studentwise!AP49,"")</f>
        <v>75</v>
      </c>
      <c r="T49" s="109">
        <f>IF(A49=B49,Studentwise!AQ49,"")</f>
        <v>25</v>
      </c>
      <c r="U49" s="109">
        <f>IF(A49=B49,Studentwise!AR49,"")</f>
        <v>88.888888888888886</v>
      </c>
      <c r="V49" s="109">
        <f>IF(A49=B49,Studentwise!AS49,"")</f>
        <v>83.333333333333343</v>
      </c>
      <c r="W49" s="213"/>
      <c r="X49" s="7"/>
      <c r="Y49" s="8" t="b">
        <f t="shared" si="2"/>
        <v>0</v>
      </c>
      <c r="Z49" s="8" t="b">
        <f t="shared" si="3"/>
        <v>0</v>
      </c>
      <c r="AA49" s="8" t="b">
        <f t="shared" si="4"/>
        <v>0</v>
      </c>
      <c r="AB49" s="8" t="b">
        <f t="shared" si="5"/>
        <v>0</v>
      </c>
      <c r="AC49" s="8" t="b">
        <f t="shared" si="6"/>
        <v>1</v>
      </c>
      <c r="AD49" s="8" t="b">
        <f t="shared" si="7"/>
        <v>1</v>
      </c>
      <c r="AE49" s="8">
        <f t="shared" si="9"/>
        <v>2</v>
      </c>
    </row>
    <row r="50" spans="1:31" ht="18" customHeight="1">
      <c r="A50" s="65">
        <v>31</v>
      </c>
      <c r="B50" s="43">
        <v>31</v>
      </c>
      <c r="C50" s="46" t="s">
        <v>358</v>
      </c>
      <c r="D50" s="45">
        <v>1</v>
      </c>
      <c r="E50" s="45">
        <v>1</v>
      </c>
      <c r="F50" s="45">
        <v>1</v>
      </c>
      <c r="G50" s="45">
        <v>1</v>
      </c>
      <c r="H50" s="45">
        <v>0</v>
      </c>
      <c r="I50" s="45">
        <v>1</v>
      </c>
      <c r="J50" s="45">
        <v>4</v>
      </c>
      <c r="K50" s="45">
        <v>3</v>
      </c>
      <c r="L50" s="45">
        <v>3</v>
      </c>
      <c r="M50" s="45">
        <v>2</v>
      </c>
      <c r="N50" s="45" t="s">
        <v>252</v>
      </c>
      <c r="O50" s="45" t="s">
        <v>252</v>
      </c>
      <c r="P50" s="118">
        <f t="shared" si="8"/>
        <v>17</v>
      </c>
      <c r="Q50" s="213"/>
      <c r="R50" s="109">
        <f>IF(A50=B50,Studentwise!AO50,"")</f>
        <v>91.666666666666657</v>
      </c>
      <c r="S50" s="109">
        <f>IF(A50=B50,Studentwise!AP50,"")</f>
        <v>78.571428571428569</v>
      </c>
      <c r="T50" s="109">
        <f>IF(A50=B50,Studentwise!AQ50,"")</f>
        <v>88.888888888888886</v>
      </c>
      <c r="U50" s="109">
        <f>IF(A50=B50,Studentwise!AR50,"")</f>
        <v>94.444444444444443</v>
      </c>
      <c r="V50" s="109">
        <f>IF(A50=B50,Studentwise!AS50,"")</f>
        <v>100</v>
      </c>
      <c r="W50" s="213"/>
      <c r="X50" s="7"/>
      <c r="Y50" s="8" t="b">
        <f t="shared" si="2"/>
        <v>0</v>
      </c>
      <c r="Z50" s="8" t="b">
        <f t="shared" si="3"/>
        <v>0</v>
      </c>
      <c r="AA50" s="8" t="b">
        <f t="shared" si="4"/>
        <v>0</v>
      </c>
      <c r="AB50" s="8" t="b">
        <f t="shared" si="5"/>
        <v>0</v>
      </c>
      <c r="AC50" s="8" t="b">
        <f t="shared" si="6"/>
        <v>1</v>
      </c>
      <c r="AD50" s="8" t="b">
        <f t="shared" si="7"/>
        <v>1</v>
      </c>
      <c r="AE50" s="8">
        <f t="shared" si="9"/>
        <v>2</v>
      </c>
    </row>
    <row r="51" spans="1:31" ht="18" customHeight="1">
      <c r="A51" s="65">
        <v>32</v>
      </c>
      <c r="B51" s="43">
        <v>32</v>
      </c>
      <c r="C51" s="46" t="s">
        <v>359</v>
      </c>
      <c r="D51" s="45">
        <v>1</v>
      </c>
      <c r="E51" s="45">
        <v>1</v>
      </c>
      <c r="F51" s="45">
        <v>1</v>
      </c>
      <c r="G51" s="45">
        <v>1</v>
      </c>
      <c r="H51" s="45">
        <v>1</v>
      </c>
      <c r="I51" s="45">
        <v>1</v>
      </c>
      <c r="J51" s="45">
        <v>4</v>
      </c>
      <c r="K51" s="45">
        <v>3</v>
      </c>
      <c r="L51" s="45">
        <v>4</v>
      </c>
      <c r="M51" s="45">
        <v>2</v>
      </c>
      <c r="N51" s="45" t="s">
        <v>252</v>
      </c>
      <c r="O51" s="45" t="s">
        <v>252</v>
      </c>
      <c r="P51" s="118">
        <f t="shared" si="8"/>
        <v>19</v>
      </c>
      <c r="Q51" s="213"/>
      <c r="R51" s="109">
        <f>IF(A51=B51,Studentwise!AO51,"")</f>
        <v>92.307692307692307</v>
      </c>
      <c r="S51" s="109">
        <f>IF(A51=B51,Studentwise!AP51,"")</f>
        <v>57.142857142857139</v>
      </c>
      <c r="T51" s="109">
        <f>IF(A51=B51,Studentwise!AQ51,"")</f>
        <v>88.888888888888886</v>
      </c>
      <c r="U51" s="109">
        <f>IF(A51=B51,Studentwise!AR51,"")</f>
        <v>94.444444444444443</v>
      </c>
      <c r="V51" s="109">
        <f>IF(A51=B51,Studentwise!AS51,"")</f>
        <v>75</v>
      </c>
      <c r="W51" s="213"/>
      <c r="X51" s="7"/>
      <c r="Y51" s="8" t="b">
        <f t="shared" si="2"/>
        <v>0</v>
      </c>
      <c r="Z51" s="8" t="b">
        <f t="shared" si="3"/>
        <v>0</v>
      </c>
      <c r="AA51" s="8" t="b">
        <f t="shared" si="4"/>
        <v>0</v>
      </c>
      <c r="AB51" s="8" t="b">
        <f t="shared" si="5"/>
        <v>0</v>
      </c>
      <c r="AC51" s="8" t="b">
        <f t="shared" si="6"/>
        <v>1</v>
      </c>
      <c r="AD51" s="8" t="b">
        <f t="shared" si="7"/>
        <v>1</v>
      </c>
      <c r="AE51" s="8">
        <f t="shared" si="9"/>
        <v>2</v>
      </c>
    </row>
    <row r="52" spans="1:31" ht="18" customHeight="1">
      <c r="A52" s="65">
        <v>33</v>
      </c>
      <c r="B52" s="43">
        <v>33</v>
      </c>
      <c r="C52" s="46" t="s">
        <v>360</v>
      </c>
      <c r="D52" s="45">
        <v>1</v>
      </c>
      <c r="E52" s="45">
        <v>1</v>
      </c>
      <c r="F52" s="45">
        <v>0</v>
      </c>
      <c r="G52" s="45">
        <v>1</v>
      </c>
      <c r="H52" s="45">
        <v>1</v>
      </c>
      <c r="I52" s="45">
        <v>1</v>
      </c>
      <c r="J52" s="45">
        <v>4</v>
      </c>
      <c r="K52" s="45">
        <v>3</v>
      </c>
      <c r="L52" s="45">
        <v>3</v>
      </c>
      <c r="M52" s="45">
        <v>1</v>
      </c>
      <c r="N52" s="45" t="s">
        <v>252</v>
      </c>
      <c r="O52" s="45" t="s">
        <v>252</v>
      </c>
      <c r="P52" s="118">
        <f t="shared" si="8"/>
        <v>16</v>
      </c>
      <c r="Q52" s="213"/>
      <c r="R52" s="109">
        <f>IF(A52=B52,Studentwise!AO52,"")</f>
        <v>73.076923076923066</v>
      </c>
      <c r="S52" s="109">
        <f>IF(A52=B52,Studentwise!AP52,"")</f>
        <v>14.285714285714285</v>
      </c>
      <c r="T52" s="109">
        <f>IF(A52=B52,Studentwise!AQ52,"")</f>
        <v>88.888888888888886</v>
      </c>
      <c r="U52" s="109">
        <f>IF(A52=B52,Studentwise!AR52,"")</f>
        <v>94.444444444444443</v>
      </c>
      <c r="V52" s="109">
        <f>IF(A52=B52,Studentwise!AS52,"")</f>
        <v>100</v>
      </c>
      <c r="W52" s="213"/>
      <c r="X52" s="7"/>
      <c r="Y52" s="8" t="b">
        <f t="shared" ref="Y52:Y83" si="10">ISTEXT(J52)</f>
        <v>0</v>
      </c>
      <c r="Z52" s="8" t="b">
        <f t="shared" ref="Z52:Z83" si="11">ISTEXT(K52)</f>
        <v>0</v>
      </c>
      <c r="AA52" s="8" t="b">
        <f t="shared" ref="AA52:AA83" si="12">ISTEXT(L52)</f>
        <v>0</v>
      </c>
      <c r="AB52" s="8" t="b">
        <f t="shared" ref="AB52:AB83" si="13">ISTEXT(M52)</f>
        <v>0</v>
      </c>
      <c r="AC52" s="8" t="b">
        <f t="shared" ref="AC52:AC83" si="14">ISTEXT(N52)</f>
        <v>1</v>
      </c>
      <c r="AD52" s="8" t="b">
        <f t="shared" ref="AD52:AD83" si="15">ISTEXT(O52)</f>
        <v>1</v>
      </c>
      <c r="AE52" s="8">
        <f t="shared" si="9"/>
        <v>2</v>
      </c>
    </row>
    <row r="53" spans="1:31" ht="18" customHeight="1">
      <c r="A53" s="65">
        <v>34</v>
      </c>
      <c r="B53" s="43">
        <v>34</v>
      </c>
      <c r="C53" s="46" t="s">
        <v>361</v>
      </c>
      <c r="D53" s="45">
        <v>1</v>
      </c>
      <c r="E53" s="45">
        <v>1</v>
      </c>
      <c r="F53" s="45">
        <v>1</v>
      </c>
      <c r="G53" s="45">
        <v>1</v>
      </c>
      <c r="H53" s="45">
        <v>1</v>
      </c>
      <c r="I53" s="45">
        <v>0</v>
      </c>
      <c r="J53" s="45">
        <v>3</v>
      </c>
      <c r="K53" s="45">
        <v>1</v>
      </c>
      <c r="L53" s="45">
        <v>3</v>
      </c>
      <c r="M53" s="45">
        <v>2</v>
      </c>
      <c r="N53" s="45" t="s">
        <v>252</v>
      </c>
      <c r="O53" s="45" t="s">
        <v>252</v>
      </c>
      <c r="P53" s="118">
        <f t="shared" si="8"/>
        <v>14</v>
      </c>
      <c r="Q53" s="213"/>
      <c r="R53" s="109">
        <f>IF(A53=B53,Studentwise!AO53,"")</f>
        <v>66.666666666666657</v>
      </c>
      <c r="S53" s="109">
        <f>IF(A53=B53,Studentwise!AP53,"")</f>
        <v>46.428571428571431</v>
      </c>
      <c r="T53" s="109">
        <f>IF(A53=B53,Studentwise!AQ53,"")</f>
        <v>55.555555555555557</v>
      </c>
      <c r="U53" s="109">
        <f>IF(A53=B53,Studentwise!AR53,"")</f>
        <v>66.666666666666657</v>
      </c>
      <c r="V53" s="109">
        <f>IF(A53=B53,Studentwise!AS53,"")</f>
        <v>100</v>
      </c>
      <c r="W53" s="213"/>
      <c r="X53" s="7"/>
      <c r="Y53" s="8" t="b">
        <f t="shared" si="10"/>
        <v>0</v>
      </c>
      <c r="Z53" s="8" t="b">
        <f t="shared" si="11"/>
        <v>0</v>
      </c>
      <c r="AA53" s="8" t="b">
        <f t="shared" si="12"/>
        <v>0</v>
      </c>
      <c r="AB53" s="8" t="b">
        <f t="shared" si="13"/>
        <v>0</v>
      </c>
      <c r="AC53" s="8" t="b">
        <f t="shared" si="14"/>
        <v>1</v>
      </c>
      <c r="AD53" s="8" t="b">
        <f t="shared" si="15"/>
        <v>1</v>
      </c>
      <c r="AE53" s="8">
        <f t="shared" si="9"/>
        <v>2</v>
      </c>
    </row>
    <row r="54" spans="1:31" ht="18" customHeight="1">
      <c r="A54" s="65">
        <v>35</v>
      </c>
      <c r="B54" s="43">
        <v>35</v>
      </c>
      <c r="C54" s="46" t="s">
        <v>362</v>
      </c>
      <c r="D54" s="45">
        <v>1</v>
      </c>
      <c r="E54" s="45">
        <v>1</v>
      </c>
      <c r="F54" s="45">
        <v>0</v>
      </c>
      <c r="G54" s="45">
        <v>1</v>
      </c>
      <c r="H54" s="45">
        <v>1</v>
      </c>
      <c r="I54" s="45">
        <v>1</v>
      </c>
      <c r="J54" s="45">
        <v>4</v>
      </c>
      <c r="K54" s="45">
        <v>3</v>
      </c>
      <c r="L54" s="45">
        <v>3</v>
      </c>
      <c r="M54" s="45">
        <v>3</v>
      </c>
      <c r="N54" s="45" t="s">
        <v>252</v>
      </c>
      <c r="O54" s="45" t="s">
        <v>252</v>
      </c>
      <c r="P54" s="118">
        <f t="shared" si="8"/>
        <v>18</v>
      </c>
      <c r="Q54" s="213"/>
      <c r="R54" s="109">
        <f>IF(A54=B54,Studentwise!AO54,"")</f>
        <v>40</v>
      </c>
      <c r="S54" s="109">
        <f>IF(A54=B54,Studentwise!AP54,"")</f>
        <v>10</v>
      </c>
      <c r="T54" s="109">
        <f>IF(A54=B54,Studentwise!AQ54,"")</f>
        <v>44.444444444444443</v>
      </c>
      <c r="U54" s="109">
        <f>IF(A54=B54,Studentwise!AR54,"")</f>
        <v>61.111111111111114</v>
      </c>
      <c r="V54" s="109">
        <f>IF(A54=B54,Studentwise!AS54,"")</f>
        <v>100</v>
      </c>
      <c r="W54" s="213"/>
      <c r="X54" s="7"/>
      <c r="Y54" s="8" t="b">
        <f t="shared" si="10"/>
        <v>0</v>
      </c>
      <c r="Z54" s="8" t="b">
        <f t="shared" si="11"/>
        <v>0</v>
      </c>
      <c r="AA54" s="8" t="b">
        <f t="shared" si="12"/>
        <v>0</v>
      </c>
      <c r="AB54" s="8" t="b">
        <f t="shared" si="13"/>
        <v>0</v>
      </c>
      <c r="AC54" s="8" t="b">
        <f t="shared" si="14"/>
        <v>1</v>
      </c>
      <c r="AD54" s="8" t="b">
        <f t="shared" si="15"/>
        <v>1</v>
      </c>
      <c r="AE54" s="8">
        <f t="shared" si="9"/>
        <v>2</v>
      </c>
    </row>
    <row r="55" spans="1:31" ht="18" customHeight="1">
      <c r="A55" s="65">
        <v>36</v>
      </c>
      <c r="B55" s="43">
        <v>36</v>
      </c>
      <c r="C55" s="46" t="s">
        <v>363</v>
      </c>
      <c r="D55" s="45">
        <v>1</v>
      </c>
      <c r="E55" s="45">
        <v>1</v>
      </c>
      <c r="F55" s="45">
        <v>0</v>
      </c>
      <c r="G55" s="45">
        <v>0</v>
      </c>
      <c r="H55" s="45">
        <v>1</v>
      </c>
      <c r="I55" s="45">
        <v>1</v>
      </c>
      <c r="J55" s="45">
        <v>4</v>
      </c>
      <c r="K55" s="45">
        <v>3</v>
      </c>
      <c r="L55" s="45">
        <v>3</v>
      </c>
      <c r="M55" s="45">
        <v>1</v>
      </c>
      <c r="N55" s="45" t="s">
        <v>252</v>
      </c>
      <c r="O55" s="45" t="s">
        <v>252</v>
      </c>
      <c r="P55" s="118">
        <f t="shared" si="8"/>
        <v>15</v>
      </c>
      <c r="Q55" s="213"/>
      <c r="R55" s="109">
        <f>IF(A55=B55,Studentwise!AO55,"")</f>
        <v>38.461538461538467</v>
      </c>
      <c r="S55" s="109">
        <f>IF(A55=B55,Studentwise!AP55,"")</f>
        <v>35.714285714285715</v>
      </c>
      <c r="T55" s="109">
        <f>IF(A55=B55,Studentwise!AQ55,"")</f>
        <v>55.555555555555557</v>
      </c>
      <c r="U55" s="109">
        <f>IF(A55=B55,Studentwise!AR55,"")</f>
        <v>61.111111111111114</v>
      </c>
      <c r="V55" s="109">
        <f>IF(A55=B55,Studentwise!AS55,"")</f>
        <v>100</v>
      </c>
      <c r="W55" s="213"/>
      <c r="X55" s="7"/>
      <c r="Y55" s="8" t="b">
        <f t="shared" si="10"/>
        <v>0</v>
      </c>
      <c r="Z55" s="8" t="b">
        <f t="shared" si="11"/>
        <v>0</v>
      </c>
      <c r="AA55" s="8" t="b">
        <f t="shared" si="12"/>
        <v>0</v>
      </c>
      <c r="AB55" s="8" t="b">
        <f t="shared" si="13"/>
        <v>0</v>
      </c>
      <c r="AC55" s="8" t="b">
        <f t="shared" si="14"/>
        <v>1</v>
      </c>
      <c r="AD55" s="8" t="b">
        <f t="shared" si="15"/>
        <v>1</v>
      </c>
      <c r="AE55" s="8">
        <f t="shared" si="9"/>
        <v>2</v>
      </c>
    </row>
    <row r="56" spans="1:31" ht="18" customHeight="1">
      <c r="A56" s="65">
        <v>37</v>
      </c>
      <c r="B56" s="43">
        <v>37</v>
      </c>
      <c r="C56" s="46" t="s">
        <v>364</v>
      </c>
      <c r="D56" s="45">
        <v>0</v>
      </c>
      <c r="E56" s="45">
        <v>0</v>
      </c>
      <c r="F56" s="45">
        <v>1</v>
      </c>
      <c r="G56" s="45">
        <v>0</v>
      </c>
      <c r="H56" s="45">
        <v>1</v>
      </c>
      <c r="I56" s="45">
        <v>1</v>
      </c>
      <c r="J56" s="45">
        <v>3</v>
      </c>
      <c r="K56" s="45">
        <v>3</v>
      </c>
      <c r="L56" s="45">
        <v>4</v>
      </c>
      <c r="M56" s="45">
        <v>1</v>
      </c>
      <c r="N56" s="45" t="s">
        <v>252</v>
      </c>
      <c r="O56" s="45" t="s">
        <v>252</v>
      </c>
      <c r="P56" s="118">
        <f t="shared" si="8"/>
        <v>14</v>
      </c>
      <c r="Q56" s="213"/>
      <c r="R56" s="109">
        <f>IF(A56=B56,Studentwise!AO56,"")</f>
        <v>66.666666666666657</v>
      </c>
      <c r="S56" s="109">
        <f>IF(A56=B56,Studentwise!AP56,"")</f>
        <v>39.285714285714285</v>
      </c>
      <c r="T56" s="109">
        <f>IF(A56=B56,Studentwise!AQ56,"")</f>
        <v>83.333333333333343</v>
      </c>
      <c r="U56" s="109">
        <f>IF(A56=B56,Studentwise!AR56,"")</f>
        <v>100</v>
      </c>
      <c r="V56" s="109">
        <f>IF(A56=B56,Studentwise!AS56,"")</f>
        <v>100</v>
      </c>
      <c r="W56" s="213"/>
      <c r="X56" s="7"/>
      <c r="Y56" s="8" t="b">
        <f t="shared" si="10"/>
        <v>0</v>
      </c>
      <c r="Z56" s="8" t="b">
        <f t="shared" si="11"/>
        <v>0</v>
      </c>
      <c r="AA56" s="8" t="b">
        <f t="shared" si="12"/>
        <v>0</v>
      </c>
      <c r="AB56" s="8" t="b">
        <f t="shared" si="13"/>
        <v>0</v>
      </c>
      <c r="AC56" s="8" t="b">
        <f t="shared" si="14"/>
        <v>1</v>
      </c>
      <c r="AD56" s="8" t="b">
        <f t="shared" si="15"/>
        <v>1</v>
      </c>
      <c r="AE56" s="8">
        <f t="shared" si="9"/>
        <v>2</v>
      </c>
    </row>
    <row r="57" spans="1:31" ht="18" customHeight="1">
      <c r="A57" s="65">
        <v>38</v>
      </c>
      <c r="B57" s="43">
        <v>38</v>
      </c>
      <c r="C57" s="46" t="s">
        <v>365</v>
      </c>
      <c r="D57" s="45">
        <v>0</v>
      </c>
      <c r="E57" s="45">
        <v>1</v>
      </c>
      <c r="F57" s="45">
        <v>1</v>
      </c>
      <c r="G57" s="45">
        <v>1</v>
      </c>
      <c r="H57" s="45">
        <v>0</v>
      </c>
      <c r="I57" s="45">
        <v>1</v>
      </c>
      <c r="J57" s="45">
        <v>3</v>
      </c>
      <c r="K57" s="45">
        <v>2</v>
      </c>
      <c r="L57" s="45">
        <v>3</v>
      </c>
      <c r="M57" s="45">
        <v>3</v>
      </c>
      <c r="N57" s="45" t="s">
        <v>252</v>
      </c>
      <c r="O57" s="45" t="s">
        <v>252</v>
      </c>
      <c r="P57" s="118">
        <f t="shared" si="8"/>
        <v>15</v>
      </c>
      <c r="Q57" s="213"/>
      <c r="R57" s="109">
        <f>IF(A57=B57,Studentwise!AO57,"")</f>
        <v>65</v>
      </c>
      <c r="S57" s="109">
        <f>IF(A57=B57,Studentwise!AP57,"")</f>
        <v>20</v>
      </c>
      <c r="T57" s="109">
        <f>IF(A57=B57,Studentwise!AQ57,"")</f>
        <v>38.888888888888893</v>
      </c>
      <c r="U57" s="109">
        <f>IF(A57=B57,Studentwise!AR57,"")</f>
        <v>88.888888888888886</v>
      </c>
      <c r="V57" s="109">
        <f>IF(A57=B57,Studentwise!AS57,"")</f>
        <v>75</v>
      </c>
      <c r="W57" s="213"/>
      <c r="X57" s="7"/>
      <c r="Y57" s="8" t="b">
        <f t="shared" si="10"/>
        <v>0</v>
      </c>
      <c r="Z57" s="8" t="b">
        <f t="shared" si="11"/>
        <v>0</v>
      </c>
      <c r="AA57" s="8" t="b">
        <f t="shared" si="12"/>
        <v>0</v>
      </c>
      <c r="AB57" s="8" t="b">
        <f t="shared" si="13"/>
        <v>0</v>
      </c>
      <c r="AC57" s="8" t="b">
        <f t="shared" si="14"/>
        <v>1</v>
      </c>
      <c r="AD57" s="8" t="b">
        <f t="shared" si="15"/>
        <v>1</v>
      </c>
      <c r="AE57" s="8">
        <f t="shared" si="9"/>
        <v>2</v>
      </c>
    </row>
    <row r="58" spans="1:31" ht="18" customHeight="1">
      <c r="A58" s="65">
        <v>39</v>
      </c>
      <c r="B58" s="43">
        <v>39</v>
      </c>
      <c r="C58" s="46" t="s">
        <v>366</v>
      </c>
      <c r="D58" s="45">
        <v>1</v>
      </c>
      <c r="E58" s="45">
        <v>1</v>
      </c>
      <c r="F58" s="45">
        <v>1</v>
      </c>
      <c r="G58" s="45">
        <v>0</v>
      </c>
      <c r="H58" s="45">
        <v>1</v>
      </c>
      <c r="I58" s="45">
        <v>1</v>
      </c>
      <c r="J58" s="45">
        <v>4</v>
      </c>
      <c r="K58" s="45">
        <v>3</v>
      </c>
      <c r="L58" s="45">
        <v>4</v>
      </c>
      <c r="M58" s="45">
        <v>3</v>
      </c>
      <c r="N58" s="45" t="s">
        <v>252</v>
      </c>
      <c r="O58" s="45" t="s">
        <v>252</v>
      </c>
      <c r="P58" s="118">
        <f t="shared" si="8"/>
        <v>19</v>
      </c>
      <c r="Q58" s="213"/>
      <c r="R58" s="109">
        <f>IF(A58=B58,Studentwise!AO58,"")</f>
        <v>91.666666666666657</v>
      </c>
      <c r="S58" s="109">
        <f>IF(A58=B58,Studentwise!AP58,"")</f>
        <v>57.142857142857139</v>
      </c>
      <c r="T58" s="109">
        <f>IF(A58=B58,Studentwise!AQ58,"")</f>
        <v>88.888888888888886</v>
      </c>
      <c r="U58" s="109">
        <f>IF(A58=B58,Studentwise!AR58,"")</f>
        <v>83.333333333333343</v>
      </c>
      <c r="V58" s="109">
        <f>IF(A58=B58,Studentwise!AS58,"")</f>
        <v>100</v>
      </c>
      <c r="W58" s="213"/>
      <c r="X58" s="7"/>
      <c r="Y58" s="8" t="b">
        <f t="shared" si="10"/>
        <v>0</v>
      </c>
      <c r="Z58" s="8" t="b">
        <f t="shared" si="11"/>
        <v>0</v>
      </c>
      <c r="AA58" s="8" t="b">
        <f t="shared" si="12"/>
        <v>0</v>
      </c>
      <c r="AB58" s="8" t="b">
        <f t="shared" si="13"/>
        <v>0</v>
      </c>
      <c r="AC58" s="8" t="b">
        <f t="shared" si="14"/>
        <v>1</v>
      </c>
      <c r="AD58" s="8" t="b">
        <f t="shared" si="15"/>
        <v>1</v>
      </c>
      <c r="AE58" s="8">
        <f t="shared" si="9"/>
        <v>2</v>
      </c>
    </row>
    <row r="59" spans="1:31" ht="18" customHeight="1">
      <c r="A59" s="65">
        <v>40</v>
      </c>
      <c r="B59" s="43">
        <v>40</v>
      </c>
      <c r="C59" s="46" t="s">
        <v>367</v>
      </c>
      <c r="D59" s="45">
        <v>0</v>
      </c>
      <c r="E59" s="45">
        <v>1</v>
      </c>
      <c r="F59" s="45">
        <v>0</v>
      </c>
      <c r="G59" s="45">
        <v>1</v>
      </c>
      <c r="H59" s="45">
        <v>1</v>
      </c>
      <c r="I59" s="45">
        <v>1</v>
      </c>
      <c r="J59" s="45">
        <v>4</v>
      </c>
      <c r="K59" s="45">
        <v>3</v>
      </c>
      <c r="L59" s="45">
        <v>3</v>
      </c>
      <c r="M59" s="45">
        <v>3</v>
      </c>
      <c r="N59" s="45" t="s">
        <v>252</v>
      </c>
      <c r="O59" s="45" t="s">
        <v>252</v>
      </c>
      <c r="P59" s="118">
        <f t="shared" si="8"/>
        <v>17</v>
      </c>
      <c r="Q59" s="213"/>
      <c r="R59" s="109">
        <f>IF(A59=B59,Studentwise!AO59,"")</f>
        <v>84.615384615384613</v>
      </c>
      <c r="S59" s="109">
        <f>IF(A59=B59,Studentwise!AP59,"")</f>
        <v>64.285714285714292</v>
      </c>
      <c r="T59" s="109">
        <f>IF(A59=B59,Studentwise!AQ59,"")</f>
        <v>61.111111111111114</v>
      </c>
      <c r="U59" s="109">
        <f>IF(A59=B59,Studentwise!AR59,"")</f>
        <v>94.444444444444443</v>
      </c>
      <c r="V59" s="109">
        <f>IF(A59=B59,Studentwise!AS59,"")</f>
        <v>100</v>
      </c>
      <c r="W59" s="213"/>
      <c r="X59" s="7"/>
      <c r="Y59" s="8" t="b">
        <f t="shared" si="10"/>
        <v>0</v>
      </c>
      <c r="Z59" s="8" t="b">
        <f t="shared" si="11"/>
        <v>0</v>
      </c>
      <c r="AA59" s="8" t="b">
        <f t="shared" si="12"/>
        <v>0</v>
      </c>
      <c r="AB59" s="8" t="b">
        <f t="shared" si="13"/>
        <v>0</v>
      </c>
      <c r="AC59" s="8" t="b">
        <f t="shared" si="14"/>
        <v>1</v>
      </c>
      <c r="AD59" s="8" t="b">
        <f t="shared" si="15"/>
        <v>1</v>
      </c>
      <c r="AE59" s="8">
        <f t="shared" si="9"/>
        <v>2</v>
      </c>
    </row>
    <row r="60" spans="1:31" ht="18" customHeight="1">
      <c r="A60" s="65">
        <v>41</v>
      </c>
      <c r="B60" s="43">
        <v>41</v>
      </c>
      <c r="C60" s="46" t="s">
        <v>368</v>
      </c>
      <c r="D60" s="45">
        <v>1</v>
      </c>
      <c r="E60" s="45">
        <v>1</v>
      </c>
      <c r="F60" s="45">
        <v>1</v>
      </c>
      <c r="G60" s="45">
        <v>1</v>
      </c>
      <c r="H60" s="45">
        <v>1</v>
      </c>
      <c r="I60" s="45">
        <v>1</v>
      </c>
      <c r="J60" s="45">
        <v>3</v>
      </c>
      <c r="K60" s="45">
        <v>3</v>
      </c>
      <c r="L60" s="45">
        <v>0</v>
      </c>
      <c r="M60" s="45">
        <v>3</v>
      </c>
      <c r="N60" s="45" t="s">
        <v>252</v>
      </c>
      <c r="O60" s="45" t="s">
        <v>252</v>
      </c>
      <c r="P60" s="118">
        <f t="shared" si="8"/>
        <v>15</v>
      </c>
      <c r="Q60" s="213"/>
      <c r="R60" s="109">
        <f>IF(A60=B60,Studentwise!AO60,"")</f>
        <v>76.923076923076934</v>
      </c>
      <c r="S60" s="109">
        <f>IF(A60=B60,Studentwise!AP60,"")</f>
        <v>78.571428571428569</v>
      </c>
      <c r="T60" s="109">
        <f>IF(A60=B60,Studentwise!AQ60,"")</f>
        <v>88.888888888888886</v>
      </c>
      <c r="U60" s="109">
        <f>IF(A60=B60,Studentwise!AR60,"")</f>
        <v>94.444444444444443</v>
      </c>
      <c r="V60" s="109">
        <f>IF(A60=B60,Studentwise!AS60,"")</f>
        <v>100</v>
      </c>
      <c r="W60" s="213"/>
      <c r="X60" s="7"/>
      <c r="Y60" s="8" t="b">
        <f t="shared" si="10"/>
        <v>0</v>
      </c>
      <c r="Z60" s="8" t="b">
        <f t="shared" si="11"/>
        <v>0</v>
      </c>
      <c r="AA60" s="8" t="b">
        <f t="shared" si="12"/>
        <v>0</v>
      </c>
      <c r="AB60" s="8" t="b">
        <f t="shared" si="13"/>
        <v>0</v>
      </c>
      <c r="AC60" s="8" t="b">
        <f t="shared" si="14"/>
        <v>1</v>
      </c>
      <c r="AD60" s="8" t="b">
        <f t="shared" si="15"/>
        <v>1</v>
      </c>
      <c r="AE60" s="8">
        <f t="shared" si="9"/>
        <v>2</v>
      </c>
    </row>
    <row r="61" spans="1:31" ht="18" customHeight="1">
      <c r="A61" s="65">
        <v>42</v>
      </c>
      <c r="B61" s="43">
        <v>42</v>
      </c>
      <c r="C61" s="46" t="s">
        <v>369</v>
      </c>
      <c r="D61" s="45">
        <v>1</v>
      </c>
      <c r="E61" s="45">
        <v>1</v>
      </c>
      <c r="F61" s="45">
        <v>1</v>
      </c>
      <c r="G61" s="45">
        <v>1</v>
      </c>
      <c r="H61" s="45">
        <v>1</v>
      </c>
      <c r="I61" s="45">
        <v>1</v>
      </c>
      <c r="J61" s="45">
        <v>4</v>
      </c>
      <c r="K61" s="45">
        <v>3</v>
      </c>
      <c r="L61" s="45">
        <v>3</v>
      </c>
      <c r="M61" s="45">
        <v>3</v>
      </c>
      <c r="N61" s="45" t="s">
        <v>252</v>
      </c>
      <c r="O61" s="45" t="s">
        <v>252</v>
      </c>
      <c r="P61" s="118">
        <f t="shared" si="8"/>
        <v>19</v>
      </c>
      <c r="Q61" s="213"/>
      <c r="R61" s="109">
        <f>IF(A61=B61,Studentwise!AO61,"")</f>
        <v>53.846153846153847</v>
      </c>
      <c r="S61" s="109">
        <f>IF(A61=B61,Studentwise!AP61,"")</f>
        <v>42.857142857142854</v>
      </c>
      <c r="T61" s="109">
        <f>IF(A61=B61,Studentwise!AQ61,"")</f>
        <v>50</v>
      </c>
      <c r="U61" s="109">
        <f>IF(A61=B61,Studentwise!AR61,"")</f>
        <v>44.444444444444443</v>
      </c>
      <c r="V61" s="109">
        <f>IF(A61=B61,Studentwise!AS61,"")</f>
        <v>0</v>
      </c>
      <c r="W61" s="213"/>
      <c r="X61" s="7"/>
      <c r="Y61" s="8" t="b">
        <f t="shared" si="10"/>
        <v>0</v>
      </c>
      <c r="Z61" s="8" t="b">
        <f t="shared" si="11"/>
        <v>0</v>
      </c>
      <c r="AA61" s="8" t="b">
        <f t="shared" si="12"/>
        <v>0</v>
      </c>
      <c r="AB61" s="8" t="b">
        <f t="shared" si="13"/>
        <v>0</v>
      </c>
      <c r="AC61" s="8" t="b">
        <f t="shared" si="14"/>
        <v>1</v>
      </c>
      <c r="AD61" s="8" t="b">
        <f t="shared" si="15"/>
        <v>1</v>
      </c>
      <c r="AE61" s="8">
        <f t="shared" si="9"/>
        <v>2</v>
      </c>
    </row>
    <row r="62" spans="1:31" ht="18" customHeight="1">
      <c r="A62" s="65">
        <v>43</v>
      </c>
      <c r="B62" s="43">
        <v>43</v>
      </c>
      <c r="C62" s="46" t="s">
        <v>370</v>
      </c>
      <c r="D62" s="45">
        <v>0</v>
      </c>
      <c r="E62" s="45">
        <v>1</v>
      </c>
      <c r="F62" s="45">
        <v>1</v>
      </c>
      <c r="G62" s="45">
        <v>0</v>
      </c>
      <c r="H62" s="45">
        <v>0</v>
      </c>
      <c r="I62" s="45">
        <v>0</v>
      </c>
      <c r="J62" s="45">
        <v>3</v>
      </c>
      <c r="K62" s="45">
        <v>3</v>
      </c>
      <c r="L62" s="45">
        <v>3</v>
      </c>
      <c r="M62" s="45">
        <v>1</v>
      </c>
      <c r="N62" s="45" t="s">
        <v>252</v>
      </c>
      <c r="O62" s="45" t="s">
        <v>252</v>
      </c>
      <c r="P62" s="118">
        <f t="shared" si="8"/>
        <v>12</v>
      </c>
      <c r="Q62" s="213"/>
      <c r="R62" s="109">
        <f>IF(A62=B62,Studentwise!AO62,"")</f>
        <v>42.307692307692307</v>
      </c>
      <c r="S62" s="109">
        <f>IF(A62=B62,Studentwise!AP62,"")</f>
        <v>78.571428571428569</v>
      </c>
      <c r="T62" s="109">
        <f>IF(A62=B62,Studentwise!AQ62,"")</f>
        <v>94.444444444444443</v>
      </c>
      <c r="U62" s="109">
        <f>IF(A62=B62,Studentwise!AR62,"")</f>
        <v>100</v>
      </c>
      <c r="V62" s="109">
        <f>IF(A62=B62,Studentwise!AS62,"")</f>
        <v>100</v>
      </c>
      <c r="W62" s="213"/>
      <c r="X62" s="7"/>
      <c r="Y62" s="8" t="b">
        <f t="shared" si="10"/>
        <v>0</v>
      </c>
      <c r="Z62" s="8" t="b">
        <f t="shared" si="11"/>
        <v>0</v>
      </c>
      <c r="AA62" s="8" t="b">
        <f t="shared" si="12"/>
        <v>0</v>
      </c>
      <c r="AB62" s="8" t="b">
        <f t="shared" si="13"/>
        <v>0</v>
      </c>
      <c r="AC62" s="8" t="b">
        <f t="shared" si="14"/>
        <v>1</v>
      </c>
      <c r="AD62" s="8" t="b">
        <f t="shared" si="15"/>
        <v>1</v>
      </c>
      <c r="AE62" s="8">
        <f t="shared" si="9"/>
        <v>2</v>
      </c>
    </row>
    <row r="63" spans="1:31" ht="18" customHeight="1">
      <c r="A63" s="65">
        <v>44</v>
      </c>
      <c r="B63" s="43">
        <v>44</v>
      </c>
      <c r="C63" s="46" t="s">
        <v>371</v>
      </c>
      <c r="D63" s="45">
        <v>0</v>
      </c>
      <c r="E63" s="45">
        <v>0</v>
      </c>
      <c r="F63" s="45">
        <v>0</v>
      </c>
      <c r="G63" s="45">
        <v>0</v>
      </c>
      <c r="H63" s="45">
        <v>0</v>
      </c>
      <c r="I63" s="45">
        <v>0</v>
      </c>
      <c r="J63" s="45">
        <v>3</v>
      </c>
      <c r="K63" s="45">
        <v>1</v>
      </c>
      <c r="L63" s="45">
        <v>2</v>
      </c>
      <c r="M63" s="45">
        <v>2</v>
      </c>
      <c r="N63" s="45" t="s">
        <v>252</v>
      </c>
      <c r="O63" s="45" t="s">
        <v>252</v>
      </c>
      <c r="P63" s="118">
        <f t="shared" si="8"/>
        <v>8</v>
      </c>
      <c r="Q63" s="213"/>
      <c r="R63" s="109">
        <f>IF(A63=B63,Studentwise!AO63,"")</f>
        <v>69.230769230769226</v>
      </c>
      <c r="S63" s="109">
        <f>IF(A63=B63,Studentwise!AP63,"")</f>
        <v>64.285714285714292</v>
      </c>
      <c r="T63" s="109">
        <f>IF(A63=B63,Studentwise!AQ63,"")</f>
        <v>94.444444444444443</v>
      </c>
      <c r="U63" s="109">
        <f>IF(A63=B63,Studentwise!AR63,"")</f>
        <v>75</v>
      </c>
      <c r="V63" s="109">
        <f>IF(A63=B63,Studentwise!AS63,"")</f>
        <v>88.888888888888886</v>
      </c>
      <c r="W63" s="213"/>
      <c r="X63" s="7"/>
      <c r="Y63" s="8" t="b">
        <f t="shared" si="10"/>
        <v>0</v>
      </c>
      <c r="Z63" s="8" t="b">
        <f t="shared" si="11"/>
        <v>0</v>
      </c>
      <c r="AA63" s="8" t="b">
        <f t="shared" si="12"/>
        <v>0</v>
      </c>
      <c r="AB63" s="8" t="b">
        <f t="shared" si="13"/>
        <v>0</v>
      </c>
      <c r="AC63" s="8" t="b">
        <f t="shared" si="14"/>
        <v>1</v>
      </c>
      <c r="AD63" s="8" t="b">
        <f t="shared" si="15"/>
        <v>1</v>
      </c>
      <c r="AE63" s="8">
        <f t="shared" si="9"/>
        <v>2</v>
      </c>
    </row>
    <row r="64" spans="1:31" ht="18" customHeight="1">
      <c r="A64" s="65">
        <v>45</v>
      </c>
      <c r="B64" s="43">
        <v>45</v>
      </c>
      <c r="C64" s="46" t="s">
        <v>372</v>
      </c>
      <c r="D64" s="45">
        <v>1</v>
      </c>
      <c r="E64" s="45">
        <v>1</v>
      </c>
      <c r="F64" s="45">
        <v>1</v>
      </c>
      <c r="G64" s="45">
        <v>1</v>
      </c>
      <c r="H64" s="45">
        <v>1</v>
      </c>
      <c r="I64" s="45">
        <v>1</v>
      </c>
      <c r="J64" s="45">
        <v>3</v>
      </c>
      <c r="K64" s="45">
        <v>3</v>
      </c>
      <c r="L64" s="45">
        <v>4</v>
      </c>
      <c r="M64" s="45">
        <v>3</v>
      </c>
      <c r="N64" s="45" t="s">
        <v>252</v>
      </c>
      <c r="O64" s="45" t="s">
        <v>252</v>
      </c>
      <c r="P64" s="118">
        <f t="shared" si="8"/>
        <v>19</v>
      </c>
      <c r="Q64" s="213"/>
      <c r="R64" s="109">
        <f>IF(A64=B64,Studentwise!AO64,"")</f>
        <v>60</v>
      </c>
      <c r="S64" s="109">
        <f>IF(A64=B64,Studentwise!AP64,"")</f>
        <v>25</v>
      </c>
      <c r="T64" s="109">
        <f>IF(A64=B64,Studentwise!AQ64,"")</f>
        <v>100</v>
      </c>
      <c r="U64" s="109">
        <f>IF(A64=B64,Studentwise!AR64,"")</f>
        <v>72.222222222222214</v>
      </c>
      <c r="V64" s="109">
        <f>IF(A64=B64,Studentwise!AS64,"")</f>
        <v>16.666666666666664</v>
      </c>
      <c r="W64" s="213"/>
      <c r="X64" s="7"/>
      <c r="Y64" s="8" t="b">
        <f t="shared" si="10"/>
        <v>0</v>
      </c>
      <c r="Z64" s="8" t="b">
        <f t="shared" si="11"/>
        <v>0</v>
      </c>
      <c r="AA64" s="8" t="b">
        <f t="shared" si="12"/>
        <v>0</v>
      </c>
      <c r="AB64" s="8" t="b">
        <f t="shared" si="13"/>
        <v>0</v>
      </c>
      <c r="AC64" s="8" t="b">
        <f t="shared" si="14"/>
        <v>1</v>
      </c>
      <c r="AD64" s="8" t="b">
        <f t="shared" si="15"/>
        <v>1</v>
      </c>
      <c r="AE64" s="8">
        <f t="shared" si="9"/>
        <v>2</v>
      </c>
    </row>
    <row r="65" spans="1:31" ht="18" customHeight="1">
      <c r="A65" s="65">
        <v>46</v>
      </c>
      <c r="B65" s="43">
        <v>46</v>
      </c>
      <c r="C65" s="46" t="s">
        <v>373</v>
      </c>
      <c r="D65" s="45">
        <v>1</v>
      </c>
      <c r="E65" s="45">
        <v>1</v>
      </c>
      <c r="F65" s="45">
        <v>0</v>
      </c>
      <c r="G65" s="45">
        <v>1</v>
      </c>
      <c r="H65" s="45">
        <v>1</v>
      </c>
      <c r="I65" s="45">
        <v>1</v>
      </c>
      <c r="J65" s="45">
        <v>4</v>
      </c>
      <c r="K65" s="45">
        <v>3</v>
      </c>
      <c r="L65" s="45">
        <v>3</v>
      </c>
      <c r="M65" s="45">
        <v>3</v>
      </c>
      <c r="N65" s="45" t="s">
        <v>252</v>
      </c>
      <c r="O65" s="45" t="s">
        <v>252</v>
      </c>
      <c r="P65" s="118">
        <f t="shared" si="8"/>
        <v>18</v>
      </c>
      <c r="Q65" s="213"/>
      <c r="R65" s="109">
        <f>IF(A65=B65,Studentwise!AO65,"")</f>
        <v>65.384615384615387</v>
      </c>
      <c r="S65" s="109">
        <f>IF(A65=B65,Studentwise!AP65,"")</f>
        <v>50</v>
      </c>
      <c r="T65" s="109">
        <f>IF(A65=B65,Studentwise!AQ65,"")</f>
        <v>50</v>
      </c>
      <c r="U65" s="109">
        <f>IF(A65=B65,Studentwise!AR65,"")</f>
        <v>55.555555555555557</v>
      </c>
      <c r="V65" s="109">
        <f>IF(A65=B65,Studentwise!AS65,"")</f>
        <v>44.444444444444443</v>
      </c>
      <c r="W65" s="213"/>
      <c r="X65" s="7"/>
      <c r="Y65" s="8" t="b">
        <f t="shared" si="10"/>
        <v>0</v>
      </c>
      <c r="Z65" s="8" t="b">
        <f t="shared" si="11"/>
        <v>0</v>
      </c>
      <c r="AA65" s="8" t="b">
        <f t="shared" si="12"/>
        <v>0</v>
      </c>
      <c r="AB65" s="8" t="b">
        <f t="shared" si="13"/>
        <v>0</v>
      </c>
      <c r="AC65" s="8" t="b">
        <f t="shared" si="14"/>
        <v>1</v>
      </c>
      <c r="AD65" s="8" t="b">
        <f t="shared" si="15"/>
        <v>1</v>
      </c>
      <c r="AE65" s="8">
        <f t="shared" si="9"/>
        <v>2</v>
      </c>
    </row>
    <row r="66" spans="1:31" ht="18" customHeight="1">
      <c r="A66" s="65">
        <v>47</v>
      </c>
      <c r="B66" s="43">
        <v>47</v>
      </c>
      <c r="C66" s="46" t="s">
        <v>374</v>
      </c>
      <c r="D66" s="45">
        <v>0</v>
      </c>
      <c r="E66" s="45">
        <v>1</v>
      </c>
      <c r="F66" s="45">
        <v>0</v>
      </c>
      <c r="G66" s="45">
        <v>1</v>
      </c>
      <c r="H66" s="45">
        <v>1</v>
      </c>
      <c r="I66" s="45">
        <v>1</v>
      </c>
      <c r="J66" s="45">
        <v>4</v>
      </c>
      <c r="K66" s="45">
        <v>3</v>
      </c>
      <c r="L66" s="45">
        <v>4</v>
      </c>
      <c r="M66" s="45">
        <v>3</v>
      </c>
      <c r="N66" s="45" t="s">
        <v>252</v>
      </c>
      <c r="O66" s="45" t="s">
        <v>252</v>
      </c>
      <c r="P66" s="118">
        <f t="shared" si="8"/>
        <v>18</v>
      </c>
      <c r="Q66" s="213"/>
      <c r="R66" s="109">
        <f>IF(A66=B66,Studentwise!AO66,"")</f>
        <v>33.333333333333329</v>
      </c>
      <c r="S66" s="109">
        <f>IF(A66=B66,Studentwise!AP66,"")</f>
        <v>3.5714285714285712</v>
      </c>
      <c r="T66" s="109">
        <f>IF(A66=B66,Studentwise!AQ66,"")</f>
        <v>38.888888888888893</v>
      </c>
      <c r="U66" s="109">
        <f>IF(A66=B66,Studentwise!AR66,"")</f>
        <v>33.333333333333329</v>
      </c>
      <c r="V66" s="109">
        <f>IF(A66=B66,Studentwise!AS66,"")</f>
        <v>50</v>
      </c>
      <c r="W66" s="213"/>
      <c r="X66" s="7"/>
      <c r="Y66" s="8" t="b">
        <f t="shared" si="10"/>
        <v>0</v>
      </c>
      <c r="Z66" s="8" t="b">
        <f t="shared" si="11"/>
        <v>0</v>
      </c>
      <c r="AA66" s="8" t="b">
        <f t="shared" si="12"/>
        <v>0</v>
      </c>
      <c r="AB66" s="8" t="b">
        <f t="shared" si="13"/>
        <v>0</v>
      </c>
      <c r="AC66" s="8" t="b">
        <f t="shared" si="14"/>
        <v>1</v>
      </c>
      <c r="AD66" s="8" t="b">
        <f t="shared" si="15"/>
        <v>1</v>
      </c>
      <c r="AE66" s="8">
        <f t="shared" si="9"/>
        <v>2</v>
      </c>
    </row>
    <row r="67" spans="1:31" ht="18" customHeight="1">
      <c r="A67" s="65">
        <v>48</v>
      </c>
      <c r="B67" s="43">
        <v>48</v>
      </c>
      <c r="C67" s="46" t="s">
        <v>375</v>
      </c>
      <c r="D67" s="45">
        <v>1</v>
      </c>
      <c r="E67" s="45">
        <v>1</v>
      </c>
      <c r="F67" s="45">
        <v>1</v>
      </c>
      <c r="G67" s="45">
        <v>1</v>
      </c>
      <c r="H67" s="45">
        <v>1</v>
      </c>
      <c r="I67" s="45">
        <v>1</v>
      </c>
      <c r="J67" s="45">
        <v>4</v>
      </c>
      <c r="K67" s="45">
        <v>3</v>
      </c>
      <c r="L67" s="45">
        <v>1</v>
      </c>
      <c r="M67" s="45">
        <v>3</v>
      </c>
      <c r="N67" s="45" t="s">
        <v>252</v>
      </c>
      <c r="O67" s="45" t="s">
        <v>252</v>
      </c>
      <c r="P67" s="118">
        <f t="shared" si="8"/>
        <v>17</v>
      </c>
      <c r="Q67" s="213"/>
      <c r="R67" s="109">
        <f>IF(A67=B67,Studentwise!AO67,"")</f>
        <v>70</v>
      </c>
      <c r="S67" s="109">
        <f>IF(A67=B67,Studentwise!AP67,"")</f>
        <v>65</v>
      </c>
      <c r="T67" s="109">
        <f>IF(A67=B67,Studentwise!AQ67,"")</f>
        <v>72.222222222222214</v>
      </c>
      <c r="U67" s="109">
        <f>IF(A67=B67,Studentwise!AR67,"")</f>
        <v>88.888888888888886</v>
      </c>
      <c r="V67" s="109">
        <f>IF(A67=B67,Studentwise!AS67,"")</f>
        <v>100</v>
      </c>
      <c r="W67" s="213"/>
      <c r="X67" s="7"/>
      <c r="Y67" s="8" t="b">
        <f t="shared" si="10"/>
        <v>0</v>
      </c>
      <c r="Z67" s="8" t="b">
        <f t="shared" si="11"/>
        <v>0</v>
      </c>
      <c r="AA67" s="8" t="b">
        <f t="shared" si="12"/>
        <v>0</v>
      </c>
      <c r="AB67" s="8" t="b">
        <f t="shared" si="13"/>
        <v>0</v>
      </c>
      <c r="AC67" s="8" t="b">
        <f t="shared" si="14"/>
        <v>1</v>
      </c>
      <c r="AD67" s="8" t="b">
        <f t="shared" si="15"/>
        <v>1</v>
      </c>
      <c r="AE67" s="8">
        <f t="shared" si="9"/>
        <v>2</v>
      </c>
    </row>
    <row r="68" spans="1:31" ht="18" customHeight="1">
      <c r="A68" s="65">
        <v>49</v>
      </c>
      <c r="B68" s="43">
        <v>49</v>
      </c>
      <c r="C68" s="46" t="s">
        <v>376</v>
      </c>
      <c r="D68" s="45">
        <v>1</v>
      </c>
      <c r="E68" s="45">
        <v>1</v>
      </c>
      <c r="F68" s="45">
        <v>1</v>
      </c>
      <c r="G68" s="45">
        <v>1</v>
      </c>
      <c r="H68" s="45">
        <v>1</v>
      </c>
      <c r="I68" s="45">
        <v>0</v>
      </c>
      <c r="J68" s="45">
        <v>4</v>
      </c>
      <c r="K68" s="45">
        <v>1</v>
      </c>
      <c r="L68" s="45">
        <v>2</v>
      </c>
      <c r="M68" s="45">
        <v>2</v>
      </c>
      <c r="N68" s="45" t="s">
        <v>252</v>
      </c>
      <c r="O68" s="45" t="s">
        <v>252</v>
      </c>
      <c r="P68" s="118">
        <f t="shared" si="8"/>
        <v>14</v>
      </c>
      <c r="Q68" s="213"/>
      <c r="R68" s="109">
        <f>IF(A68=B68,Studentwise!AO68,"")</f>
        <v>76.923076923076934</v>
      </c>
      <c r="S68" s="109">
        <f>IF(A68=B68,Studentwise!AP68,"")</f>
        <v>85.714285714285708</v>
      </c>
      <c r="T68" s="109">
        <f>IF(A68=B68,Studentwise!AQ68,"")</f>
        <v>100</v>
      </c>
      <c r="U68" s="109">
        <f>IF(A68=B68,Studentwise!AR68,"")</f>
        <v>94.444444444444443</v>
      </c>
      <c r="V68" s="109">
        <f>IF(A68=B68,Studentwise!AS68,"")</f>
        <v>100</v>
      </c>
      <c r="W68" s="213"/>
      <c r="X68" s="7"/>
      <c r="Y68" s="8" t="b">
        <f t="shared" si="10"/>
        <v>0</v>
      </c>
      <c r="Z68" s="8" t="b">
        <f t="shared" si="11"/>
        <v>0</v>
      </c>
      <c r="AA68" s="8" t="b">
        <f t="shared" si="12"/>
        <v>0</v>
      </c>
      <c r="AB68" s="8" t="b">
        <f t="shared" si="13"/>
        <v>0</v>
      </c>
      <c r="AC68" s="8" t="b">
        <f t="shared" si="14"/>
        <v>1</v>
      </c>
      <c r="AD68" s="8" t="b">
        <f t="shared" si="15"/>
        <v>1</v>
      </c>
      <c r="AE68" s="8">
        <f t="shared" si="9"/>
        <v>2</v>
      </c>
    </row>
    <row r="69" spans="1:31" ht="18" customHeight="1">
      <c r="A69" s="65">
        <v>50</v>
      </c>
      <c r="B69" s="43">
        <v>50</v>
      </c>
      <c r="C69" s="46" t="s">
        <v>377</v>
      </c>
      <c r="D69" s="45">
        <v>1</v>
      </c>
      <c r="E69" s="45">
        <v>1</v>
      </c>
      <c r="F69" s="45">
        <v>1</v>
      </c>
      <c r="G69" s="45">
        <v>1</v>
      </c>
      <c r="H69" s="45">
        <v>1</v>
      </c>
      <c r="I69" s="45">
        <v>1</v>
      </c>
      <c r="J69" s="45">
        <v>4</v>
      </c>
      <c r="K69" s="45">
        <v>3</v>
      </c>
      <c r="L69" s="45">
        <v>0</v>
      </c>
      <c r="M69" s="45">
        <v>3</v>
      </c>
      <c r="N69" s="45" t="s">
        <v>252</v>
      </c>
      <c r="O69" s="45" t="s">
        <v>252</v>
      </c>
      <c r="P69" s="118">
        <f t="shared" si="8"/>
        <v>16</v>
      </c>
      <c r="Q69" s="213"/>
      <c r="R69" s="109">
        <f>IF(A69=B69,Studentwise!AO69,"")</f>
        <v>57.692307692307686</v>
      </c>
      <c r="S69" s="109">
        <f>IF(A69=B69,Studentwise!AP69,"")</f>
        <v>71.428571428571431</v>
      </c>
      <c r="T69" s="109">
        <f>IF(A69=B69,Studentwise!AQ69,"")</f>
        <v>94.444444444444443</v>
      </c>
      <c r="U69" s="109">
        <f>IF(A69=B69,Studentwise!AR69,"")</f>
        <v>100</v>
      </c>
      <c r="V69" s="109">
        <f>IF(A69=B69,Studentwise!AS69,"")</f>
        <v>100</v>
      </c>
      <c r="W69" s="213"/>
      <c r="X69" s="7"/>
      <c r="Y69" s="8" t="b">
        <f t="shared" si="10"/>
        <v>0</v>
      </c>
      <c r="Z69" s="8" t="b">
        <f t="shared" si="11"/>
        <v>0</v>
      </c>
      <c r="AA69" s="8" t="b">
        <f t="shared" si="12"/>
        <v>0</v>
      </c>
      <c r="AB69" s="8" t="b">
        <f t="shared" si="13"/>
        <v>0</v>
      </c>
      <c r="AC69" s="8" t="b">
        <f t="shared" si="14"/>
        <v>1</v>
      </c>
      <c r="AD69" s="8" t="b">
        <f t="shared" si="15"/>
        <v>1</v>
      </c>
      <c r="AE69" s="8">
        <f t="shared" si="9"/>
        <v>2</v>
      </c>
    </row>
    <row r="70" spans="1:31" ht="18" customHeight="1">
      <c r="A70" s="65">
        <v>51</v>
      </c>
      <c r="B70" s="43">
        <v>51</v>
      </c>
      <c r="C70" s="46" t="s">
        <v>378</v>
      </c>
      <c r="D70" s="45">
        <v>1</v>
      </c>
      <c r="E70" s="45">
        <v>1</v>
      </c>
      <c r="F70" s="45">
        <v>1</v>
      </c>
      <c r="G70" s="45">
        <v>1</v>
      </c>
      <c r="H70" s="45">
        <v>1</v>
      </c>
      <c r="I70" s="45">
        <v>1</v>
      </c>
      <c r="J70" s="45">
        <v>4</v>
      </c>
      <c r="K70" s="45">
        <v>3</v>
      </c>
      <c r="L70" s="45" t="s">
        <v>252</v>
      </c>
      <c r="M70" s="45" t="s">
        <v>252</v>
      </c>
      <c r="N70" s="45">
        <v>4</v>
      </c>
      <c r="O70" s="45">
        <v>0</v>
      </c>
      <c r="P70" s="118">
        <f t="shared" si="8"/>
        <v>17</v>
      </c>
      <c r="Q70" s="213"/>
      <c r="R70" s="109">
        <f>IF(A70=B70,Studentwise!AO70,"")</f>
        <v>91.666666666666657</v>
      </c>
      <c r="S70" s="109">
        <f>IF(A70=B70,Studentwise!AP70,"")</f>
        <v>53.571428571428569</v>
      </c>
      <c r="T70" s="109">
        <f>IF(A70=B70,Studentwise!AQ70,"")</f>
        <v>88.888888888888886</v>
      </c>
      <c r="U70" s="109">
        <f>IF(A70=B70,Studentwise!AR70,"")</f>
        <v>44.444444444444443</v>
      </c>
      <c r="V70" s="109">
        <f>IF(A70=B70,Studentwise!AS70,"")</f>
        <v>50</v>
      </c>
      <c r="W70" s="213"/>
      <c r="X70" s="7"/>
      <c r="Y70" s="8" t="b">
        <f t="shared" si="10"/>
        <v>0</v>
      </c>
      <c r="Z70" s="8" t="b">
        <f t="shared" si="11"/>
        <v>0</v>
      </c>
      <c r="AA70" s="8" t="b">
        <f t="shared" si="12"/>
        <v>1</v>
      </c>
      <c r="AB70" s="8" t="b">
        <f t="shared" si="13"/>
        <v>1</v>
      </c>
      <c r="AC70" s="8" t="b">
        <f t="shared" si="14"/>
        <v>0</v>
      </c>
      <c r="AD70" s="8" t="b">
        <f t="shared" si="15"/>
        <v>0</v>
      </c>
      <c r="AE70" s="8">
        <f t="shared" si="9"/>
        <v>2</v>
      </c>
    </row>
    <row r="71" spans="1:31" ht="18" customHeight="1">
      <c r="A71" s="65">
        <v>52</v>
      </c>
      <c r="B71" s="43">
        <v>52</v>
      </c>
      <c r="C71" s="46" t="s">
        <v>379</v>
      </c>
      <c r="D71" s="45">
        <v>1</v>
      </c>
      <c r="E71" s="45">
        <v>0</v>
      </c>
      <c r="F71" s="45">
        <v>1</v>
      </c>
      <c r="G71" s="45">
        <v>1</v>
      </c>
      <c r="H71" s="45">
        <v>0</v>
      </c>
      <c r="I71" s="45">
        <v>0</v>
      </c>
      <c r="J71" s="45">
        <v>4</v>
      </c>
      <c r="K71" s="45">
        <v>1</v>
      </c>
      <c r="L71" s="45">
        <v>2</v>
      </c>
      <c r="M71" s="45">
        <v>1</v>
      </c>
      <c r="N71" s="45" t="s">
        <v>252</v>
      </c>
      <c r="O71" s="45" t="s">
        <v>252</v>
      </c>
      <c r="P71" s="118">
        <f t="shared" si="8"/>
        <v>11</v>
      </c>
      <c r="Q71" s="213"/>
      <c r="R71" s="109">
        <f>IF(A71=B71,Studentwise!AO71,"")</f>
        <v>69.230769230769226</v>
      </c>
      <c r="S71" s="109">
        <f>IF(A71=B71,Studentwise!AP71,"")</f>
        <v>57.142857142857139</v>
      </c>
      <c r="T71" s="109">
        <f>IF(A71=B71,Studentwise!AQ71,"")</f>
        <v>61.111111111111114</v>
      </c>
      <c r="U71" s="109">
        <f>IF(A71=B71,Studentwise!AR71,"")</f>
        <v>72.222222222222214</v>
      </c>
      <c r="V71" s="109">
        <f>IF(A71=B71,Studentwise!AS71,"")</f>
        <v>50</v>
      </c>
      <c r="W71" s="213"/>
      <c r="X71" s="7"/>
      <c r="Y71" s="8" t="b">
        <f t="shared" si="10"/>
        <v>0</v>
      </c>
      <c r="Z71" s="8" t="b">
        <f t="shared" si="11"/>
        <v>0</v>
      </c>
      <c r="AA71" s="8" t="b">
        <f t="shared" si="12"/>
        <v>0</v>
      </c>
      <c r="AB71" s="8" t="b">
        <f t="shared" si="13"/>
        <v>0</v>
      </c>
      <c r="AC71" s="8" t="b">
        <f t="shared" si="14"/>
        <v>1</v>
      </c>
      <c r="AD71" s="8" t="b">
        <f t="shared" si="15"/>
        <v>1</v>
      </c>
      <c r="AE71" s="8">
        <f t="shared" si="9"/>
        <v>2</v>
      </c>
    </row>
    <row r="72" spans="1:31" ht="18" customHeight="1">
      <c r="A72" s="65">
        <v>53</v>
      </c>
      <c r="B72" s="43">
        <v>53</v>
      </c>
      <c r="C72" s="46" t="s">
        <v>380</v>
      </c>
      <c r="D72" s="45">
        <v>1</v>
      </c>
      <c r="E72" s="45">
        <v>1</v>
      </c>
      <c r="F72" s="45">
        <v>1</v>
      </c>
      <c r="G72" s="45">
        <v>1</v>
      </c>
      <c r="H72" s="45">
        <v>1</v>
      </c>
      <c r="I72" s="45">
        <v>0</v>
      </c>
      <c r="J72" s="45">
        <v>4</v>
      </c>
      <c r="K72" s="45">
        <v>3</v>
      </c>
      <c r="L72" s="45">
        <v>2</v>
      </c>
      <c r="M72" s="45">
        <v>2</v>
      </c>
      <c r="N72" s="45" t="s">
        <v>252</v>
      </c>
      <c r="O72" s="45" t="s">
        <v>252</v>
      </c>
      <c r="P72" s="118">
        <f t="shared" si="8"/>
        <v>16</v>
      </c>
      <c r="Q72" s="213"/>
      <c r="R72" s="109">
        <f>IF(A72=B72,Studentwise!AO72,"")</f>
        <v>30.76923076923077</v>
      </c>
      <c r="S72" s="109">
        <f>IF(A72=B72,Studentwise!AP72,"")</f>
        <v>0</v>
      </c>
      <c r="T72" s="109">
        <f>IF(A72=B72,Studentwise!AQ72,"")</f>
        <v>50</v>
      </c>
      <c r="U72" s="109">
        <f>IF(A72=B72,Studentwise!AR72,"")</f>
        <v>66.666666666666657</v>
      </c>
      <c r="V72" s="109">
        <f>IF(A72=B72,Studentwise!AS72,"")</f>
        <v>0</v>
      </c>
      <c r="W72" s="213"/>
      <c r="X72" s="7"/>
      <c r="Y72" s="8" t="b">
        <f t="shared" si="10"/>
        <v>0</v>
      </c>
      <c r="Z72" s="8" t="b">
        <f t="shared" si="11"/>
        <v>0</v>
      </c>
      <c r="AA72" s="8" t="b">
        <f t="shared" si="12"/>
        <v>0</v>
      </c>
      <c r="AB72" s="8" t="b">
        <f t="shared" si="13"/>
        <v>0</v>
      </c>
      <c r="AC72" s="8" t="b">
        <f t="shared" si="14"/>
        <v>1</v>
      </c>
      <c r="AD72" s="8" t="b">
        <f t="shared" si="15"/>
        <v>1</v>
      </c>
      <c r="AE72" s="8">
        <f t="shared" si="9"/>
        <v>2</v>
      </c>
    </row>
    <row r="73" spans="1:31" ht="18" customHeight="1">
      <c r="A73" s="65">
        <v>54</v>
      </c>
      <c r="B73" s="43">
        <v>54</v>
      </c>
      <c r="C73" s="46" t="s">
        <v>381</v>
      </c>
      <c r="D73" s="45">
        <v>0</v>
      </c>
      <c r="E73" s="45">
        <v>1</v>
      </c>
      <c r="F73" s="45">
        <v>0</v>
      </c>
      <c r="G73" s="45">
        <v>1</v>
      </c>
      <c r="H73" s="45">
        <v>1</v>
      </c>
      <c r="I73" s="45">
        <v>0</v>
      </c>
      <c r="J73" s="45">
        <v>3</v>
      </c>
      <c r="K73" s="45">
        <v>2</v>
      </c>
      <c r="L73" s="45">
        <v>2</v>
      </c>
      <c r="M73" s="45">
        <v>2</v>
      </c>
      <c r="N73" s="45" t="s">
        <v>252</v>
      </c>
      <c r="O73" s="45" t="s">
        <v>252</v>
      </c>
      <c r="P73" s="118">
        <f t="shared" si="8"/>
        <v>12</v>
      </c>
      <c r="Q73" s="213"/>
      <c r="R73" s="109">
        <f>IF(A73=B73,Studentwise!AO73,"")</f>
        <v>58.076923076923073</v>
      </c>
      <c r="S73" s="109">
        <f>IF(A73=B73,Studentwise!AP73,"")</f>
        <v>21.428571428571427</v>
      </c>
      <c r="T73" s="109">
        <f>IF(A73=B73,Studentwise!AQ73,"")</f>
        <v>61.111111111111114</v>
      </c>
      <c r="U73" s="109">
        <f>IF(A73=B73,Studentwise!AR73,"")</f>
        <v>94.444444444444443</v>
      </c>
      <c r="V73" s="109">
        <f>IF(A73=B73,Studentwise!AS73,"")</f>
        <v>100</v>
      </c>
      <c r="W73" s="213"/>
      <c r="X73" s="7"/>
      <c r="Y73" s="8" t="b">
        <f t="shared" si="10"/>
        <v>0</v>
      </c>
      <c r="Z73" s="8" t="b">
        <f t="shared" si="11"/>
        <v>0</v>
      </c>
      <c r="AA73" s="8" t="b">
        <f t="shared" si="12"/>
        <v>0</v>
      </c>
      <c r="AB73" s="8" t="b">
        <f t="shared" si="13"/>
        <v>0</v>
      </c>
      <c r="AC73" s="8" t="b">
        <f t="shared" si="14"/>
        <v>1</v>
      </c>
      <c r="AD73" s="8" t="b">
        <f t="shared" si="15"/>
        <v>1</v>
      </c>
      <c r="AE73" s="8">
        <f t="shared" si="9"/>
        <v>2</v>
      </c>
    </row>
    <row r="74" spans="1:31" ht="18" customHeight="1">
      <c r="A74" s="65">
        <v>55</v>
      </c>
      <c r="B74" s="43">
        <v>55</v>
      </c>
      <c r="C74" s="46" t="s">
        <v>382</v>
      </c>
      <c r="D74" s="45">
        <v>0</v>
      </c>
      <c r="E74" s="45">
        <v>1</v>
      </c>
      <c r="F74" s="45">
        <v>1</v>
      </c>
      <c r="G74" s="45">
        <v>1</v>
      </c>
      <c r="H74" s="45">
        <v>1</v>
      </c>
      <c r="I74" s="45">
        <v>0</v>
      </c>
      <c r="J74" s="45">
        <v>4</v>
      </c>
      <c r="K74" s="45">
        <v>3</v>
      </c>
      <c r="L74" s="45">
        <v>3</v>
      </c>
      <c r="M74" s="45">
        <v>3</v>
      </c>
      <c r="N74" s="45" t="s">
        <v>252</v>
      </c>
      <c r="O74" s="45" t="s">
        <v>252</v>
      </c>
      <c r="P74" s="118">
        <f t="shared" si="8"/>
        <v>17</v>
      </c>
      <c r="Q74" s="213"/>
      <c r="R74" s="109">
        <f>IF(A74=B74,Studentwise!AO74,"")</f>
        <v>57.692307692307686</v>
      </c>
      <c r="S74" s="109">
        <f>IF(A74=B74,Studentwise!AP74,"")</f>
        <v>57.142857142857139</v>
      </c>
      <c r="T74" s="109">
        <f>IF(A74=B74,Studentwise!AQ74,"")</f>
        <v>38.888888888888893</v>
      </c>
      <c r="U74" s="109">
        <f>IF(A74=B74,Studentwise!AR74,"")</f>
        <v>100</v>
      </c>
      <c r="V74" s="109">
        <f>IF(A74=B74,Studentwise!AS74,"")</f>
        <v>66.666666666666657</v>
      </c>
      <c r="W74" s="213"/>
      <c r="X74" s="7"/>
      <c r="Y74" s="8" t="b">
        <f t="shared" si="10"/>
        <v>0</v>
      </c>
      <c r="Z74" s="8" t="b">
        <f t="shared" si="11"/>
        <v>0</v>
      </c>
      <c r="AA74" s="8" t="b">
        <f t="shared" si="12"/>
        <v>0</v>
      </c>
      <c r="AB74" s="8" t="b">
        <f t="shared" si="13"/>
        <v>0</v>
      </c>
      <c r="AC74" s="8" t="b">
        <f t="shared" si="14"/>
        <v>1</v>
      </c>
      <c r="AD74" s="8" t="b">
        <f t="shared" si="15"/>
        <v>1</v>
      </c>
      <c r="AE74" s="8">
        <f t="shared" si="9"/>
        <v>2</v>
      </c>
    </row>
    <row r="75" spans="1:31" ht="18" customHeight="1">
      <c r="A75" s="65">
        <v>56</v>
      </c>
      <c r="B75" s="43">
        <v>56</v>
      </c>
      <c r="C75" s="46" t="s">
        <v>383</v>
      </c>
      <c r="D75" s="45">
        <v>1</v>
      </c>
      <c r="E75" s="45">
        <v>1</v>
      </c>
      <c r="F75" s="45">
        <v>1</v>
      </c>
      <c r="G75" s="45">
        <v>1</v>
      </c>
      <c r="H75" s="45">
        <v>1</v>
      </c>
      <c r="I75" s="45">
        <v>1</v>
      </c>
      <c r="J75" s="45">
        <v>3</v>
      </c>
      <c r="K75" s="45">
        <v>3</v>
      </c>
      <c r="L75" s="45">
        <v>4</v>
      </c>
      <c r="M75" s="45">
        <v>3</v>
      </c>
      <c r="N75" s="45" t="s">
        <v>252</v>
      </c>
      <c r="O75" s="45" t="s">
        <v>252</v>
      </c>
      <c r="P75" s="118">
        <f t="shared" si="8"/>
        <v>19</v>
      </c>
      <c r="Q75" s="213"/>
      <c r="R75" s="109">
        <f>IF(A75=B75,Studentwise!AO75,"")</f>
        <v>95</v>
      </c>
      <c r="S75" s="109">
        <f>IF(A75=B75,Studentwise!AP75,"")</f>
        <v>60</v>
      </c>
      <c r="T75" s="109">
        <f>IF(A75=B75,Studentwise!AQ75,"")</f>
        <v>55.555555555555557</v>
      </c>
      <c r="U75" s="109">
        <f>IF(A75=B75,Studentwise!AR75,"")</f>
        <v>100</v>
      </c>
      <c r="V75" s="109">
        <f>IF(A75=B75,Studentwise!AS75,"")</f>
        <v>50</v>
      </c>
      <c r="W75" s="213"/>
      <c r="X75" s="7"/>
      <c r="Y75" s="8" t="b">
        <f t="shared" si="10"/>
        <v>0</v>
      </c>
      <c r="Z75" s="8" t="b">
        <f t="shared" si="11"/>
        <v>0</v>
      </c>
      <c r="AA75" s="8" t="b">
        <f t="shared" si="12"/>
        <v>0</v>
      </c>
      <c r="AB75" s="8" t="b">
        <f t="shared" si="13"/>
        <v>0</v>
      </c>
      <c r="AC75" s="8" t="b">
        <f t="shared" si="14"/>
        <v>1</v>
      </c>
      <c r="AD75" s="8" t="b">
        <f t="shared" si="15"/>
        <v>1</v>
      </c>
      <c r="AE75" s="8">
        <f t="shared" si="9"/>
        <v>2</v>
      </c>
    </row>
    <row r="76" spans="1:31" ht="18" customHeight="1">
      <c r="A76" s="65">
        <v>57</v>
      </c>
      <c r="B76" s="43">
        <v>57</v>
      </c>
      <c r="C76" s="46" t="s">
        <v>384</v>
      </c>
      <c r="D76" s="45">
        <v>1</v>
      </c>
      <c r="E76" s="45">
        <v>1</v>
      </c>
      <c r="F76" s="45">
        <v>1</v>
      </c>
      <c r="G76" s="45">
        <v>1</v>
      </c>
      <c r="H76" s="45">
        <v>1</v>
      </c>
      <c r="I76" s="45">
        <v>1</v>
      </c>
      <c r="J76" s="45">
        <v>4</v>
      </c>
      <c r="K76" s="45">
        <v>3</v>
      </c>
      <c r="L76" s="45">
        <v>4</v>
      </c>
      <c r="M76" s="45">
        <v>3</v>
      </c>
      <c r="N76" s="45" t="s">
        <v>252</v>
      </c>
      <c r="O76" s="45" t="s">
        <v>252</v>
      </c>
      <c r="P76" s="118">
        <f t="shared" si="8"/>
        <v>20</v>
      </c>
      <c r="Q76" s="213"/>
      <c r="R76" s="109">
        <f>IF(A76=B76,Studentwise!AO76,"")</f>
        <v>80.769230769230774</v>
      </c>
      <c r="S76" s="109">
        <f>IF(A76=B76,Studentwise!AP76,"")</f>
        <v>50</v>
      </c>
      <c r="T76" s="109">
        <f>IF(A76=B76,Studentwise!AQ76,"")</f>
        <v>77.777777777777786</v>
      </c>
      <c r="U76" s="109">
        <f>IF(A76=B76,Studentwise!AR76,"")</f>
        <v>94.444444444444443</v>
      </c>
      <c r="V76" s="109">
        <f>IF(A76=B76,Studentwise!AS76,"")</f>
        <v>100</v>
      </c>
      <c r="W76" s="213"/>
      <c r="X76" s="7"/>
      <c r="Y76" s="8" t="b">
        <f t="shared" si="10"/>
        <v>0</v>
      </c>
      <c r="Z76" s="8" t="b">
        <f t="shared" si="11"/>
        <v>0</v>
      </c>
      <c r="AA76" s="8" t="b">
        <f t="shared" si="12"/>
        <v>0</v>
      </c>
      <c r="AB76" s="8" t="b">
        <f t="shared" si="13"/>
        <v>0</v>
      </c>
      <c r="AC76" s="8" t="b">
        <f t="shared" si="14"/>
        <v>1</v>
      </c>
      <c r="AD76" s="8" t="b">
        <f t="shared" si="15"/>
        <v>1</v>
      </c>
      <c r="AE76" s="8">
        <f t="shared" si="9"/>
        <v>2</v>
      </c>
    </row>
    <row r="77" spans="1:31" ht="18" customHeight="1">
      <c r="A77" s="65">
        <v>58</v>
      </c>
      <c r="B77" s="43">
        <v>58</v>
      </c>
      <c r="C77" s="46" t="s">
        <v>385</v>
      </c>
      <c r="D77" s="45">
        <v>0</v>
      </c>
      <c r="E77" s="45">
        <v>1</v>
      </c>
      <c r="F77" s="45">
        <v>1</v>
      </c>
      <c r="G77" s="45">
        <v>1</v>
      </c>
      <c r="H77" s="45">
        <v>1</v>
      </c>
      <c r="I77" s="45">
        <v>1</v>
      </c>
      <c r="J77" s="45">
        <v>4</v>
      </c>
      <c r="K77" s="45">
        <v>3</v>
      </c>
      <c r="L77" s="45">
        <v>3</v>
      </c>
      <c r="M77" s="45">
        <v>3</v>
      </c>
      <c r="N77" s="45" t="s">
        <v>252</v>
      </c>
      <c r="O77" s="45" t="s">
        <v>252</v>
      </c>
      <c r="P77" s="118">
        <f t="shared" si="8"/>
        <v>18</v>
      </c>
      <c r="Q77" s="213"/>
      <c r="R77" s="109">
        <f>IF(A77=B77,Studentwise!AO77,"")</f>
        <v>65.384615384615387</v>
      </c>
      <c r="S77" s="109">
        <f>IF(A77=B77,Studentwise!AP77,"")</f>
        <v>50</v>
      </c>
      <c r="T77" s="109">
        <f>IF(A77=B77,Studentwise!AQ77,"")</f>
        <v>25</v>
      </c>
      <c r="U77" s="109">
        <f>IF(A77=B77,Studentwise!AR77,"")</f>
        <v>55.555555555555557</v>
      </c>
      <c r="V77" s="109">
        <f>IF(A77=B77,Studentwise!AS77,"")</f>
        <v>55.555555555555557</v>
      </c>
      <c r="W77" s="213"/>
      <c r="X77" s="7"/>
      <c r="Y77" s="8" t="b">
        <f t="shared" si="10"/>
        <v>0</v>
      </c>
      <c r="Z77" s="8" t="b">
        <f t="shared" si="11"/>
        <v>0</v>
      </c>
      <c r="AA77" s="8" t="b">
        <f t="shared" si="12"/>
        <v>0</v>
      </c>
      <c r="AB77" s="8" t="b">
        <f t="shared" si="13"/>
        <v>0</v>
      </c>
      <c r="AC77" s="8" t="b">
        <f t="shared" si="14"/>
        <v>1</v>
      </c>
      <c r="AD77" s="8" t="b">
        <f t="shared" si="15"/>
        <v>1</v>
      </c>
      <c r="AE77" s="8">
        <f t="shared" si="9"/>
        <v>2</v>
      </c>
    </row>
    <row r="78" spans="1:31" ht="18" customHeight="1">
      <c r="A78" s="65">
        <v>59</v>
      </c>
      <c r="B78" s="43">
        <v>59</v>
      </c>
      <c r="C78" s="46" t="s">
        <v>386</v>
      </c>
      <c r="D78" s="45">
        <v>1</v>
      </c>
      <c r="E78" s="45">
        <v>1</v>
      </c>
      <c r="F78" s="45">
        <v>1</v>
      </c>
      <c r="G78" s="45">
        <v>1</v>
      </c>
      <c r="H78" s="45">
        <v>1</v>
      </c>
      <c r="I78" s="45">
        <v>0</v>
      </c>
      <c r="J78" s="45">
        <v>4</v>
      </c>
      <c r="K78" s="45">
        <v>3</v>
      </c>
      <c r="L78" s="45">
        <v>2</v>
      </c>
      <c r="M78" s="45">
        <v>2</v>
      </c>
      <c r="N78" s="45" t="s">
        <v>252</v>
      </c>
      <c r="O78" s="45" t="s">
        <v>252</v>
      </c>
      <c r="P78" s="118">
        <f t="shared" si="8"/>
        <v>16</v>
      </c>
      <c r="Q78" s="213"/>
      <c r="R78" s="109">
        <f>IF(A78=B78,Studentwise!AO78,"")</f>
        <v>66.666666666666657</v>
      </c>
      <c r="S78" s="109">
        <f>IF(A78=B78,Studentwise!AP78,"")</f>
        <v>25</v>
      </c>
      <c r="T78" s="109">
        <f>IF(A78=B78,Studentwise!AQ78,"")</f>
        <v>33.333333333333329</v>
      </c>
      <c r="U78" s="109">
        <f>IF(A78=B78,Studentwise!AR78,"")</f>
        <v>38.888888888888893</v>
      </c>
      <c r="V78" s="109">
        <f>IF(A78=B78,Studentwise!AS78,"")</f>
        <v>50</v>
      </c>
      <c r="W78" s="213"/>
      <c r="X78" s="7"/>
      <c r="Y78" s="8" t="b">
        <f t="shared" si="10"/>
        <v>0</v>
      </c>
      <c r="Z78" s="8" t="b">
        <f t="shared" si="11"/>
        <v>0</v>
      </c>
      <c r="AA78" s="8" t="b">
        <f t="shared" si="12"/>
        <v>0</v>
      </c>
      <c r="AB78" s="8" t="b">
        <f t="shared" si="13"/>
        <v>0</v>
      </c>
      <c r="AC78" s="8" t="b">
        <f t="shared" si="14"/>
        <v>1</v>
      </c>
      <c r="AD78" s="8" t="b">
        <f t="shared" si="15"/>
        <v>1</v>
      </c>
      <c r="AE78" s="8">
        <f t="shared" si="9"/>
        <v>2</v>
      </c>
    </row>
    <row r="79" spans="1:31" ht="18" customHeight="1">
      <c r="A79" s="65">
        <v>60</v>
      </c>
      <c r="B79" s="43">
        <v>60</v>
      </c>
      <c r="C79" s="46" t="s">
        <v>387</v>
      </c>
      <c r="D79" s="45">
        <v>0</v>
      </c>
      <c r="E79" s="45">
        <v>1</v>
      </c>
      <c r="F79" s="45">
        <v>1</v>
      </c>
      <c r="G79" s="45">
        <v>0</v>
      </c>
      <c r="H79" s="45">
        <v>1</v>
      </c>
      <c r="I79" s="45">
        <v>1</v>
      </c>
      <c r="J79" s="45">
        <v>3</v>
      </c>
      <c r="K79" s="45">
        <v>1</v>
      </c>
      <c r="L79" s="45">
        <v>3</v>
      </c>
      <c r="M79" s="45">
        <v>3</v>
      </c>
      <c r="N79" s="45" t="s">
        <v>252</v>
      </c>
      <c r="O79" s="45" t="s">
        <v>252</v>
      </c>
      <c r="P79" s="118">
        <f t="shared" si="8"/>
        <v>14</v>
      </c>
      <c r="Q79" s="213"/>
      <c r="R79" s="109">
        <f>IF(A79=B79,Studentwise!AO79,"")</f>
        <v>91.666666666666657</v>
      </c>
      <c r="S79" s="109">
        <f>IF(A79=B79,Studentwise!AP79,"")</f>
        <v>35.714285714285715</v>
      </c>
      <c r="T79" s="109">
        <f>IF(A79=B79,Studentwise!AQ79,"")</f>
        <v>88.888888888888886</v>
      </c>
      <c r="U79" s="109">
        <f>IF(A79=B79,Studentwise!AR79,"")</f>
        <v>100</v>
      </c>
      <c r="V79" s="109">
        <f>IF(A79=B79,Studentwise!AS79,"")</f>
        <v>100</v>
      </c>
      <c r="W79" s="213"/>
      <c r="X79" s="7"/>
      <c r="Y79" s="8" t="b">
        <f t="shared" si="10"/>
        <v>0</v>
      </c>
      <c r="Z79" s="8" t="b">
        <f t="shared" si="11"/>
        <v>0</v>
      </c>
      <c r="AA79" s="8" t="b">
        <f t="shared" si="12"/>
        <v>0</v>
      </c>
      <c r="AB79" s="8" t="b">
        <f t="shared" si="13"/>
        <v>0</v>
      </c>
      <c r="AC79" s="8" t="b">
        <f t="shared" si="14"/>
        <v>1</v>
      </c>
      <c r="AD79" s="8" t="b">
        <f t="shared" si="15"/>
        <v>1</v>
      </c>
      <c r="AE79" s="8">
        <f t="shared" si="9"/>
        <v>2</v>
      </c>
    </row>
    <row r="80" spans="1:31" ht="18" customHeight="1">
      <c r="A80" s="65">
        <v>61</v>
      </c>
      <c r="B80" s="43">
        <v>61</v>
      </c>
      <c r="C80" s="47" t="s">
        <v>388</v>
      </c>
      <c r="D80" s="45">
        <v>0</v>
      </c>
      <c r="E80" s="45">
        <v>1</v>
      </c>
      <c r="F80" s="45">
        <v>0</v>
      </c>
      <c r="G80" s="45">
        <v>0</v>
      </c>
      <c r="H80" s="45">
        <v>1</v>
      </c>
      <c r="I80" s="45">
        <v>0</v>
      </c>
      <c r="J80" s="45">
        <v>4</v>
      </c>
      <c r="K80" s="45">
        <v>3</v>
      </c>
      <c r="L80" s="45">
        <v>4</v>
      </c>
      <c r="M80" s="45">
        <v>1</v>
      </c>
      <c r="N80" s="45" t="s">
        <v>252</v>
      </c>
      <c r="O80" s="45" t="s">
        <v>252</v>
      </c>
      <c r="P80" s="118">
        <f t="shared" si="8"/>
        <v>14</v>
      </c>
      <c r="Q80" s="213"/>
      <c r="R80" s="109">
        <f>IF(A80=B80,Studentwise!AO80,"")</f>
        <v>91.666666666666657</v>
      </c>
      <c r="S80" s="109">
        <f>IF(A80=B80,Studentwise!AP80,"")</f>
        <v>60.714285714285708</v>
      </c>
      <c r="T80" s="109">
        <f>IF(A80=B80,Studentwise!AQ80,"")</f>
        <v>55.555555555555557</v>
      </c>
      <c r="U80" s="109">
        <f>IF(A80=B80,Studentwise!AR80,"")</f>
        <v>72.222222222222214</v>
      </c>
      <c r="V80" s="109">
        <f>IF(A80=B80,Studentwise!AS80,"")</f>
        <v>100</v>
      </c>
      <c r="W80" s="213"/>
      <c r="X80" s="7"/>
      <c r="Y80" s="8" t="b">
        <f t="shared" si="10"/>
        <v>0</v>
      </c>
      <c r="Z80" s="8" t="b">
        <f t="shared" si="11"/>
        <v>0</v>
      </c>
      <c r="AA80" s="8" t="b">
        <f t="shared" si="12"/>
        <v>0</v>
      </c>
      <c r="AB80" s="8" t="b">
        <f t="shared" si="13"/>
        <v>0</v>
      </c>
      <c r="AC80" s="8" t="b">
        <f t="shared" si="14"/>
        <v>1</v>
      </c>
      <c r="AD80" s="8" t="b">
        <f t="shared" si="15"/>
        <v>1</v>
      </c>
      <c r="AE80" s="8">
        <f t="shared" si="9"/>
        <v>2</v>
      </c>
    </row>
    <row r="81" spans="1:31" ht="18" customHeight="1">
      <c r="A81" s="65">
        <v>62</v>
      </c>
      <c r="B81" s="43">
        <v>62</v>
      </c>
      <c r="C81" s="47" t="s">
        <v>389</v>
      </c>
      <c r="D81" s="45">
        <v>0</v>
      </c>
      <c r="E81" s="45">
        <v>1</v>
      </c>
      <c r="F81" s="45">
        <v>1</v>
      </c>
      <c r="G81" s="45">
        <v>1</v>
      </c>
      <c r="H81" s="45">
        <v>1</v>
      </c>
      <c r="I81" s="45">
        <v>1</v>
      </c>
      <c r="J81" s="45">
        <v>4</v>
      </c>
      <c r="K81" s="45">
        <v>3</v>
      </c>
      <c r="L81" s="45">
        <v>2</v>
      </c>
      <c r="M81" s="45">
        <v>0</v>
      </c>
      <c r="N81" s="45" t="s">
        <v>252</v>
      </c>
      <c r="O81" s="45" t="s">
        <v>252</v>
      </c>
      <c r="P81" s="118">
        <f t="shared" si="8"/>
        <v>14</v>
      </c>
      <c r="Q81" s="213"/>
      <c r="R81" s="109">
        <f>IF(A81=B81,Studentwise!AO81,"")</f>
        <v>53.846153846153847</v>
      </c>
      <c r="S81" s="109">
        <f>IF(A81=B81,Studentwise!AP81,"")</f>
        <v>21.428571428571427</v>
      </c>
      <c r="T81" s="109">
        <f>IF(A81=B81,Studentwise!AQ81,"")</f>
        <v>44.444444444444443</v>
      </c>
      <c r="U81" s="109">
        <f>IF(A81=B81,Studentwise!AR81,"")</f>
        <v>83.333333333333343</v>
      </c>
      <c r="V81" s="109">
        <f>IF(A81=B81,Studentwise!AS81,"")</f>
        <v>100</v>
      </c>
      <c r="W81" s="213"/>
      <c r="X81" s="7"/>
      <c r="Y81" s="8" t="b">
        <f t="shared" si="10"/>
        <v>0</v>
      </c>
      <c r="Z81" s="8" t="b">
        <f t="shared" si="11"/>
        <v>0</v>
      </c>
      <c r="AA81" s="8" t="b">
        <f t="shared" si="12"/>
        <v>0</v>
      </c>
      <c r="AB81" s="8" t="b">
        <f t="shared" si="13"/>
        <v>0</v>
      </c>
      <c r="AC81" s="8" t="b">
        <f t="shared" si="14"/>
        <v>1</v>
      </c>
      <c r="AD81" s="8" t="b">
        <f t="shared" si="15"/>
        <v>1</v>
      </c>
      <c r="AE81" s="8">
        <f t="shared" si="9"/>
        <v>2</v>
      </c>
    </row>
    <row r="82" spans="1:31" ht="18" customHeight="1">
      <c r="A82" s="65">
        <v>63</v>
      </c>
      <c r="B82" s="43">
        <v>63</v>
      </c>
      <c r="C82" s="47" t="s">
        <v>390</v>
      </c>
      <c r="D82" s="45">
        <v>1</v>
      </c>
      <c r="E82" s="45">
        <v>0</v>
      </c>
      <c r="F82" s="45">
        <v>0</v>
      </c>
      <c r="G82" s="45">
        <v>1</v>
      </c>
      <c r="H82" s="45">
        <v>1</v>
      </c>
      <c r="I82" s="45">
        <v>1</v>
      </c>
      <c r="J82" s="45">
        <v>4</v>
      </c>
      <c r="K82" s="45">
        <v>1</v>
      </c>
      <c r="L82" s="45">
        <v>1</v>
      </c>
      <c r="M82" s="45">
        <v>2</v>
      </c>
      <c r="N82" s="45" t="s">
        <v>252</v>
      </c>
      <c r="O82" s="45" t="s">
        <v>252</v>
      </c>
      <c r="P82" s="118">
        <f t="shared" si="8"/>
        <v>12</v>
      </c>
      <c r="Q82" s="213"/>
      <c r="R82" s="109">
        <f>IF(A82=B82,Studentwise!AO82,"")</f>
        <v>42.307692307692307</v>
      </c>
      <c r="S82" s="109">
        <f>IF(A82=B82,Studentwise!AP82,"")</f>
        <v>28.571428571428569</v>
      </c>
      <c r="T82" s="109">
        <f>IF(A82=B82,Studentwise!AQ82,"")</f>
        <v>44.444444444444443</v>
      </c>
      <c r="U82" s="109">
        <f>IF(A82=B82,Studentwise!AR82,"")</f>
        <v>66.666666666666657</v>
      </c>
      <c r="V82" s="109">
        <f>IF(A82=B82,Studentwise!AS82,"")</f>
        <v>50</v>
      </c>
      <c r="W82" s="213"/>
      <c r="X82" s="7"/>
      <c r="Y82" s="8" t="b">
        <f t="shared" si="10"/>
        <v>0</v>
      </c>
      <c r="Z82" s="8" t="b">
        <f t="shared" si="11"/>
        <v>0</v>
      </c>
      <c r="AA82" s="8" t="b">
        <f t="shared" si="12"/>
        <v>0</v>
      </c>
      <c r="AB82" s="8" t="b">
        <f t="shared" si="13"/>
        <v>0</v>
      </c>
      <c r="AC82" s="8" t="b">
        <f t="shared" si="14"/>
        <v>1</v>
      </c>
      <c r="AD82" s="8" t="b">
        <f t="shared" si="15"/>
        <v>1</v>
      </c>
      <c r="AE82" s="8">
        <f t="shared" si="9"/>
        <v>2</v>
      </c>
    </row>
    <row r="83" spans="1:31" ht="18" customHeight="1">
      <c r="A83" s="65">
        <v>64</v>
      </c>
      <c r="B83" s="43">
        <v>64</v>
      </c>
      <c r="C83" s="47" t="s">
        <v>391</v>
      </c>
      <c r="D83" s="45">
        <v>0</v>
      </c>
      <c r="E83" s="45">
        <v>1</v>
      </c>
      <c r="F83" s="45">
        <v>1</v>
      </c>
      <c r="G83" s="45">
        <v>1</v>
      </c>
      <c r="H83" s="45">
        <v>1</v>
      </c>
      <c r="I83" s="45">
        <v>1</v>
      </c>
      <c r="J83" s="45">
        <v>4</v>
      </c>
      <c r="K83" s="45">
        <v>2</v>
      </c>
      <c r="L83" s="45">
        <v>3</v>
      </c>
      <c r="M83" s="45">
        <v>2</v>
      </c>
      <c r="N83" s="45" t="s">
        <v>252</v>
      </c>
      <c r="O83" s="45" t="s">
        <v>252</v>
      </c>
      <c r="P83" s="118">
        <f t="shared" si="8"/>
        <v>16</v>
      </c>
      <c r="Q83" s="213"/>
      <c r="R83" s="109">
        <f>IF(A83=B83,Studentwise!AO83,"")</f>
        <v>53.846153846153847</v>
      </c>
      <c r="S83" s="109">
        <f>IF(A83=B83,Studentwise!AP83,"")</f>
        <v>21.428571428571427</v>
      </c>
      <c r="T83" s="109">
        <f>IF(A83=B83,Studentwise!AQ83,"")</f>
        <v>11.111111111111111</v>
      </c>
      <c r="U83" s="109">
        <f>IF(A83=B83,Studentwise!AR83,"")</f>
        <v>66.666666666666657</v>
      </c>
      <c r="V83" s="109">
        <f>IF(A83=B83,Studentwise!AS83,"")</f>
        <v>25</v>
      </c>
      <c r="W83" s="213"/>
      <c r="X83" s="7"/>
      <c r="Y83" s="8" t="b">
        <f t="shared" si="10"/>
        <v>0</v>
      </c>
      <c r="Z83" s="8" t="b">
        <f t="shared" si="11"/>
        <v>0</v>
      </c>
      <c r="AA83" s="8" t="b">
        <f t="shared" si="12"/>
        <v>0</v>
      </c>
      <c r="AB83" s="8" t="b">
        <f t="shared" si="13"/>
        <v>0</v>
      </c>
      <c r="AC83" s="8" t="b">
        <f t="shared" si="14"/>
        <v>1</v>
      </c>
      <c r="AD83" s="8" t="b">
        <f t="shared" si="15"/>
        <v>1</v>
      </c>
      <c r="AE83" s="8">
        <f t="shared" si="9"/>
        <v>2</v>
      </c>
    </row>
    <row r="84" spans="1:31" ht="18" customHeight="1">
      <c r="A84" s="65">
        <v>65</v>
      </c>
      <c r="B84" s="43">
        <v>65</v>
      </c>
      <c r="C84" s="47" t="s">
        <v>392</v>
      </c>
      <c r="D84" s="45">
        <v>0</v>
      </c>
      <c r="E84" s="45">
        <v>1</v>
      </c>
      <c r="F84" s="45">
        <v>1</v>
      </c>
      <c r="G84" s="45">
        <v>1</v>
      </c>
      <c r="H84" s="45">
        <v>0</v>
      </c>
      <c r="I84" s="45">
        <v>1</v>
      </c>
      <c r="J84" s="45">
        <v>4</v>
      </c>
      <c r="K84" s="45">
        <v>1</v>
      </c>
      <c r="L84" s="45" t="s">
        <v>252</v>
      </c>
      <c r="M84" s="45" t="s">
        <v>252</v>
      </c>
      <c r="N84" s="45">
        <v>0</v>
      </c>
      <c r="O84" s="45">
        <v>3</v>
      </c>
      <c r="P84" s="118">
        <f t="shared" si="8"/>
        <v>12</v>
      </c>
      <c r="Q84" s="213"/>
      <c r="R84" s="109">
        <f>IF(A84=B84,Studentwise!AO84,"")</f>
        <v>58.333333333333336</v>
      </c>
      <c r="S84" s="109">
        <f>IF(A84=B84,Studentwise!AP84,"")</f>
        <v>42.857142857142854</v>
      </c>
      <c r="T84" s="109">
        <f>IF(A84=B84,Studentwise!AQ84,"")</f>
        <v>44.444444444444443</v>
      </c>
      <c r="U84" s="109">
        <f>IF(A84=B84,Studentwise!AR84,"")</f>
        <v>83.333333333333343</v>
      </c>
      <c r="V84" s="109">
        <f>IF(A84=B84,Studentwise!AS84,"")</f>
        <v>50</v>
      </c>
      <c r="W84" s="213"/>
      <c r="X84" s="7"/>
      <c r="Y84" s="8" t="b">
        <f t="shared" ref="Y84:Y115" si="16">ISTEXT(J84)</f>
        <v>0</v>
      </c>
      <c r="Z84" s="8" t="b">
        <f t="shared" ref="Z84:Z115" si="17">ISTEXT(K84)</f>
        <v>0</v>
      </c>
      <c r="AA84" s="8" t="b">
        <f t="shared" ref="AA84:AA115" si="18">ISTEXT(L84)</f>
        <v>1</v>
      </c>
      <c r="AB84" s="8" t="b">
        <f t="shared" ref="AB84:AB115" si="19">ISTEXT(M84)</f>
        <v>1</v>
      </c>
      <c r="AC84" s="8" t="b">
        <f t="shared" ref="AC84:AC115" si="20">ISTEXT(N84)</f>
        <v>0</v>
      </c>
      <c r="AD84" s="8" t="b">
        <f t="shared" ref="AD84:AD115" si="21">ISTEXT(O84)</f>
        <v>0</v>
      </c>
      <c r="AE84" s="8">
        <f t="shared" si="9"/>
        <v>2</v>
      </c>
    </row>
    <row r="85" spans="1:31" ht="18" customHeight="1">
      <c r="A85" s="65">
        <v>66</v>
      </c>
      <c r="B85" s="43">
        <v>66</v>
      </c>
      <c r="C85" s="47" t="s">
        <v>393</v>
      </c>
      <c r="D85" s="45">
        <v>0</v>
      </c>
      <c r="E85" s="45">
        <v>1</v>
      </c>
      <c r="F85" s="45">
        <v>0</v>
      </c>
      <c r="G85" s="45">
        <v>1</v>
      </c>
      <c r="H85" s="45">
        <v>0</v>
      </c>
      <c r="I85" s="45">
        <v>1</v>
      </c>
      <c r="J85" s="45">
        <v>3</v>
      </c>
      <c r="K85" s="45">
        <v>3</v>
      </c>
      <c r="L85" s="45">
        <v>2</v>
      </c>
      <c r="M85" s="45">
        <v>3</v>
      </c>
      <c r="N85" s="45" t="s">
        <v>252</v>
      </c>
      <c r="O85" s="45" t="s">
        <v>252</v>
      </c>
      <c r="P85" s="118">
        <f t="shared" ref="P85:P148" si="22">IF(A85&lt;=$K$211,SUM(D85:O85),"")</f>
        <v>14</v>
      </c>
      <c r="Q85" s="213"/>
      <c r="R85" s="109">
        <f>IF(A85=B85,Studentwise!AO85,"")</f>
        <v>58.333333333333336</v>
      </c>
      <c r="S85" s="109">
        <f>IF(A85=B85,Studentwise!AP85,"")</f>
        <v>28.571428571428569</v>
      </c>
      <c r="T85" s="109">
        <f>IF(A85=B85,Studentwise!AQ85,"")</f>
        <v>27.777777777777779</v>
      </c>
      <c r="U85" s="109">
        <f>IF(A85=B85,Studentwise!AR85,"")</f>
        <v>100</v>
      </c>
      <c r="V85" s="109">
        <f>IF(A85=B85,Studentwise!AS85,"")</f>
        <v>38.888888888888893</v>
      </c>
      <c r="W85" s="213"/>
      <c r="X85" s="7"/>
      <c r="Y85" s="8" t="b">
        <f t="shared" si="16"/>
        <v>0</v>
      </c>
      <c r="Z85" s="8" t="b">
        <f t="shared" si="17"/>
        <v>0</v>
      </c>
      <c r="AA85" s="8" t="b">
        <f t="shared" si="18"/>
        <v>0</v>
      </c>
      <c r="AB85" s="8" t="b">
        <f t="shared" si="19"/>
        <v>0</v>
      </c>
      <c r="AC85" s="8" t="b">
        <f t="shared" si="20"/>
        <v>1</v>
      </c>
      <c r="AD85" s="8" t="b">
        <f t="shared" si="21"/>
        <v>1</v>
      </c>
      <c r="AE85" s="8">
        <f t="shared" ref="AE85:AE148" si="23">COUNTIF(Y85:AD85,"TRUE")</f>
        <v>2</v>
      </c>
    </row>
    <row r="86" spans="1:31" ht="18" customHeight="1">
      <c r="A86" s="65">
        <v>67</v>
      </c>
      <c r="B86" s="43">
        <v>67</v>
      </c>
      <c r="C86" s="47" t="s">
        <v>394</v>
      </c>
      <c r="D86" s="45">
        <v>0</v>
      </c>
      <c r="E86" s="45">
        <v>1</v>
      </c>
      <c r="F86" s="45">
        <v>1</v>
      </c>
      <c r="G86" s="45">
        <v>0</v>
      </c>
      <c r="H86" s="45">
        <v>1</v>
      </c>
      <c r="I86" s="45">
        <v>1</v>
      </c>
      <c r="J86" s="45">
        <v>4</v>
      </c>
      <c r="K86" s="45">
        <v>2</v>
      </c>
      <c r="L86" s="45">
        <v>3</v>
      </c>
      <c r="M86" s="45">
        <v>3</v>
      </c>
      <c r="N86" s="45" t="s">
        <v>252</v>
      </c>
      <c r="O86" s="45" t="s">
        <v>252</v>
      </c>
      <c r="P86" s="118">
        <f t="shared" si="22"/>
        <v>16</v>
      </c>
      <c r="Q86" s="213"/>
      <c r="R86" s="109">
        <f>IF(A86=B86,Studentwise!AO86,"")</f>
        <v>69.230769230769226</v>
      </c>
      <c r="S86" s="109">
        <f>IF(A86=B86,Studentwise!AP86,"")</f>
        <v>28.571428571428569</v>
      </c>
      <c r="T86" s="109">
        <f>IF(A86=B86,Studentwise!AQ86,"")</f>
        <v>22.222222222222221</v>
      </c>
      <c r="U86" s="109">
        <f>IF(A86=B86,Studentwise!AR86,"")</f>
        <v>61.111111111111114</v>
      </c>
      <c r="V86" s="109">
        <f>IF(A86=B86,Studentwise!AS86,"")</f>
        <v>50</v>
      </c>
      <c r="W86" s="213"/>
      <c r="X86" s="7"/>
      <c r="Y86" s="8" t="b">
        <f t="shared" si="16"/>
        <v>0</v>
      </c>
      <c r="Z86" s="8" t="b">
        <f t="shared" si="17"/>
        <v>0</v>
      </c>
      <c r="AA86" s="8" t="b">
        <f t="shared" si="18"/>
        <v>0</v>
      </c>
      <c r="AB86" s="8" t="b">
        <f t="shared" si="19"/>
        <v>0</v>
      </c>
      <c r="AC86" s="8" t="b">
        <f t="shared" si="20"/>
        <v>1</v>
      </c>
      <c r="AD86" s="8" t="b">
        <f t="shared" si="21"/>
        <v>1</v>
      </c>
      <c r="AE86" s="8">
        <f t="shared" si="23"/>
        <v>2</v>
      </c>
    </row>
    <row r="87" spans="1:31" ht="18" customHeight="1">
      <c r="A87" s="65">
        <v>68</v>
      </c>
      <c r="B87" s="43">
        <v>68</v>
      </c>
      <c r="C87" s="47" t="s">
        <v>395</v>
      </c>
      <c r="D87" s="45">
        <v>1</v>
      </c>
      <c r="E87" s="45">
        <v>1</v>
      </c>
      <c r="F87" s="45">
        <v>0</v>
      </c>
      <c r="G87" s="45">
        <v>0</v>
      </c>
      <c r="H87" s="45">
        <v>0</v>
      </c>
      <c r="I87" s="45">
        <v>1</v>
      </c>
      <c r="J87" s="45">
        <v>3</v>
      </c>
      <c r="K87" s="45">
        <v>3</v>
      </c>
      <c r="L87" s="45">
        <v>3</v>
      </c>
      <c r="M87" s="45">
        <v>3</v>
      </c>
      <c r="N87" s="45" t="s">
        <v>252</v>
      </c>
      <c r="O87" s="45" t="s">
        <v>252</v>
      </c>
      <c r="P87" s="118">
        <f t="shared" si="22"/>
        <v>15</v>
      </c>
      <c r="Q87" s="213"/>
      <c r="R87" s="109">
        <f>IF(A87=B87,Studentwise!AO87,"")</f>
        <v>50</v>
      </c>
      <c r="S87" s="109">
        <f>IF(A87=B87,Studentwise!AP87,"")</f>
        <v>28.571428571428569</v>
      </c>
      <c r="T87" s="109">
        <f>IF(A87=B87,Studentwise!AQ87,"")</f>
        <v>33.333333333333329</v>
      </c>
      <c r="U87" s="109">
        <f>IF(A87=B87,Studentwise!AR87,"")</f>
        <v>44.444444444444443</v>
      </c>
      <c r="V87" s="109">
        <f>IF(A87=B87,Studentwise!AS87,"")</f>
        <v>50</v>
      </c>
      <c r="W87" s="213"/>
      <c r="X87" s="7"/>
      <c r="Y87" s="8" t="b">
        <f t="shared" si="16"/>
        <v>0</v>
      </c>
      <c r="Z87" s="8" t="b">
        <f t="shared" si="17"/>
        <v>0</v>
      </c>
      <c r="AA87" s="8" t="b">
        <f t="shared" si="18"/>
        <v>0</v>
      </c>
      <c r="AB87" s="8" t="b">
        <f t="shared" si="19"/>
        <v>0</v>
      </c>
      <c r="AC87" s="8" t="b">
        <f t="shared" si="20"/>
        <v>1</v>
      </c>
      <c r="AD87" s="8" t="b">
        <f t="shared" si="21"/>
        <v>1</v>
      </c>
      <c r="AE87" s="8">
        <f t="shared" si="23"/>
        <v>2</v>
      </c>
    </row>
    <row r="88" spans="1:31" ht="18" customHeight="1">
      <c r="A88" s="65">
        <v>69</v>
      </c>
      <c r="B88" s="43">
        <v>69</v>
      </c>
      <c r="C88" s="47" t="s">
        <v>396</v>
      </c>
      <c r="D88" s="45">
        <v>0</v>
      </c>
      <c r="E88" s="45">
        <v>1</v>
      </c>
      <c r="F88" s="45">
        <v>1</v>
      </c>
      <c r="G88" s="45">
        <v>0</v>
      </c>
      <c r="H88" s="45">
        <v>1</v>
      </c>
      <c r="I88" s="45">
        <v>1</v>
      </c>
      <c r="J88" s="45">
        <v>4</v>
      </c>
      <c r="K88" s="45">
        <v>3</v>
      </c>
      <c r="L88" s="45">
        <v>2</v>
      </c>
      <c r="M88" s="45">
        <v>2</v>
      </c>
      <c r="N88" s="45" t="s">
        <v>252</v>
      </c>
      <c r="O88" s="45" t="s">
        <v>252</v>
      </c>
      <c r="P88" s="118">
        <f t="shared" si="22"/>
        <v>15</v>
      </c>
      <c r="Q88" s="213"/>
      <c r="R88" s="109">
        <f>IF(A88=B88,Studentwise!AO88,"")</f>
        <v>35</v>
      </c>
      <c r="S88" s="109">
        <f>IF(A88=B88,Studentwise!AP88,"")</f>
        <v>10</v>
      </c>
      <c r="T88" s="109">
        <f>IF(A88=B88,Studentwise!AQ88,"")</f>
        <v>22.222222222222221</v>
      </c>
      <c r="U88" s="109">
        <f>IF(A88=B88,Studentwise!AR88,"")</f>
        <v>100</v>
      </c>
      <c r="V88" s="109">
        <f>IF(A88=B88,Studentwise!AS88,"")</f>
        <v>22.222222222222221</v>
      </c>
      <c r="W88" s="213"/>
      <c r="X88" s="7"/>
      <c r="Y88" s="8" t="b">
        <f t="shared" si="16"/>
        <v>0</v>
      </c>
      <c r="Z88" s="8" t="b">
        <f t="shared" si="17"/>
        <v>0</v>
      </c>
      <c r="AA88" s="8" t="b">
        <f t="shared" si="18"/>
        <v>0</v>
      </c>
      <c r="AB88" s="8" t="b">
        <f t="shared" si="19"/>
        <v>0</v>
      </c>
      <c r="AC88" s="8" t="b">
        <f t="shared" si="20"/>
        <v>1</v>
      </c>
      <c r="AD88" s="8" t="b">
        <f t="shared" si="21"/>
        <v>1</v>
      </c>
      <c r="AE88" s="8">
        <f t="shared" si="23"/>
        <v>2</v>
      </c>
    </row>
    <row r="89" spans="1:31" ht="18" customHeight="1">
      <c r="A89" s="65">
        <v>70</v>
      </c>
      <c r="B89" s="43">
        <v>70</v>
      </c>
      <c r="C89" s="47" t="s">
        <v>397</v>
      </c>
      <c r="D89" s="45">
        <v>0</v>
      </c>
      <c r="E89" s="45">
        <v>1</v>
      </c>
      <c r="F89" s="45">
        <v>0</v>
      </c>
      <c r="G89" s="45">
        <v>0</v>
      </c>
      <c r="H89" s="45">
        <v>0</v>
      </c>
      <c r="I89" s="45">
        <v>1</v>
      </c>
      <c r="J89" s="45">
        <v>3</v>
      </c>
      <c r="K89" s="45">
        <v>2</v>
      </c>
      <c r="L89" s="45" t="s">
        <v>252</v>
      </c>
      <c r="M89" s="45" t="s">
        <v>252</v>
      </c>
      <c r="N89" s="45">
        <v>2</v>
      </c>
      <c r="O89" s="45">
        <v>2</v>
      </c>
      <c r="P89" s="118">
        <f t="shared" si="22"/>
        <v>11</v>
      </c>
      <c r="Q89" s="213"/>
      <c r="R89" s="109">
        <f>IF(A89=B89,Studentwise!AO89,"")</f>
        <v>61.53846153846154</v>
      </c>
      <c r="S89" s="109">
        <f>IF(A89=B89,Studentwise!AP89,"")</f>
        <v>21.428571428571427</v>
      </c>
      <c r="T89" s="109">
        <f>IF(A89=B89,Studentwise!AQ89,"")</f>
        <v>50</v>
      </c>
      <c r="U89" s="109">
        <f>IF(A89=B89,Studentwise!AR89,"")</f>
        <v>77.777777777777786</v>
      </c>
      <c r="V89" s="109">
        <f>IF(A89=B89,Studentwise!AS89,"")</f>
        <v>22.222222222222221</v>
      </c>
      <c r="W89" s="213"/>
      <c r="X89" s="7"/>
      <c r="Y89" s="8" t="b">
        <f t="shared" si="16"/>
        <v>0</v>
      </c>
      <c r="Z89" s="8" t="b">
        <f t="shared" si="17"/>
        <v>0</v>
      </c>
      <c r="AA89" s="8" t="b">
        <f t="shared" si="18"/>
        <v>1</v>
      </c>
      <c r="AB89" s="8" t="b">
        <f t="shared" si="19"/>
        <v>1</v>
      </c>
      <c r="AC89" s="8" t="b">
        <f t="shared" si="20"/>
        <v>0</v>
      </c>
      <c r="AD89" s="8" t="b">
        <f t="shared" si="21"/>
        <v>0</v>
      </c>
      <c r="AE89" s="8">
        <f t="shared" si="23"/>
        <v>2</v>
      </c>
    </row>
    <row r="90" spans="1:31" ht="18" customHeight="1">
      <c r="A90" s="65">
        <v>71</v>
      </c>
      <c r="B90" s="43">
        <v>71</v>
      </c>
      <c r="C90" s="47" t="s">
        <v>398</v>
      </c>
      <c r="D90" s="45">
        <v>0</v>
      </c>
      <c r="E90" s="45">
        <v>1</v>
      </c>
      <c r="F90" s="45">
        <v>0</v>
      </c>
      <c r="G90" s="45">
        <v>1</v>
      </c>
      <c r="H90" s="45">
        <v>0</v>
      </c>
      <c r="I90" s="45">
        <v>1</v>
      </c>
      <c r="J90" s="45">
        <v>4</v>
      </c>
      <c r="K90" s="45">
        <v>1</v>
      </c>
      <c r="L90" s="45" t="s">
        <v>252</v>
      </c>
      <c r="M90" s="45" t="s">
        <v>252</v>
      </c>
      <c r="N90" s="45">
        <v>3</v>
      </c>
      <c r="O90" s="45">
        <v>1</v>
      </c>
      <c r="P90" s="118">
        <f t="shared" si="22"/>
        <v>12</v>
      </c>
      <c r="Q90" s="213"/>
      <c r="R90" s="109">
        <f>IF(A90=B90,Studentwise!AO90,"")</f>
        <v>42.307692307692307</v>
      </c>
      <c r="S90" s="109">
        <f>IF(A90=B90,Studentwise!AP90,"")</f>
        <v>28.571428571428569</v>
      </c>
      <c r="T90" s="109">
        <f>IF(A90=B90,Studentwise!AQ90,"")</f>
        <v>27.777777777777779</v>
      </c>
      <c r="U90" s="109">
        <f>IF(A90=B90,Studentwise!AR90,"")</f>
        <v>66.666666666666657</v>
      </c>
      <c r="V90" s="109">
        <f>IF(A90=B90,Studentwise!AS90,"")</f>
        <v>0</v>
      </c>
      <c r="W90" s="213"/>
      <c r="X90" s="7"/>
      <c r="Y90" s="8" t="b">
        <f t="shared" si="16"/>
        <v>0</v>
      </c>
      <c r="Z90" s="8" t="b">
        <f t="shared" si="17"/>
        <v>0</v>
      </c>
      <c r="AA90" s="8" t="b">
        <f t="shared" si="18"/>
        <v>1</v>
      </c>
      <c r="AB90" s="8" t="b">
        <f t="shared" si="19"/>
        <v>1</v>
      </c>
      <c r="AC90" s="8" t="b">
        <f t="shared" si="20"/>
        <v>0</v>
      </c>
      <c r="AD90" s="8" t="b">
        <f t="shared" si="21"/>
        <v>0</v>
      </c>
      <c r="AE90" s="8">
        <f t="shared" si="23"/>
        <v>2</v>
      </c>
    </row>
    <row r="91" spans="1:31" ht="18" customHeight="1">
      <c r="A91" s="65">
        <v>72</v>
      </c>
      <c r="B91" s="43">
        <v>72</v>
      </c>
      <c r="C91" s="47" t="s">
        <v>399</v>
      </c>
      <c r="D91" s="45">
        <v>1</v>
      </c>
      <c r="E91" s="45">
        <v>1</v>
      </c>
      <c r="F91" s="45">
        <v>1</v>
      </c>
      <c r="G91" s="45">
        <v>0</v>
      </c>
      <c r="H91" s="45">
        <v>1</v>
      </c>
      <c r="I91" s="45">
        <v>0</v>
      </c>
      <c r="J91" s="45">
        <v>3</v>
      </c>
      <c r="K91" s="45">
        <v>3</v>
      </c>
      <c r="L91" s="45" t="s">
        <v>252</v>
      </c>
      <c r="M91" s="45" t="s">
        <v>252</v>
      </c>
      <c r="N91" s="45">
        <v>1</v>
      </c>
      <c r="O91" s="45">
        <v>0</v>
      </c>
      <c r="P91" s="118">
        <f t="shared" si="22"/>
        <v>11</v>
      </c>
      <c r="Q91" s="213"/>
      <c r="R91" s="109">
        <f>IF(A91=B91,Studentwise!AO91,"")</f>
        <v>75</v>
      </c>
      <c r="S91" s="109">
        <f>IF(A91=B91,Studentwise!AP91,"")</f>
        <v>50</v>
      </c>
      <c r="T91" s="109">
        <f>IF(A91=B91,Studentwise!AQ91,"")</f>
        <v>50</v>
      </c>
      <c r="U91" s="109">
        <f>IF(A91=B91,Studentwise!AR91,"")</f>
        <v>77.777777777777786</v>
      </c>
      <c r="V91" s="109">
        <f>IF(A91=B91,Studentwise!AS91,"")</f>
        <v>77.777777777777786</v>
      </c>
      <c r="W91" s="213"/>
      <c r="X91" s="7"/>
      <c r="Y91" s="8" t="b">
        <f t="shared" si="16"/>
        <v>0</v>
      </c>
      <c r="Z91" s="8" t="b">
        <f t="shared" si="17"/>
        <v>0</v>
      </c>
      <c r="AA91" s="8" t="b">
        <f t="shared" si="18"/>
        <v>1</v>
      </c>
      <c r="AB91" s="8" t="b">
        <f t="shared" si="19"/>
        <v>1</v>
      </c>
      <c r="AC91" s="8" t="b">
        <f t="shared" si="20"/>
        <v>0</v>
      </c>
      <c r="AD91" s="8" t="b">
        <f t="shared" si="21"/>
        <v>0</v>
      </c>
      <c r="AE91" s="8">
        <f t="shared" si="23"/>
        <v>2</v>
      </c>
    </row>
    <row r="92" spans="1:31" ht="18" customHeight="1">
      <c r="A92" s="65">
        <v>73</v>
      </c>
      <c r="B92" s="43">
        <v>73</v>
      </c>
      <c r="C92" s="41" t="s">
        <v>400</v>
      </c>
      <c r="D92" s="45">
        <v>0</v>
      </c>
      <c r="E92" s="45">
        <v>1</v>
      </c>
      <c r="F92" s="45">
        <v>1</v>
      </c>
      <c r="G92" s="45">
        <v>0</v>
      </c>
      <c r="H92" s="45">
        <v>1</v>
      </c>
      <c r="I92" s="45">
        <v>1</v>
      </c>
      <c r="J92" s="45">
        <v>1</v>
      </c>
      <c r="K92" s="45">
        <v>2</v>
      </c>
      <c r="L92" s="45">
        <v>2</v>
      </c>
      <c r="M92" s="45">
        <v>2</v>
      </c>
      <c r="N92" s="45" t="s">
        <v>252</v>
      </c>
      <c r="O92" s="45" t="s">
        <v>252</v>
      </c>
      <c r="P92" s="118">
        <f t="shared" si="22"/>
        <v>11</v>
      </c>
      <c r="Q92" s="213"/>
      <c r="R92" s="109">
        <f>IF(A92=B92,Studentwise!AO92,"")</f>
        <v>75</v>
      </c>
      <c r="S92" s="109">
        <f>IF(A92=B92,Studentwise!AP92,"")</f>
        <v>64.285714285714292</v>
      </c>
      <c r="T92" s="109">
        <f>IF(A92=B92,Studentwise!AQ92,"")</f>
        <v>44.444444444444443</v>
      </c>
      <c r="U92" s="109">
        <f>IF(A92=B92,Studentwise!AR92,"")</f>
        <v>75</v>
      </c>
      <c r="V92" s="109">
        <f>IF(A92=B92,Studentwise!AS92,"")</f>
        <v>94.444444444444443</v>
      </c>
      <c r="W92" s="213"/>
      <c r="X92" s="7"/>
      <c r="Y92" s="8" t="b">
        <f t="shared" si="16"/>
        <v>0</v>
      </c>
      <c r="Z92" s="8" t="b">
        <f t="shared" si="17"/>
        <v>0</v>
      </c>
      <c r="AA92" s="8" t="b">
        <f t="shared" si="18"/>
        <v>0</v>
      </c>
      <c r="AB92" s="8" t="b">
        <f t="shared" si="19"/>
        <v>0</v>
      </c>
      <c r="AC92" s="8" t="b">
        <f t="shared" si="20"/>
        <v>1</v>
      </c>
      <c r="AD92" s="8" t="b">
        <f t="shared" si="21"/>
        <v>1</v>
      </c>
      <c r="AE92" s="8">
        <f t="shared" si="23"/>
        <v>2</v>
      </c>
    </row>
    <row r="93" spans="1:31" ht="18" customHeight="1">
      <c r="A93" s="65">
        <v>74</v>
      </c>
      <c r="B93" s="43"/>
      <c r="C93" s="42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118" t="str">
        <f t="shared" si="22"/>
        <v/>
      </c>
      <c r="Q93" s="213"/>
      <c r="R93" s="109" t="str">
        <f>IF(A93=B93,Studentwise!AO93,"")</f>
        <v/>
      </c>
      <c r="S93" s="109" t="str">
        <f>IF(A93=B93,Studentwise!AP93,"")</f>
        <v/>
      </c>
      <c r="T93" s="109" t="str">
        <f>IF(A93=B93,Studentwise!AQ93,"")</f>
        <v/>
      </c>
      <c r="U93" s="109" t="str">
        <f>IF(A93=B93,Studentwise!AR93,"")</f>
        <v/>
      </c>
      <c r="V93" s="109" t="str">
        <f>IF(A93=B93,Studentwise!AS93,"")</f>
        <v/>
      </c>
      <c r="W93" s="213"/>
      <c r="X93" s="7"/>
      <c r="Y93" s="8" t="b">
        <f t="shared" si="16"/>
        <v>0</v>
      </c>
      <c r="Z93" s="8" t="b">
        <f t="shared" si="17"/>
        <v>0</v>
      </c>
      <c r="AA93" s="8" t="b">
        <f t="shared" si="18"/>
        <v>0</v>
      </c>
      <c r="AB93" s="8" t="b">
        <f t="shared" si="19"/>
        <v>0</v>
      </c>
      <c r="AC93" s="8" t="b">
        <f t="shared" si="20"/>
        <v>0</v>
      </c>
      <c r="AD93" s="8" t="b">
        <f t="shared" si="21"/>
        <v>0</v>
      </c>
      <c r="AE93" s="8">
        <f t="shared" si="23"/>
        <v>0</v>
      </c>
    </row>
    <row r="94" spans="1:31">
      <c r="A94" s="65">
        <v>75</v>
      </c>
      <c r="B94" s="43"/>
      <c r="C94" s="41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118" t="str">
        <f t="shared" si="22"/>
        <v/>
      </c>
      <c r="Q94" s="213"/>
      <c r="R94" s="109" t="str">
        <f>IF(A94=B94,Studentwise!AO94,"")</f>
        <v/>
      </c>
      <c r="S94" s="109" t="str">
        <f>IF(A94=B94,Studentwise!AP94,"")</f>
        <v/>
      </c>
      <c r="T94" s="109" t="str">
        <f>IF(A94=B94,Studentwise!AQ94,"")</f>
        <v/>
      </c>
      <c r="U94" s="109" t="str">
        <f>IF(A94=B94,Studentwise!AR94,"")</f>
        <v/>
      </c>
      <c r="V94" s="109" t="str">
        <f>IF(A94=B94,Studentwise!AS94,"")</f>
        <v/>
      </c>
      <c r="W94" s="213"/>
      <c r="X94" s="7"/>
      <c r="Y94" s="8" t="b">
        <f t="shared" si="16"/>
        <v>0</v>
      </c>
      <c r="Z94" s="8" t="b">
        <f t="shared" si="17"/>
        <v>0</v>
      </c>
      <c r="AA94" s="8" t="b">
        <f t="shared" si="18"/>
        <v>0</v>
      </c>
      <c r="AB94" s="8" t="b">
        <f t="shared" si="19"/>
        <v>0</v>
      </c>
      <c r="AC94" s="8" t="b">
        <f t="shared" si="20"/>
        <v>0</v>
      </c>
      <c r="AD94" s="8" t="b">
        <f t="shared" si="21"/>
        <v>0</v>
      </c>
      <c r="AE94" s="8">
        <f t="shared" si="23"/>
        <v>0</v>
      </c>
    </row>
    <row r="95" spans="1:31" ht="18" customHeight="1">
      <c r="A95" s="65">
        <v>76</v>
      </c>
      <c r="B95" s="43"/>
      <c r="C95" s="47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118" t="str">
        <f t="shared" si="22"/>
        <v/>
      </c>
      <c r="Q95" s="213"/>
      <c r="R95" s="109" t="str">
        <f>IF(A95=B95,Studentwise!AO95,"")</f>
        <v/>
      </c>
      <c r="S95" s="109" t="str">
        <f>IF(A95=B95,Studentwise!AP95,"")</f>
        <v/>
      </c>
      <c r="T95" s="109" t="str">
        <f>IF(A95=B95,Studentwise!AQ95,"")</f>
        <v/>
      </c>
      <c r="U95" s="109" t="str">
        <f>IF(A95=B95,Studentwise!AR95,"")</f>
        <v/>
      </c>
      <c r="V95" s="109" t="str">
        <f>IF(A95=B95,Studentwise!AS95,"")</f>
        <v/>
      </c>
      <c r="W95" s="213"/>
      <c r="X95" s="7"/>
      <c r="Y95" s="8" t="b">
        <f t="shared" si="16"/>
        <v>0</v>
      </c>
      <c r="Z95" s="8" t="b">
        <f t="shared" si="17"/>
        <v>0</v>
      </c>
      <c r="AA95" s="8" t="b">
        <f t="shared" si="18"/>
        <v>0</v>
      </c>
      <c r="AB95" s="8" t="b">
        <f t="shared" si="19"/>
        <v>0</v>
      </c>
      <c r="AC95" s="8" t="b">
        <f t="shared" si="20"/>
        <v>0</v>
      </c>
      <c r="AD95" s="8" t="b">
        <f t="shared" si="21"/>
        <v>0</v>
      </c>
      <c r="AE95" s="8">
        <f t="shared" si="23"/>
        <v>0</v>
      </c>
    </row>
    <row r="96" spans="1:31" ht="18" customHeight="1">
      <c r="A96" s="65">
        <v>77</v>
      </c>
      <c r="B96" s="43"/>
      <c r="C96" s="47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118" t="str">
        <f t="shared" si="22"/>
        <v/>
      </c>
      <c r="Q96" s="213"/>
      <c r="R96" s="109" t="str">
        <f>IF(A96=B96,Studentwise!AO96,"")</f>
        <v/>
      </c>
      <c r="S96" s="109" t="str">
        <f>IF(A96=B96,Studentwise!AP96,"")</f>
        <v/>
      </c>
      <c r="T96" s="109" t="str">
        <f>IF(A96=B96,Studentwise!AQ96,"")</f>
        <v/>
      </c>
      <c r="U96" s="109" t="str">
        <f>IF(A96=B96,Studentwise!AR96,"")</f>
        <v/>
      </c>
      <c r="V96" s="109" t="str">
        <f>IF(A96=B96,Studentwise!AS96,"")</f>
        <v/>
      </c>
      <c r="W96" s="213"/>
      <c r="X96" s="7"/>
      <c r="Y96" s="8" t="b">
        <f t="shared" si="16"/>
        <v>0</v>
      </c>
      <c r="Z96" s="8" t="b">
        <f t="shared" si="17"/>
        <v>0</v>
      </c>
      <c r="AA96" s="8" t="b">
        <f t="shared" si="18"/>
        <v>0</v>
      </c>
      <c r="AB96" s="8" t="b">
        <f t="shared" si="19"/>
        <v>0</v>
      </c>
      <c r="AC96" s="8" t="b">
        <f t="shared" si="20"/>
        <v>0</v>
      </c>
      <c r="AD96" s="8" t="b">
        <f t="shared" si="21"/>
        <v>0</v>
      </c>
      <c r="AE96" s="8">
        <f t="shared" si="23"/>
        <v>0</v>
      </c>
    </row>
    <row r="97" spans="1:31" ht="18" customHeight="1">
      <c r="A97" s="65">
        <v>78</v>
      </c>
      <c r="B97" s="43"/>
      <c r="C97" s="47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118" t="str">
        <f t="shared" si="22"/>
        <v/>
      </c>
      <c r="Q97" s="213"/>
      <c r="R97" s="109" t="str">
        <f>IF(A97=B97,Studentwise!AO97,"")</f>
        <v/>
      </c>
      <c r="S97" s="109" t="str">
        <f>IF(A97=B97,Studentwise!AP97,"")</f>
        <v/>
      </c>
      <c r="T97" s="109" t="str">
        <f>IF(A97=B97,Studentwise!AQ97,"")</f>
        <v/>
      </c>
      <c r="U97" s="109" t="str">
        <f>IF(A97=B97,Studentwise!AR97,"")</f>
        <v/>
      </c>
      <c r="V97" s="109" t="str">
        <f>IF(A97=B97,Studentwise!AS97,"")</f>
        <v/>
      </c>
      <c r="W97" s="213"/>
      <c r="X97" s="7"/>
      <c r="Y97" s="8" t="b">
        <f t="shared" si="16"/>
        <v>0</v>
      </c>
      <c r="Z97" s="8" t="b">
        <f t="shared" si="17"/>
        <v>0</v>
      </c>
      <c r="AA97" s="8" t="b">
        <f t="shared" si="18"/>
        <v>0</v>
      </c>
      <c r="AB97" s="8" t="b">
        <f t="shared" si="19"/>
        <v>0</v>
      </c>
      <c r="AC97" s="8" t="b">
        <f t="shared" si="20"/>
        <v>0</v>
      </c>
      <c r="AD97" s="8" t="b">
        <f t="shared" si="21"/>
        <v>0</v>
      </c>
      <c r="AE97" s="8">
        <f t="shared" si="23"/>
        <v>0</v>
      </c>
    </row>
    <row r="98" spans="1:31" ht="18" customHeight="1">
      <c r="A98" s="65">
        <v>79</v>
      </c>
      <c r="B98" s="43"/>
      <c r="C98" s="47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118" t="str">
        <f t="shared" si="22"/>
        <v/>
      </c>
      <c r="Q98" s="213"/>
      <c r="R98" s="109" t="str">
        <f>IF(A98=B98,Studentwise!AO98,"")</f>
        <v/>
      </c>
      <c r="S98" s="109" t="str">
        <f>IF(A98=B98,Studentwise!AP98,"")</f>
        <v/>
      </c>
      <c r="T98" s="109" t="str">
        <f>IF(A98=B98,Studentwise!AQ98,"")</f>
        <v/>
      </c>
      <c r="U98" s="109" t="str">
        <f>IF(A98=B98,Studentwise!AR98,"")</f>
        <v/>
      </c>
      <c r="V98" s="109" t="str">
        <f>IF(A98=B98,Studentwise!AS98,"")</f>
        <v/>
      </c>
      <c r="W98" s="213"/>
      <c r="X98" s="7"/>
      <c r="Y98" s="8" t="b">
        <f t="shared" si="16"/>
        <v>0</v>
      </c>
      <c r="Z98" s="8" t="b">
        <f t="shared" si="17"/>
        <v>0</v>
      </c>
      <c r="AA98" s="8" t="b">
        <f t="shared" si="18"/>
        <v>0</v>
      </c>
      <c r="AB98" s="8" t="b">
        <f t="shared" si="19"/>
        <v>0</v>
      </c>
      <c r="AC98" s="8" t="b">
        <f t="shared" si="20"/>
        <v>0</v>
      </c>
      <c r="AD98" s="8" t="b">
        <f t="shared" si="21"/>
        <v>0</v>
      </c>
      <c r="AE98" s="8">
        <f t="shared" si="23"/>
        <v>0</v>
      </c>
    </row>
    <row r="99" spans="1:31" ht="18" customHeight="1">
      <c r="A99" s="65">
        <v>80</v>
      </c>
      <c r="B99" s="43"/>
      <c r="C99" s="47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118" t="str">
        <f t="shared" si="22"/>
        <v/>
      </c>
      <c r="Q99" s="213"/>
      <c r="R99" s="109" t="str">
        <f>IF(A99=B99,Studentwise!AO99,"")</f>
        <v/>
      </c>
      <c r="S99" s="109" t="str">
        <f>IF(A99=B99,Studentwise!AP99,"")</f>
        <v/>
      </c>
      <c r="T99" s="109" t="str">
        <f>IF(A99=B99,Studentwise!AQ99,"")</f>
        <v/>
      </c>
      <c r="U99" s="109" t="str">
        <f>IF(A99=B99,Studentwise!AR99,"")</f>
        <v/>
      </c>
      <c r="V99" s="109" t="str">
        <f>IF(A99=B99,Studentwise!AS99,"")</f>
        <v/>
      </c>
      <c r="W99" s="213"/>
      <c r="X99" s="7"/>
      <c r="Y99" s="8" t="b">
        <f t="shared" si="16"/>
        <v>0</v>
      </c>
      <c r="Z99" s="8" t="b">
        <f t="shared" si="17"/>
        <v>0</v>
      </c>
      <c r="AA99" s="8" t="b">
        <f t="shared" si="18"/>
        <v>0</v>
      </c>
      <c r="AB99" s="8" t="b">
        <f t="shared" si="19"/>
        <v>0</v>
      </c>
      <c r="AC99" s="8" t="b">
        <f t="shared" si="20"/>
        <v>0</v>
      </c>
      <c r="AD99" s="8" t="b">
        <f t="shared" si="21"/>
        <v>0</v>
      </c>
      <c r="AE99" s="8">
        <f t="shared" si="23"/>
        <v>0</v>
      </c>
    </row>
    <row r="100" spans="1:31" ht="18" customHeight="1">
      <c r="A100" s="65">
        <v>81</v>
      </c>
      <c r="B100" s="43"/>
      <c r="C100" s="47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118" t="str">
        <f t="shared" si="22"/>
        <v/>
      </c>
      <c r="Q100" s="213"/>
      <c r="R100" s="109" t="str">
        <f>IF(A100=B100,Studentwise!AO100,"")</f>
        <v/>
      </c>
      <c r="S100" s="109" t="str">
        <f>IF(A100=B100,Studentwise!AP100,"")</f>
        <v/>
      </c>
      <c r="T100" s="109" t="str">
        <f>IF(A100=B100,Studentwise!AQ100,"")</f>
        <v/>
      </c>
      <c r="U100" s="109" t="str">
        <f>IF(A100=B100,Studentwise!AR100,"")</f>
        <v/>
      </c>
      <c r="V100" s="109" t="str">
        <f>IF(A100=B100,Studentwise!AS100,"")</f>
        <v/>
      </c>
      <c r="W100" s="213"/>
      <c r="X100" s="7"/>
      <c r="Y100" s="8" t="b">
        <f t="shared" si="16"/>
        <v>0</v>
      </c>
      <c r="Z100" s="8" t="b">
        <f t="shared" si="17"/>
        <v>0</v>
      </c>
      <c r="AA100" s="8" t="b">
        <f t="shared" si="18"/>
        <v>0</v>
      </c>
      <c r="AB100" s="8" t="b">
        <f t="shared" si="19"/>
        <v>0</v>
      </c>
      <c r="AC100" s="8" t="b">
        <f t="shared" si="20"/>
        <v>0</v>
      </c>
      <c r="AD100" s="8" t="b">
        <f t="shared" si="21"/>
        <v>0</v>
      </c>
      <c r="AE100" s="8">
        <f t="shared" si="23"/>
        <v>0</v>
      </c>
    </row>
    <row r="101" spans="1:31" ht="18" customHeight="1">
      <c r="A101" s="65">
        <v>82</v>
      </c>
      <c r="B101" s="43"/>
      <c r="C101" s="47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118" t="str">
        <f t="shared" si="22"/>
        <v/>
      </c>
      <c r="Q101" s="213"/>
      <c r="R101" s="109" t="str">
        <f>IF(A101=B101,Studentwise!AO101,"")</f>
        <v/>
      </c>
      <c r="S101" s="109" t="str">
        <f>IF(A101=B101,Studentwise!AP101,"")</f>
        <v/>
      </c>
      <c r="T101" s="109" t="str">
        <f>IF(A101=B101,Studentwise!AQ101,"")</f>
        <v/>
      </c>
      <c r="U101" s="109" t="str">
        <f>IF(A101=B101,Studentwise!AR101,"")</f>
        <v/>
      </c>
      <c r="V101" s="109" t="str">
        <f>IF(A101=B101,Studentwise!AS101,"")</f>
        <v/>
      </c>
      <c r="W101" s="213"/>
      <c r="X101" s="7"/>
      <c r="Y101" s="8" t="b">
        <f t="shared" si="16"/>
        <v>0</v>
      </c>
      <c r="Z101" s="8" t="b">
        <f t="shared" si="17"/>
        <v>0</v>
      </c>
      <c r="AA101" s="8" t="b">
        <f t="shared" si="18"/>
        <v>0</v>
      </c>
      <c r="AB101" s="8" t="b">
        <f t="shared" si="19"/>
        <v>0</v>
      </c>
      <c r="AC101" s="8" t="b">
        <f t="shared" si="20"/>
        <v>0</v>
      </c>
      <c r="AD101" s="8" t="b">
        <f t="shared" si="21"/>
        <v>0</v>
      </c>
      <c r="AE101" s="8">
        <f t="shared" si="23"/>
        <v>0</v>
      </c>
    </row>
    <row r="102" spans="1:31" ht="18" customHeight="1">
      <c r="A102" s="65">
        <v>83</v>
      </c>
      <c r="B102" s="43"/>
      <c r="C102" s="47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118" t="str">
        <f t="shared" si="22"/>
        <v/>
      </c>
      <c r="Q102" s="213"/>
      <c r="R102" s="109" t="str">
        <f>IF(A102=B102,Studentwise!AO102,"")</f>
        <v/>
      </c>
      <c r="S102" s="109" t="str">
        <f>IF(A102=B102,Studentwise!AP102,"")</f>
        <v/>
      </c>
      <c r="T102" s="109" t="str">
        <f>IF(A102=B102,Studentwise!AQ102,"")</f>
        <v/>
      </c>
      <c r="U102" s="109" t="str">
        <f>IF(A102=B102,Studentwise!AR102,"")</f>
        <v/>
      </c>
      <c r="V102" s="109" t="str">
        <f>IF(A102=B102,Studentwise!AS102,"")</f>
        <v/>
      </c>
      <c r="W102" s="213"/>
      <c r="X102" s="7"/>
      <c r="Y102" s="8" t="b">
        <f t="shared" si="16"/>
        <v>0</v>
      </c>
      <c r="Z102" s="8" t="b">
        <f t="shared" si="17"/>
        <v>0</v>
      </c>
      <c r="AA102" s="8" t="b">
        <f t="shared" si="18"/>
        <v>0</v>
      </c>
      <c r="AB102" s="8" t="b">
        <f t="shared" si="19"/>
        <v>0</v>
      </c>
      <c r="AC102" s="8" t="b">
        <f t="shared" si="20"/>
        <v>0</v>
      </c>
      <c r="AD102" s="8" t="b">
        <f t="shared" si="21"/>
        <v>0</v>
      </c>
      <c r="AE102" s="8">
        <f t="shared" si="23"/>
        <v>0</v>
      </c>
    </row>
    <row r="103" spans="1:31" ht="18" customHeight="1">
      <c r="A103" s="65">
        <v>84</v>
      </c>
      <c r="B103" s="43"/>
      <c r="C103" s="47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118" t="str">
        <f t="shared" si="22"/>
        <v/>
      </c>
      <c r="Q103" s="213"/>
      <c r="R103" s="109" t="str">
        <f>IF(A103=B103,Studentwise!AO103,"")</f>
        <v/>
      </c>
      <c r="S103" s="109" t="str">
        <f>IF(A103=B103,Studentwise!AP103,"")</f>
        <v/>
      </c>
      <c r="T103" s="109" t="str">
        <f>IF(A103=B103,Studentwise!AQ103,"")</f>
        <v/>
      </c>
      <c r="U103" s="109" t="str">
        <f>IF(A103=B103,Studentwise!AR103,"")</f>
        <v/>
      </c>
      <c r="V103" s="109" t="str">
        <f>IF(A103=B103,Studentwise!AS103,"")</f>
        <v/>
      </c>
      <c r="W103" s="213"/>
      <c r="X103" s="7"/>
      <c r="Y103" s="8" t="b">
        <f t="shared" si="16"/>
        <v>0</v>
      </c>
      <c r="Z103" s="8" t="b">
        <f t="shared" si="17"/>
        <v>0</v>
      </c>
      <c r="AA103" s="8" t="b">
        <f t="shared" si="18"/>
        <v>0</v>
      </c>
      <c r="AB103" s="8" t="b">
        <f t="shared" si="19"/>
        <v>0</v>
      </c>
      <c r="AC103" s="8" t="b">
        <f t="shared" si="20"/>
        <v>0</v>
      </c>
      <c r="AD103" s="8" t="b">
        <f t="shared" si="21"/>
        <v>0</v>
      </c>
      <c r="AE103" s="8">
        <f t="shared" si="23"/>
        <v>0</v>
      </c>
    </row>
    <row r="104" spans="1:31" ht="18" customHeight="1">
      <c r="A104" s="65">
        <v>85</v>
      </c>
      <c r="B104" s="43"/>
      <c r="C104" s="47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118" t="str">
        <f t="shared" si="22"/>
        <v/>
      </c>
      <c r="Q104" s="213"/>
      <c r="R104" s="109" t="str">
        <f>IF(A104=B104,Studentwise!AO104,"")</f>
        <v/>
      </c>
      <c r="S104" s="109" t="str">
        <f>IF(A104=B104,Studentwise!AP104,"")</f>
        <v/>
      </c>
      <c r="T104" s="109" t="str">
        <f>IF(A104=B104,Studentwise!AQ104,"")</f>
        <v/>
      </c>
      <c r="U104" s="109" t="str">
        <f>IF(A104=B104,Studentwise!AR104,"")</f>
        <v/>
      </c>
      <c r="V104" s="109" t="str">
        <f>IF(A104=B104,Studentwise!AS104,"")</f>
        <v/>
      </c>
      <c r="W104" s="213"/>
      <c r="X104" s="7"/>
      <c r="Y104" s="8" t="b">
        <f t="shared" si="16"/>
        <v>0</v>
      </c>
      <c r="Z104" s="8" t="b">
        <f t="shared" si="17"/>
        <v>0</v>
      </c>
      <c r="AA104" s="8" t="b">
        <f t="shared" si="18"/>
        <v>0</v>
      </c>
      <c r="AB104" s="8" t="b">
        <f t="shared" si="19"/>
        <v>0</v>
      </c>
      <c r="AC104" s="8" t="b">
        <f t="shared" si="20"/>
        <v>0</v>
      </c>
      <c r="AD104" s="8" t="b">
        <f t="shared" si="21"/>
        <v>0</v>
      </c>
      <c r="AE104" s="8">
        <f t="shared" si="23"/>
        <v>0</v>
      </c>
    </row>
    <row r="105" spans="1:31" ht="18" customHeight="1">
      <c r="A105" s="65">
        <v>86</v>
      </c>
      <c r="B105" s="43"/>
      <c r="C105" s="47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118" t="str">
        <f t="shared" si="22"/>
        <v/>
      </c>
      <c r="Q105" s="213"/>
      <c r="R105" s="109" t="str">
        <f>IF(A105=B105,Studentwise!AO105,"")</f>
        <v/>
      </c>
      <c r="S105" s="109" t="str">
        <f>IF(A105=B105,Studentwise!AP105,"")</f>
        <v/>
      </c>
      <c r="T105" s="109" t="str">
        <f>IF(A105=B105,Studentwise!AQ105,"")</f>
        <v/>
      </c>
      <c r="U105" s="109" t="str">
        <f>IF(A105=B105,Studentwise!AR105,"")</f>
        <v/>
      </c>
      <c r="V105" s="109" t="str">
        <f>IF(A105=B105,Studentwise!AS105,"")</f>
        <v/>
      </c>
      <c r="W105" s="213"/>
      <c r="X105" s="7"/>
      <c r="Y105" s="8" t="b">
        <f t="shared" si="16"/>
        <v>0</v>
      </c>
      <c r="Z105" s="8" t="b">
        <f t="shared" si="17"/>
        <v>0</v>
      </c>
      <c r="AA105" s="8" t="b">
        <f t="shared" si="18"/>
        <v>0</v>
      </c>
      <c r="AB105" s="8" t="b">
        <f t="shared" si="19"/>
        <v>0</v>
      </c>
      <c r="AC105" s="8" t="b">
        <f t="shared" si="20"/>
        <v>0</v>
      </c>
      <c r="AD105" s="8" t="b">
        <f t="shared" si="21"/>
        <v>0</v>
      </c>
      <c r="AE105" s="8">
        <f t="shared" si="23"/>
        <v>0</v>
      </c>
    </row>
    <row r="106" spans="1:31" ht="18" customHeight="1">
      <c r="A106" s="65">
        <v>87</v>
      </c>
      <c r="B106" s="43"/>
      <c r="C106" s="47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118" t="str">
        <f t="shared" si="22"/>
        <v/>
      </c>
      <c r="Q106" s="213"/>
      <c r="R106" s="109" t="str">
        <f>IF(A106=B106,Studentwise!AO106,"")</f>
        <v/>
      </c>
      <c r="S106" s="109" t="str">
        <f>IF(A106=B106,Studentwise!AP106,"")</f>
        <v/>
      </c>
      <c r="T106" s="109" t="str">
        <f>IF(A106=B106,Studentwise!AQ106,"")</f>
        <v/>
      </c>
      <c r="U106" s="109" t="str">
        <f>IF(A106=B106,Studentwise!AR106,"")</f>
        <v/>
      </c>
      <c r="V106" s="109" t="str">
        <f>IF(A106=B106,Studentwise!AS106,"")</f>
        <v/>
      </c>
      <c r="W106" s="213"/>
      <c r="X106" s="7"/>
      <c r="Y106" s="8" t="b">
        <f t="shared" si="16"/>
        <v>0</v>
      </c>
      <c r="Z106" s="8" t="b">
        <f t="shared" si="17"/>
        <v>0</v>
      </c>
      <c r="AA106" s="8" t="b">
        <f t="shared" si="18"/>
        <v>0</v>
      </c>
      <c r="AB106" s="8" t="b">
        <f t="shared" si="19"/>
        <v>0</v>
      </c>
      <c r="AC106" s="8" t="b">
        <f t="shared" si="20"/>
        <v>0</v>
      </c>
      <c r="AD106" s="8" t="b">
        <f t="shared" si="21"/>
        <v>0</v>
      </c>
      <c r="AE106" s="8">
        <f t="shared" si="23"/>
        <v>0</v>
      </c>
    </row>
    <row r="107" spans="1:31" ht="18" customHeight="1">
      <c r="A107" s="65">
        <v>88</v>
      </c>
      <c r="B107" s="43"/>
      <c r="C107" s="41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118" t="str">
        <f t="shared" si="22"/>
        <v/>
      </c>
      <c r="Q107" s="213"/>
      <c r="R107" s="109" t="str">
        <f>IF(A107=B107,Studentwise!AO107,"")</f>
        <v/>
      </c>
      <c r="S107" s="109" t="str">
        <f>IF(A107=B107,Studentwise!AP107,"")</f>
        <v/>
      </c>
      <c r="T107" s="109" t="str">
        <f>IF(A107=B107,Studentwise!AQ107,"")</f>
        <v/>
      </c>
      <c r="U107" s="109" t="str">
        <f>IF(A107=B107,Studentwise!AR107,"")</f>
        <v/>
      </c>
      <c r="V107" s="109" t="str">
        <f>IF(A107=B107,Studentwise!AS107,"")</f>
        <v/>
      </c>
      <c r="W107" s="213"/>
      <c r="X107" s="7"/>
      <c r="Y107" s="8" t="b">
        <f t="shared" si="16"/>
        <v>0</v>
      </c>
      <c r="Z107" s="8" t="b">
        <f t="shared" si="17"/>
        <v>0</v>
      </c>
      <c r="AA107" s="8" t="b">
        <f t="shared" si="18"/>
        <v>0</v>
      </c>
      <c r="AB107" s="8" t="b">
        <f t="shared" si="19"/>
        <v>0</v>
      </c>
      <c r="AC107" s="8" t="b">
        <f t="shared" si="20"/>
        <v>0</v>
      </c>
      <c r="AD107" s="8" t="b">
        <f t="shared" si="21"/>
        <v>0</v>
      </c>
      <c r="AE107" s="8">
        <f t="shared" si="23"/>
        <v>0</v>
      </c>
    </row>
    <row r="108" spans="1:31" ht="18" customHeight="1">
      <c r="A108" s="65">
        <v>89</v>
      </c>
      <c r="B108" s="43"/>
      <c r="C108" s="42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118" t="str">
        <f t="shared" si="22"/>
        <v/>
      </c>
      <c r="Q108" s="213"/>
      <c r="R108" s="109" t="str">
        <f>IF(A108=B108,Studentwise!AO108,"")</f>
        <v/>
      </c>
      <c r="S108" s="109" t="str">
        <f>IF(A108=B108,Studentwise!AP108,"")</f>
        <v/>
      </c>
      <c r="T108" s="109" t="str">
        <f>IF(A108=B108,Studentwise!AQ108,"")</f>
        <v/>
      </c>
      <c r="U108" s="109" t="str">
        <f>IF(A108=B108,Studentwise!AR108,"")</f>
        <v/>
      </c>
      <c r="V108" s="109" t="str">
        <f>IF(A108=B108,Studentwise!AS108,"")</f>
        <v/>
      </c>
      <c r="W108" s="213"/>
      <c r="X108" s="7"/>
      <c r="Y108" s="8" t="b">
        <f t="shared" si="16"/>
        <v>0</v>
      </c>
      <c r="Z108" s="8" t="b">
        <f t="shared" si="17"/>
        <v>0</v>
      </c>
      <c r="AA108" s="8" t="b">
        <f t="shared" si="18"/>
        <v>0</v>
      </c>
      <c r="AB108" s="8" t="b">
        <f t="shared" si="19"/>
        <v>0</v>
      </c>
      <c r="AC108" s="8" t="b">
        <f t="shared" si="20"/>
        <v>0</v>
      </c>
      <c r="AD108" s="8" t="b">
        <f t="shared" si="21"/>
        <v>0</v>
      </c>
      <c r="AE108" s="8">
        <f t="shared" si="23"/>
        <v>0</v>
      </c>
    </row>
    <row r="109" spans="1:31">
      <c r="A109" s="65">
        <v>90</v>
      </c>
      <c r="B109" s="43"/>
      <c r="C109" s="41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118" t="str">
        <f t="shared" si="22"/>
        <v/>
      </c>
      <c r="Q109" s="213"/>
      <c r="R109" s="109" t="str">
        <f>IF(A109=B109,Studentwise!AO109,"")</f>
        <v/>
      </c>
      <c r="S109" s="109" t="str">
        <f>IF(A109=B109,Studentwise!AP109,"")</f>
        <v/>
      </c>
      <c r="T109" s="109" t="str">
        <f>IF(A109=B109,Studentwise!AQ109,"")</f>
        <v/>
      </c>
      <c r="U109" s="109" t="str">
        <f>IF(A109=B109,Studentwise!AR109,"")</f>
        <v/>
      </c>
      <c r="V109" s="109" t="str">
        <f>IF(A109=B109,Studentwise!AS109,"")</f>
        <v/>
      </c>
      <c r="W109" s="213"/>
      <c r="X109" s="7"/>
      <c r="Y109" s="8" t="b">
        <f t="shared" si="16"/>
        <v>0</v>
      </c>
      <c r="Z109" s="8" t="b">
        <f t="shared" si="17"/>
        <v>0</v>
      </c>
      <c r="AA109" s="8" t="b">
        <f t="shared" si="18"/>
        <v>0</v>
      </c>
      <c r="AB109" s="8" t="b">
        <f t="shared" si="19"/>
        <v>0</v>
      </c>
      <c r="AC109" s="8" t="b">
        <f t="shared" si="20"/>
        <v>0</v>
      </c>
      <c r="AD109" s="8" t="b">
        <f t="shared" si="21"/>
        <v>0</v>
      </c>
      <c r="AE109" s="8">
        <f t="shared" si="23"/>
        <v>0</v>
      </c>
    </row>
    <row r="110" spans="1:31" ht="18" customHeight="1">
      <c r="A110" s="65">
        <v>91</v>
      </c>
      <c r="B110" s="43"/>
      <c r="C110" s="47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118" t="str">
        <f t="shared" si="22"/>
        <v/>
      </c>
      <c r="Q110" s="213"/>
      <c r="R110" s="109" t="str">
        <f>IF(A110=B110,Studentwise!AO110,"")</f>
        <v/>
      </c>
      <c r="S110" s="109" t="str">
        <f>IF(A110=B110,Studentwise!AP110,"")</f>
        <v/>
      </c>
      <c r="T110" s="109" t="str">
        <f>IF(A110=B110,Studentwise!AQ110,"")</f>
        <v/>
      </c>
      <c r="U110" s="109" t="str">
        <f>IF(A110=B110,Studentwise!AR110,"")</f>
        <v/>
      </c>
      <c r="V110" s="109" t="str">
        <f>IF(A110=B110,Studentwise!AS110,"")</f>
        <v/>
      </c>
      <c r="W110" s="213"/>
      <c r="X110" s="7"/>
      <c r="Y110" s="8" t="b">
        <f t="shared" si="16"/>
        <v>0</v>
      </c>
      <c r="Z110" s="8" t="b">
        <f t="shared" si="17"/>
        <v>0</v>
      </c>
      <c r="AA110" s="8" t="b">
        <f t="shared" si="18"/>
        <v>0</v>
      </c>
      <c r="AB110" s="8" t="b">
        <f t="shared" si="19"/>
        <v>0</v>
      </c>
      <c r="AC110" s="8" t="b">
        <f t="shared" si="20"/>
        <v>0</v>
      </c>
      <c r="AD110" s="8" t="b">
        <f t="shared" si="21"/>
        <v>0</v>
      </c>
      <c r="AE110" s="8">
        <f t="shared" si="23"/>
        <v>0</v>
      </c>
    </row>
    <row r="111" spans="1:31" ht="18" customHeight="1">
      <c r="A111" s="65">
        <v>92</v>
      </c>
      <c r="B111" s="43"/>
      <c r="C111" s="47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118" t="str">
        <f t="shared" si="22"/>
        <v/>
      </c>
      <c r="Q111" s="213"/>
      <c r="R111" s="109" t="str">
        <f>IF(A111=B111,Studentwise!AO111,"")</f>
        <v/>
      </c>
      <c r="S111" s="109" t="str">
        <f>IF(A111=B111,Studentwise!AP111,"")</f>
        <v/>
      </c>
      <c r="T111" s="109" t="str">
        <f>IF(A111=B111,Studentwise!AQ111,"")</f>
        <v/>
      </c>
      <c r="U111" s="109" t="str">
        <f>IF(A111=B111,Studentwise!AR111,"")</f>
        <v/>
      </c>
      <c r="V111" s="109" t="str">
        <f>IF(A111=B111,Studentwise!AS111,"")</f>
        <v/>
      </c>
      <c r="W111" s="213"/>
      <c r="X111" s="7"/>
      <c r="Y111" s="8" t="b">
        <f t="shared" si="16"/>
        <v>0</v>
      </c>
      <c r="Z111" s="8" t="b">
        <f t="shared" si="17"/>
        <v>0</v>
      </c>
      <c r="AA111" s="8" t="b">
        <f t="shared" si="18"/>
        <v>0</v>
      </c>
      <c r="AB111" s="8" t="b">
        <f t="shared" si="19"/>
        <v>0</v>
      </c>
      <c r="AC111" s="8" t="b">
        <f t="shared" si="20"/>
        <v>0</v>
      </c>
      <c r="AD111" s="8" t="b">
        <f t="shared" si="21"/>
        <v>0</v>
      </c>
      <c r="AE111" s="8">
        <f t="shared" si="23"/>
        <v>0</v>
      </c>
    </row>
    <row r="112" spans="1:31" ht="18" customHeight="1">
      <c r="A112" s="65">
        <v>93</v>
      </c>
      <c r="B112" s="43"/>
      <c r="C112" s="47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118" t="str">
        <f t="shared" si="22"/>
        <v/>
      </c>
      <c r="Q112" s="213"/>
      <c r="R112" s="109" t="str">
        <f>IF(A112=B112,Studentwise!AO112,"")</f>
        <v/>
      </c>
      <c r="S112" s="109" t="str">
        <f>IF(A112=B112,Studentwise!AP112,"")</f>
        <v/>
      </c>
      <c r="T112" s="109" t="str">
        <f>IF(A112=B112,Studentwise!AQ112,"")</f>
        <v/>
      </c>
      <c r="U112" s="109" t="str">
        <f>IF(A112=B112,Studentwise!AR112,"")</f>
        <v/>
      </c>
      <c r="V112" s="109" t="str">
        <f>IF(A112=B112,Studentwise!AS112,"")</f>
        <v/>
      </c>
      <c r="W112" s="213"/>
      <c r="X112" s="7"/>
      <c r="Y112" s="8" t="b">
        <f t="shared" si="16"/>
        <v>0</v>
      </c>
      <c r="Z112" s="8" t="b">
        <f t="shared" si="17"/>
        <v>0</v>
      </c>
      <c r="AA112" s="8" t="b">
        <f t="shared" si="18"/>
        <v>0</v>
      </c>
      <c r="AB112" s="8" t="b">
        <f t="shared" si="19"/>
        <v>0</v>
      </c>
      <c r="AC112" s="8" t="b">
        <f t="shared" si="20"/>
        <v>0</v>
      </c>
      <c r="AD112" s="8" t="b">
        <f t="shared" si="21"/>
        <v>0</v>
      </c>
      <c r="AE112" s="8">
        <f t="shared" si="23"/>
        <v>0</v>
      </c>
    </row>
    <row r="113" spans="1:31" ht="18" customHeight="1">
      <c r="A113" s="65">
        <v>94</v>
      </c>
      <c r="B113" s="43"/>
      <c r="C113" s="47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118" t="str">
        <f t="shared" si="22"/>
        <v/>
      </c>
      <c r="Q113" s="213"/>
      <c r="R113" s="109" t="str">
        <f>IF(A113=B113,Studentwise!AO113,"")</f>
        <v/>
      </c>
      <c r="S113" s="109" t="str">
        <f>IF(A113=B113,Studentwise!AP113,"")</f>
        <v/>
      </c>
      <c r="T113" s="109" t="str">
        <f>IF(A113=B113,Studentwise!AQ113,"")</f>
        <v/>
      </c>
      <c r="U113" s="109" t="str">
        <f>IF(A113=B113,Studentwise!AR113,"")</f>
        <v/>
      </c>
      <c r="V113" s="109" t="str">
        <f>IF(A113=B113,Studentwise!AS113,"")</f>
        <v/>
      </c>
      <c r="W113" s="213"/>
      <c r="X113" s="7"/>
      <c r="Y113" s="8" t="b">
        <f t="shared" si="16"/>
        <v>0</v>
      </c>
      <c r="Z113" s="8" t="b">
        <f t="shared" si="17"/>
        <v>0</v>
      </c>
      <c r="AA113" s="8" t="b">
        <f t="shared" si="18"/>
        <v>0</v>
      </c>
      <c r="AB113" s="8" t="b">
        <f t="shared" si="19"/>
        <v>0</v>
      </c>
      <c r="AC113" s="8" t="b">
        <f t="shared" si="20"/>
        <v>0</v>
      </c>
      <c r="AD113" s="8" t="b">
        <f t="shared" si="21"/>
        <v>0</v>
      </c>
      <c r="AE113" s="8">
        <f t="shared" si="23"/>
        <v>0</v>
      </c>
    </row>
    <row r="114" spans="1:31" ht="18" customHeight="1">
      <c r="A114" s="65">
        <v>95</v>
      </c>
      <c r="B114" s="43"/>
      <c r="C114" s="47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118" t="str">
        <f t="shared" si="22"/>
        <v/>
      </c>
      <c r="Q114" s="213"/>
      <c r="R114" s="109" t="str">
        <f>IF(A114=B114,Studentwise!AO114,"")</f>
        <v/>
      </c>
      <c r="S114" s="109" t="str">
        <f>IF(A114=B114,Studentwise!AP114,"")</f>
        <v/>
      </c>
      <c r="T114" s="109" t="str">
        <f>IF(A114=B114,Studentwise!AQ114,"")</f>
        <v/>
      </c>
      <c r="U114" s="109" t="str">
        <f>IF(A114=B114,Studentwise!AR114,"")</f>
        <v/>
      </c>
      <c r="V114" s="109" t="str">
        <f>IF(A114=B114,Studentwise!AS114,"")</f>
        <v/>
      </c>
      <c r="W114" s="213"/>
      <c r="X114" s="7"/>
      <c r="Y114" s="8" t="b">
        <f t="shared" si="16"/>
        <v>0</v>
      </c>
      <c r="Z114" s="8" t="b">
        <f t="shared" si="17"/>
        <v>0</v>
      </c>
      <c r="AA114" s="8" t="b">
        <f t="shared" si="18"/>
        <v>0</v>
      </c>
      <c r="AB114" s="8" t="b">
        <f t="shared" si="19"/>
        <v>0</v>
      </c>
      <c r="AC114" s="8" t="b">
        <f t="shared" si="20"/>
        <v>0</v>
      </c>
      <c r="AD114" s="8" t="b">
        <f t="shared" si="21"/>
        <v>0</v>
      </c>
      <c r="AE114" s="8">
        <f t="shared" si="23"/>
        <v>0</v>
      </c>
    </row>
    <row r="115" spans="1:31" ht="18" customHeight="1">
      <c r="A115" s="65">
        <v>96</v>
      </c>
      <c r="B115" s="43"/>
      <c r="C115" s="47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118" t="str">
        <f t="shared" si="22"/>
        <v/>
      </c>
      <c r="Q115" s="213"/>
      <c r="R115" s="109" t="str">
        <f>IF(A115=B115,Studentwise!AO115,"")</f>
        <v/>
      </c>
      <c r="S115" s="109" t="str">
        <f>IF(A115=B115,Studentwise!AP115,"")</f>
        <v/>
      </c>
      <c r="T115" s="109" t="str">
        <f>IF(A115=B115,Studentwise!AQ115,"")</f>
        <v/>
      </c>
      <c r="U115" s="109" t="str">
        <f>IF(A115=B115,Studentwise!AR115,"")</f>
        <v/>
      </c>
      <c r="V115" s="109" t="str">
        <f>IF(A115=B115,Studentwise!AS115,"")</f>
        <v/>
      </c>
      <c r="W115" s="213"/>
      <c r="X115" s="7"/>
      <c r="Y115" s="8" t="b">
        <f t="shared" si="16"/>
        <v>0</v>
      </c>
      <c r="Z115" s="8" t="b">
        <f t="shared" si="17"/>
        <v>0</v>
      </c>
      <c r="AA115" s="8" t="b">
        <f t="shared" si="18"/>
        <v>0</v>
      </c>
      <c r="AB115" s="8" t="b">
        <f t="shared" si="19"/>
        <v>0</v>
      </c>
      <c r="AC115" s="8" t="b">
        <f t="shared" si="20"/>
        <v>0</v>
      </c>
      <c r="AD115" s="8" t="b">
        <f t="shared" si="21"/>
        <v>0</v>
      </c>
      <c r="AE115" s="8">
        <f t="shared" si="23"/>
        <v>0</v>
      </c>
    </row>
    <row r="116" spans="1:31" ht="18" customHeight="1">
      <c r="A116" s="65">
        <v>97</v>
      </c>
      <c r="B116" s="43"/>
      <c r="C116" s="47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118" t="str">
        <f t="shared" si="22"/>
        <v/>
      </c>
      <c r="Q116" s="213"/>
      <c r="R116" s="109" t="str">
        <f>IF(A116=B116,Studentwise!AO116,"")</f>
        <v/>
      </c>
      <c r="S116" s="109" t="str">
        <f>IF(A116=B116,Studentwise!AP116,"")</f>
        <v/>
      </c>
      <c r="T116" s="109" t="str">
        <f>IF(A116=B116,Studentwise!AQ116,"")</f>
        <v/>
      </c>
      <c r="U116" s="109" t="str">
        <f>IF(A116=B116,Studentwise!AR116,"")</f>
        <v/>
      </c>
      <c r="V116" s="109" t="str">
        <f>IF(A116=B116,Studentwise!AS116,"")</f>
        <v/>
      </c>
      <c r="W116" s="213"/>
      <c r="X116" s="7"/>
      <c r="Y116" s="8" t="b">
        <f t="shared" ref="Y116:Y147" si="24">ISTEXT(J116)</f>
        <v>0</v>
      </c>
      <c r="Z116" s="8" t="b">
        <f t="shared" ref="Z116:Z147" si="25">ISTEXT(K116)</f>
        <v>0</v>
      </c>
      <c r="AA116" s="8" t="b">
        <f t="shared" ref="AA116:AA147" si="26">ISTEXT(L116)</f>
        <v>0</v>
      </c>
      <c r="AB116" s="8" t="b">
        <f t="shared" ref="AB116:AB147" si="27">ISTEXT(M116)</f>
        <v>0</v>
      </c>
      <c r="AC116" s="8" t="b">
        <f t="shared" ref="AC116:AC147" si="28">ISTEXT(N116)</f>
        <v>0</v>
      </c>
      <c r="AD116" s="8" t="b">
        <f t="shared" ref="AD116:AD147" si="29">ISTEXT(O116)</f>
        <v>0</v>
      </c>
      <c r="AE116" s="8">
        <f t="shared" si="23"/>
        <v>0</v>
      </c>
    </row>
    <row r="117" spans="1:31" ht="18" customHeight="1">
      <c r="A117" s="65">
        <v>98</v>
      </c>
      <c r="B117" s="43"/>
      <c r="C117" s="47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118" t="str">
        <f t="shared" si="22"/>
        <v/>
      </c>
      <c r="Q117" s="213"/>
      <c r="R117" s="109" t="str">
        <f>IF(A117=B117,Studentwise!AO117,"")</f>
        <v/>
      </c>
      <c r="S117" s="109" t="str">
        <f>IF(A117=B117,Studentwise!AP117,"")</f>
        <v/>
      </c>
      <c r="T117" s="109" t="str">
        <f>IF(A117=B117,Studentwise!AQ117,"")</f>
        <v/>
      </c>
      <c r="U117" s="109" t="str">
        <f>IF(A117=B117,Studentwise!AR117,"")</f>
        <v/>
      </c>
      <c r="V117" s="109" t="str">
        <f>IF(A117=B117,Studentwise!AS117,"")</f>
        <v/>
      </c>
      <c r="W117" s="213"/>
      <c r="X117" s="7"/>
      <c r="Y117" s="8" t="b">
        <f t="shared" si="24"/>
        <v>0</v>
      </c>
      <c r="Z117" s="8" t="b">
        <f t="shared" si="25"/>
        <v>0</v>
      </c>
      <c r="AA117" s="8" t="b">
        <f t="shared" si="26"/>
        <v>0</v>
      </c>
      <c r="AB117" s="8" t="b">
        <f t="shared" si="27"/>
        <v>0</v>
      </c>
      <c r="AC117" s="8" t="b">
        <f t="shared" si="28"/>
        <v>0</v>
      </c>
      <c r="AD117" s="8" t="b">
        <f t="shared" si="29"/>
        <v>0</v>
      </c>
      <c r="AE117" s="8">
        <f t="shared" si="23"/>
        <v>0</v>
      </c>
    </row>
    <row r="118" spans="1:31" ht="18" customHeight="1">
      <c r="A118" s="65">
        <v>99</v>
      </c>
      <c r="B118" s="43"/>
      <c r="C118" s="47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118" t="str">
        <f t="shared" si="22"/>
        <v/>
      </c>
      <c r="Q118" s="213"/>
      <c r="R118" s="109" t="str">
        <f>IF(A118=B118,Studentwise!AO118,"")</f>
        <v/>
      </c>
      <c r="S118" s="109" t="str">
        <f>IF(A118=B118,Studentwise!AP118,"")</f>
        <v/>
      </c>
      <c r="T118" s="109" t="str">
        <f>IF(A118=B118,Studentwise!AQ118,"")</f>
        <v/>
      </c>
      <c r="U118" s="109" t="str">
        <f>IF(A118=B118,Studentwise!AR118,"")</f>
        <v/>
      </c>
      <c r="V118" s="109" t="str">
        <f>IF(A118=B118,Studentwise!AS118,"")</f>
        <v/>
      </c>
      <c r="W118" s="213"/>
      <c r="X118" s="7"/>
      <c r="Y118" s="8" t="b">
        <f t="shared" si="24"/>
        <v>0</v>
      </c>
      <c r="Z118" s="8" t="b">
        <f t="shared" si="25"/>
        <v>0</v>
      </c>
      <c r="AA118" s="8" t="b">
        <f t="shared" si="26"/>
        <v>0</v>
      </c>
      <c r="AB118" s="8" t="b">
        <f t="shared" si="27"/>
        <v>0</v>
      </c>
      <c r="AC118" s="8" t="b">
        <f t="shared" si="28"/>
        <v>0</v>
      </c>
      <c r="AD118" s="8" t="b">
        <f t="shared" si="29"/>
        <v>0</v>
      </c>
      <c r="AE118" s="8">
        <f t="shared" si="23"/>
        <v>0</v>
      </c>
    </row>
    <row r="119" spans="1:31" ht="18" customHeight="1">
      <c r="A119" s="65">
        <v>100</v>
      </c>
      <c r="B119" s="43"/>
      <c r="C119" s="47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118" t="str">
        <f t="shared" si="22"/>
        <v/>
      </c>
      <c r="Q119" s="213"/>
      <c r="R119" s="109" t="str">
        <f>IF(A119=B119,Studentwise!AO119,"")</f>
        <v/>
      </c>
      <c r="S119" s="109" t="str">
        <f>IF(A119=B119,Studentwise!AP119,"")</f>
        <v/>
      </c>
      <c r="T119" s="109" t="str">
        <f>IF(A119=B119,Studentwise!AQ119,"")</f>
        <v/>
      </c>
      <c r="U119" s="109" t="str">
        <f>IF(A119=B119,Studentwise!AR119,"")</f>
        <v/>
      </c>
      <c r="V119" s="109" t="str">
        <f>IF(A119=B119,Studentwise!AS119,"")</f>
        <v/>
      </c>
      <c r="W119" s="213"/>
      <c r="X119" s="7"/>
      <c r="Y119" s="8" t="b">
        <f t="shared" si="24"/>
        <v>0</v>
      </c>
      <c r="Z119" s="8" t="b">
        <f t="shared" si="25"/>
        <v>0</v>
      </c>
      <c r="AA119" s="8" t="b">
        <f t="shared" si="26"/>
        <v>0</v>
      </c>
      <c r="AB119" s="8" t="b">
        <f t="shared" si="27"/>
        <v>0</v>
      </c>
      <c r="AC119" s="8" t="b">
        <f t="shared" si="28"/>
        <v>0</v>
      </c>
      <c r="AD119" s="8" t="b">
        <f t="shared" si="29"/>
        <v>0</v>
      </c>
      <c r="AE119" s="8">
        <f t="shared" si="23"/>
        <v>0</v>
      </c>
    </row>
    <row r="120" spans="1:31" ht="18" customHeight="1">
      <c r="A120" s="65">
        <v>101</v>
      </c>
      <c r="B120" s="43"/>
      <c r="C120" s="47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118" t="str">
        <f t="shared" si="22"/>
        <v/>
      </c>
      <c r="Q120" s="213"/>
      <c r="R120" s="109" t="str">
        <f>IF(A120=B120,Studentwise!AO120,"")</f>
        <v/>
      </c>
      <c r="S120" s="109" t="str">
        <f>IF(A120=B120,Studentwise!AP120,"")</f>
        <v/>
      </c>
      <c r="T120" s="109" t="str">
        <f>IF(A120=B120,Studentwise!AQ120,"")</f>
        <v/>
      </c>
      <c r="U120" s="109" t="str">
        <f>IF(A120=B120,Studentwise!AR120,"")</f>
        <v/>
      </c>
      <c r="V120" s="109" t="str">
        <f>IF(A120=B120,Studentwise!AS120,"")</f>
        <v/>
      </c>
      <c r="W120" s="213"/>
      <c r="X120" s="7"/>
      <c r="Y120" s="8" t="b">
        <f t="shared" si="24"/>
        <v>0</v>
      </c>
      <c r="Z120" s="8" t="b">
        <f t="shared" si="25"/>
        <v>0</v>
      </c>
      <c r="AA120" s="8" t="b">
        <f t="shared" si="26"/>
        <v>0</v>
      </c>
      <c r="AB120" s="8" t="b">
        <f t="shared" si="27"/>
        <v>0</v>
      </c>
      <c r="AC120" s="8" t="b">
        <f t="shared" si="28"/>
        <v>0</v>
      </c>
      <c r="AD120" s="8" t="b">
        <f t="shared" si="29"/>
        <v>0</v>
      </c>
      <c r="AE120" s="8">
        <f t="shared" si="23"/>
        <v>0</v>
      </c>
    </row>
    <row r="121" spans="1:31" ht="18" customHeight="1">
      <c r="A121" s="65">
        <v>102</v>
      </c>
      <c r="B121" s="43"/>
      <c r="C121" s="47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118" t="str">
        <f t="shared" si="22"/>
        <v/>
      </c>
      <c r="Q121" s="213"/>
      <c r="R121" s="109" t="str">
        <f>IF(A121=B121,Studentwise!AO121,"")</f>
        <v/>
      </c>
      <c r="S121" s="109" t="str">
        <f>IF(A121=B121,Studentwise!AP121,"")</f>
        <v/>
      </c>
      <c r="T121" s="109" t="str">
        <f>IF(A121=B121,Studentwise!AQ121,"")</f>
        <v/>
      </c>
      <c r="U121" s="109" t="str">
        <f>IF(A121=B121,Studentwise!AR121,"")</f>
        <v/>
      </c>
      <c r="V121" s="109" t="str">
        <f>IF(A121=B121,Studentwise!AS121,"")</f>
        <v/>
      </c>
      <c r="W121" s="213"/>
      <c r="X121" s="7"/>
      <c r="Y121" s="8" t="b">
        <f t="shared" si="24"/>
        <v>0</v>
      </c>
      <c r="Z121" s="8" t="b">
        <f t="shared" si="25"/>
        <v>0</v>
      </c>
      <c r="AA121" s="8" t="b">
        <f t="shared" si="26"/>
        <v>0</v>
      </c>
      <c r="AB121" s="8" t="b">
        <f t="shared" si="27"/>
        <v>0</v>
      </c>
      <c r="AC121" s="8" t="b">
        <f t="shared" si="28"/>
        <v>0</v>
      </c>
      <c r="AD121" s="8" t="b">
        <f t="shared" si="29"/>
        <v>0</v>
      </c>
      <c r="AE121" s="8">
        <f t="shared" si="23"/>
        <v>0</v>
      </c>
    </row>
    <row r="122" spans="1:31" ht="18" customHeight="1">
      <c r="A122" s="65">
        <v>103</v>
      </c>
      <c r="B122" s="43"/>
      <c r="C122" s="41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118" t="str">
        <f t="shared" si="22"/>
        <v/>
      </c>
      <c r="Q122" s="213"/>
      <c r="R122" s="109" t="str">
        <f>IF(A122=B122,Studentwise!AO122,"")</f>
        <v/>
      </c>
      <c r="S122" s="109" t="str">
        <f>IF(A122=B122,Studentwise!AP122,"")</f>
        <v/>
      </c>
      <c r="T122" s="109" t="str">
        <f>IF(A122=B122,Studentwise!AQ122,"")</f>
        <v/>
      </c>
      <c r="U122" s="109" t="str">
        <f>IF(A122=B122,Studentwise!AR122,"")</f>
        <v/>
      </c>
      <c r="V122" s="109" t="str">
        <f>IF(A122=B122,Studentwise!AS122,"")</f>
        <v/>
      </c>
      <c r="W122" s="213"/>
      <c r="X122" s="7"/>
      <c r="Y122" s="8" t="b">
        <f t="shared" si="24"/>
        <v>0</v>
      </c>
      <c r="Z122" s="8" t="b">
        <f t="shared" si="25"/>
        <v>0</v>
      </c>
      <c r="AA122" s="8" t="b">
        <f t="shared" si="26"/>
        <v>0</v>
      </c>
      <c r="AB122" s="8" t="b">
        <f t="shared" si="27"/>
        <v>0</v>
      </c>
      <c r="AC122" s="8" t="b">
        <f t="shared" si="28"/>
        <v>0</v>
      </c>
      <c r="AD122" s="8" t="b">
        <f t="shared" si="29"/>
        <v>0</v>
      </c>
      <c r="AE122" s="8">
        <f t="shared" si="23"/>
        <v>0</v>
      </c>
    </row>
    <row r="123" spans="1:31" ht="18" customHeight="1">
      <c r="A123" s="65">
        <v>104</v>
      </c>
      <c r="B123" s="43"/>
      <c r="C123" s="42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118" t="str">
        <f t="shared" si="22"/>
        <v/>
      </c>
      <c r="Q123" s="213"/>
      <c r="R123" s="109" t="str">
        <f>IF(A123=B123,Studentwise!AO123,"")</f>
        <v/>
      </c>
      <c r="S123" s="109" t="str">
        <f>IF(A123=B123,Studentwise!AP123,"")</f>
        <v/>
      </c>
      <c r="T123" s="109" t="str">
        <f>IF(A123=B123,Studentwise!AQ123,"")</f>
        <v/>
      </c>
      <c r="U123" s="109" t="str">
        <f>IF(A123=B123,Studentwise!AR123,"")</f>
        <v/>
      </c>
      <c r="V123" s="109" t="str">
        <f>IF(A123=B123,Studentwise!AS123,"")</f>
        <v/>
      </c>
      <c r="W123" s="213"/>
      <c r="X123" s="7"/>
      <c r="Y123" s="8" t="b">
        <f t="shared" si="24"/>
        <v>0</v>
      </c>
      <c r="Z123" s="8" t="b">
        <f t="shared" si="25"/>
        <v>0</v>
      </c>
      <c r="AA123" s="8" t="b">
        <f t="shared" si="26"/>
        <v>0</v>
      </c>
      <c r="AB123" s="8" t="b">
        <f t="shared" si="27"/>
        <v>0</v>
      </c>
      <c r="AC123" s="8" t="b">
        <f t="shared" si="28"/>
        <v>0</v>
      </c>
      <c r="AD123" s="8" t="b">
        <f t="shared" si="29"/>
        <v>0</v>
      </c>
      <c r="AE123" s="8">
        <f t="shared" si="23"/>
        <v>0</v>
      </c>
    </row>
    <row r="124" spans="1:31">
      <c r="A124" s="65">
        <v>105</v>
      </c>
      <c r="B124" s="43"/>
      <c r="C124" s="41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118" t="str">
        <f t="shared" si="22"/>
        <v/>
      </c>
      <c r="Q124" s="213"/>
      <c r="R124" s="109" t="str">
        <f>IF(A124=B124,Studentwise!AO124,"")</f>
        <v/>
      </c>
      <c r="S124" s="109" t="str">
        <f>IF(A124=B124,Studentwise!AP124,"")</f>
        <v/>
      </c>
      <c r="T124" s="109" t="str">
        <f>IF(A124=B124,Studentwise!AQ124,"")</f>
        <v/>
      </c>
      <c r="U124" s="109" t="str">
        <f>IF(A124=B124,Studentwise!AR124,"")</f>
        <v/>
      </c>
      <c r="V124" s="109" t="str">
        <f>IF(A124=B124,Studentwise!AS124,"")</f>
        <v/>
      </c>
      <c r="W124" s="213"/>
      <c r="X124" s="7"/>
      <c r="Y124" s="8" t="b">
        <f t="shared" si="24"/>
        <v>0</v>
      </c>
      <c r="Z124" s="8" t="b">
        <f t="shared" si="25"/>
        <v>0</v>
      </c>
      <c r="AA124" s="8" t="b">
        <f t="shared" si="26"/>
        <v>0</v>
      </c>
      <c r="AB124" s="8" t="b">
        <f t="shared" si="27"/>
        <v>0</v>
      </c>
      <c r="AC124" s="8" t="b">
        <f t="shared" si="28"/>
        <v>0</v>
      </c>
      <c r="AD124" s="8" t="b">
        <f t="shared" si="29"/>
        <v>0</v>
      </c>
      <c r="AE124" s="8">
        <f t="shared" si="23"/>
        <v>0</v>
      </c>
    </row>
    <row r="125" spans="1:31" ht="18" customHeight="1">
      <c r="A125" s="65">
        <v>106</v>
      </c>
      <c r="B125" s="43"/>
      <c r="C125" s="47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118" t="str">
        <f t="shared" si="22"/>
        <v/>
      </c>
      <c r="Q125" s="213"/>
      <c r="R125" s="109" t="str">
        <f>IF(A125=B125,Studentwise!AO125,"")</f>
        <v/>
      </c>
      <c r="S125" s="109" t="str">
        <f>IF(A125=B125,Studentwise!AP125,"")</f>
        <v/>
      </c>
      <c r="T125" s="109" t="str">
        <f>IF(A125=B125,Studentwise!AQ125,"")</f>
        <v/>
      </c>
      <c r="U125" s="109" t="str">
        <f>IF(A125=B125,Studentwise!AR125,"")</f>
        <v/>
      </c>
      <c r="V125" s="109" t="str">
        <f>IF(A125=B125,Studentwise!AS125,"")</f>
        <v/>
      </c>
      <c r="W125" s="213"/>
      <c r="X125" s="7"/>
      <c r="Y125" s="8" t="b">
        <f t="shared" si="24"/>
        <v>0</v>
      </c>
      <c r="Z125" s="8" t="b">
        <f t="shared" si="25"/>
        <v>0</v>
      </c>
      <c r="AA125" s="8" t="b">
        <f t="shared" si="26"/>
        <v>0</v>
      </c>
      <c r="AB125" s="8" t="b">
        <f t="shared" si="27"/>
        <v>0</v>
      </c>
      <c r="AC125" s="8" t="b">
        <f t="shared" si="28"/>
        <v>0</v>
      </c>
      <c r="AD125" s="8" t="b">
        <f t="shared" si="29"/>
        <v>0</v>
      </c>
      <c r="AE125" s="8">
        <f t="shared" si="23"/>
        <v>0</v>
      </c>
    </row>
    <row r="126" spans="1:31" ht="18" customHeight="1">
      <c r="A126" s="65">
        <v>107</v>
      </c>
      <c r="B126" s="43"/>
      <c r="C126" s="47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118" t="str">
        <f t="shared" si="22"/>
        <v/>
      </c>
      <c r="Q126" s="213"/>
      <c r="R126" s="109" t="str">
        <f>IF(A126=B126,Studentwise!AO126,"")</f>
        <v/>
      </c>
      <c r="S126" s="109" t="str">
        <f>IF(A126=B126,Studentwise!AP126,"")</f>
        <v/>
      </c>
      <c r="T126" s="109" t="str">
        <f>IF(A126=B126,Studentwise!AQ126,"")</f>
        <v/>
      </c>
      <c r="U126" s="109" t="str">
        <f>IF(A126=B126,Studentwise!AR126,"")</f>
        <v/>
      </c>
      <c r="V126" s="109" t="str">
        <f>IF(A126=B126,Studentwise!AS126,"")</f>
        <v/>
      </c>
      <c r="W126" s="213"/>
      <c r="X126" s="7"/>
      <c r="Y126" s="8" t="b">
        <f t="shared" si="24"/>
        <v>0</v>
      </c>
      <c r="Z126" s="8" t="b">
        <f t="shared" si="25"/>
        <v>0</v>
      </c>
      <c r="AA126" s="8" t="b">
        <f t="shared" si="26"/>
        <v>0</v>
      </c>
      <c r="AB126" s="8" t="b">
        <f t="shared" si="27"/>
        <v>0</v>
      </c>
      <c r="AC126" s="8" t="b">
        <f t="shared" si="28"/>
        <v>0</v>
      </c>
      <c r="AD126" s="8" t="b">
        <f t="shared" si="29"/>
        <v>0</v>
      </c>
      <c r="AE126" s="8">
        <f t="shared" si="23"/>
        <v>0</v>
      </c>
    </row>
    <row r="127" spans="1:31" ht="18" customHeight="1">
      <c r="A127" s="65">
        <v>108</v>
      </c>
      <c r="B127" s="43"/>
      <c r="C127" s="47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118" t="str">
        <f t="shared" si="22"/>
        <v/>
      </c>
      <c r="Q127" s="213"/>
      <c r="R127" s="109" t="str">
        <f>IF(A127=B127,Studentwise!AO127,"")</f>
        <v/>
      </c>
      <c r="S127" s="109" t="str">
        <f>IF(A127=B127,Studentwise!AP127,"")</f>
        <v/>
      </c>
      <c r="T127" s="109" t="str">
        <f>IF(A127=B127,Studentwise!AQ127,"")</f>
        <v/>
      </c>
      <c r="U127" s="109" t="str">
        <f>IF(A127=B127,Studentwise!AR127,"")</f>
        <v/>
      </c>
      <c r="V127" s="109" t="str">
        <f>IF(A127=B127,Studentwise!AS127,"")</f>
        <v/>
      </c>
      <c r="W127" s="213"/>
      <c r="X127" s="7"/>
      <c r="Y127" s="8" t="b">
        <f t="shared" si="24"/>
        <v>0</v>
      </c>
      <c r="Z127" s="8" t="b">
        <f t="shared" si="25"/>
        <v>0</v>
      </c>
      <c r="AA127" s="8" t="b">
        <f t="shared" si="26"/>
        <v>0</v>
      </c>
      <c r="AB127" s="8" t="b">
        <f t="shared" si="27"/>
        <v>0</v>
      </c>
      <c r="AC127" s="8" t="b">
        <f t="shared" si="28"/>
        <v>0</v>
      </c>
      <c r="AD127" s="8" t="b">
        <f t="shared" si="29"/>
        <v>0</v>
      </c>
      <c r="AE127" s="8">
        <f t="shared" si="23"/>
        <v>0</v>
      </c>
    </row>
    <row r="128" spans="1:31" ht="18" customHeight="1">
      <c r="A128" s="65">
        <v>109</v>
      </c>
      <c r="B128" s="43"/>
      <c r="C128" s="47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118" t="str">
        <f t="shared" si="22"/>
        <v/>
      </c>
      <c r="Q128" s="213"/>
      <c r="R128" s="109" t="str">
        <f>IF(A128=B128,Studentwise!AO128,"")</f>
        <v/>
      </c>
      <c r="S128" s="109" t="str">
        <f>IF(A128=B128,Studentwise!AP128,"")</f>
        <v/>
      </c>
      <c r="T128" s="109" t="str">
        <f>IF(A128=B128,Studentwise!AQ128,"")</f>
        <v/>
      </c>
      <c r="U128" s="109" t="str">
        <f>IF(A128=B128,Studentwise!AR128,"")</f>
        <v/>
      </c>
      <c r="V128" s="109" t="str">
        <f>IF(A128=B128,Studentwise!AS128,"")</f>
        <v/>
      </c>
      <c r="W128" s="213"/>
      <c r="X128" s="7"/>
      <c r="Y128" s="8" t="b">
        <f t="shared" si="24"/>
        <v>0</v>
      </c>
      <c r="Z128" s="8" t="b">
        <f t="shared" si="25"/>
        <v>0</v>
      </c>
      <c r="AA128" s="8" t="b">
        <f t="shared" si="26"/>
        <v>0</v>
      </c>
      <c r="AB128" s="8" t="b">
        <f t="shared" si="27"/>
        <v>0</v>
      </c>
      <c r="AC128" s="8" t="b">
        <f t="shared" si="28"/>
        <v>0</v>
      </c>
      <c r="AD128" s="8" t="b">
        <f t="shared" si="29"/>
        <v>0</v>
      </c>
      <c r="AE128" s="8">
        <f t="shared" si="23"/>
        <v>0</v>
      </c>
    </row>
    <row r="129" spans="1:31" ht="18" customHeight="1">
      <c r="A129" s="65">
        <v>110</v>
      </c>
      <c r="B129" s="43"/>
      <c r="C129" s="47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118" t="str">
        <f t="shared" si="22"/>
        <v/>
      </c>
      <c r="Q129" s="213"/>
      <c r="R129" s="109" t="str">
        <f>IF(A129=B129,Studentwise!AO129,"")</f>
        <v/>
      </c>
      <c r="S129" s="109" t="str">
        <f>IF(A129=B129,Studentwise!AP129,"")</f>
        <v/>
      </c>
      <c r="T129" s="109" t="str">
        <f>IF(A129=B129,Studentwise!AQ129,"")</f>
        <v/>
      </c>
      <c r="U129" s="109" t="str">
        <f>IF(A129=B129,Studentwise!AR129,"")</f>
        <v/>
      </c>
      <c r="V129" s="109" t="str">
        <f>IF(A129=B129,Studentwise!AS129,"")</f>
        <v/>
      </c>
      <c r="W129" s="213"/>
      <c r="X129" s="7"/>
      <c r="Y129" s="8" t="b">
        <f t="shared" si="24"/>
        <v>0</v>
      </c>
      <c r="Z129" s="8" t="b">
        <f t="shared" si="25"/>
        <v>0</v>
      </c>
      <c r="AA129" s="8" t="b">
        <f t="shared" si="26"/>
        <v>0</v>
      </c>
      <c r="AB129" s="8" t="b">
        <f t="shared" si="27"/>
        <v>0</v>
      </c>
      <c r="AC129" s="8" t="b">
        <f t="shared" si="28"/>
        <v>0</v>
      </c>
      <c r="AD129" s="8" t="b">
        <f t="shared" si="29"/>
        <v>0</v>
      </c>
      <c r="AE129" s="8">
        <f t="shared" si="23"/>
        <v>0</v>
      </c>
    </row>
    <row r="130" spans="1:31" ht="18" customHeight="1">
      <c r="A130" s="65">
        <v>111</v>
      </c>
      <c r="B130" s="43"/>
      <c r="C130" s="47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118" t="str">
        <f t="shared" si="22"/>
        <v/>
      </c>
      <c r="Q130" s="213"/>
      <c r="R130" s="109" t="str">
        <f>IF(A130=B130,Studentwise!AO130,"")</f>
        <v/>
      </c>
      <c r="S130" s="109" t="str">
        <f>IF(A130=B130,Studentwise!AP130,"")</f>
        <v/>
      </c>
      <c r="T130" s="109" t="str">
        <f>IF(A130=B130,Studentwise!AQ130,"")</f>
        <v/>
      </c>
      <c r="U130" s="109" t="str">
        <f>IF(A130=B130,Studentwise!AR130,"")</f>
        <v/>
      </c>
      <c r="V130" s="109" t="str">
        <f>IF(A130=B130,Studentwise!AS130,"")</f>
        <v/>
      </c>
      <c r="W130" s="213"/>
      <c r="X130" s="7"/>
      <c r="Y130" s="8" t="b">
        <f t="shared" si="24"/>
        <v>0</v>
      </c>
      <c r="Z130" s="8" t="b">
        <f t="shared" si="25"/>
        <v>0</v>
      </c>
      <c r="AA130" s="8" t="b">
        <f t="shared" si="26"/>
        <v>0</v>
      </c>
      <c r="AB130" s="8" t="b">
        <f t="shared" si="27"/>
        <v>0</v>
      </c>
      <c r="AC130" s="8" t="b">
        <f t="shared" si="28"/>
        <v>0</v>
      </c>
      <c r="AD130" s="8" t="b">
        <f t="shared" si="29"/>
        <v>0</v>
      </c>
      <c r="AE130" s="8">
        <f t="shared" si="23"/>
        <v>0</v>
      </c>
    </row>
    <row r="131" spans="1:31" ht="18" customHeight="1">
      <c r="A131" s="65">
        <v>112</v>
      </c>
      <c r="B131" s="43"/>
      <c r="C131" s="47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118" t="str">
        <f t="shared" si="22"/>
        <v/>
      </c>
      <c r="Q131" s="213"/>
      <c r="R131" s="109" t="str">
        <f>IF(A131=B131,Studentwise!AO131,"")</f>
        <v/>
      </c>
      <c r="S131" s="109" t="str">
        <f>IF(A131=B131,Studentwise!AP131,"")</f>
        <v/>
      </c>
      <c r="T131" s="109" t="str">
        <f>IF(A131=B131,Studentwise!AQ131,"")</f>
        <v/>
      </c>
      <c r="U131" s="109" t="str">
        <f>IF(A131=B131,Studentwise!AR131,"")</f>
        <v/>
      </c>
      <c r="V131" s="109" t="str">
        <f>IF(A131=B131,Studentwise!AS131,"")</f>
        <v/>
      </c>
      <c r="W131" s="213"/>
      <c r="X131" s="7"/>
      <c r="Y131" s="8" t="b">
        <f t="shared" si="24"/>
        <v>0</v>
      </c>
      <c r="Z131" s="8" t="b">
        <f t="shared" si="25"/>
        <v>0</v>
      </c>
      <c r="AA131" s="8" t="b">
        <f t="shared" si="26"/>
        <v>0</v>
      </c>
      <c r="AB131" s="8" t="b">
        <f t="shared" si="27"/>
        <v>0</v>
      </c>
      <c r="AC131" s="8" t="b">
        <f t="shared" si="28"/>
        <v>0</v>
      </c>
      <c r="AD131" s="8" t="b">
        <f t="shared" si="29"/>
        <v>0</v>
      </c>
      <c r="AE131" s="8">
        <f t="shared" si="23"/>
        <v>0</v>
      </c>
    </row>
    <row r="132" spans="1:31" ht="18" customHeight="1">
      <c r="A132" s="65">
        <v>113</v>
      </c>
      <c r="B132" s="43"/>
      <c r="C132" s="47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118" t="str">
        <f>IF(A132&lt;=$K$211,SUM(D132:O132),"")</f>
        <v/>
      </c>
      <c r="Q132" s="213"/>
      <c r="R132" s="109" t="str">
        <f>IF(A132=B132,Studentwise!AO132,"")</f>
        <v/>
      </c>
      <c r="S132" s="109" t="str">
        <f>IF(A132=B132,Studentwise!AP132,"")</f>
        <v/>
      </c>
      <c r="T132" s="109" t="str">
        <f>IF(A132=B132,Studentwise!AQ132,"")</f>
        <v/>
      </c>
      <c r="U132" s="109" t="str">
        <f>IF(A132=B132,Studentwise!AR132,"")</f>
        <v/>
      </c>
      <c r="V132" s="109" t="str">
        <f>IF(A132=B132,Studentwise!AS132,"")</f>
        <v/>
      </c>
      <c r="W132" s="213"/>
      <c r="X132" s="7"/>
      <c r="Y132" s="8" t="b">
        <f t="shared" si="24"/>
        <v>0</v>
      </c>
      <c r="Z132" s="8" t="b">
        <f t="shared" si="25"/>
        <v>0</v>
      </c>
      <c r="AA132" s="8" t="b">
        <f t="shared" si="26"/>
        <v>0</v>
      </c>
      <c r="AB132" s="8" t="b">
        <f t="shared" si="27"/>
        <v>0</v>
      </c>
      <c r="AC132" s="8" t="b">
        <f t="shared" si="28"/>
        <v>0</v>
      </c>
      <c r="AD132" s="8" t="b">
        <f t="shared" si="29"/>
        <v>0</v>
      </c>
      <c r="AE132" s="8">
        <f t="shared" si="23"/>
        <v>0</v>
      </c>
    </row>
    <row r="133" spans="1:31" ht="18" customHeight="1">
      <c r="A133" s="65">
        <v>114</v>
      </c>
      <c r="B133" s="43"/>
      <c r="C133" s="47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118" t="str">
        <f t="shared" si="22"/>
        <v/>
      </c>
      <c r="Q133" s="213"/>
      <c r="R133" s="109" t="str">
        <f>IF(A133=B133,Studentwise!AO133,"")</f>
        <v/>
      </c>
      <c r="S133" s="109" t="str">
        <f>IF(A133=B133,Studentwise!AP133,"")</f>
        <v/>
      </c>
      <c r="T133" s="109" t="str">
        <f>IF(A133=B133,Studentwise!AQ133,"")</f>
        <v/>
      </c>
      <c r="U133" s="109" t="str">
        <f>IF(A133=B133,Studentwise!AR133,"")</f>
        <v/>
      </c>
      <c r="V133" s="109" t="str">
        <f>IF(A133=B133,Studentwise!AS133,"")</f>
        <v/>
      </c>
      <c r="W133" s="213"/>
      <c r="X133" s="7"/>
      <c r="Y133" s="8" t="b">
        <f t="shared" si="24"/>
        <v>0</v>
      </c>
      <c r="Z133" s="8" t="b">
        <f t="shared" si="25"/>
        <v>0</v>
      </c>
      <c r="AA133" s="8" t="b">
        <f t="shared" si="26"/>
        <v>0</v>
      </c>
      <c r="AB133" s="8" t="b">
        <f t="shared" si="27"/>
        <v>0</v>
      </c>
      <c r="AC133" s="8" t="b">
        <f t="shared" si="28"/>
        <v>0</v>
      </c>
      <c r="AD133" s="8" t="b">
        <f t="shared" si="29"/>
        <v>0</v>
      </c>
      <c r="AE133" s="8">
        <f t="shared" si="23"/>
        <v>0</v>
      </c>
    </row>
    <row r="134" spans="1:31" ht="18" customHeight="1">
      <c r="A134" s="65">
        <v>115</v>
      </c>
      <c r="B134" s="43"/>
      <c r="C134" s="47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118" t="str">
        <f t="shared" si="22"/>
        <v/>
      </c>
      <c r="Q134" s="213"/>
      <c r="R134" s="109" t="str">
        <f>IF(A134=B134,Studentwise!AO134,"")</f>
        <v/>
      </c>
      <c r="S134" s="109" t="str">
        <f>IF(A134=B134,Studentwise!AP134,"")</f>
        <v/>
      </c>
      <c r="T134" s="109" t="str">
        <f>IF(A134=B134,Studentwise!AQ134,"")</f>
        <v/>
      </c>
      <c r="U134" s="109" t="str">
        <f>IF(A134=B134,Studentwise!AR134,"")</f>
        <v/>
      </c>
      <c r="V134" s="109" t="str">
        <f>IF(A134=B134,Studentwise!AS134,"")</f>
        <v/>
      </c>
      <c r="W134" s="213"/>
      <c r="X134" s="7"/>
      <c r="Y134" s="8" t="b">
        <f t="shared" si="24"/>
        <v>0</v>
      </c>
      <c r="Z134" s="8" t="b">
        <f t="shared" si="25"/>
        <v>0</v>
      </c>
      <c r="AA134" s="8" t="b">
        <f t="shared" si="26"/>
        <v>0</v>
      </c>
      <c r="AB134" s="8" t="b">
        <f t="shared" si="27"/>
        <v>0</v>
      </c>
      <c r="AC134" s="8" t="b">
        <f t="shared" si="28"/>
        <v>0</v>
      </c>
      <c r="AD134" s="8" t="b">
        <f t="shared" si="29"/>
        <v>0</v>
      </c>
      <c r="AE134" s="8">
        <f t="shared" si="23"/>
        <v>0</v>
      </c>
    </row>
    <row r="135" spans="1:31" ht="18" customHeight="1">
      <c r="A135" s="65">
        <v>116</v>
      </c>
      <c r="B135" s="43"/>
      <c r="C135" s="47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118" t="str">
        <f t="shared" si="22"/>
        <v/>
      </c>
      <c r="Q135" s="213"/>
      <c r="R135" s="109" t="str">
        <f>IF(A135=B135,Studentwise!AO135,"")</f>
        <v/>
      </c>
      <c r="S135" s="109" t="str">
        <f>IF(A135=B135,Studentwise!AP135,"")</f>
        <v/>
      </c>
      <c r="T135" s="109" t="str">
        <f>IF(A135=B135,Studentwise!AQ135,"")</f>
        <v/>
      </c>
      <c r="U135" s="109" t="str">
        <f>IF(A135=B135,Studentwise!AR135,"")</f>
        <v/>
      </c>
      <c r="V135" s="109" t="str">
        <f>IF(A135=B135,Studentwise!AS135,"")</f>
        <v/>
      </c>
      <c r="W135" s="213"/>
      <c r="X135" s="7"/>
      <c r="Y135" s="8" t="b">
        <f t="shared" si="24"/>
        <v>0</v>
      </c>
      <c r="Z135" s="8" t="b">
        <f t="shared" si="25"/>
        <v>0</v>
      </c>
      <c r="AA135" s="8" t="b">
        <f t="shared" si="26"/>
        <v>0</v>
      </c>
      <c r="AB135" s="8" t="b">
        <f t="shared" si="27"/>
        <v>0</v>
      </c>
      <c r="AC135" s="8" t="b">
        <f t="shared" si="28"/>
        <v>0</v>
      </c>
      <c r="AD135" s="8" t="b">
        <f t="shared" si="29"/>
        <v>0</v>
      </c>
      <c r="AE135" s="8">
        <f t="shared" si="23"/>
        <v>0</v>
      </c>
    </row>
    <row r="136" spans="1:31" ht="18" customHeight="1">
      <c r="A136" s="65">
        <v>117</v>
      </c>
      <c r="B136" s="43"/>
      <c r="C136" s="47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118" t="str">
        <f t="shared" si="22"/>
        <v/>
      </c>
      <c r="Q136" s="213"/>
      <c r="R136" s="109" t="str">
        <f>IF(A136=B136,Studentwise!AO136,"")</f>
        <v/>
      </c>
      <c r="S136" s="109" t="str">
        <f>IF(A136=B136,Studentwise!AP136,"")</f>
        <v/>
      </c>
      <c r="T136" s="109" t="str">
        <f>IF(A136=B136,Studentwise!AQ136,"")</f>
        <v/>
      </c>
      <c r="U136" s="109" t="str">
        <f>IF(A136=B136,Studentwise!AR136,"")</f>
        <v/>
      </c>
      <c r="V136" s="109" t="str">
        <f>IF(A136=B136,Studentwise!AS136,"")</f>
        <v/>
      </c>
      <c r="W136" s="213"/>
      <c r="X136" s="7"/>
      <c r="Y136" s="8" t="b">
        <f t="shared" si="24"/>
        <v>0</v>
      </c>
      <c r="Z136" s="8" t="b">
        <f t="shared" si="25"/>
        <v>0</v>
      </c>
      <c r="AA136" s="8" t="b">
        <f t="shared" si="26"/>
        <v>0</v>
      </c>
      <c r="AB136" s="8" t="b">
        <f t="shared" si="27"/>
        <v>0</v>
      </c>
      <c r="AC136" s="8" t="b">
        <f t="shared" si="28"/>
        <v>0</v>
      </c>
      <c r="AD136" s="8" t="b">
        <f t="shared" si="29"/>
        <v>0</v>
      </c>
      <c r="AE136" s="8">
        <f t="shared" si="23"/>
        <v>0</v>
      </c>
    </row>
    <row r="137" spans="1:31" ht="18" customHeight="1">
      <c r="A137" s="65">
        <v>118</v>
      </c>
      <c r="B137" s="43"/>
      <c r="C137" s="41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118" t="str">
        <f t="shared" si="22"/>
        <v/>
      </c>
      <c r="Q137" s="213"/>
      <c r="R137" s="109" t="str">
        <f>IF(A137=B137,Studentwise!AO137,"")</f>
        <v/>
      </c>
      <c r="S137" s="109" t="str">
        <f>IF(A137=B137,Studentwise!AP137,"")</f>
        <v/>
      </c>
      <c r="T137" s="109" t="str">
        <f>IF(A137=B137,Studentwise!AQ137,"")</f>
        <v/>
      </c>
      <c r="U137" s="109" t="str">
        <f>IF(A137=B137,Studentwise!AR137,"")</f>
        <v/>
      </c>
      <c r="V137" s="109" t="str">
        <f>IF(A137=B137,Studentwise!AS137,"")</f>
        <v/>
      </c>
      <c r="W137" s="213"/>
      <c r="X137" s="7"/>
      <c r="Y137" s="8" t="b">
        <f t="shared" si="24"/>
        <v>0</v>
      </c>
      <c r="Z137" s="8" t="b">
        <f t="shared" si="25"/>
        <v>0</v>
      </c>
      <c r="AA137" s="8" t="b">
        <f t="shared" si="26"/>
        <v>0</v>
      </c>
      <c r="AB137" s="8" t="b">
        <f t="shared" si="27"/>
        <v>0</v>
      </c>
      <c r="AC137" s="8" t="b">
        <f t="shared" si="28"/>
        <v>0</v>
      </c>
      <c r="AD137" s="8" t="b">
        <f t="shared" si="29"/>
        <v>0</v>
      </c>
      <c r="AE137" s="8">
        <f t="shared" si="23"/>
        <v>0</v>
      </c>
    </row>
    <row r="138" spans="1:31" ht="18" customHeight="1">
      <c r="A138" s="65">
        <v>119</v>
      </c>
      <c r="B138" s="43"/>
      <c r="C138" s="42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118" t="str">
        <f t="shared" si="22"/>
        <v/>
      </c>
      <c r="Q138" s="213"/>
      <c r="R138" s="109" t="str">
        <f>IF(A138=B138,Studentwise!AO138,"")</f>
        <v/>
      </c>
      <c r="S138" s="109" t="str">
        <f>IF(A138=B138,Studentwise!AP138,"")</f>
        <v/>
      </c>
      <c r="T138" s="109" t="str">
        <f>IF(A138=B138,Studentwise!AQ138,"")</f>
        <v/>
      </c>
      <c r="U138" s="109" t="str">
        <f>IF(A138=B138,Studentwise!AR138,"")</f>
        <v/>
      </c>
      <c r="V138" s="109" t="str">
        <f>IF(A138=B138,Studentwise!AS138,"")</f>
        <v/>
      </c>
      <c r="W138" s="213"/>
      <c r="X138" s="7"/>
      <c r="Y138" s="8" t="b">
        <f t="shared" si="24"/>
        <v>0</v>
      </c>
      <c r="Z138" s="8" t="b">
        <f t="shared" si="25"/>
        <v>0</v>
      </c>
      <c r="AA138" s="8" t="b">
        <f t="shared" si="26"/>
        <v>0</v>
      </c>
      <c r="AB138" s="8" t="b">
        <f t="shared" si="27"/>
        <v>0</v>
      </c>
      <c r="AC138" s="8" t="b">
        <f t="shared" si="28"/>
        <v>0</v>
      </c>
      <c r="AD138" s="8" t="b">
        <f t="shared" si="29"/>
        <v>0</v>
      </c>
      <c r="AE138" s="8">
        <f t="shared" si="23"/>
        <v>0</v>
      </c>
    </row>
    <row r="139" spans="1:31">
      <c r="A139" s="65">
        <v>120</v>
      </c>
      <c r="B139" s="43"/>
      <c r="C139" s="41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118" t="str">
        <f t="shared" si="22"/>
        <v/>
      </c>
      <c r="Q139" s="213"/>
      <c r="R139" s="109" t="str">
        <f>IF(A139=B139,Studentwise!AO139,"")</f>
        <v/>
      </c>
      <c r="S139" s="109" t="str">
        <f>IF(A139=B139,Studentwise!AP139,"")</f>
        <v/>
      </c>
      <c r="T139" s="109" t="str">
        <f>IF(A139=B139,Studentwise!AQ139,"")</f>
        <v/>
      </c>
      <c r="U139" s="109" t="str">
        <f>IF(A139=B139,Studentwise!AR139,"")</f>
        <v/>
      </c>
      <c r="V139" s="109" t="str">
        <f>IF(A139=B139,Studentwise!AS139,"")</f>
        <v/>
      </c>
      <c r="W139" s="213"/>
      <c r="X139" s="7"/>
      <c r="Y139" s="8" t="b">
        <f t="shared" si="24"/>
        <v>0</v>
      </c>
      <c r="Z139" s="8" t="b">
        <f t="shared" si="25"/>
        <v>0</v>
      </c>
      <c r="AA139" s="8" t="b">
        <f t="shared" si="26"/>
        <v>0</v>
      </c>
      <c r="AB139" s="8" t="b">
        <f t="shared" si="27"/>
        <v>0</v>
      </c>
      <c r="AC139" s="8" t="b">
        <f t="shared" si="28"/>
        <v>0</v>
      </c>
      <c r="AD139" s="8" t="b">
        <f t="shared" si="29"/>
        <v>0</v>
      </c>
      <c r="AE139" s="8">
        <f t="shared" si="23"/>
        <v>0</v>
      </c>
    </row>
    <row r="140" spans="1:31" ht="18" customHeight="1">
      <c r="A140" s="65">
        <v>121</v>
      </c>
      <c r="B140" s="43"/>
      <c r="C140" s="47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118" t="str">
        <f t="shared" si="22"/>
        <v/>
      </c>
      <c r="Q140" s="213"/>
      <c r="R140" s="109" t="str">
        <f>IF(A140=B140,Studentwise!AO140,"")</f>
        <v/>
      </c>
      <c r="S140" s="109" t="str">
        <f>IF(A140=B140,Studentwise!AP140,"")</f>
        <v/>
      </c>
      <c r="T140" s="109" t="str">
        <f>IF(A140=B140,Studentwise!AQ140,"")</f>
        <v/>
      </c>
      <c r="U140" s="109" t="str">
        <f>IF(A140=B140,Studentwise!AR140,"")</f>
        <v/>
      </c>
      <c r="V140" s="109" t="str">
        <f>IF(A140=B140,Studentwise!AS140,"")</f>
        <v/>
      </c>
      <c r="W140" s="213"/>
      <c r="X140" s="7"/>
      <c r="Y140" s="8" t="b">
        <f t="shared" si="24"/>
        <v>0</v>
      </c>
      <c r="Z140" s="8" t="b">
        <f t="shared" si="25"/>
        <v>0</v>
      </c>
      <c r="AA140" s="8" t="b">
        <f t="shared" si="26"/>
        <v>0</v>
      </c>
      <c r="AB140" s="8" t="b">
        <f t="shared" si="27"/>
        <v>0</v>
      </c>
      <c r="AC140" s="8" t="b">
        <f t="shared" si="28"/>
        <v>0</v>
      </c>
      <c r="AD140" s="8" t="b">
        <f t="shared" si="29"/>
        <v>0</v>
      </c>
      <c r="AE140" s="8">
        <f t="shared" si="23"/>
        <v>0</v>
      </c>
    </row>
    <row r="141" spans="1:31" ht="18" customHeight="1">
      <c r="A141" s="65">
        <v>122</v>
      </c>
      <c r="B141" s="43"/>
      <c r="C141" s="47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118" t="str">
        <f t="shared" si="22"/>
        <v/>
      </c>
      <c r="Q141" s="213"/>
      <c r="R141" s="109" t="str">
        <f>IF(A141=B141,Studentwise!AO170,"")</f>
        <v/>
      </c>
      <c r="S141" s="109" t="str">
        <f>IF(A141=B141,Studentwise!AP170,"")</f>
        <v/>
      </c>
      <c r="T141" s="109" t="str">
        <f>IF(A141=B141,Studentwise!AQ170,"")</f>
        <v/>
      </c>
      <c r="U141" s="109" t="str">
        <f>IF(A141=B141,Studentwise!AR170,"")</f>
        <v/>
      </c>
      <c r="V141" s="109" t="str">
        <f>IF(A141=B141,Studentwise!AS170,"")</f>
        <v/>
      </c>
      <c r="W141" s="213"/>
      <c r="X141" s="7"/>
      <c r="Y141" s="8" t="b">
        <f t="shared" si="24"/>
        <v>0</v>
      </c>
      <c r="Z141" s="8" t="b">
        <f t="shared" si="25"/>
        <v>0</v>
      </c>
      <c r="AA141" s="8" t="b">
        <f t="shared" si="26"/>
        <v>0</v>
      </c>
      <c r="AB141" s="8" t="b">
        <f t="shared" si="27"/>
        <v>0</v>
      </c>
      <c r="AC141" s="8" t="b">
        <f t="shared" si="28"/>
        <v>0</v>
      </c>
      <c r="AD141" s="8" t="b">
        <f t="shared" si="29"/>
        <v>0</v>
      </c>
      <c r="AE141" s="8">
        <f t="shared" si="23"/>
        <v>0</v>
      </c>
    </row>
    <row r="142" spans="1:31" ht="18" customHeight="1">
      <c r="A142" s="65">
        <v>123</v>
      </c>
      <c r="B142" s="43"/>
      <c r="C142" s="47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118" t="str">
        <f t="shared" si="22"/>
        <v/>
      </c>
      <c r="Q142" s="213"/>
      <c r="R142" s="109" t="str">
        <f>IF(A142=B142,Studentwise!AO171,"")</f>
        <v/>
      </c>
      <c r="S142" s="109" t="str">
        <f>IF(A142=B142,Studentwise!AP171,"")</f>
        <v/>
      </c>
      <c r="T142" s="109" t="str">
        <f>IF(A142=B142,Studentwise!AQ171,"")</f>
        <v/>
      </c>
      <c r="U142" s="109" t="str">
        <f>IF(A142=B142,Studentwise!AR171,"")</f>
        <v/>
      </c>
      <c r="V142" s="109" t="str">
        <f>IF(A142=B142,Studentwise!AS171,"")</f>
        <v/>
      </c>
      <c r="W142" s="213"/>
      <c r="X142" s="7"/>
      <c r="Y142" s="8" t="b">
        <f t="shared" si="24"/>
        <v>0</v>
      </c>
      <c r="Z142" s="8" t="b">
        <f t="shared" si="25"/>
        <v>0</v>
      </c>
      <c r="AA142" s="8" t="b">
        <f t="shared" si="26"/>
        <v>0</v>
      </c>
      <c r="AB142" s="8" t="b">
        <f t="shared" si="27"/>
        <v>0</v>
      </c>
      <c r="AC142" s="8" t="b">
        <f t="shared" si="28"/>
        <v>0</v>
      </c>
      <c r="AD142" s="8" t="b">
        <f t="shared" si="29"/>
        <v>0</v>
      </c>
      <c r="AE142" s="8">
        <f t="shared" si="23"/>
        <v>0</v>
      </c>
    </row>
    <row r="143" spans="1:31" ht="18" customHeight="1">
      <c r="A143" s="65">
        <v>124</v>
      </c>
      <c r="B143" s="43"/>
      <c r="C143" s="47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118" t="str">
        <f t="shared" si="22"/>
        <v/>
      </c>
      <c r="Q143" s="213"/>
      <c r="R143" s="109" t="str">
        <f>IF(A143=B143,Studentwise!AO172,"")</f>
        <v/>
      </c>
      <c r="S143" s="109" t="str">
        <f>IF(A143=B143,Studentwise!AP172,"")</f>
        <v/>
      </c>
      <c r="T143" s="109" t="str">
        <f>IF(A143=B143,Studentwise!AQ172,"")</f>
        <v/>
      </c>
      <c r="U143" s="109" t="str">
        <f>IF(A143=B143,Studentwise!AR172,"")</f>
        <v/>
      </c>
      <c r="V143" s="109" t="str">
        <f>IF(A143=B143,Studentwise!AS172,"")</f>
        <v/>
      </c>
      <c r="W143" s="213"/>
      <c r="X143" s="7"/>
      <c r="Y143" s="8" t="b">
        <f t="shared" si="24"/>
        <v>0</v>
      </c>
      <c r="Z143" s="8" t="b">
        <f t="shared" si="25"/>
        <v>0</v>
      </c>
      <c r="AA143" s="8" t="b">
        <f t="shared" si="26"/>
        <v>0</v>
      </c>
      <c r="AB143" s="8" t="b">
        <f t="shared" si="27"/>
        <v>0</v>
      </c>
      <c r="AC143" s="8" t="b">
        <f t="shared" si="28"/>
        <v>0</v>
      </c>
      <c r="AD143" s="8" t="b">
        <f t="shared" si="29"/>
        <v>0</v>
      </c>
      <c r="AE143" s="8">
        <f t="shared" si="23"/>
        <v>0</v>
      </c>
    </row>
    <row r="144" spans="1:31" ht="18" customHeight="1">
      <c r="A144" s="65">
        <v>125</v>
      </c>
      <c r="B144" s="43"/>
      <c r="C144" s="47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118" t="str">
        <f t="shared" si="22"/>
        <v/>
      </c>
      <c r="Q144" s="213"/>
      <c r="R144" s="109" t="str">
        <f>IF(A144=B144,Studentwise!AO173,"")</f>
        <v/>
      </c>
      <c r="S144" s="109" t="str">
        <f>IF(A144=B144,Studentwise!AP173,"")</f>
        <v/>
      </c>
      <c r="T144" s="109" t="str">
        <f>IF(A144=B144,Studentwise!AQ173,"")</f>
        <v/>
      </c>
      <c r="U144" s="109" t="str">
        <f>IF(A144=B144,Studentwise!AR173,"")</f>
        <v/>
      </c>
      <c r="V144" s="109" t="str">
        <f>IF(A144=B144,Studentwise!AS173,"")</f>
        <v/>
      </c>
      <c r="W144" s="213"/>
      <c r="X144" s="7"/>
      <c r="Y144" s="8" t="b">
        <f t="shared" si="24"/>
        <v>0</v>
      </c>
      <c r="Z144" s="8" t="b">
        <f t="shared" si="25"/>
        <v>0</v>
      </c>
      <c r="AA144" s="8" t="b">
        <f t="shared" si="26"/>
        <v>0</v>
      </c>
      <c r="AB144" s="8" t="b">
        <f t="shared" si="27"/>
        <v>0</v>
      </c>
      <c r="AC144" s="8" t="b">
        <f t="shared" si="28"/>
        <v>0</v>
      </c>
      <c r="AD144" s="8" t="b">
        <f t="shared" si="29"/>
        <v>0</v>
      </c>
      <c r="AE144" s="8">
        <f t="shared" si="23"/>
        <v>0</v>
      </c>
    </row>
    <row r="145" spans="1:31" ht="18" customHeight="1">
      <c r="A145" s="65">
        <v>126</v>
      </c>
      <c r="B145" s="43"/>
      <c r="C145" s="47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118" t="str">
        <f t="shared" si="22"/>
        <v/>
      </c>
      <c r="Q145" s="213"/>
      <c r="R145" s="109" t="str">
        <f>IF(A145=B145,Studentwise!AO174,"")</f>
        <v/>
      </c>
      <c r="S145" s="109" t="str">
        <f>IF(A145=B145,Studentwise!AP174,"")</f>
        <v/>
      </c>
      <c r="T145" s="109" t="str">
        <f>IF(A145=B145,Studentwise!AQ174,"")</f>
        <v/>
      </c>
      <c r="U145" s="109" t="str">
        <f>IF(A145=B145,Studentwise!AR174,"")</f>
        <v/>
      </c>
      <c r="V145" s="109" t="str">
        <f>IF(A145=B145,Studentwise!AS174,"")</f>
        <v/>
      </c>
      <c r="W145" s="213"/>
      <c r="X145" s="7"/>
      <c r="Y145" s="8" t="b">
        <f t="shared" si="24"/>
        <v>0</v>
      </c>
      <c r="Z145" s="8" t="b">
        <f t="shared" si="25"/>
        <v>0</v>
      </c>
      <c r="AA145" s="8" t="b">
        <f t="shared" si="26"/>
        <v>0</v>
      </c>
      <c r="AB145" s="8" t="b">
        <f t="shared" si="27"/>
        <v>0</v>
      </c>
      <c r="AC145" s="8" t="b">
        <f t="shared" si="28"/>
        <v>0</v>
      </c>
      <c r="AD145" s="8" t="b">
        <f t="shared" si="29"/>
        <v>0</v>
      </c>
      <c r="AE145" s="8">
        <f t="shared" si="23"/>
        <v>0</v>
      </c>
    </row>
    <row r="146" spans="1:31" ht="18" customHeight="1">
      <c r="A146" s="65">
        <v>127</v>
      </c>
      <c r="B146" s="43"/>
      <c r="C146" s="47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118" t="str">
        <f t="shared" si="22"/>
        <v/>
      </c>
      <c r="Q146" s="213"/>
      <c r="R146" s="109" t="str">
        <f>IF(A146=B146,Studentwise!AO146,"")</f>
        <v/>
      </c>
      <c r="S146" s="109" t="str">
        <f>IF(A146=B146,Studentwise!AP146,"")</f>
        <v/>
      </c>
      <c r="T146" s="109" t="str">
        <f>IF(A146=B146,Studentwise!AQ146,"")</f>
        <v/>
      </c>
      <c r="U146" s="109" t="str">
        <f>IF(A146=B146,Studentwise!AR146,"")</f>
        <v/>
      </c>
      <c r="V146" s="109" t="str">
        <f>IF(A146=B146,Studentwise!AS146,"")</f>
        <v/>
      </c>
      <c r="W146" s="213"/>
      <c r="X146" s="7"/>
      <c r="Y146" s="8" t="b">
        <f t="shared" si="24"/>
        <v>0</v>
      </c>
      <c r="Z146" s="8" t="b">
        <f t="shared" si="25"/>
        <v>0</v>
      </c>
      <c r="AA146" s="8" t="b">
        <f t="shared" si="26"/>
        <v>0</v>
      </c>
      <c r="AB146" s="8" t="b">
        <f t="shared" si="27"/>
        <v>0</v>
      </c>
      <c r="AC146" s="8" t="b">
        <f t="shared" si="28"/>
        <v>0</v>
      </c>
      <c r="AD146" s="8" t="b">
        <f t="shared" si="29"/>
        <v>0</v>
      </c>
      <c r="AE146" s="8">
        <f t="shared" si="23"/>
        <v>0</v>
      </c>
    </row>
    <row r="147" spans="1:31" ht="18" customHeight="1">
      <c r="A147" s="65">
        <v>128</v>
      </c>
      <c r="B147" s="43"/>
      <c r="C147" s="47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118" t="str">
        <f t="shared" si="22"/>
        <v/>
      </c>
      <c r="Q147" s="213"/>
      <c r="R147" s="109" t="str">
        <f>IF(A147=B147,Studentwise!AO147,"")</f>
        <v/>
      </c>
      <c r="S147" s="109" t="str">
        <f>IF(A147=B147,Studentwise!AP147,"")</f>
        <v/>
      </c>
      <c r="T147" s="109" t="str">
        <f>IF(A147=B147,Studentwise!AQ147,"")</f>
        <v/>
      </c>
      <c r="U147" s="109" t="str">
        <f>IF(A147=B147,Studentwise!AR147,"")</f>
        <v/>
      </c>
      <c r="V147" s="109" t="str">
        <f>IF(A147=B147,Studentwise!AS147,"")</f>
        <v/>
      </c>
      <c r="W147" s="213"/>
      <c r="X147" s="7"/>
      <c r="Y147" s="8" t="b">
        <f t="shared" si="24"/>
        <v>0</v>
      </c>
      <c r="Z147" s="8" t="b">
        <f t="shared" si="25"/>
        <v>0</v>
      </c>
      <c r="AA147" s="8" t="b">
        <f t="shared" si="26"/>
        <v>0</v>
      </c>
      <c r="AB147" s="8" t="b">
        <f t="shared" si="27"/>
        <v>0</v>
      </c>
      <c r="AC147" s="8" t="b">
        <f t="shared" si="28"/>
        <v>0</v>
      </c>
      <c r="AD147" s="8" t="b">
        <f t="shared" si="29"/>
        <v>0</v>
      </c>
      <c r="AE147" s="8">
        <f t="shared" si="23"/>
        <v>0</v>
      </c>
    </row>
    <row r="148" spans="1:31" ht="18" customHeight="1">
      <c r="A148" s="65">
        <v>129</v>
      </c>
      <c r="B148" s="43"/>
      <c r="C148" s="47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118" t="str">
        <f t="shared" si="22"/>
        <v/>
      </c>
      <c r="Q148" s="213"/>
      <c r="R148" s="109" t="str">
        <f>IF(A148=B148,Studentwise!AO148,"")</f>
        <v/>
      </c>
      <c r="S148" s="109" t="str">
        <f>IF(A148=B148,Studentwise!AP148,"")</f>
        <v/>
      </c>
      <c r="T148" s="109" t="str">
        <f>IF(A148=B148,Studentwise!AQ148,"")</f>
        <v/>
      </c>
      <c r="U148" s="109" t="str">
        <f>IF(A148=B148,Studentwise!AR148,"")</f>
        <v/>
      </c>
      <c r="V148" s="109" t="str">
        <f>IF(A148=B148,Studentwise!AS148,"")</f>
        <v/>
      </c>
      <c r="W148" s="213"/>
      <c r="X148" s="7"/>
      <c r="Y148" s="8" t="b">
        <f t="shared" ref="Y148:Y165" si="30">ISTEXT(J148)</f>
        <v>0</v>
      </c>
      <c r="Z148" s="8" t="b">
        <f t="shared" ref="Z148:Z165" si="31">ISTEXT(K148)</f>
        <v>0</v>
      </c>
      <c r="AA148" s="8" t="b">
        <f t="shared" ref="AA148:AA165" si="32">ISTEXT(L148)</f>
        <v>0</v>
      </c>
      <c r="AB148" s="8" t="b">
        <f t="shared" ref="AB148:AB165" si="33">ISTEXT(M148)</f>
        <v>0</v>
      </c>
      <c r="AC148" s="8" t="b">
        <f t="shared" ref="AC148:AC165" si="34">ISTEXT(N148)</f>
        <v>0</v>
      </c>
      <c r="AD148" s="8" t="b">
        <f t="shared" ref="AD148:AD165" si="35">ISTEXT(O148)</f>
        <v>0</v>
      </c>
      <c r="AE148" s="8">
        <f t="shared" si="23"/>
        <v>0</v>
      </c>
    </row>
    <row r="149" spans="1:31" ht="18" customHeight="1">
      <c r="A149" s="65">
        <v>130</v>
      </c>
      <c r="B149" s="43"/>
      <c r="C149" s="47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118" t="str">
        <f t="shared" ref="P149:P169" si="36">IF(A149&lt;=$K$211,SUM(D149:O149),"")</f>
        <v/>
      </c>
      <c r="Q149" s="213"/>
      <c r="R149" s="109" t="str">
        <f>IF(A149=B149,Studentwise!AO149,"")</f>
        <v/>
      </c>
      <c r="S149" s="109" t="str">
        <f>IF(A149=B149,Studentwise!AP149,"")</f>
        <v/>
      </c>
      <c r="T149" s="109" t="str">
        <f>IF(A149=B149,Studentwise!AQ149,"")</f>
        <v/>
      </c>
      <c r="U149" s="109" t="str">
        <f>IF(A149=B149,Studentwise!AR149,"")</f>
        <v/>
      </c>
      <c r="V149" s="109" t="str">
        <f>IF(A149=B149,Studentwise!AS149,"")</f>
        <v/>
      </c>
      <c r="W149" s="213"/>
      <c r="X149" s="7"/>
      <c r="Y149" s="8" t="b">
        <f t="shared" si="30"/>
        <v>0</v>
      </c>
      <c r="Z149" s="8" t="b">
        <f t="shared" si="31"/>
        <v>0</v>
      </c>
      <c r="AA149" s="8" t="b">
        <f t="shared" si="32"/>
        <v>0</v>
      </c>
      <c r="AB149" s="8" t="b">
        <f t="shared" si="33"/>
        <v>0</v>
      </c>
      <c r="AC149" s="8" t="b">
        <f t="shared" si="34"/>
        <v>0</v>
      </c>
      <c r="AD149" s="8" t="b">
        <f t="shared" si="35"/>
        <v>0</v>
      </c>
      <c r="AE149" s="8">
        <f t="shared" ref="AE149:AE169" si="37">COUNTIF(Y149:AD149,"TRUE")</f>
        <v>0</v>
      </c>
    </row>
    <row r="150" spans="1:31" ht="18" customHeight="1">
      <c r="A150" s="65">
        <v>131</v>
      </c>
      <c r="B150" s="43"/>
      <c r="C150" s="47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118" t="str">
        <f t="shared" si="36"/>
        <v/>
      </c>
      <c r="Q150" s="213"/>
      <c r="R150" s="109" t="str">
        <f>IF(A150=B150,Studentwise!AO150,"")</f>
        <v/>
      </c>
      <c r="S150" s="109" t="str">
        <f>IF(A150=B150,Studentwise!AP150,"")</f>
        <v/>
      </c>
      <c r="T150" s="109" t="str">
        <f>IF(A150=B150,Studentwise!AQ150,"")</f>
        <v/>
      </c>
      <c r="U150" s="109" t="str">
        <f>IF(A150=B150,Studentwise!AR150,"")</f>
        <v/>
      </c>
      <c r="V150" s="109" t="str">
        <f>IF(A150=B150,Studentwise!AS150,"")</f>
        <v/>
      </c>
      <c r="W150" s="213"/>
      <c r="X150" s="7"/>
      <c r="Y150" s="8" t="b">
        <f t="shared" si="30"/>
        <v>0</v>
      </c>
      <c r="Z150" s="8" t="b">
        <f t="shared" si="31"/>
        <v>0</v>
      </c>
      <c r="AA150" s="8" t="b">
        <f t="shared" si="32"/>
        <v>0</v>
      </c>
      <c r="AB150" s="8" t="b">
        <f t="shared" si="33"/>
        <v>0</v>
      </c>
      <c r="AC150" s="8" t="b">
        <f t="shared" si="34"/>
        <v>0</v>
      </c>
      <c r="AD150" s="8" t="b">
        <f t="shared" si="35"/>
        <v>0</v>
      </c>
      <c r="AE150" s="8">
        <f t="shared" si="37"/>
        <v>0</v>
      </c>
    </row>
    <row r="151" spans="1:31" ht="18" customHeight="1">
      <c r="A151" s="65">
        <v>132</v>
      </c>
      <c r="B151" s="43"/>
      <c r="C151" s="47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118" t="str">
        <f t="shared" si="36"/>
        <v/>
      </c>
      <c r="Q151" s="213"/>
      <c r="R151" s="109" t="str">
        <f>IF(A151=B151,Studentwise!AO151,"")</f>
        <v/>
      </c>
      <c r="S151" s="109" t="str">
        <f>IF(A151=B151,Studentwise!AP151,"")</f>
        <v/>
      </c>
      <c r="T151" s="109" t="str">
        <f>IF(A151=B151,Studentwise!AQ151,"")</f>
        <v/>
      </c>
      <c r="U151" s="109" t="str">
        <f>IF(A151=B151,Studentwise!AR151,"")</f>
        <v/>
      </c>
      <c r="V151" s="109" t="str">
        <f>IF(A151=B151,Studentwise!AS151,"")</f>
        <v/>
      </c>
      <c r="W151" s="213"/>
      <c r="X151" s="7"/>
      <c r="Y151" s="8" t="b">
        <f t="shared" si="30"/>
        <v>0</v>
      </c>
      <c r="Z151" s="8" t="b">
        <f t="shared" si="31"/>
        <v>0</v>
      </c>
      <c r="AA151" s="8" t="b">
        <f t="shared" si="32"/>
        <v>0</v>
      </c>
      <c r="AB151" s="8" t="b">
        <f t="shared" si="33"/>
        <v>0</v>
      </c>
      <c r="AC151" s="8" t="b">
        <f t="shared" si="34"/>
        <v>0</v>
      </c>
      <c r="AD151" s="8" t="b">
        <f t="shared" si="35"/>
        <v>0</v>
      </c>
      <c r="AE151" s="8">
        <f t="shared" si="37"/>
        <v>0</v>
      </c>
    </row>
    <row r="152" spans="1:31" ht="18" customHeight="1">
      <c r="A152" s="65">
        <v>133</v>
      </c>
      <c r="B152" s="43"/>
      <c r="C152" s="41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118" t="str">
        <f t="shared" si="36"/>
        <v/>
      </c>
      <c r="Q152" s="213"/>
      <c r="R152" s="109" t="str">
        <f>IF(A152=B152,Studentwise!AO152,"")</f>
        <v/>
      </c>
      <c r="S152" s="109" t="str">
        <f>IF(A152=B152,Studentwise!AP152,"")</f>
        <v/>
      </c>
      <c r="T152" s="109" t="str">
        <f>IF(A152=B152,Studentwise!AQ152,"")</f>
        <v/>
      </c>
      <c r="U152" s="109" t="str">
        <f>IF(A152=B152,Studentwise!AR152,"")</f>
        <v/>
      </c>
      <c r="V152" s="109" t="str">
        <f>IF(A152=B152,Studentwise!AS152,"")</f>
        <v/>
      </c>
      <c r="W152" s="213"/>
      <c r="X152" s="7"/>
      <c r="Y152" s="8" t="b">
        <f t="shared" si="30"/>
        <v>0</v>
      </c>
      <c r="Z152" s="8" t="b">
        <f t="shared" si="31"/>
        <v>0</v>
      </c>
      <c r="AA152" s="8" t="b">
        <f t="shared" si="32"/>
        <v>0</v>
      </c>
      <c r="AB152" s="8" t="b">
        <f t="shared" si="33"/>
        <v>0</v>
      </c>
      <c r="AC152" s="8" t="b">
        <f t="shared" si="34"/>
        <v>0</v>
      </c>
      <c r="AD152" s="8" t="b">
        <f t="shared" si="35"/>
        <v>0</v>
      </c>
      <c r="AE152" s="8">
        <f t="shared" si="37"/>
        <v>0</v>
      </c>
    </row>
    <row r="153" spans="1:31" ht="18" customHeight="1">
      <c r="A153" s="65">
        <v>134</v>
      </c>
      <c r="B153" s="43"/>
      <c r="C153" s="42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118" t="str">
        <f t="shared" si="36"/>
        <v/>
      </c>
      <c r="Q153" s="213"/>
      <c r="R153" s="109" t="str">
        <f>IF(A153=B153,Studentwise!AO153,"")</f>
        <v/>
      </c>
      <c r="S153" s="109" t="str">
        <f>IF(A153=B153,Studentwise!AP153,"")</f>
        <v/>
      </c>
      <c r="T153" s="109" t="str">
        <f>IF(A153=B153,Studentwise!AQ153,"")</f>
        <v/>
      </c>
      <c r="U153" s="109" t="str">
        <f>IF(A153=B153,Studentwise!AR153,"")</f>
        <v/>
      </c>
      <c r="V153" s="109" t="str">
        <f>IF(A153=B153,Studentwise!AS153,"")</f>
        <v/>
      </c>
      <c r="W153" s="213"/>
      <c r="X153" s="7"/>
      <c r="Y153" s="8" t="b">
        <f t="shared" si="30"/>
        <v>0</v>
      </c>
      <c r="Z153" s="8" t="b">
        <f t="shared" si="31"/>
        <v>0</v>
      </c>
      <c r="AA153" s="8" t="b">
        <f t="shared" si="32"/>
        <v>0</v>
      </c>
      <c r="AB153" s="8" t="b">
        <f t="shared" si="33"/>
        <v>0</v>
      </c>
      <c r="AC153" s="8" t="b">
        <f t="shared" si="34"/>
        <v>0</v>
      </c>
      <c r="AD153" s="8" t="b">
        <f t="shared" si="35"/>
        <v>0</v>
      </c>
      <c r="AE153" s="8">
        <f t="shared" si="37"/>
        <v>0</v>
      </c>
    </row>
    <row r="154" spans="1:31">
      <c r="A154" s="65">
        <v>135</v>
      </c>
      <c r="B154" s="43"/>
      <c r="C154" s="41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118" t="str">
        <f t="shared" si="36"/>
        <v/>
      </c>
      <c r="Q154" s="213"/>
      <c r="R154" s="109" t="str">
        <f>IF(A154=B154,Studentwise!AO154,"")</f>
        <v/>
      </c>
      <c r="S154" s="109" t="str">
        <f>IF(A154=B154,Studentwise!AP154,"")</f>
        <v/>
      </c>
      <c r="T154" s="109" t="str">
        <f>IF(A154=B154,Studentwise!AQ154,"")</f>
        <v/>
      </c>
      <c r="U154" s="109" t="str">
        <f>IF(A154=B154,Studentwise!AR154,"")</f>
        <v/>
      </c>
      <c r="V154" s="109" t="str">
        <f>IF(A154=B154,Studentwise!AS154,"")</f>
        <v/>
      </c>
      <c r="W154" s="213"/>
      <c r="X154" s="7"/>
      <c r="Y154" s="8" t="b">
        <f t="shared" si="30"/>
        <v>0</v>
      </c>
      <c r="Z154" s="8" t="b">
        <f t="shared" si="31"/>
        <v>0</v>
      </c>
      <c r="AA154" s="8" t="b">
        <f t="shared" si="32"/>
        <v>0</v>
      </c>
      <c r="AB154" s="8" t="b">
        <f t="shared" si="33"/>
        <v>0</v>
      </c>
      <c r="AC154" s="8" t="b">
        <f t="shared" si="34"/>
        <v>0</v>
      </c>
      <c r="AD154" s="8" t="b">
        <f t="shared" si="35"/>
        <v>0</v>
      </c>
      <c r="AE154" s="8">
        <f t="shared" si="37"/>
        <v>0</v>
      </c>
    </row>
    <row r="155" spans="1:31" ht="18" customHeight="1">
      <c r="A155" s="65">
        <v>136</v>
      </c>
      <c r="B155" s="43"/>
      <c r="C155" s="47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118" t="str">
        <f t="shared" si="36"/>
        <v/>
      </c>
      <c r="Q155" s="213"/>
      <c r="R155" s="109" t="str">
        <f>IF(A155=B155,Studentwise!AO155,"")</f>
        <v/>
      </c>
      <c r="S155" s="109" t="str">
        <f>IF(A155=B155,Studentwise!AP155,"")</f>
        <v/>
      </c>
      <c r="T155" s="109" t="str">
        <f>IF(A155=B155,Studentwise!AQ155,"")</f>
        <v/>
      </c>
      <c r="U155" s="109" t="str">
        <f>IF(A155=B155,Studentwise!AR155,"")</f>
        <v/>
      </c>
      <c r="V155" s="109" t="str">
        <f>IF(A155=B155,Studentwise!AS155,"")</f>
        <v/>
      </c>
      <c r="W155" s="213"/>
      <c r="X155" s="7"/>
      <c r="Y155" s="8" t="b">
        <f t="shared" si="30"/>
        <v>0</v>
      </c>
      <c r="Z155" s="8" t="b">
        <f t="shared" si="31"/>
        <v>0</v>
      </c>
      <c r="AA155" s="8" t="b">
        <f t="shared" si="32"/>
        <v>0</v>
      </c>
      <c r="AB155" s="8" t="b">
        <f t="shared" si="33"/>
        <v>0</v>
      </c>
      <c r="AC155" s="8" t="b">
        <f t="shared" si="34"/>
        <v>0</v>
      </c>
      <c r="AD155" s="8" t="b">
        <f t="shared" si="35"/>
        <v>0</v>
      </c>
      <c r="AE155" s="8">
        <f t="shared" si="37"/>
        <v>0</v>
      </c>
    </row>
    <row r="156" spans="1:31" ht="18" customHeight="1">
      <c r="A156" s="65">
        <v>137</v>
      </c>
      <c r="B156" s="43"/>
      <c r="C156" s="47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118" t="str">
        <f t="shared" si="36"/>
        <v/>
      </c>
      <c r="Q156" s="213"/>
      <c r="R156" s="109" t="str">
        <f>IF(A156=B156,Studentwise!AO156,"")</f>
        <v/>
      </c>
      <c r="S156" s="109" t="str">
        <f>IF(A156=B156,Studentwise!AP156,"")</f>
        <v/>
      </c>
      <c r="T156" s="109" t="str">
        <f>IF(A156=B156,Studentwise!AQ156,"")</f>
        <v/>
      </c>
      <c r="U156" s="109" t="str">
        <f>IF(A156=B156,Studentwise!AR156,"")</f>
        <v/>
      </c>
      <c r="V156" s="109" t="str">
        <f>IF(A156=B156,Studentwise!AS156,"")</f>
        <v/>
      </c>
      <c r="W156" s="213"/>
      <c r="X156" s="7"/>
      <c r="Y156" s="8" t="b">
        <f t="shared" si="30"/>
        <v>0</v>
      </c>
      <c r="Z156" s="8" t="b">
        <f t="shared" si="31"/>
        <v>0</v>
      </c>
      <c r="AA156" s="8" t="b">
        <f t="shared" si="32"/>
        <v>0</v>
      </c>
      <c r="AB156" s="8" t="b">
        <f t="shared" si="33"/>
        <v>0</v>
      </c>
      <c r="AC156" s="8" t="b">
        <f t="shared" si="34"/>
        <v>0</v>
      </c>
      <c r="AD156" s="8" t="b">
        <f t="shared" si="35"/>
        <v>0</v>
      </c>
      <c r="AE156" s="8">
        <f t="shared" si="37"/>
        <v>0</v>
      </c>
    </row>
    <row r="157" spans="1:31" ht="18" customHeight="1">
      <c r="A157" s="65">
        <v>138</v>
      </c>
      <c r="B157" s="43"/>
      <c r="C157" s="47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118" t="str">
        <f t="shared" si="36"/>
        <v/>
      </c>
      <c r="Q157" s="213"/>
      <c r="R157" s="109" t="str">
        <f>IF(A157=B157,Studentwise!AO157,"")</f>
        <v/>
      </c>
      <c r="S157" s="109" t="str">
        <f>IF(A157=B157,Studentwise!AP157,"")</f>
        <v/>
      </c>
      <c r="T157" s="109" t="str">
        <f>IF(A157=B157,Studentwise!AQ157,"")</f>
        <v/>
      </c>
      <c r="U157" s="109" t="str">
        <f>IF(A157=B157,Studentwise!AR157,"")</f>
        <v/>
      </c>
      <c r="V157" s="109" t="str">
        <f>IF(A157=B157,Studentwise!AS157,"")</f>
        <v/>
      </c>
      <c r="W157" s="213"/>
      <c r="X157" s="7"/>
      <c r="Y157" s="8" t="b">
        <f t="shared" si="30"/>
        <v>0</v>
      </c>
      <c r="Z157" s="8" t="b">
        <f t="shared" si="31"/>
        <v>0</v>
      </c>
      <c r="AA157" s="8" t="b">
        <f t="shared" si="32"/>
        <v>0</v>
      </c>
      <c r="AB157" s="8" t="b">
        <f t="shared" si="33"/>
        <v>0</v>
      </c>
      <c r="AC157" s="8" t="b">
        <f t="shared" si="34"/>
        <v>0</v>
      </c>
      <c r="AD157" s="8" t="b">
        <f t="shared" si="35"/>
        <v>0</v>
      </c>
      <c r="AE157" s="8">
        <f t="shared" si="37"/>
        <v>0</v>
      </c>
    </row>
    <row r="158" spans="1:31" ht="18" customHeight="1">
      <c r="A158" s="65">
        <v>139</v>
      </c>
      <c r="B158" s="43"/>
      <c r="C158" s="47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118" t="str">
        <f t="shared" si="36"/>
        <v/>
      </c>
      <c r="Q158" s="213"/>
      <c r="R158" s="109" t="str">
        <f>IF(A158=B158,Studentwise!AO158,"")</f>
        <v/>
      </c>
      <c r="S158" s="109" t="str">
        <f>IF(A158=B158,Studentwise!AP158,"")</f>
        <v/>
      </c>
      <c r="T158" s="109" t="str">
        <f>IF(A158=B158,Studentwise!AQ158,"")</f>
        <v/>
      </c>
      <c r="U158" s="109" t="str">
        <f>IF(A158=B158,Studentwise!AR158,"")</f>
        <v/>
      </c>
      <c r="V158" s="109" t="str">
        <f>IF(A158=B158,Studentwise!AS158,"")</f>
        <v/>
      </c>
      <c r="W158" s="213"/>
      <c r="X158" s="7"/>
      <c r="Y158" s="8" t="b">
        <f t="shared" si="30"/>
        <v>0</v>
      </c>
      <c r="Z158" s="8" t="b">
        <f t="shared" si="31"/>
        <v>0</v>
      </c>
      <c r="AA158" s="8" t="b">
        <f t="shared" si="32"/>
        <v>0</v>
      </c>
      <c r="AB158" s="8" t="b">
        <f t="shared" si="33"/>
        <v>0</v>
      </c>
      <c r="AC158" s="8" t="b">
        <f t="shared" si="34"/>
        <v>0</v>
      </c>
      <c r="AD158" s="8" t="b">
        <f t="shared" si="35"/>
        <v>0</v>
      </c>
      <c r="AE158" s="8">
        <f t="shared" si="37"/>
        <v>0</v>
      </c>
    </row>
    <row r="159" spans="1:31" ht="18" customHeight="1">
      <c r="A159" s="65">
        <v>140</v>
      </c>
      <c r="B159" s="43"/>
      <c r="C159" s="47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118" t="str">
        <f t="shared" si="36"/>
        <v/>
      </c>
      <c r="Q159" s="213"/>
      <c r="R159" s="109" t="str">
        <f>IF(A159=B159,Studentwise!AO159,"")</f>
        <v/>
      </c>
      <c r="S159" s="109" t="str">
        <f>IF(A159=B159,Studentwise!AP159,"")</f>
        <v/>
      </c>
      <c r="T159" s="109" t="str">
        <f>IF(A159=B159,Studentwise!AQ159,"")</f>
        <v/>
      </c>
      <c r="U159" s="109" t="str">
        <f>IF(A159=B159,Studentwise!AR159,"")</f>
        <v/>
      </c>
      <c r="V159" s="109" t="str">
        <f>IF(A159=B159,Studentwise!AS159,"")</f>
        <v/>
      </c>
      <c r="W159" s="213"/>
      <c r="X159" s="7"/>
      <c r="Y159" s="8" t="b">
        <f t="shared" si="30"/>
        <v>0</v>
      </c>
      <c r="Z159" s="8" t="b">
        <f t="shared" si="31"/>
        <v>0</v>
      </c>
      <c r="AA159" s="8" t="b">
        <f t="shared" si="32"/>
        <v>0</v>
      </c>
      <c r="AB159" s="8" t="b">
        <f t="shared" si="33"/>
        <v>0</v>
      </c>
      <c r="AC159" s="8" t="b">
        <f t="shared" si="34"/>
        <v>0</v>
      </c>
      <c r="AD159" s="8" t="b">
        <f t="shared" si="35"/>
        <v>0</v>
      </c>
      <c r="AE159" s="8">
        <f t="shared" si="37"/>
        <v>0</v>
      </c>
    </row>
    <row r="160" spans="1:31" ht="18" customHeight="1">
      <c r="A160" s="65">
        <v>141</v>
      </c>
      <c r="B160" s="43"/>
      <c r="C160" s="47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118" t="str">
        <f t="shared" si="36"/>
        <v/>
      </c>
      <c r="Q160" s="213"/>
      <c r="R160" s="109" t="str">
        <f>IF(A160=B160,Studentwise!AO160,"")</f>
        <v/>
      </c>
      <c r="S160" s="109" t="str">
        <f>IF(A160=B160,Studentwise!AP160,"")</f>
        <v/>
      </c>
      <c r="T160" s="109" t="str">
        <f>IF(A160=B160,Studentwise!AQ160,"")</f>
        <v/>
      </c>
      <c r="U160" s="109" t="str">
        <f>IF(A160=B160,Studentwise!AR160,"")</f>
        <v/>
      </c>
      <c r="V160" s="109" t="str">
        <f>IF(A160=B160,Studentwise!AS160,"")</f>
        <v/>
      </c>
      <c r="W160" s="213"/>
      <c r="X160" s="7"/>
      <c r="Y160" s="8" t="b">
        <f t="shared" si="30"/>
        <v>0</v>
      </c>
      <c r="Z160" s="8" t="b">
        <f t="shared" si="31"/>
        <v>0</v>
      </c>
      <c r="AA160" s="8" t="b">
        <f t="shared" si="32"/>
        <v>0</v>
      </c>
      <c r="AB160" s="8" t="b">
        <f t="shared" si="33"/>
        <v>0</v>
      </c>
      <c r="AC160" s="8" t="b">
        <f t="shared" si="34"/>
        <v>0</v>
      </c>
      <c r="AD160" s="8" t="b">
        <f t="shared" si="35"/>
        <v>0</v>
      </c>
      <c r="AE160" s="8">
        <f t="shared" si="37"/>
        <v>0</v>
      </c>
    </row>
    <row r="161" spans="1:31" ht="18" customHeight="1">
      <c r="A161" s="65">
        <v>142</v>
      </c>
      <c r="B161" s="43"/>
      <c r="C161" s="47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118" t="str">
        <f t="shared" si="36"/>
        <v/>
      </c>
      <c r="Q161" s="213"/>
      <c r="R161" s="109" t="str">
        <f>IF(A161=B161,Studentwise!AO161,"")</f>
        <v/>
      </c>
      <c r="S161" s="109" t="str">
        <f>IF(A161=B161,Studentwise!AP161,"")</f>
        <v/>
      </c>
      <c r="T161" s="109" t="str">
        <f>IF(A161=B161,Studentwise!AQ161,"")</f>
        <v/>
      </c>
      <c r="U161" s="109" t="str">
        <f>IF(A161=B161,Studentwise!AR161,"")</f>
        <v/>
      </c>
      <c r="V161" s="109" t="str">
        <f>IF(A161=B161,Studentwise!AS161,"")</f>
        <v/>
      </c>
      <c r="W161" s="213"/>
      <c r="X161" s="7"/>
      <c r="Y161" s="8" t="b">
        <f t="shared" si="30"/>
        <v>0</v>
      </c>
      <c r="Z161" s="8" t="b">
        <f t="shared" si="31"/>
        <v>0</v>
      </c>
      <c r="AA161" s="8" t="b">
        <f t="shared" si="32"/>
        <v>0</v>
      </c>
      <c r="AB161" s="8" t="b">
        <f t="shared" si="33"/>
        <v>0</v>
      </c>
      <c r="AC161" s="8" t="b">
        <f t="shared" si="34"/>
        <v>0</v>
      </c>
      <c r="AD161" s="8" t="b">
        <f t="shared" si="35"/>
        <v>0</v>
      </c>
      <c r="AE161" s="8">
        <f t="shared" si="37"/>
        <v>0</v>
      </c>
    </row>
    <row r="162" spans="1:31" ht="18" customHeight="1">
      <c r="A162" s="65">
        <v>143</v>
      </c>
      <c r="B162" s="43"/>
      <c r="C162" s="47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118" t="str">
        <f t="shared" si="36"/>
        <v/>
      </c>
      <c r="Q162" s="213"/>
      <c r="R162" s="109" t="str">
        <f>IF(A162=B162,Studentwise!AO162,"")</f>
        <v/>
      </c>
      <c r="S162" s="109" t="str">
        <f>IF(A162=B162,Studentwise!AP162,"")</f>
        <v/>
      </c>
      <c r="T162" s="109" t="str">
        <f>IF(A162=B162,Studentwise!AQ162,"")</f>
        <v/>
      </c>
      <c r="U162" s="109" t="str">
        <f>IF(A162=B162,Studentwise!AR162,"")</f>
        <v/>
      </c>
      <c r="V162" s="109" t="str">
        <f>IF(A162=B162,Studentwise!AS162,"")</f>
        <v/>
      </c>
      <c r="W162" s="213"/>
      <c r="X162" s="7"/>
      <c r="Y162" s="8" t="b">
        <f t="shared" si="30"/>
        <v>0</v>
      </c>
      <c r="Z162" s="8" t="b">
        <f t="shared" si="31"/>
        <v>0</v>
      </c>
      <c r="AA162" s="8" t="b">
        <f t="shared" si="32"/>
        <v>0</v>
      </c>
      <c r="AB162" s="8" t="b">
        <f t="shared" si="33"/>
        <v>0</v>
      </c>
      <c r="AC162" s="8" t="b">
        <f t="shared" si="34"/>
        <v>0</v>
      </c>
      <c r="AD162" s="8" t="b">
        <f t="shared" si="35"/>
        <v>0</v>
      </c>
      <c r="AE162" s="8">
        <f t="shared" si="37"/>
        <v>0</v>
      </c>
    </row>
    <row r="163" spans="1:31" ht="18" customHeight="1">
      <c r="A163" s="65">
        <v>144</v>
      </c>
      <c r="B163" s="43"/>
      <c r="C163" s="41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118" t="str">
        <f t="shared" si="36"/>
        <v/>
      </c>
      <c r="Q163" s="213"/>
      <c r="R163" s="109" t="str">
        <f>IF(A163=B163,Studentwise!AO163,"")</f>
        <v/>
      </c>
      <c r="S163" s="109" t="str">
        <f>IF(A163=B163,Studentwise!AP163,"")</f>
        <v/>
      </c>
      <c r="T163" s="109" t="str">
        <f>IF(A163=B163,Studentwise!AQ163,"")</f>
        <v/>
      </c>
      <c r="U163" s="109" t="str">
        <f>IF(A163=B163,Studentwise!AR163,"")</f>
        <v/>
      </c>
      <c r="V163" s="109" t="str">
        <f>IF(A163=B163,Studentwise!AS163,"")</f>
        <v/>
      </c>
      <c r="W163" s="213"/>
      <c r="X163" s="7"/>
      <c r="Y163" s="8" t="b">
        <f t="shared" si="30"/>
        <v>0</v>
      </c>
      <c r="Z163" s="8" t="b">
        <f t="shared" si="31"/>
        <v>0</v>
      </c>
      <c r="AA163" s="8" t="b">
        <f t="shared" si="32"/>
        <v>0</v>
      </c>
      <c r="AB163" s="8" t="b">
        <f t="shared" si="33"/>
        <v>0</v>
      </c>
      <c r="AC163" s="8" t="b">
        <f t="shared" si="34"/>
        <v>0</v>
      </c>
      <c r="AD163" s="8" t="b">
        <f t="shared" si="35"/>
        <v>0</v>
      </c>
      <c r="AE163" s="8">
        <f t="shared" si="37"/>
        <v>0</v>
      </c>
    </row>
    <row r="164" spans="1:31" ht="18" customHeight="1">
      <c r="A164" s="65">
        <v>145</v>
      </c>
      <c r="B164" s="43"/>
      <c r="C164" s="42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118" t="str">
        <f t="shared" si="36"/>
        <v/>
      </c>
      <c r="Q164" s="213"/>
      <c r="R164" s="109" t="str">
        <f>IF(A164=B164,Studentwise!AO164,"")</f>
        <v/>
      </c>
      <c r="S164" s="109" t="str">
        <f>IF(A164=B164,Studentwise!AP164,"")</f>
        <v/>
      </c>
      <c r="T164" s="109" t="str">
        <f>IF(A164=B164,Studentwise!AQ164,"")</f>
        <v/>
      </c>
      <c r="U164" s="109" t="str">
        <f>IF(A164=B164,Studentwise!AR164,"")</f>
        <v/>
      </c>
      <c r="V164" s="109" t="str">
        <f>IF(A164=B164,Studentwise!AS164,"")</f>
        <v/>
      </c>
      <c r="W164" s="213"/>
      <c r="X164" s="7"/>
      <c r="Y164" s="8" t="b">
        <f t="shared" si="30"/>
        <v>0</v>
      </c>
      <c r="Z164" s="8" t="b">
        <f t="shared" si="31"/>
        <v>0</v>
      </c>
      <c r="AA164" s="8" t="b">
        <f t="shared" si="32"/>
        <v>0</v>
      </c>
      <c r="AB164" s="8" t="b">
        <f t="shared" si="33"/>
        <v>0</v>
      </c>
      <c r="AC164" s="8" t="b">
        <f t="shared" si="34"/>
        <v>0</v>
      </c>
      <c r="AD164" s="8" t="b">
        <f t="shared" si="35"/>
        <v>0</v>
      </c>
      <c r="AE164" s="8">
        <f t="shared" si="37"/>
        <v>0</v>
      </c>
    </row>
    <row r="165" spans="1:31">
      <c r="A165" s="65">
        <v>146</v>
      </c>
      <c r="B165" s="43"/>
      <c r="C165" s="41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118" t="str">
        <f t="shared" si="36"/>
        <v/>
      </c>
      <c r="Q165" s="213"/>
      <c r="R165" s="109" t="str">
        <f>IF(A165=B165,Studentwise!AO165,"")</f>
        <v/>
      </c>
      <c r="S165" s="109" t="str">
        <f>IF(A165=B165,Studentwise!AP165,"")</f>
        <v/>
      </c>
      <c r="T165" s="109" t="str">
        <f>IF(A165=B165,Studentwise!AQ165,"")</f>
        <v/>
      </c>
      <c r="U165" s="109" t="str">
        <f>IF(A165=B165,Studentwise!AR165,"")</f>
        <v/>
      </c>
      <c r="V165" s="109" t="str">
        <f>IF(A165=B165,Studentwise!AS165,"")</f>
        <v/>
      </c>
      <c r="W165" s="213"/>
      <c r="X165" s="7"/>
      <c r="Y165" s="8" t="b">
        <f t="shared" si="30"/>
        <v>0</v>
      </c>
      <c r="Z165" s="8" t="b">
        <f t="shared" si="31"/>
        <v>0</v>
      </c>
      <c r="AA165" s="8" t="b">
        <f t="shared" si="32"/>
        <v>0</v>
      </c>
      <c r="AB165" s="8" t="b">
        <f t="shared" si="33"/>
        <v>0</v>
      </c>
      <c r="AC165" s="8" t="b">
        <f t="shared" si="34"/>
        <v>0</v>
      </c>
      <c r="AD165" s="8" t="b">
        <f t="shared" si="35"/>
        <v>0</v>
      </c>
      <c r="AE165" s="8">
        <f t="shared" si="37"/>
        <v>0</v>
      </c>
    </row>
    <row r="166" spans="1:31" ht="18" customHeight="1">
      <c r="A166" s="65">
        <v>147</v>
      </c>
      <c r="B166" s="43"/>
      <c r="C166" s="47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118" t="str">
        <f t="shared" si="36"/>
        <v/>
      </c>
      <c r="Q166" s="213"/>
      <c r="R166" s="109" t="str">
        <f>IF(A166=B166,Studentwise!AO166,"")</f>
        <v/>
      </c>
      <c r="S166" s="109" t="str">
        <f>IF(A166=B166,Studentwise!AP166,"")</f>
        <v/>
      </c>
      <c r="T166" s="109" t="str">
        <f>IF(A166=B166,Studentwise!AQ166,"")</f>
        <v/>
      </c>
      <c r="U166" s="109" t="str">
        <f>IF(A166=B166,Studentwise!AR166,"")</f>
        <v/>
      </c>
      <c r="V166" s="109" t="str">
        <f>IF(A166=B166,Studentwise!AS166,"")</f>
        <v/>
      </c>
      <c r="W166" s="213"/>
      <c r="X166" s="7"/>
      <c r="Y166" s="8" t="b">
        <f t="shared" ref="Y166:AD169" si="38">ISTEXT(J166)</f>
        <v>0</v>
      </c>
      <c r="Z166" s="8" t="b">
        <f t="shared" si="38"/>
        <v>0</v>
      </c>
      <c r="AA166" s="8" t="b">
        <f t="shared" si="38"/>
        <v>0</v>
      </c>
      <c r="AB166" s="8" t="b">
        <f t="shared" si="38"/>
        <v>0</v>
      </c>
      <c r="AC166" s="8" t="b">
        <f t="shared" si="38"/>
        <v>0</v>
      </c>
      <c r="AD166" s="8" t="b">
        <f t="shared" si="38"/>
        <v>0</v>
      </c>
      <c r="AE166" s="8">
        <f t="shared" si="37"/>
        <v>0</v>
      </c>
    </row>
    <row r="167" spans="1:31" ht="18" customHeight="1">
      <c r="A167" s="65">
        <v>148</v>
      </c>
      <c r="B167" s="43"/>
      <c r="C167" s="41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118" t="str">
        <f t="shared" si="36"/>
        <v/>
      </c>
      <c r="Q167" s="213"/>
      <c r="R167" s="109" t="str">
        <f>IF(A167=B167,Studentwise!AO167,"")</f>
        <v/>
      </c>
      <c r="S167" s="109" t="str">
        <f>IF(A167=B167,Studentwise!AP167,"")</f>
        <v/>
      </c>
      <c r="T167" s="109" t="str">
        <f>IF(A167=B167,Studentwise!AQ167,"")</f>
        <v/>
      </c>
      <c r="U167" s="109" t="str">
        <f>IF(A167=B167,Studentwise!AR167,"")</f>
        <v/>
      </c>
      <c r="V167" s="109" t="str">
        <f>IF(A167=B167,Studentwise!AS167,"")</f>
        <v/>
      </c>
      <c r="W167" s="213"/>
      <c r="X167" s="7"/>
      <c r="Y167" s="8" t="b">
        <f>ISTEXT(J167)</f>
        <v>0</v>
      </c>
      <c r="Z167" s="8" t="b">
        <f t="shared" si="38"/>
        <v>0</v>
      </c>
      <c r="AA167" s="8" t="b">
        <f t="shared" si="38"/>
        <v>0</v>
      </c>
      <c r="AB167" s="8" t="b">
        <f t="shared" si="38"/>
        <v>0</v>
      </c>
      <c r="AC167" s="8" t="b">
        <f t="shared" si="38"/>
        <v>0</v>
      </c>
      <c r="AD167" s="8" t="b">
        <f t="shared" si="38"/>
        <v>0</v>
      </c>
      <c r="AE167" s="8">
        <f t="shared" si="37"/>
        <v>0</v>
      </c>
    </row>
    <row r="168" spans="1:31" ht="18" customHeight="1">
      <c r="A168" s="65">
        <v>149</v>
      </c>
      <c r="B168" s="43"/>
      <c r="C168" s="42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118" t="str">
        <f t="shared" si="36"/>
        <v/>
      </c>
      <c r="Q168" s="213"/>
      <c r="R168" s="109" t="str">
        <f>IF(A168=B168,Studentwise!AO168,"")</f>
        <v/>
      </c>
      <c r="S168" s="109" t="str">
        <f>IF(A168=B168,Studentwise!AP168,"")</f>
        <v/>
      </c>
      <c r="T168" s="109" t="str">
        <f>IF(A168=B168,Studentwise!AQ168,"")</f>
        <v/>
      </c>
      <c r="U168" s="109" t="str">
        <f>IF(A168=B168,Studentwise!AR168,"")</f>
        <v/>
      </c>
      <c r="V168" s="109" t="str">
        <f>IF(A168=B168,Studentwise!AS168,"")</f>
        <v/>
      </c>
      <c r="W168" s="213"/>
      <c r="X168" s="7"/>
      <c r="Y168" s="8" t="b">
        <f t="shared" ref="Y168:Y169" si="39">ISTEXT(J168)</f>
        <v>0</v>
      </c>
      <c r="Z168" s="8" t="b">
        <f t="shared" si="38"/>
        <v>0</v>
      </c>
      <c r="AA168" s="8" t="b">
        <f t="shared" si="38"/>
        <v>0</v>
      </c>
      <c r="AB168" s="8" t="b">
        <f t="shared" si="38"/>
        <v>0</v>
      </c>
      <c r="AC168" s="8" t="b">
        <f t="shared" si="38"/>
        <v>0</v>
      </c>
      <c r="AD168" s="8" t="b">
        <f t="shared" si="38"/>
        <v>0</v>
      </c>
      <c r="AE168" s="8">
        <f t="shared" si="37"/>
        <v>0</v>
      </c>
    </row>
    <row r="169" spans="1:31">
      <c r="A169" s="65">
        <v>150</v>
      </c>
      <c r="B169" s="43"/>
      <c r="C169" s="41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118" t="str">
        <f t="shared" si="36"/>
        <v/>
      </c>
      <c r="Q169" s="213"/>
      <c r="R169" s="7"/>
      <c r="S169" s="7"/>
      <c r="T169" s="7"/>
      <c r="U169" s="7"/>
      <c r="V169" s="7"/>
      <c r="W169" s="213"/>
      <c r="X169" s="7"/>
      <c r="Y169" s="8" t="b">
        <f t="shared" si="39"/>
        <v>0</v>
      </c>
      <c r="Z169" s="8" t="b">
        <f t="shared" si="38"/>
        <v>0</v>
      </c>
      <c r="AA169" s="8" t="b">
        <f t="shared" si="38"/>
        <v>0</v>
      </c>
      <c r="AB169" s="8" t="b">
        <f t="shared" si="38"/>
        <v>0</v>
      </c>
      <c r="AC169" s="8" t="b">
        <f t="shared" si="38"/>
        <v>0</v>
      </c>
      <c r="AD169" s="8" t="b">
        <f t="shared" si="38"/>
        <v>0</v>
      </c>
      <c r="AE169" s="8">
        <f t="shared" si="37"/>
        <v>0</v>
      </c>
    </row>
    <row r="170" spans="1:31">
      <c r="B170" s="11"/>
      <c r="C170" s="12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4"/>
      <c r="Q170" s="14"/>
      <c r="R170" s="7"/>
      <c r="S170" s="7"/>
      <c r="T170" s="7"/>
      <c r="U170" s="7"/>
      <c r="V170" s="7"/>
      <c r="W170" s="14"/>
      <c r="X170" s="7"/>
    </row>
    <row r="171" spans="1:31">
      <c r="B171" s="11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4"/>
      <c r="Q171" s="14"/>
      <c r="R171" s="5"/>
      <c r="S171" s="5"/>
      <c r="T171" s="5"/>
      <c r="U171" s="5"/>
      <c r="V171" s="5"/>
      <c r="W171" s="14"/>
      <c r="X171" s="5"/>
    </row>
    <row r="172" spans="1:31" ht="15" customHeight="1">
      <c r="B172" s="283" t="str">
        <f>"No of Students &gt;= " &amp;E6 &amp;"% marks"</f>
        <v>No of Students &gt;= 60% marks</v>
      </c>
      <c r="C172" s="284"/>
      <c r="D172" s="16">
        <f>IF(D19&gt;0, COUNTIF(D20:D171,"&gt;="&amp;D19), 0)</f>
        <v>47</v>
      </c>
      <c r="E172" s="16">
        <f t="shared" ref="E172:O172" si="40">IF(E19&gt;0, COUNTIF(E20:E171,"&gt;="&amp;E19), 0)</f>
        <v>66</v>
      </c>
      <c r="F172" s="16">
        <f t="shared" si="40"/>
        <v>48</v>
      </c>
      <c r="G172" s="16">
        <f t="shared" si="40"/>
        <v>55</v>
      </c>
      <c r="H172" s="16">
        <f t="shared" si="40"/>
        <v>62</v>
      </c>
      <c r="I172" s="16">
        <f t="shared" si="40"/>
        <v>54</v>
      </c>
      <c r="J172" s="58">
        <f t="shared" si="40"/>
        <v>70</v>
      </c>
      <c r="K172" s="16">
        <f t="shared" si="40"/>
        <v>58</v>
      </c>
      <c r="L172" s="16">
        <f t="shared" si="40"/>
        <v>50</v>
      </c>
      <c r="M172" s="16">
        <f t="shared" si="40"/>
        <v>56</v>
      </c>
      <c r="N172" s="16">
        <f>IF(N19&gt;0, COUNTIF(N20:N171,"&gt;="&amp;N19), 0)</f>
        <v>4</v>
      </c>
      <c r="O172" s="16">
        <f t="shared" si="40"/>
        <v>5</v>
      </c>
      <c r="P172" s="223"/>
      <c r="Q172" s="223"/>
      <c r="R172" s="16">
        <f>COUNTIF(R22:R171,"&gt;=60")</f>
        <v>46</v>
      </c>
      <c r="S172" s="16">
        <f t="shared" ref="S172:U172" si="41">COUNTIF(S22:S171,"&gt;=60")</f>
        <v>15</v>
      </c>
      <c r="T172" s="16">
        <f t="shared" si="41"/>
        <v>33</v>
      </c>
      <c r="U172" s="16">
        <f t="shared" si="41"/>
        <v>60</v>
      </c>
      <c r="V172" s="16">
        <f>COUNTIF(V22:V171,"&gt;=60")</f>
        <v>38</v>
      </c>
      <c r="W172" s="223"/>
      <c r="X172" s="7"/>
    </row>
    <row r="173" spans="1:31" ht="15" customHeight="1">
      <c r="B173" s="283" t="str">
        <f>"% of students &gt;= "&amp;E6 &amp;"%"</f>
        <v>% of students &gt;= 60%</v>
      </c>
      <c r="C173" s="284"/>
      <c r="D173" s="61">
        <f t="shared" ref="D173:I173" si="42">D172/$K$211*100</f>
        <v>64.38356164383562</v>
      </c>
      <c r="E173" s="61">
        <f t="shared" si="42"/>
        <v>90.410958904109577</v>
      </c>
      <c r="F173" s="61">
        <f t="shared" si="42"/>
        <v>65.753424657534239</v>
      </c>
      <c r="G173" s="61">
        <f t="shared" si="42"/>
        <v>75.342465753424662</v>
      </c>
      <c r="H173" s="61">
        <f t="shared" si="42"/>
        <v>84.93150684931507</v>
      </c>
      <c r="I173" s="61">
        <f t="shared" si="42"/>
        <v>73.972602739726028</v>
      </c>
      <c r="J173" s="59">
        <f>IFERROR(J172/$K$211*100,0)</f>
        <v>95.890410958904098</v>
      </c>
      <c r="K173" s="53">
        <f>IFERROR(K172/COUNT(K20:K171)*100,0)</f>
        <v>80.555555555555557</v>
      </c>
      <c r="L173" s="54">
        <f>IFERROR(L172/COUNT(L20:L171)*100,0)</f>
        <v>75.757575757575751</v>
      </c>
      <c r="M173" s="54">
        <f>IFERROR(M172/COUNT(M20:M171)*100,0)</f>
        <v>84.848484848484844</v>
      </c>
      <c r="N173" s="54">
        <f>IFERROR(N172/COUNT(N20:N171)*100,0)</f>
        <v>50</v>
      </c>
      <c r="O173" s="54">
        <f>IFERROR(O172/COUNT(O20:O171)*100,0)</f>
        <v>62.5</v>
      </c>
      <c r="P173" s="223"/>
      <c r="Q173" s="223"/>
      <c r="R173" s="60">
        <f>R172/SUM($E$4:$E$5)*100</f>
        <v>63.013698630136986</v>
      </c>
      <c r="S173" s="60">
        <f t="shared" ref="S173:V173" si="43">S172/SUM($E$4:$E$5)*100</f>
        <v>20.547945205479451</v>
      </c>
      <c r="T173" s="60">
        <f t="shared" si="43"/>
        <v>45.205479452054789</v>
      </c>
      <c r="U173" s="60">
        <f t="shared" si="43"/>
        <v>82.191780821917803</v>
      </c>
      <c r="V173" s="60">
        <f t="shared" si="43"/>
        <v>52.054794520547944</v>
      </c>
      <c r="W173" s="223"/>
      <c r="X173" s="7"/>
    </row>
    <row r="174" spans="1:31">
      <c r="B174" s="7"/>
      <c r="C174" s="5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23">
        <f>IF(R173&gt;=$E$9,$D$9,IF(AND(R173&gt;=$E$10,R173&lt;$E$9),$D$10,IF(AND(R173&gt;=$E$11,R173&lt;$E$10),$D$11,IF(AND(R173&gt;=$E$12,R173&lt;$E$11),$D$12,IF(AND(R173&gt;=$E$13,R173&lt;$E$12),$D$13,0)))))</f>
        <v>3</v>
      </c>
      <c r="S174" s="223">
        <f t="shared" ref="S174:U174" si="44">IF(S173&gt;=$E$9,$D$9,IF(AND(S173&gt;=$E$10,S173&lt;$E$9),$D$10,IF(AND(S173&gt;=$E$11,S173&lt;$E$10),$D$11,IF(AND(S173&gt;=$E$12,S173&lt;$E$11),$D$12,IF(AND(S173&gt;=$E$13,S173&lt;$E$12),$D$13,0)))))</f>
        <v>1</v>
      </c>
      <c r="T174" s="223">
        <f t="shared" si="44"/>
        <v>1</v>
      </c>
      <c r="U174" s="223">
        <f t="shared" si="44"/>
        <v>3</v>
      </c>
      <c r="V174" s="223">
        <f>IF(V173&gt;=$E$9,$D$9,IF(AND(V173&gt;=$E$10,V173&lt;$E$9),$D$10,IF(AND(V173&gt;=$E$11,V173&lt;$E$10),$D$11,IF(AND(V173&gt;=$E$12,V173&lt;$E$11),$D$12,IF(AND(V173&gt;=$E$13,V173&lt;$E$12),$D$13,0)))))</f>
        <v>2</v>
      </c>
      <c r="W174" s="223"/>
      <c r="X174" s="7"/>
    </row>
    <row r="175" spans="1:31" hidden="1">
      <c r="B175" s="7"/>
      <c r="C175" s="6" t="s">
        <v>20</v>
      </c>
      <c r="D175" s="62" t="str">
        <f>IF(D16=C175,D173,"")</f>
        <v/>
      </c>
      <c r="E175" s="62" t="str">
        <f>IF(E16=C175,E173,"")</f>
        <v/>
      </c>
      <c r="F175" s="62" t="str">
        <f>IF(F16=C175,F173,"")</f>
        <v/>
      </c>
      <c r="G175" s="62" t="str">
        <f>IF(G16=C175,G173,"")</f>
        <v/>
      </c>
      <c r="H175" s="62" t="str">
        <f>IF(H16=C175,H173,"")</f>
        <v/>
      </c>
      <c r="I175" s="62" t="str">
        <f>IF(I16=C175,I173,"")</f>
        <v/>
      </c>
      <c r="J175" s="62" t="str">
        <f>IF(J16=C175,J173,"")</f>
        <v/>
      </c>
      <c r="K175" s="62" t="str">
        <f>IF(K16=C175,K173,"")</f>
        <v/>
      </c>
      <c r="L175" s="62" t="str">
        <f>IF(L16=C175,L173,"")</f>
        <v/>
      </c>
      <c r="M175" s="62" t="str">
        <f>IF(M16=C175,M173,"")</f>
        <v/>
      </c>
      <c r="N175" s="62" t="str">
        <f>IF(N16=C175,N173,"")</f>
        <v/>
      </c>
      <c r="O175" s="62" t="str">
        <f>IF(O16=C175,O173,"")</f>
        <v/>
      </c>
      <c r="P175" s="223"/>
      <c r="Q175" s="223"/>
      <c r="R175" s="7"/>
      <c r="S175" s="7"/>
      <c r="T175" s="7"/>
      <c r="U175" s="7"/>
      <c r="V175" s="7"/>
      <c r="W175" s="223"/>
      <c r="X175" s="7"/>
    </row>
    <row r="176" spans="1:31" hidden="1">
      <c r="B176" s="7"/>
      <c r="C176" s="66" t="s">
        <v>28</v>
      </c>
      <c r="D176" s="67" t="str">
        <f>IF(D16=C176,D173,"")</f>
        <v/>
      </c>
      <c r="E176" s="67" t="str">
        <f>IF(E16=C176,E173,"")</f>
        <v/>
      </c>
      <c r="F176" s="67" t="str">
        <f>IF(F16=C176,F173,"")</f>
        <v/>
      </c>
      <c r="G176" s="67" t="str">
        <f>IF(G16=C176,G173,"")</f>
        <v/>
      </c>
      <c r="H176" s="67" t="str">
        <f>IF(H16=C176,H173,"")</f>
        <v/>
      </c>
      <c r="I176" s="67" t="str">
        <f>IF(I16=C176,I173,"")</f>
        <v/>
      </c>
      <c r="J176" s="67" t="str">
        <f>IF(J16=C176,J173,"")</f>
        <v/>
      </c>
      <c r="K176" s="67" t="str">
        <f>IF(K16=C176,K173,"")</f>
        <v/>
      </c>
      <c r="L176" s="67" t="str">
        <f>IF(L16=C176,L173,"")</f>
        <v/>
      </c>
      <c r="M176" s="67" t="str">
        <f>IF(M16=C176,M173,"")</f>
        <v/>
      </c>
      <c r="N176" s="67" t="str">
        <f>IF(N16=C176,N173,"")</f>
        <v/>
      </c>
      <c r="O176" s="67" t="str">
        <f>IF(O16=C176,O173,"")</f>
        <v/>
      </c>
      <c r="P176" s="223"/>
      <c r="Q176" s="223"/>
      <c r="R176" s="7"/>
      <c r="S176" s="7"/>
      <c r="T176" s="7"/>
      <c r="U176" s="7"/>
      <c r="V176" s="7"/>
      <c r="W176" s="223"/>
      <c r="X176" s="7"/>
    </row>
    <row r="177" spans="2:24" hidden="1">
      <c r="B177" s="7"/>
      <c r="C177" s="17" t="s">
        <v>34</v>
      </c>
      <c r="D177" s="54">
        <f>IF(D16=C177,D173,"")</f>
        <v>64.38356164383562</v>
      </c>
      <c r="E177" s="54">
        <f>IF(E16=C177,E173,"")</f>
        <v>90.410958904109577</v>
      </c>
      <c r="F177" s="54" t="str">
        <f>IF(F16=C177,F173,"")</f>
        <v/>
      </c>
      <c r="G177" s="54" t="str">
        <f>IF(G16=C177,G173,"")</f>
        <v/>
      </c>
      <c r="H177" s="54" t="str">
        <f>IF(H16=C177,H173,"")</f>
        <v/>
      </c>
      <c r="I177" s="54" t="str">
        <f>IF(I16=C177,I173,"")</f>
        <v/>
      </c>
      <c r="J177" s="54">
        <f>IF(J16=C177,J173,"")</f>
        <v>95.890410958904098</v>
      </c>
      <c r="K177" s="54">
        <f>IF(K16=C177,K173,"")</f>
        <v>80.555555555555557</v>
      </c>
      <c r="L177" s="54" t="str">
        <f>IF(L16=C177,L173,"")</f>
        <v/>
      </c>
      <c r="M177" s="54" t="str">
        <f>IF(M16=C177,M173,"")</f>
        <v/>
      </c>
      <c r="N177" s="54" t="str">
        <f>IF(N16=C177,N173,"")</f>
        <v/>
      </c>
      <c r="O177" s="54" t="str">
        <f>IF(O16=C177,O173,"")</f>
        <v/>
      </c>
      <c r="P177" s="223"/>
      <c r="Q177" s="223"/>
      <c r="R177" s="7"/>
      <c r="S177" s="7"/>
      <c r="T177" s="7"/>
      <c r="U177" s="7"/>
      <c r="V177" s="7"/>
      <c r="W177" s="223"/>
      <c r="X177" s="7"/>
    </row>
    <row r="178" spans="2:24" hidden="1">
      <c r="B178" s="7"/>
      <c r="C178" s="17" t="s">
        <v>41</v>
      </c>
      <c r="D178" s="54" t="str">
        <f>IF(D16=C178,D173,"")</f>
        <v/>
      </c>
      <c r="E178" s="54" t="str">
        <f>IF(E16=C178,E173,"")</f>
        <v/>
      </c>
      <c r="F178" s="54">
        <f>IF(F16=C178,F173,"")</f>
        <v>65.753424657534239</v>
      </c>
      <c r="G178" s="54">
        <f>IF(G16=C178,G173,"")</f>
        <v>75.342465753424662</v>
      </c>
      <c r="H178" s="54" t="str">
        <f>IF(H16=C178,H173,"")</f>
        <v/>
      </c>
      <c r="I178" s="54" t="str">
        <f>IF(I16=C1729,I173,"")</f>
        <v/>
      </c>
      <c r="J178" s="54" t="str">
        <f>IF(J16=C178,J173,"")</f>
        <v/>
      </c>
      <c r="K178" s="54" t="str">
        <f>IF(K16=C178,K173,"")</f>
        <v/>
      </c>
      <c r="L178" s="54">
        <f>IF(L16=C178,L173,"")</f>
        <v>75.757575757575751</v>
      </c>
      <c r="M178" s="54">
        <f>IF(M16=C178,M173,"")</f>
        <v>84.848484848484844</v>
      </c>
      <c r="N178" s="54" t="str">
        <f>IF(N16=C178,N173,"")</f>
        <v/>
      </c>
      <c r="O178" s="54" t="str">
        <f>IF(O16=C178,O173,"")</f>
        <v/>
      </c>
      <c r="P178" s="223"/>
      <c r="Q178" s="223"/>
      <c r="R178" s="7"/>
      <c r="S178" s="7"/>
      <c r="T178" s="7"/>
      <c r="U178" s="7"/>
      <c r="V178" s="7"/>
      <c r="W178" s="223"/>
      <c r="X178" s="7"/>
    </row>
    <row r="179" spans="2:24" hidden="1">
      <c r="B179" s="7"/>
      <c r="C179" s="17" t="s">
        <v>50</v>
      </c>
      <c r="D179" s="54" t="str">
        <f>IF(D16=C179,D173,"")</f>
        <v/>
      </c>
      <c r="E179" s="54" t="str">
        <f>IF(E16=C179,E173,"")</f>
        <v/>
      </c>
      <c r="F179" s="54" t="str">
        <f>IF(F16=C179,F173,"")</f>
        <v/>
      </c>
      <c r="G179" s="54" t="str">
        <f>IF(G16=C179,G173,"")</f>
        <v/>
      </c>
      <c r="H179" s="54">
        <f>IF(H16=C179,H173,"")</f>
        <v>84.93150684931507</v>
      </c>
      <c r="I179" s="54">
        <f>IF(I16=C179,I173,"")</f>
        <v>73.972602739726028</v>
      </c>
      <c r="J179" s="54" t="str">
        <f>IF(J16=C179,J173,"")</f>
        <v/>
      </c>
      <c r="K179" s="54" t="str">
        <f>IF(K16=C179,K173,"")</f>
        <v/>
      </c>
      <c r="L179" s="54" t="str">
        <f>IF(L16=C179,L173,"")</f>
        <v/>
      </c>
      <c r="M179" s="54" t="str">
        <f>IF(M16=C179,M173,"")</f>
        <v/>
      </c>
      <c r="N179" s="54">
        <f>IF(N16=C179,N173,"")</f>
        <v>50</v>
      </c>
      <c r="O179" s="54">
        <f>IF(O16=C179,O173,"")</f>
        <v>62.5</v>
      </c>
      <c r="P179" s="223"/>
      <c r="Q179" s="223"/>
      <c r="R179" s="7"/>
      <c r="S179" s="7"/>
      <c r="T179" s="7"/>
      <c r="U179" s="7"/>
      <c r="V179" s="7"/>
      <c r="W179" s="223"/>
      <c r="X179" s="7"/>
    </row>
    <row r="180" spans="2:24" hidden="1">
      <c r="B180" s="5"/>
      <c r="C180" s="17" t="s">
        <v>57</v>
      </c>
      <c r="D180" s="54" t="str">
        <f>IF(D16=C180,D173,"")</f>
        <v/>
      </c>
      <c r="E180" s="54" t="str">
        <f>IF(E16=C180,E173,"")</f>
        <v/>
      </c>
      <c r="F180" s="54" t="str">
        <f>IF(F16=C180,F173,"")</f>
        <v/>
      </c>
      <c r="G180" s="54" t="str">
        <f>IF(G16=C180,G173,"")</f>
        <v/>
      </c>
      <c r="H180" s="54" t="str">
        <f>IF(H16=C180,H173,"")</f>
        <v/>
      </c>
      <c r="I180" s="54" t="str">
        <f>IF(I16=C180,I173,"")</f>
        <v/>
      </c>
      <c r="J180" s="54" t="str">
        <f>IF(J16=C180,J173,"")</f>
        <v/>
      </c>
      <c r="K180" s="54" t="str">
        <f>IF(K16=C180,K173,"")</f>
        <v/>
      </c>
      <c r="L180" s="54" t="str">
        <f>IF(L16=C180,L173,"")</f>
        <v/>
      </c>
      <c r="M180" s="54" t="str">
        <f>IF(M16=C180,M173,"")</f>
        <v/>
      </c>
      <c r="N180" s="54" t="str">
        <f>IF(N16=C180,N173,"")</f>
        <v/>
      </c>
      <c r="O180" s="54" t="str">
        <f>IF(O16=C180,O173,"")</f>
        <v/>
      </c>
      <c r="P180" s="5"/>
      <c r="Q180" s="5"/>
      <c r="R180" s="5"/>
      <c r="S180" s="5"/>
      <c r="T180" s="5"/>
      <c r="U180" s="5"/>
      <c r="V180" s="5"/>
      <c r="W180" s="5"/>
      <c r="X180" s="5"/>
    </row>
    <row r="181" spans="2:24"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</row>
    <row r="182" spans="2:24" ht="15" customHeight="1">
      <c r="C182" s="285" t="s">
        <v>253</v>
      </c>
      <c r="D182" s="286"/>
      <c r="E182" s="303" t="str">
        <f>E9 &amp; "% of students scoring &gt;= "&amp;$E$6&amp; "% marks"</f>
        <v>60% of students scoring &gt;= 60% marks</v>
      </c>
      <c r="F182" s="303"/>
      <c r="G182" s="303"/>
      <c r="H182" s="303"/>
      <c r="I182" s="303"/>
      <c r="K182" s="288" t="s">
        <v>246</v>
      </c>
      <c r="L182" s="288"/>
      <c r="M182" s="288" t="str">
        <f>"% of Students scoring &gt;= " &amp;E6 &amp;"% marks"</f>
        <v>% of Students scoring &gt;= 60% marks</v>
      </c>
      <c r="N182" s="288"/>
      <c r="O182" s="288" t="s">
        <v>254</v>
      </c>
      <c r="P182" s="288"/>
      <c r="Q182" s="84"/>
      <c r="R182" s="7"/>
      <c r="S182" s="7"/>
      <c r="T182" s="7"/>
      <c r="U182" s="7"/>
      <c r="V182" s="7"/>
      <c r="X182" s="7"/>
    </row>
    <row r="183" spans="2:24" ht="15" customHeight="1">
      <c r="C183" s="285" t="s">
        <v>255</v>
      </c>
      <c r="D183" s="286"/>
      <c r="E183" s="303" t="str">
        <f t="shared" ref="E183:E186" si="45">E10 &amp; "% of students scoring &gt;= "&amp;$E$6&amp; "% marks"</f>
        <v>59.9% of students scoring &gt;= 60% marks</v>
      </c>
      <c r="F183" s="303"/>
      <c r="G183" s="303"/>
      <c r="H183" s="303"/>
      <c r="I183" s="303"/>
      <c r="K183" s="288"/>
      <c r="L183" s="288"/>
      <c r="M183" s="288"/>
      <c r="N183" s="288"/>
      <c r="O183" s="288"/>
      <c r="P183" s="288"/>
      <c r="Q183" s="84"/>
      <c r="R183" s="7"/>
      <c r="S183" s="7"/>
      <c r="T183" s="7"/>
      <c r="U183" s="7"/>
      <c r="V183" s="7"/>
      <c r="X183" s="7"/>
    </row>
    <row r="184" spans="2:24" ht="15" customHeight="1">
      <c r="C184" s="285" t="s">
        <v>256</v>
      </c>
      <c r="D184" s="286"/>
      <c r="E184" s="303" t="str">
        <f t="shared" si="45"/>
        <v>50% of students scoring &gt;= 60% marks</v>
      </c>
      <c r="F184" s="303"/>
      <c r="G184" s="303"/>
      <c r="H184" s="303"/>
      <c r="I184" s="303"/>
      <c r="K184" s="304" t="str">
        <f>C175</f>
        <v>CO 1</v>
      </c>
      <c r="L184" s="304"/>
      <c r="M184" s="305">
        <f>IFERROR((SUM(D175:O175)+SUM('1'!D175:O175))/(COUNTIF(D175:O175,"&gt;=0")+COUNTIF('1'!D175:O175,"&gt;=0")),0)</f>
        <v>79.814889426090062</v>
      </c>
      <c r="N184" s="305"/>
      <c r="O184" s="281">
        <f>IF(M184&gt;=E9,D9,IF(AND(M184&gt;=E10,M184&lt;E9),D10,IF(AND(M184&gt;=E11,M184&lt;E10),D11,IF(AND(M184&gt;=E12,M184&lt;E11),D12,IF(AND(M184&gt;=E13,M184&lt;E12),D13,0)))))</f>
        <v>3</v>
      </c>
      <c r="P184" s="281"/>
      <c r="Q184" s="85"/>
      <c r="R184" s="7"/>
      <c r="S184" s="7"/>
      <c r="T184" s="7"/>
      <c r="U184" s="7"/>
      <c r="V184" s="114" t="e">
        <f>#REF!</f>
        <v>#REF!</v>
      </c>
      <c r="X184" s="7"/>
    </row>
    <row r="185" spans="2:24" ht="15" customHeight="1">
      <c r="C185" s="285" t="s">
        <v>257</v>
      </c>
      <c r="D185" s="286"/>
      <c r="E185" s="303" t="str">
        <f t="shared" si="45"/>
        <v>49.9% of students scoring &gt;= 60% marks</v>
      </c>
      <c r="F185" s="303"/>
      <c r="G185" s="303"/>
      <c r="H185" s="303"/>
      <c r="I185" s="303"/>
      <c r="K185" s="304" t="str">
        <f>C176</f>
        <v>CO 2</v>
      </c>
      <c r="L185" s="304"/>
      <c r="M185" s="305">
        <f>IFERROR((SUM(D176:O176)+SUM('1'!D176:O176))/(COUNTIF(D176:O176,"&gt;=0")+COUNTIF('1'!D176:O176,"&gt;=0")),0)</f>
        <v>66.460495364604952</v>
      </c>
      <c r="N185" s="305"/>
      <c r="O185" s="281">
        <f>IF(M185&gt;=E9,D9,IF(AND(M185&gt;=E10,M185&lt;E9),D10,IF(AND(M185&gt;=E11,M185&lt;E10),D11,IF(AND(M185&gt;=E12,M185&lt;E11),D12,IF(AND(M185&gt;=E13,M185&lt;E12),D13,0)))))</f>
        <v>3</v>
      </c>
      <c r="P185" s="281"/>
      <c r="Q185" s="85"/>
      <c r="R185" s="7"/>
      <c r="S185" s="7"/>
      <c r="T185" s="7"/>
      <c r="U185" s="7"/>
      <c r="V185" s="114" t="e">
        <f>#REF!</f>
        <v>#REF!</v>
      </c>
      <c r="X185" s="7"/>
    </row>
    <row r="186" spans="2:24" ht="15" customHeight="1">
      <c r="C186" s="285" t="s">
        <v>258</v>
      </c>
      <c r="D186" s="286"/>
      <c r="E186" s="303" t="str">
        <f t="shared" si="45"/>
        <v>0% of students scoring &gt;= 60% marks</v>
      </c>
      <c r="F186" s="303"/>
      <c r="G186" s="303"/>
      <c r="H186" s="303"/>
      <c r="I186" s="303"/>
      <c r="K186" s="304" t="str">
        <f>C177</f>
        <v>CO 3</v>
      </c>
      <c r="L186" s="304"/>
      <c r="M186" s="305">
        <f>IFERROR((SUM(D177:O177)+SUM('1'!D177:O177))/(COUNTIF(D177:O177,"&gt;=0")+COUNTIF('1'!D177:O177,"&gt;=0")),0)</f>
        <v>82.81012176560121</v>
      </c>
      <c r="N186" s="305"/>
      <c r="O186" s="293">
        <f>IF(M186&gt;=E9,D9,IF(AND(M186&gt;=E10,M186&lt;E9),D10,IF(AND(M186&gt;=E11,M186&lt;E10),D11,IF(AND(M186&gt;=E12,M186&lt;E11),D12,IF(AND(M186&gt;=E13,M186&lt;E12),D13,0)))))</f>
        <v>3</v>
      </c>
      <c r="P186" s="293"/>
      <c r="Q186" s="86"/>
      <c r="R186" s="7"/>
      <c r="S186" s="7"/>
      <c r="T186" s="7"/>
      <c r="U186" s="7"/>
      <c r="V186" s="114" t="e">
        <f>#REF!</f>
        <v>#REF!</v>
      </c>
      <c r="X186" s="7"/>
    </row>
    <row r="187" spans="2:24" ht="15" customHeight="1">
      <c r="K187" s="304" t="str">
        <f>C178</f>
        <v>CO 4</v>
      </c>
      <c r="L187" s="304"/>
      <c r="M187" s="305">
        <f>IFERROR((SUM(D178:O178)+SUM('1'!D178:O178))/(COUNTIF(D178:O178,"&gt;=0")+COUNTIF('1'!D178:O178,"&gt;=0")),0)</f>
        <v>75.425487754254874</v>
      </c>
      <c r="N187" s="305"/>
      <c r="O187" s="293">
        <f>IF(M187&gt;=E9,D9,IF(AND(M187&gt;=E10,M187&lt;E9),D10,IF(AND(M187&gt;=E11,M187&lt;E10),D11,IF(AND(M187&gt;=E12,M187&lt;E11),D12,IF(AND(M187&gt;=E13,M187&lt;E12),D13,0)))))</f>
        <v>3</v>
      </c>
      <c r="P187" s="293"/>
      <c r="Q187" s="86"/>
      <c r="V187" s="114" t="e">
        <f>#REF!</f>
        <v>#REF!</v>
      </c>
    </row>
    <row r="188" spans="2:24" ht="15" customHeight="1">
      <c r="K188" s="304" t="str">
        <f>C179</f>
        <v>CO 5</v>
      </c>
      <c r="L188" s="304"/>
      <c r="M188" s="305">
        <f>IFERROR((SUM(D179:O179)+SUM('1'!D179:O179))/(COUNTIF(D179:O179,"&gt;=0")+COUNTIF('1'!D179:O179,"&gt;=0")),0)</f>
        <v>67.851027397260282</v>
      </c>
      <c r="N188" s="305"/>
      <c r="O188" s="293">
        <f>IF(M188&gt;=E9,D9,IF(AND(M188&gt;=E10,M188&lt;E9),D10,IF(AND(M188&gt;=E11,M188&lt;E10),D11,IF(AND(M188&gt;=E12,M188&lt;E11),D12,IF(AND(M188&gt;=E13,M188&lt;E12),D13,0)))))</f>
        <v>3</v>
      </c>
      <c r="P188" s="293"/>
      <c r="Q188" s="86"/>
      <c r="V188" s="114" t="e">
        <f>#REF!</f>
        <v>#REF!</v>
      </c>
    </row>
    <row r="189" spans="2:24">
      <c r="K189" s="304" t="s">
        <v>57</v>
      </c>
      <c r="L189" s="304"/>
      <c r="M189" s="305">
        <f>IFERROR((SUM(D180:O180)+SUM('1'!D180:O180))/(COUNTIF(D180:O180,"&gt;=0")+COUNTIF('1'!D180:O180,"&gt;=0")),0)</f>
        <v>0</v>
      </c>
      <c r="N189" s="305"/>
      <c r="O189" s="293">
        <f>IF(M189&gt;=E9,D9,IF(AND(M189&gt;=E10,M189&lt;E9),D10,IF(AND(M189&gt;=E11,M189&lt;E10),D11,IF(AND(M189&gt;=E12,M189&lt;E11),D12,IF(AND(M189&gt;=E13,M189&lt;E12),D13,0)))))</f>
        <v>1</v>
      </c>
      <c r="P189" s="293"/>
    </row>
    <row r="190" spans="2:24"/>
    <row r="191" spans="2:24">
      <c r="O191" s="68"/>
    </row>
    <row r="192" spans="2:24"/>
    <row r="193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spans="10:11" hidden="1"/>
    <row r="210" spans="10:11" hidden="1">
      <c r="J210" s="8" t="s">
        <v>261</v>
      </c>
      <c r="K210" s="8" t="str">
        <f>M182</f>
        <v>% of Students scoring &gt;= 60% marks</v>
      </c>
    </row>
    <row r="211" spans="10:11" hidden="1">
      <c r="J211" s="8" t="s">
        <v>262</v>
      </c>
      <c r="K211" s="8">
        <f>E4+E5</f>
        <v>73</v>
      </c>
    </row>
  </sheetData>
  <sheetProtection selectLockedCells="1"/>
  <dataConsolidate/>
  <mergeCells count="50">
    <mergeCell ref="K189:L189"/>
    <mergeCell ref="M189:N189"/>
    <mergeCell ref="O189:P189"/>
    <mergeCell ref="K188:L188"/>
    <mergeCell ref="M188:N188"/>
    <mergeCell ref="O188:P188"/>
    <mergeCell ref="K186:L186"/>
    <mergeCell ref="M186:N186"/>
    <mergeCell ref="O186:P186"/>
    <mergeCell ref="K187:L187"/>
    <mergeCell ref="M187:N187"/>
    <mergeCell ref="O187:P187"/>
    <mergeCell ref="K184:L184"/>
    <mergeCell ref="M184:N184"/>
    <mergeCell ref="O184:P184"/>
    <mergeCell ref="M182:N183"/>
    <mergeCell ref="K185:L185"/>
    <mergeCell ref="M185:N185"/>
    <mergeCell ref="O185:P185"/>
    <mergeCell ref="B172:C172"/>
    <mergeCell ref="B173:C173"/>
    <mergeCell ref="K182:L183"/>
    <mergeCell ref="B14:P14"/>
    <mergeCell ref="B5:D5"/>
    <mergeCell ref="G5:K5"/>
    <mergeCell ref="L5:M5"/>
    <mergeCell ref="B6:D6"/>
    <mergeCell ref="E8:I8"/>
    <mergeCell ref="F9:H9"/>
    <mergeCell ref="F10:H10"/>
    <mergeCell ref="F11:H11"/>
    <mergeCell ref="F12:H12"/>
    <mergeCell ref="F13:H13"/>
    <mergeCell ref="N5:P5"/>
    <mergeCell ref="O182:P183"/>
    <mergeCell ref="B1:P1"/>
    <mergeCell ref="B2:P2"/>
    <mergeCell ref="B4:D4"/>
    <mergeCell ref="L4:M4"/>
    <mergeCell ref="N4:P4"/>
    <mergeCell ref="C185:D185"/>
    <mergeCell ref="C186:D186"/>
    <mergeCell ref="E182:I182"/>
    <mergeCell ref="E183:I183"/>
    <mergeCell ref="E184:I184"/>
    <mergeCell ref="E185:I185"/>
    <mergeCell ref="E186:I186"/>
    <mergeCell ref="C182:D182"/>
    <mergeCell ref="C183:D183"/>
    <mergeCell ref="C184:D184"/>
  </mergeCells>
  <conditionalFormatting sqref="W17:W18 P17:Q18">
    <cfRule type="expression" dxfId="12225" priority="64">
      <formula>"AND(OR(AA12=0,ISBLANK(J12)),NOT(ISBLANK(B12)))"</formula>
    </cfRule>
  </conditionalFormatting>
  <conditionalFormatting sqref="D20:D169">
    <cfRule type="cellIs" dxfId="12224" priority="62" operator="notBetween">
      <formula>0</formula>
      <formula>1</formula>
    </cfRule>
    <cfRule type="expression" dxfId="12223" priority="63">
      <formula>AND(A20=B20,ISBLANK(D20))</formula>
    </cfRule>
  </conditionalFormatting>
  <conditionalFormatting sqref="E20:E169">
    <cfRule type="expression" dxfId="12222" priority="60">
      <formula>AND(A20=B20,ISBLANK(E20))</formula>
    </cfRule>
    <cfRule type="cellIs" dxfId="12221" priority="61" operator="notBetween">
      <formula>0</formula>
      <formula>1</formula>
    </cfRule>
  </conditionalFormatting>
  <conditionalFormatting sqref="E21:E169">
    <cfRule type="expression" dxfId="12220" priority="58">
      <formula>AND(A21=B21,ISBLANK(E21))</formula>
    </cfRule>
    <cfRule type="cellIs" dxfId="12219" priority="59" operator="notBetween">
      <formula>0</formula>
      <formula>1</formula>
    </cfRule>
  </conditionalFormatting>
  <conditionalFormatting sqref="F20:F169">
    <cfRule type="expression" dxfId="12218" priority="56">
      <formula>AND(A20=B20,ISBLANK(F20))</formula>
    </cfRule>
    <cfRule type="cellIs" dxfId="12217" priority="57" operator="notBetween">
      <formula>0</formula>
      <formula>1</formula>
    </cfRule>
  </conditionalFormatting>
  <conditionalFormatting sqref="G20:G169">
    <cfRule type="expression" dxfId="12216" priority="54">
      <formula>AND(A20=B20,ISBLANK(G20))</formula>
    </cfRule>
    <cfRule type="cellIs" dxfId="12215" priority="55" operator="notBetween">
      <formula>0</formula>
      <formula>1</formula>
    </cfRule>
  </conditionalFormatting>
  <conditionalFormatting sqref="H20:H169">
    <cfRule type="expression" dxfId="12214" priority="52">
      <formula>AND(A20=B20,ISBLANK(H20))</formula>
    </cfRule>
    <cfRule type="cellIs" dxfId="12213" priority="53" operator="notBetween">
      <formula>0</formula>
      <formula>1</formula>
    </cfRule>
  </conditionalFormatting>
  <conditionalFormatting sqref="I20:I169">
    <cfRule type="expression" dxfId="12212" priority="50">
      <formula>AND(A20=B20,ISBLANK(I20))</formula>
    </cfRule>
    <cfRule type="cellIs" dxfId="12211" priority="51" operator="notBetween">
      <formula>0</formula>
      <formula>1</formula>
    </cfRule>
  </conditionalFormatting>
  <conditionalFormatting sqref="D17:D18 E18:O18">
    <cfRule type="expression" dxfId="12210" priority="49">
      <formula>"if($S$8&lt;&gt;27)"</formula>
    </cfRule>
  </conditionalFormatting>
  <conditionalFormatting sqref="J17:K18">
    <cfRule type="expression" dxfId="12209" priority="48">
      <formula>SUM($J$17:$K$17)&lt;&gt;7</formula>
    </cfRule>
  </conditionalFormatting>
  <conditionalFormatting sqref="L17:M18">
    <cfRule type="expression" dxfId="12208" priority="47">
      <formula>SUM($L$17:$M$17)&lt;&gt;7</formula>
    </cfRule>
  </conditionalFormatting>
  <conditionalFormatting sqref="N17:O18">
    <cfRule type="expression" dxfId="12207" priority="46">
      <formula>SUM($N$17:$O$17)&lt;&gt;7</formula>
    </cfRule>
  </conditionalFormatting>
  <conditionalFormatting sqref="D140:D168">
    <cfRule type="cellIs" dxfId="12206" priority="14" operator="notBetween">
      <formula>0</formula>
      <formula>1</formula>
    </cfRule>
    <cfRule type="expression" dxfId="12205" priority="15">
      <formula>AND(A140=B140,ISBLANK(D140))</formula>
    </cfRule>
  </conditionalFormatting>
  <conditionalFormatting sqref="E140:E168">
    <cfRule type="expression" dxfId="12204" priority="12">
      <formula>AND(A140=B140,ISBLANK(E140))</formula>
    </cfRule>
    <cfRule type="cellIs" dxfId="12203" priority="13" operator="notBetween">
      <formula>0</formula>
      <formula>1</formula>
    </cfRule>
  </conditionalFormatting>
  <conditionalFormatting sqref="E140:E168">
    <cfRule type="expression" dxfId="12202" priority="10">
      <formula>AND(A140=B140,ISBLANK(E140))</formula>
    </cfRule>
    <cfRule type="cellIs" dxfId="12201" priority="11" operator="notBetween">
      <formula>0</formula>
      <formula>1</formula>
    </cfRule>
  </conditionalFormatting>
  <conditionalFormatting sqref="F140:F168">
    <cfRule type="expression" dxfId="12200" priority="8">
      <formula>AND(A140=B140,ISBLANK(F140))</formula>
    </cfRule>
    <cfRule type="cellIs" dxfId="12199" priority="9" operator="notBetween">
      <formula>0</formula>
      <formula>1</formula>
    </cfRule>
  </conditionalFormatting>
  <conditionalFormatting sqref="G140:G168">
    <cfRule type="expression" dxfId="12198" priority="6">
      <formula>AND(A140=B140,ISBLANK(G140))</formula>
    </cfRule>
    <cfRule type="cellIs" dxfId="12197" priority="7" operator="notBetween">
      <formula>0</formula>
      <formula>1</formula>
    </cfRule>
  </conditionalFormatting>
  <conditionalFormatting sqref="H140:H168">
    <cfRule type="expression" dxfId="12196" priority="4">
      <formula>AND(A140=B140,ISBLANK(H140))</formula>
    </cfRule>
    <cfRule type="cellIs" dxfId="12195" priority="5" operator="notBetween">
      <formula>0</formula>
      <formula>1</formula>
    </cfRule>
  </conditionalFormatting>
  <conditionalFormatting sqref="I140:I168">
    <cfRule type="expression" dxfId="12194" priority="2">
      <formula>AND(A140=B140,ISBLANK(I140))</formula>
    </cfRule>
    <cfRule type="cellIs" dxfId="12193" priority="3" operator="notBetween">
      <formula>0</formula>
      <formula>1</formula>
    </cfRule>
  </conditionalFormatting>
  <conditionalFormatting sqref="J20">
    <cfRule type="expression" priority="16664" stopIfTrue="1">
      <formula>"ISBLANK($K$181)"</formula>
    </cfRule>
    <cfRule type="expression" dxfId="12192" priority="16665">
      <formula>AND(OR(AE20=0,ISBLANK(J20)),B20&lt;&gt;"")</formula>
    </cfRule>
    <cfRule type="expression" dxfId="12191" priority="16666">
      <formula>AND(J20="NA",NOT(ISTEXT(K20)))</formula>
    </cfRule>
    <cfRule type="expression" dxfId="12190" priority="16667">
      <formula>AND(AE20&gt;2,J20="NA")</formula>
    </cfRule>
    <cfRule type="expression" dxfId="12189" priority="16668">
      <formula>AND(J20&lt;&gt;"NA",J20&gt;$J$17)</formula>
    </cfRule>
  </conditionalFormatting>
  <conditionalFormatting sqref="K20:K169">
    <cfRule type="expression" priority="16669" stopIfTrue="1">
      <formula>"ISBLANK($K$181)"</formula>
    </cfRule>
    <cfRule type="expression" dxfId="12188" priority="16670">
      <formula>AND(OR(AE20=0,ISBLANK(K20)),B20&lt;&gt;"")</formula>
    </cfRule>
    <cfRule type="expression" dxfId="12187" priority="16671">
      <formula>AND(K20="NA",NOT(ISTEXT(J20)))</formula>
    </cfRule>
    <cfRule type="expression" dxfId="12186" priority="16672">
      <formula>AND(AE20&gt;2,K20="NA")</formula>
    </cfRule>
    <cfRule type="expression" dxfId="12185" priority="16673">
      <formula>AND(K20&lt;&gt;"NA",K20&gt;$K$17)</formula>
    </cfRule>
  </conditionalFormatting>
  <conditionalFormatting sqref="L20:L169">
    <cfRule type="expression" priority="16674" stopIfTrue="1">
      <formula>"ISBLANK($K$181)"</formula>
    </cfRule>
    <cfRule type="expression" dxfId="12184" priority="16675">
      <formula>AND(OR(AE20=0,ISBLANK(L20)),B20&lt;&gt;"")</formula>
    </cfRule>
    <cfRule type="expression" dxfId="12183" priority="16676">
      <formula>AND(L20="NA",NOT(ISTEXT(M20)))</formula>
    </cfRule>
    <cfRule type="expression" dxfId="12182" priority="16677">
      <formula>AND(AE20&gt;2,L20="NA")</formula>
    </cfRule>
    <cfRule type="expression" dxfId="12181" priority="16678">
      <formula>AND(L20&lt;&gt;"NA",L20&gt;$L$17)</formula>
    </cfRule>
  </conditionalFormatting>
  <conditionalFormatting sqref="M20:M169">
    <cfRule type="expression" priority="16679" stopIfTrue="1">
      <formula>"ISBLANK($K$181)"</formula>
    </cfRule>
    <cfRule type="expression" dxfId="12180" priority="16680">
      <formula>AND(OR(AE20=0,ISBLANK(M20)),B20&lt;&gt;"")</formula>
    </cfRule>
    <cfRule type="expression" dxfId="12179" priority="16681">
      <formula>AND(M20="NA",NOT(ISTEXT(L20)))</formula>
    </cfRule>
    <cfRule type="expression" dxfId="12178" priority="16682">
      <formula>AND(AE20&gt;2,M20="NA")</formula>
    </cfRule>
    <cfRule type="expression" dxfId="12177" priority="16683">
      <formula>AND(M20&lt;&gt;"NA",M20&gt;$M$17)</formula>
    </cfRule>
  </conditionalFormatting>
  <conditionalFormatting sqref="N20:N169">
    <cfRule type="expression" priority="16684" stopIfTrue="1">
      <formula>"ISBLANK($K$181)"</formula>
    </cfRule>
    <cfRule type="expression" dxfId="12176" priority="16685">
      <formula>AND(OR(AE20=0,ISBLANK(N20)),B20&lt;&gt;"")</formula>
    </cfRule>
    <cfRule type="expression" dxfId="12175" priority="16686">
      <formula>AND(N20="NA",NOT(ISTEXT(O20)))</formula>
    </cfRule>
    <cfRule type="expression" dxfId="12174" priority="16687">
      <formula>AND(AE20&gt;2,N20="NA")</formula>
    </cfRule>
    <cfRule type="expression" dxfId="12173" priority="16688">
      <formula>AND(N20&lt;&gt;"NA",N20&gt;$N$17)</formula>
    </cfRule>
  </conditionalFormatting>
  <conditionalFormatting sqref="O20:O169">
    <cfRule type="expression" priority="16689" stopIfTrue="1">
      <formula>"ISBLANK($K$181)"</formula>
    </cfRule>
    <cfRule type="expression" dxfId="12172" priority="16690">
      <formula>AND(OR(AE20=0,ISBLANK(O20)),B20&lt;&gt;"")</formula>
    </cfRule>
    <cfRule type="expression" dxfId="12171" priority="16691">
      <formula>AND(O20="NA",NOT(ISTEXT(N20)))</formula>
    </cfRule>
    <cfRule type="expression" dxfId="12170" priority="16692">
      <formula>AND(AE20&gt;2,O20="NA")</formula>
    </cfRule>
    <cfRule type="expression" dxfId="12169" priority="16693">
      <formula>AND(O20&lt;&gt;"NA",O20&gt;$O$17)</formula>
    </cfRule>
  </conditionalFormatting>
  <conditionalFormatting sqref="J21:J169">
    <cfRule type="expression" priority="16694" stopIfTrue="1">
      <formula>"ISBLANK($J$181)"</formula>
    </cfRule>
    <cfRule type="expression" dxfId="12168" priority="16695">
      <formula>AND(OR(AE21=0,ISBLANK(J21)),B21&lt;&gt;"")</formula>
    </cfRule>
    <cfRule type="expression" dxfId="12167" priority="16696">
      <formula>AND(J21="NA",NOT(ISTEXT(K21)))</formula>
    </cfRule>
    <cfRule type="expression" dxfId="12166" priority="16697">
      <formula>AND(AE21&gt;2,J21="NA")</formula>
    </cfRule>
    <cfRule type="expression" dxfId="12165" priority="16698">
      <formula>AND(J21&lt;&gt;"NA",J21&gt;$J$17)</formula>
    </cfRule>
  </conditionalFormatting>
  <dataValidations count="2">
    <dataValidation type="list" allowBlank="1" showInputMessage="1" showErrorMessage="1" prompt=" - " sqref="D16:O16">
      <formula1>$X$20:$X$25</formula1>
    </dataValidation>
    <dataValidation errorStyle="warning" showErrorMessage="1" errorTitle="More NA" error="You cannot have more than 2 NA's for each student" sqref="J20:O20"/>
  </dataValidations>
  <printOptions horizontalCentered="1"/>
  <pageMargins left="0.43307086614173229" right="0.19685039370078741" top="0.31496062992125984" bottom="0.31496062992125984" header="0.31496062992125984" footer="0.31496062992125984"/>
  <pageSetup paperSize="9" scale="81" orientation="landscape" r:id="rId1"/>
  <rowBreaks count="1" manualBreakCount="1">
    <brk id="169" max="16383" man="1"/>
  </rowBreaks>
  <colBreaks count="1" manualBreakCount="1">
    <brk id="23" max="184" man="1"/>
  </colBreak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pageSetUpPr fitToPage="1"/>
  </sheetPr>
  <dimension ref="A1:P272"/>
  <sheetViews>
    <sheetView topLeftCell="B1" zoomScaleSheetLayoutView="90" workbookViewId="0">
      <pane ySplit="16" topLeftCell="A166" activePane="bottomLeft" state="frozen"/>
      <selection activeCell="AF6" sqref="AF6"/>
      <selection pane="bottomLeft" activeCell="B14" sqref="A1:XFD14"/>
    </sheetView>
  </sheetViews>
  <sheetFormatPr defaultColWidth="0" defaultRowHeight="15" customHeight="1" zeroHeight="1"/>
  <cols>
    <col min="1" max="1" width="9.140625" style="24" hidden="1" customWidth="1"/>
    <col min="2" max="2" width="9.7109375" style="23" customWidth="1"/>
    <col min="3" max="3" width="22.7109375" style="24" customWidth="1"/>
    <col min="4" max="5" width="8.85546875" style="24" customWidth="1"/>
    <col min="6" max="6" width="9.140625" style="24" customWidth="1"/>
    <col min="7" max="7" width="16.85546875" style="25" customWidth="1"/>
    <col min="8" max="9" width="9.7109375" style="24" customWidth="1"/>
    <col min="10" max="10" width="8" style="24" customWidth="1"/>
    <col min="11" max="11" width="9.140625" style="25" customWidth="1"/>
    <col min="12" max="15" width="9.140625" style="24" hidden="1" customWidth="1"/>
    <col min="16" max="16" width="9.7109375" style="24" hidden="1" customWidth="1"/>
    <col min="17" max="16384" width="9.140625" style="24" hidden="1"/>
  </cols>
  <sheetData>
    <row r="1" spans="2:11" ht="15" hidden="1" customHeight="1">
      <c r="B1" s="282" t="s">
        <v>0</v>
      </c>
      <c r="C1" s="282"/>
      <c r="D1" s="282"/>
      <c r="E1" s="282"/>
      <c r="F1" s="282"/>
      <c r="G1" s="282"/>
      <c r="H1" s="282"/>
      <c r="I1" s="282"/>
      <c r="J1" s="282"/>
      <c r="K1" s="282"/>
    </row>
    <row r="2" spans="2:11" ht="15" hidden="1" customHeight="1">
      <c r="B2" s="282" t="str">
        <f>INPUT!E4</f>
        <v>Department of Computer Science &amp; Engineering</v>
      </c>
      <c r="C2" s="282"/>
      <c r="D2" s="282"/>
      <c r="E2" s="282"/>
      <c r="F2" s="282"/>
      <c r="G2" s="282"/>
      <c r="H2" s="282"/>
      <c r="I2" s="282"/>
      <c r="J2" s="282"/>
      <c r="K2" s="282"/>
    </row>
    <row r="3" spans="2:11" ht="15" hidden="1" customHeight="1">
      <c r="B3" s="49" t="s">
        <v>231</v>
      </c>
      <c r="C3" s="106" t="str">
        <f>INPUT!E5</f>
        <v>2018-19</v>
      </c>
      <c r="D3" s="222"/>
      <c r="E3" s="48" t="s">
        <v>232</v>
      </c>
      <c r="F3" s="317" t="str">
        <f>INPUT!E6</f>
        <v>3/4</v>
      </c>
      <c r="G3" s="318"/>
      <c r="H3" s="215" t="s">
        <v>233</v>
      </c>
      <c r="I3" s="319" t="str">
        <f>INPUT!E7</f>
        <v>II</v>
      </c>
      <c r="J3" s="320"/>
      <c r="K3" s="320"/>
    </row>
    <row r="4" spans="2:11" ht="36" hidden="1" customHeight="1">
      <c r="B4" s="312" t="s">
        <v>234</v>
      </c>
      <c r="C4" s="313"/>
      <c r="D4" s="216">
        <f>INPUT!E8</f>
        <v>73</v>
      </c>
      <c r="E4" s="314" t="s">
        <v>236</v>
      </c>
      <c r="F4" s="289" t="str">
        <f>INPUT!E10</f>
        <v>Web Programming &amp; Services</v>
      </c>
      <c r="G4" s="290"/>
      <c r="H4" s="315" t="str">
        <f>INPUT!B11</f>
        <v>Name of the Faculty (A)</v>
      </c>
      <c r="I4" s="316"/>
      <c r="J4" s="310" t="str">
        <f>INPUT!E11</f>
        <v>S. Vinay Kumar</v>
      </c>
      <c r="K4" s="311"/>
    </row>
    <row r="5" spans="2:11" ht="30.75" hidden="1" customHeight="1">
      <c r="B5" s="312" t="s">
        <v>235</v>
      </c>
      <c r="C5" s="313"/>
      <c r="D5" s="216">
        <f>INPUT!E9</f>
        <v>0</v>
      </c>
      <c r="E5" s="314"/>
      <c r="F5" s="291"/>
      <c r="G5" s="292"/>
      <c r="H5" s="299" t="s">
        <v>65</v>
      </c>
      <c r="I5" s="301"/>
      <c r="J5" s="310" t="str">
        <f>INPUT!E12</f>
        <v>M.S.V.Sashi Kumar</v>
      </c>
      <c r="K5" s="311"/>
    </row>
    <row r="6" spans="2:11" ht="15" hidden="1" customHeight="1">
      <c r="B6" s="312" t="s">
        <v>263</v>
      </c>
      <c r="C6" s="321"/>
      <c r="D6" s="107">
        <f>INPUT!E13</f>
        <v>60</v>
      </c>
      <c r="F6" s="70"/>
      <c r="G6" s="83"/>
      <c r="H6" s="83"/>
      <c r="I6" s="83"/>
      <c r="J6" s="223"/>
      <c r="K6" s="223"/>
    </row>
    <row r="7" spans="2:11" ht="15" hidden="1" customHeight="1">
      <c r="B7" s="72"/>
      <c r="C7" s="72"/>
      <c r="D7" s="69"/>
      <c r="E7" s="213"/>
      <c r="F7" s="70"/>
      <c r="G7" s="83"/>
      <c r="H7" s="83"/>
      <c r="I7" s="83"/>
      <c r="J7" s="223"/>
      <c r="K7" s="223"/>
    </row>
    <row r="8" spans="2:11" ht="15" hidden="1" customHeight="1">
      <c r="B8" s="69"/>
      <c r="D8" s="211" t="s">
        <v>96</v>
      </c>
      <c r="E8" s="251" t="s">
        <v>97</v>
      </c>
      <c r="F8" s="251"/>
      <c r="G8" s="251"/>
      <c r="H8" s="251"/>
      <c r="I8" s="251"/>
      <c r="J8" s="223"/>
      <c r="K8" s="223"/>
    </row>
    <row r="9" spans="2:11" ht="15" hidden="1" customHeight="1">
      <c r="B9" s="69"/>
      <c r="D9" s="221">
        <v>3</v>
      </c>
      <c r="E9" s="216">
        <v>60</v>
      </c>
      <c r="F9" s="314" t="s">
        <v>104</v>
      </c>
      <c r="G9" s="314"/>
      <c r="H9" s="314"/>
      <c r="I9" s="100">
        <f>D6</f>
        <v>60</v>
      </c>
      <c r="J9" s="223"/>
      <c r="K9" s="223"/>
    </row>
    <row r="10" spans="2:11" ht="15" hidden="1" customHeight="1">
      <c r="B10" s="69"/>
      <c r="D10" s="221">
        <v>2</v>
      </c>
      <c r="E10" s="216">
        <v>59.9</v>
      </c>
      <c r="F10" s="314" t="s">
        <v>104</v>
      </c>
      <c r="G10" s="314"/>
      <c r="H10" s="314"/>
      <c r="I10" s="100">
        <f>D6</f>
        <v>60</v>
      </c>
      <c r="J10" s="223"/>
      <c r="K10" s="223"/>
    </row>
    <row r="11" spans="2:11" ht="15" hidden="1" customHeight="1">
      <c r="B11" s="69"/>
      <c r="D11" s="221">
        <v>2</v>
      </c>
      <c r="E11" s="216">
        <v>50</v>
      </c>
      <c r="F11" s="314" t="s">
        <v>104</v>
      </c>
      <c r="G11" s="314"/>
      <c r="H11" s="314"/>
      <c r="I11" s="100">
        <f>D6</f>
        <v>60</v>
      </c>
      <c r="J11" s="223"/>
      <c r="K11" s="223"/>
    </row>
    <row r="12" spans="2:11" ht="15" hidden="1" customHeight="1">
      <c r="B12" s="69"/>
      <c r="D12" s="221">
        <v>1</v>
      </c>
      <c r="E12" s="216">
        <v>49.9</v>
      </c>
      <c r="F12" s="314" t="s">
        <v>104</v>
      </c>
      <c r="G12" s="314"/>
      <c r="H12" s="314"/>
      <c r="I12" s="100">
        <f>D6</f>
        <v>60</v>
      </c>
      <c r="J12" s="223"/>
      <c r="K12" s="223"/>
    </row>
    <row r="13" spans="2:11" ht="15" hidden="1" customHeight="1">
      <c r="B13" s="69"/>
      <c r="D13" s="221">
        <v>1</v>
      </c>
      <c r="E13" s="216">
        <v>0</v>
      </c>
      <c r="F13" s="314" t="s">
        <v>104</v>
      </c>
      <c r="G13" s="314"/>
      <c r="H13" s="314"/>
      <c r="I13" s="100">
        <f>D6</f>
        <v>60</v>
      </c>
      <c r="J13" s="223"/>
      <c r="K13" s="223"/>
    </row>
    <row r="14" spans="2:11" ht="15" hidden="1" customHeight="1">
      <c r="C14" s="33"/>
      <c r="E14" s="213"/>
      <c r="F14" s="223"/>
      <c r="G14" s="223"/>
      <c r="H14" s="223"/>
      <c r="I14" s="223"/>
      <c r="J14" s="223"/>
      <c r="K14" s="223"/>
    </row>
    <row r="15" spans="2:11" ht="15" customHeight="1">
      <c r="B15" s="309" t="s">
        <v>264</v>
      </c>
      <c r="C15" s="309"/>
      <c r="D15" s="309"/>
      <c r="E15" s="309"/>
      <c r="F15" s="309"/>
      <c r="G15" s="309"/>
      <c r="H15" s="309"/>
      <c r="I15" s="309"/>
      <c r="J15" s="309"/>
      <c r="K15" s="309"/>
    </row>
    <row r="16" spans="2:11" s="18" customFormat="1" ht="31.7" customHeight="1">
      <c r="B16" s="224" t="s">
        <v>265</v>
      </c>
      <c r="C16" s="224" t="s">
        <v>266</v>
      </c>
      <c r="D16" s="224" t="s">
        <v>267</v>
      </c>
      <c r="E16" s="224" t="s">
        <v>268</v>
      </c>
      <c r="F16" s="224" t="s">
        <v>269</v>
      </c>
      <c r="G16" s="32" t="s">
        <v>270</v>
      </c>
      <c r="H16" s="224" t="s">
        <v>271</v>
      </c>
      <c r="I16" s="224" t="s">
        <v>272</v>
      </c>
      <c r="J16" s="224" t="s">
        <v>273</v>
      </c>
      <c r="K16" s="32" t="s">
        <v>274</v>
      </c>
    </row>
    <row r="17" spans="1:11" s="18" customFormat="1" ht="20.100000000000001" customHeight="1">
      <c r="A17" s="18">
        <v>1</v>
      </c>
      <c r="B17" s="120">
        <v>1</v>
      </c>
      <c r="C17" s="50" t="s">
        <v>328</v>
      </c>
      <c r="D17" s="56">
        <v>5</v>
      </c>
      <c r="E17" s="57">
        <v>5</v>
      </c>
      <c r="F17" s="56">
        <v>5</v>
      </c>
      <c r="G17" s="20">
        <f>IFERROR(IF(A17&lt;=$G$208,AVERAGE(D17:F17),""),0)</f>
        <v>5</v>
      </c>
      <c r="H17" s="51">
        <v>5</v>
      </c>
      <c r="I17" s="51">
        <v>3</v>
      </c>
      <c r="J17" s="51">
        <v>4</v>
      </c>
      <c r="K17" s="20">
        <f>IFERROR(IF(A17&lt;=$G$208,AVERAGE(H17:J17),""),0)</f>
        <v>4</v>
      </c>
    </row>
    <row r="18" spans="1:11" s="18" customFormat="1" ht="20.100000000000001" customHeight="1">
      <c r="A18" s="18">
        <v>2</v>
      </c>
      <c r="B18" s="19">
        <v>2</v>
      </c>
      <c r="C18" s="50" t="s">
        <v>329</v>
      </c>
      <c r="D18" s="56">
        <v>4</v>
      </c>
      <c r="E18" s="57">
        <v>4</v>
      </c>
      <c r="F18" s="56">
        <v>5</v>
      </c>
      <c r="G18" s="20">
        <f t="shared" ref="G18:G81" si="0">IFERROR(IF(A18&lt;=$G$208,AVERAGE(D18:F18),""),0)</f>
        <v>4.333333333333333</v>
      </c>
      <c r="H18" s="51">
        <v>4</v>
      </c>
      <c r="I18" s="51">
        <v>5</v>
      </c>
      <c r="J18" s="51">
        <v>3</v>
      </c>
      <c r="K18" s="20">
        <f t="shared" ref="K18:K81" si="1">IFERROR(IF(A18&lt;=$G$208,AVERAGE(H18:J18),""),0)</f>
        <v>4</v>
      </c>
    </row>
    <row r="19" spans="1:11" s="18" customFormat="1" ht="20.100000000000001" customHeight="1">
      <c r="A19" s="18">
        <v>3</v>
      </c>
      <c r="B19" s="19">
        <v>3</v>
      </c>
      <c r="C19" s="50" t="s">
        <v>330</v>
      </c>
      <c r="D19" s="56">
        <v>4</v>
      </c>
      <c r="E19" s="57">
        <v>0</v>
      </c>
      <c r="F19" s="56">
        <v>4</v>
      </c>
      <c r="G19" s="20">
        <f t="shared" si="0"/>
        <v>2.6666666666666665</v>
      </c>
      <c r="H19" s="51">
        <v>4</v>
      </c>
      <c r="I19" s="51">
        <v>1</v>
      </c>
      <c r="J19" s="51">
        <v>3</v>
      </c>
      <c r="K19" s="20">
        <f t="shared" si="1"/>
        <v>2.6666666666666665</v>
      </c>
    </row>
    <row r="20" spans="1:11" s="18" customFormat="1" ht="20.100000000000001" customHeight="1">
      <c r="A20" s="18">
        <v>4</v>
      </c>
      <c r="B20" s="19">
        <v>4</v>
      </c>
      <c r="C20" s="50" t="s">
        <v>331</v>
      </c>
      <c r="D20" s="56">
        <v>3</v>
      </c>
      <c r="E20" s="57">
        <v>4</v>
      </c>
      <c r="F20" s="56">
        <v>4</v>
      </c>
      <c r="G20" s="20">
        <f t="shared" si="0"/>
        <v>3.6666666666666665</v>
      </c>
      <c r="H20" s="51">
        <v>4</v>
      </c>
      <c r="I20" s="51">
        <v>3</v>
      </c>
      <c r="J20" s="51">
        <v>4</v>
      </c>
      <c r="K20" s="20">
        <f t="shared" si="1"/>
        <v>3.6666666666666665</v>
      </c>
    </row>
    <row r="21" spans="1:11" s="18" customFormat="1" ht="20.100000000000001" customHeight="1">
      <c r="A21" s="18">
        <v>5</v>
      </c>
      <c r="B21" s="19">
        <v>5</v>
      </c>
      <c r="C21" s="50" t="s">
        <v>332</v>
      </c>
      <c r="D21" s="56">
        <v>5</v>
      </c>
      <c r="E21" s="57">
        <v>3</v>
      </c>
      <c r="F21" s="56">
        <v>5</v>
      </c>
      <c r="G21" s="20">
        <f t="shared" si="0"/>
        <v>4.333333333333333</v>
      </c>
      <c r="H21" s="51">
        <v>4</v>
      </c>
      <c r="I21" s="51">
        <v>4</v>
      </c>
      <c r="J21" s="51">
        <v>3</v>
      </c>
      <c r="K21" s="20">
        <f t="shared" si="1"/>
        <v>3.6666666666666665</v>
      </c>
    </row>
    <row r="22" spans="1:11" s="18" customFormat="1" ht="20.100000000000001" customHeight="1">
      <c r="A22" s="18">
        <v>6</v>
      </c>
      <c r="B22" s="19">
        <v>6</v>
      </c>
      <c r="C22" s="50" t="s">
        <v>333</v>
      </c>
      <c r="D22" s="56">
        <v>5</v>
      </c>
      <c r="E22" s="57">
        <v>5</v>
      </c>
      <c r="F22" s="56">
        <v>3</v>
      </c>
      <c r="G22" s="20">
        <f t="shared" si="0"/>
        <v>4.333333333333333</v>
      </c>
      <c r="H22" s="51">
        <v>4</v>
      </c>
      <c r="I22" s="51">
        <v>3</v>
      </c>
      <c r="J22" s="51">
        <v>3</v>
      </c>
      <c r="K22" s="20">
        <f t="shared" si="1"/>
        <v>3.3333333333333335</v>
      </c>
    </row>
    <row r="23" spans="1:11" s="18" customFormat="1" ht="20.100000000000001" customHeight="1">
      <c r="A23" s="18">
        <v>7</v>
      </c>
      <c r="B23" s="19">
        <v>7</v>
      </c>
      <c r="C23" s="50" t="s">
        <v>334</v>
      </c>
      <c r="D23" s="56">
        <v>3</v>
      </c>
      <c r="E23" s="57">
        <v>4</v>
      </c>
      <c r="F23" s="56">
        <v>3</v>
      </c>
      <c r="G23" s="20">
        <f t="shared" si="0"/>
        <v>3.3333333333333335</v>
      </c>
      <c r="H23" s="51">
        <v>0</v>
      </c>
      <c r="I23" s="51">
        <v>2</v>
      </c>
      <c r="J23" s="51">
        <v>3</v>
      </c>
      <c r="K23" s="20">
        <f t="shared" si="1"/>
        <v>1.6666666666666667</v>
      </c>
    </row>
    <row r="24" spans="1:11" s="18" customFormat="1" ht="20.100000000000001" customHeight="1">
      <c r="A24" s="18">
        <v>8</v>
      </c>
      <c r="B24" s="19">
        <v>8</v>
      </c>
      <c r="C24" s="50" t="s">
        <v>335</v>
      </c>
      <c r="D24" s="56">
        <v>5</v>
      </c>
      <c r="E24" s="57">
        <v>5</v>
      </c>
      <c r="F24" s="56">
        <v>4</v>
      </c>
      <c r="G24" s="20">
        <f t="shared" si="0"/>
        <v>4.666666666666667</v>
      </c>
      <c r="H24" s="51">
        <v>5</v>
      </c>
      <c r="I24" s="51">
        <v>2</v>
      </c>
      <c r="J24" s="51">
        <v>3</v>
      </c>
      <c r="K24" s="20">
        <f t="shared" si="1"/>
        <v>3.3333333333333335</v>
      </c>
    </row>
    <row r="25" spans="1:11" s="18" customFormat="1" ht="20.100000000000001" customHeight="1">
      <c r="A25" s="18">
        <v>9</v>
      </c>
      <c r="B25" s="19">
        <v>9</v>
      </c>
      <c r="C25" s="50" t="s">
        <v>336</v>
      </c>
      <c r="D25" s="56">
        <v>5</v>
      </c>
      <c r="E25" s="57">
        <v>3</v>
      </c>
      <c r="F25" s="56">
        <v>5</v>
      </c>
      <c r="G25" s="20">
        <f t="shared" si="0"/>
        <v>4.333333333333333</v>
      </c>
      <c r="H25" s="51">
        <v>4</v>
      </c>
      <c r="I25" s="51">
        <v>2</v>
      </c>
      <c r="J25" s="51">
        <v>3</v>
      </c>
      <c r="K25" s="20">
        <f t="shared" si="1"/>
        <v>3</v>
      </c>
    </row>
    <row r="26" spans="1:11" s="18" customFormat="1" ht="20.100000000000001" customHeight="1">
      <c r="A26" s="18">
        <v>10</v>
      </c>
      <c r="B26" s="19">
        <v>10</v>
      </c>
      <c r="C26" s="50" t="s">
        <v>337</v>
      </c>
      <c r="D26" s="56">
        <v>5</v>
      </c>
      <c r="E26" s="57">
        <v>5</v>
      </c>
      <c r="F26" s="56">
        <v>5</v>
      </c>
      <c r="G26" s="20">
        <f t="shared" si="0"/>
        <v>5</v>
      </c>
      <c r="H26" s="51">
        <v>4</v>
      </c>
      <c r="I26" s="51">
        <v>3</v>
      </c>
      <c r="J26" s="51">
        <v>0</v>
      </c>
      <c r="K26" s="20">
        <f t="shared" si="1"/>
        <v>2.3333333333333335</v>
      </c>
    </row>
    <row r="27" spans="1:11" s="18" customFormat="1" ht="20.100000000000001" customHeight="1">
      <c r="A27" s="18">
        <v>11</v>
      </c>
      <c r="B27" s="19">
        <v>11</v>
      </c>
      <c r="C27" s="50" t="s">
        <v>338</v>
      </c>
      <c r="D27" s="56">
        <v>5</v>
      </c>
      <c r="E27" s="57">
        <v>5</v>
      </c>
      <c r="F27" s="56">
        <v>5</v>
      </c>
      <c r="G27" s="20">
        <f t="shared" si="0"/>
        <v>5</v>
      </c>
      <c r="H27" s="51">
        <v>5</v>
      </c>
      <c r="I27" s="51">
        <v>3</v>
      </c>
      <c r="J27" s="51">
        <v>3</v>
      </c>
      <c r="K27" s="20">
        <f t="shared" si="1"/>
        <v>3.6666666666666665</v>
      </c>
    </row>
    <row r="28" spans="1:11" s="18" customFormat="1" ht="20.100000000000001" customHeight="1">
      <c r="A28" s="18">
        <v>12</v>
      </c>
      <c r="B28" s="19">
        <v>12</v>
      </c>
      <c r="C28" s="50" t="s">
        <v>339</v>
      </c>
      <c r="D28" s="56">
        <v>4</v>
      </c>
      <c r="E28" s="57">
        <v>2</v>
      </c>
      <c r="F28" s="56">
        <v>5</v>
      </c>
      <c r="G28" s="20">
        <f t="shared" si="0"/>
        <v>3.6666666666666665</v>
      </c>
      <c r="H28" s="51">
        <v>4</v>
      </c>
      <c r="I28" s="51">
        <v>3</v>
      </c>
      <c r="J28" s="51">
        <v>5</v>
      </c>
      <c r="K28" s="20">
        <f t="shared" si="1"/>
        <v>4</v>
      </c>
    </row>
    <row r="29" spans="1:11" s="18" customFormat="1" ht="20.100000000000001" customHeight="1">
      <c r="A29" s="18">
        <v>13</v>
      </c>
      <c r="B29" s="19">
        <v>13</v>
      </c>
      <c r="C29" s="50" t="s">
        <v>340</v>
      </c>
      <c r="D29" s="56">
        <v>4</v>
      </c>
      <c r="E29" s="57">
        <v>5</v>
      </c>
      <c r="F29" s="56">
        <v>3</v>
      </c>
      <c r="G29" s="20">
        <f t="shared" si="0"/>
        <v>4</v>
      </c>
      <c r="H29" s="51">
        <v>4</v>
      </c>
      <c r="I29" s="51">
        <v>2</v>
      </c>
      <c r="J29" s="51">
        <v>4</v>
      </c>
      <c r="K29" s="20">
        <f t="shared" si="1"/>
        <v>3.3333333333333335</v>
      </c>
    </row>
    <row r="30" spans="1:11" s="18" customFormat="1" ht="20.100000000000001" customHeight="1">
      <c r="A30" s="18">
        <v>14</v>
      </c>
      <c r="B30" s="19">
        <v>14</v>
      </c>
      <c r="C30" s="50" t="s">
        <v>341</v>
      </c>
      <c r="D30" s="56">
        <v>5</v>
      </c>
      <c r="E30" s="57">
        <v>4</v>
      </c>
      <c r="F30" s="56">
        <v>5</v>
      </c>
      <c r="G30" s="20">
        <f t="shared" si="0"/>
        <v>4.666666666666667</v>
      </c>
      <c r="H30" s="51">
        <v>5</v>
      </c>
      <c r="I30" s="51">
        <v>4</v>
      </c>
      <c r="J30" s="51">
        <v>3</v>
      </c>
      <c r="K30" s="20">
        <f t="shared" si="1"/>
        <v>4</v>
      </c>
    </row>
    <row r="31" spans="1:11" s="18" customFormat="1" ht="20.100000000000001" customHeight="1">
      <c r="A31" s="18">
        <v>15</v>
      </c>
      <c r="B31" s="19">
        <v>15</v>
      </c>
      <c r="C31" s="50" t="s">
        <v>342</v>
      </c>
      <c r="D31" s="56">
        <v>4</v>
      </c>
      <c r="E31" s="57">
        <v>5</v>
      </c>
      <c r="F31" s="56">
        <v>4</v>
      </c>
      <c r="G31" s="20">
        <f t="shared" si="0"/>
        <v>4.333333333333333</v>
      </c>
      <c r="H31" s="51">
        <v>5</v>
      </c>
      <c r="I31" s="51">
        <v>3</v>
      </c>
      <c r="J31" s="51">
        <v>4</v>
      </c>
      <c r="K31" s="20">
        <f t="shared" si="1"/>
        <v>4</v>
      </c>
    </row>
    <row r="32" spans="1:11" s="18" customFormat="1" ht="20.100000000000001" customHeight="1">
      <c r="A32" s="18">
        <v>16</v>
      </c>
      <c r="B32" s="19">
        <v>16</v>
      </c>
      <c r="C32" s="50" t="s">
        <v>343</v>
      </c>
      <c r="D32" s="56">
        <v>5</v>
      </c>
      <c r="E32" s="57">
        <v>4</v>
      </c>
      <c r="F32" s="56">
        <v>4</v>
      </c>
      <c r="G32" s="20">
        <f t="shared" si="0"/>
        <v>4.333333333333333</v>
      </c>
      <c r="H32" s="51">
        <v>4</v>
      </c>
      <c r="I32" s="51">
        <v>2</v>
      </c>
      <c r="J32" s="51">
        <v>2</v>
      </c>
      <c r="K32" s="20">
        <f t="shared" si="1"/>
        <v>2.6666666666666665</v>
      </c>
    </row>
    <row r="33" spans="1:11" s="18" customFormat="1" ht="20.100000000000001" customHeight="1">
      <c r="A33" s="18">
        <v>17</v>
      </c>
      <c r="B33" s="19">
        <v>17</v>
      </c>
      <c r="C33" s="50" t="s">
        <v>344</v>
      </c>
      <c r="D33" s="56">
        <v>4</v>
      </c>
      <c r="E33" s="57">
        <v>5</v>
      </c>
      <c r="F33" s="56">
        <v>3</v>
      </c>
      <c r="G33" s="20">
        <f t="shared" si="0"/>
        <v>4</v>
      </c>
      <c r="H33" s="51">
        <v>0</v>
      </c>
      <c r="I33" s="51">
        <v>1</v>
      </c>
      <c r="J33" s="51">
        <v>2</v>
      </c>
      <c r="K33" s="20">
        <f t="shared" si="1"/>
        <v>1</v>
      </c>
    </row>
    <row r="34" spans="1:11" s="18" customFormat="1" ht="20.100000000000001" customHeight="1">
      <c r="A34" s="18">
        <v>18</v>
      </c>
      <c r="B34" s="19">
        <v>18</v>
      </c>
      <c r="C34" s="50" t="s">
        <v>345</v>
      </c>
      <c r="D34" s="56">
        <v>5</v>
      </c>
      <c r="E34" s="57">
        <v>5</v>
      </c>
      <c r="F34" s="56">
        <v>4</v>
      </c>
      <c r="G34" s="20">
        <f t="shared" si="0"/>
        <v>4.666666666666667</v>
      </c>
      <c r="H34" s="51">
        <v>4</v>
      </c>
      <c r="I34" s="51">
        <v>4</v>
      </c>
      <c r="J34" s="51">
        <v>2</v>
      </c>
      <c r="K34" s="20">
        <f t="shared" si="1"/>
        <v>3.3333333333333335</v>
      </c>
    </row>
    <row r="35" spans="1:11" s="18" customFormat="1" ht="20.100000000000001" customHeight="1">
      <c r="A35" s="18">
        <v>19</v>
      </c>
      <c r="B35" s="19">
        <v>19</v>
      </c>
      <c r="C35" s="50" t="s">
        <v>346</v>
      </c>
      <c r="D35" s="56">
        <v>5</v>
      </c>
      <c r="E35" s="57">
        <v>3</v>
      </c>
      <c r="F35" s="56">
        <v>3</v>
      </c>
      <c r="G35" s="20">
        <f t="shared" si="0"/>
        <v>3.6666666666666665</v>
      </c>
      <c r="H35" s="51">
        <v>4</v>
      </c>
      <c r="I35" s="51">
        <v>2</v>
      </c>
      <c r="J35" s="51">
        <v>1</v>
      </c>
      <c r="K35" s="20">
        <f t="shared" si="1"/>
        <v>2.3333333333333335</v>
      </c>
    </row>
    <row r="36" spans="1:11" s="18" customFormat="1" ht="20.100000000000001" customHeight="1">
      <c r="A36" s="18">
        <v>20</v>
      </c>
      <c r="B36" s="19">
        <v>20</v>
      </c>
      <c r="C36" s="50" t="s">
        <v>347</v>
      </c>
      <c r="D36" s="56">
        <v>5</v>
      </c>
      <c r="E36" s="57">
        <v>5</v>
      </c>
      <c r="F36" s="56">
        <v>5</v>
      </c>
      <c r="G36" s="20">
        <f t="shared" si="0"/>
        <v>5</v>
      </c>
      <c r="H36" s="51">
        <v>5</v>
      </c>
      <c r="I36" s="51">
        <v>3</v>
      </c>
      <c r="J36" s="51">
        <v>2</v>
      </c>
      <c r="K36" s="20">
        <f t="shared" si="1"/>
        <v>3.3333333333333335</v>
      </c>
    </row>
    <row r="37" spans="1:11" s="18" customFormat="1" ht="20.100000000000001" customHeight="1">
      <c r="A37" s="18">
        <v>21</v>
      </c>
      <c r="B37" s="19">
        <v>21</v>
      </c>
      <c r="C37" s="50" t="s">
        <v>348</v>
      </c>
      <c r="D37" s="56">
        <v>0</v>
      </c>
      <c r="E37" s="57">
        <v>0</v>
      </c>
      <c r="F37" s="56">
        <v>4</v>
      </c>
      <c r="G37" s="20">
        <f t="shared" si="0"/>
        <v>1.3333333333333333</v>
      </c>
      <c r="H37" s="51">
        <v>4</v>
      </c>
      <c r="I37" s="51">
        <v>3</v>
      </c>
      <c r="J37" s="51">
        <v>2</v>
      </c>
      <c r="K37" s="20">
        <f t="shared" si="1"/>
        <v>3</v>
      </c>
    </row>
    <row r="38" spans="1:11" s="18" customFormat="1" ht="20.100000000000001" customHeight="1">
      <c r="A38" s="18">
        <v>22</v>
      </c>
      <c r="B38" s="19">
        <v>22</v>
      </c>
      <c r="C38" s="50" t="s">
        <v>349</v>
      </c>
      <c r="D38" s="56">
        <v>5</v>
      </c>
      <c r="E38" s="57">
        <v>4</v>
      </c>
      <c r="F38" s="56">
        <v>4</v>
      </c>
      <c r="G38" s="20">
        <f t="shared" si="0"/>
        <v>4.333333333333333</v>
      </c>
      <c r="H38" s="51">
        <v>5</v>
      </c>
      <c r="I38" s="51">
        <v>2</v>
      </c>
      <c r="J38" s="51">
        <v>3</v>
      </c>
      <c r="K38" s="20">
        <f t="shared" si="1"/>
        <v>3.3333333333333335</v>
      </c>
    </row>
    <row r="39" spans="1:11" s="18" customFormat="1" ht="20.100000000000001" customHeight="1">
      <c r="A39" s="18">
        <v>23</v>
      </c>
      <c r="B39" s="19">
        <v>23</v>
      </c>
      <c r="C39" s="50" t="s">
        <v>350</v>
      </c>
      <c r="D39" s="56">
        <v>5</v>
      </c>
      <c r="E39" s="57">
        <v>4</v>
      </c>
      <c r="F39" s="56">
        <v>4</v>
      </c>
      <c r="G39" s="20">
        <f t="shared" si="0"/>
        <v>4.333333333333333</v>
      </c>
      <c r="H39" s="51">
        <v>4</v>
      </c>
      <c r="I39" s="51">
        <v>4</v>
      </c>
      <c r="J39" s="51">
        <v>3</v>
      </c>
      <c r="K39" s="20">
        <f t="shared" si="1"/>
        <v>3.6666666666666665</v>
      </c>
    </row>
    <row r="40" spans="1:11" s="18" customFormat="1" ht="20.100000000000001" customHeight="1">
      <c r="A40" s="18">
        <v>24</v>
      </c>
      <c r="B40" s="19">
        <v>24</v>
      </c>
      <c r="C40" s="50" t="s">
        <v>351</v>
      </c>
      <c r="D40" s="56">
        <v>5</v>
      </c>
      <c r="E40" s="57">
        <v>0</v>
      </c>
      <c r="F40" s="56">
        <v>4</v>
      </c>
      <c r="G40" s="20">
        <f t="shared" si="0"/>
        <v>3</v>
      </c>
      <c r="H40" s="51">
        <v>4</v>
      </c>
      <c r="I40" s="51">
        <v>2</v>
      </c>
      <c r="J40" s="51">
        <v>1</v>
      </c>
      <c r="K40" s="20">
        <f t="shared" si="1"/>
        <v>2.3333333333333335</v>
      </c>
    </row>
    <row r="41" spans="1:11" s="18" customFormat="1" ht="20.100000000000001" customHeight="1">
      <c r="A41" s="18">
        <v>25</v>
      </c>
      <c r="B41" s="19">
        <v>25</v>
      </c>
      <c r="C41" s="50" t="s">
        <v>352</v>
      </c>
      <c r="D41" s="56">
        <v>5</v>
      </c>
      <c r="E41" s="57">
        <v>4</v>
      </c>
      <c r="F41" s="56">
        <v>4</v>
      </c>
      <c r="G41" s="20">
        <f t="shared" si="0"/>
        <v>4.333333333333333</v>
      </c>
      <c r="H41" s="51">
        <v>4</v>
      </c>
      <c r="I41" s="51">
        <v>4</v>
      </c>
      <c r="J41" s="51">
        <v>2</v>
      </c>
      <c r="K41" s="20">
        <f t="shared" si="1"/>
        <v>3.3333333333333335</v>
      </c>
    </row>
    <row r="42" spans="1:11" s="18" customFormat="1" ht="20.100000000000001" customHeight="1">
      <c r="A42" s="18">
        <v>26</v>
      </c>
      <c r="B42" s="19">
        <v>26</v>
      </c>
      <c r="C42" s="50" t="s">
        <v>353</v>
      </c>
      <c r="D42" s="56">
        <v>5</v>
      </c>
      <c r="E42" s="57">
        <v>4</v>
      </c>
      <c r="F42" s="56">
        <v>5</v>
      </c>
      <c r="G42" s="20">
        <f t="shared" si="0"/>
        <v>4.666666666666667</v>
      </c>
      <c r="H42" s="51">
        <v>5</v>
      </c>
      <c r="I42" s="51">
        <v>3</v>
      </c>
      <c r="J42" s="51">
        <v>4</v>
      </c>
      <c r="K42" s="20">
        <f t="shared" si="1"/>
        <v>4</v>
      </c>
    </row>
    <row r="43" spans="1:11" s="18" customFormat="1" ht="20.100000000000001" customHeight="1">
      <c r="A43" s="18">
        <v>27</v>
      </c>
      <c r="B43" s="19">
        <v>27</v>
      </c>
      <c r="C43" s="50" t="s">
        <v>354</v>
      </c>
      <c r="D43" s="56">
        <v>5</v>
      </c>
      <c r="E43" s="57">
        <v>4</v>
      </c>
      <c r="F43" s="56">
        <v>4</v>
      </c>
      <c r="G43" s="20">
        <f t="shared" si="0"/>
        <v>4.333333333333333</v>
      </c>
      <c r="H43" s="51">
        <v>4</v>
      </c>
      <c r="I43" s="51">
        <v>3</v>
      </c>
      <c r="J43" s="51">
        <v>3</v>
      </c>
      <c r="K43" s="20">
        <f t="shared" si="1"/>
        <v>3.3333333333333335</v>
      </c>
    </row>
    <row r="44" spans="1:11" s="18" customFormat="1" ht="20.100000000000001" customHeight="1">
      <c r="A44" s="18">
        <v>28</v>
      </c>
      <c r="B44" s="19">
        <v>28</v>
      </c>
      <c r="C44" s="50" t="s">
        <v>355</v>
      </c>
      <c r="D44" s="56">
        <v>4</v>
      </c>
      <c r="E44" s="57">
        <v>4</v>
      </c>
      <c r="F44" s="56">
        <v>4</v>
      </c>
      <c r="G44" s="20">
        <f t="shared" si="0"/>
        <v>4</v>
      </c>
      <c r="H44" s="51">
        <v>5</v>
      </c>
      <c r="I44" s="51">
        <v>3</v>
      </c>
      <c r="J44" s="51">
        <v>3</v>
      </c>
      <c r="K44" s="20">
        <f t="shared" si="1"/>
        <v>3.6666666666666665</v>
      </c>
    </row>
    <row r="45" spans="1:11" s="18" customFormat="1" ht="20.100000000000001" customHeight="1">
      <c r="A45" s="18">
        <v>29</v>
      </c>
      <c r="B45" s="19">
        <v>29</v>
      </c>
      <c r="C45" s="50" t="s">
        <v>356</v>
      </c>
      <c r="D45" s="56">
        <v>4</v>
      </c>
      <c r="E45" s="57">
        <v>4</v>
      </c>
      <c r="F45" s="56">
        <v>4</v>
      </c>
      <c r="G45" s="20">
        <f t="shared" si="0"/>
        <v>4</v>
      </c>
      <c r="H45" s="51">
        <v>3</v>
      </c>
      <c r="I45" s="51">
        <v>4</v>
      </c>
      <c r="J45" s="51">
        <v>3</v>
      </c>
      <c r="K45" s="20">
        <f t="shared" si="1"/>
        <v>3.3333333333333335</v>
      </c>
    </row>
    <row r="46" spans="1:11" s="18" customFormat="1" ht="20.100000000000001" customHeight="1">
      <c r="A46" s="18">
        <v>30</v>
      </c>
      <c r="B46" s="19">
        <v>30</v>
      </c>
      <c r="C46" s="50" t="s">
        <v>357</v>
      </c>
      <c r="D46" s="56">
        <v>5</v>
      </c>
      <c r="E46" s="57">
        <v>5</v>
      </c>
      <c r="F46" s="56">
        <v>5</v>
      </c>
      <c r="G46" s="20">
        <f t="shared" si="0"/>
        <v>5</v>
      </c>
      <c r="H46" s="51">
        <v>4</v>
      </c>
      <c r="I46" s="51">
        <v>5</v>
      </c>
      <c r="J46" s="51">
        <v>4</v>
      </c>
      <c r="K46" s="20">
        <f t="shared" si="1"/>
        <v>4.333333333333333</v>
      </c>
    </row>
    <row r="47" spans="1:11" s="18" customFormat="1" ht="20.100000000000001" customHeight="1">
      <c r="A47" s="18">
        <v>31</v>
      </c>
      <c r="B47" s="19">
        <v>31</v>
      </c>
      <c r="C47" s="50" t="s">
        <v>358</v>
      </c>
      <c r="D47" s="56">
        <v>4</v>
      </c>
      <c r="E47" s="57">
        <v>4</v>
      </c>
      <c r="F47" s="56">
        <v>4</v>
      </c>
      <c r="G47" s="20">
        <f t="shared" si="0"/>
        <v>4</v>
      </c>
      <c r="H47" s="51">
        <v>0</v>
      </c>
      <c r="I47" s="51">
        <v>1</v>
      </c>
      <c r="J47" s="51">
        <v>3</v>
      </c>
      <c r="K47" s="20">
        <f t="shared" si="1"/>
        <v>1.3333333333333333</v>
      </c>
    </row>
    <row r="48" spans="1:11" s="18" customFormat="1" ht="20.100000000000001" customHeight="1">
      <c r="A48" s="18">
        <v>32</v>
      </c>
      <c r="B48" s="19">
        <v>32</v>
      </c>
      <c r="C48" s="50" t="s">
        <v>359</v>
      </c>
      <c r="D48" s="56">
        <v>5</v>
      </c>
      <c r="E48" s="57">
        <v>3</v>
      </c>
      <c r="F48" s="56">
        <v>5</v>
      </c>
      <c r="G48" s="20">
        <f t="shared" si="0"/>
        <v>4.333333333333333</v>
      </c>
      <c r="H48" s="51">
        <v>4</v>
      </c>
      <c r="I48" s="51">
        <v>3</v>
      </c>
      <c r="J48" s="51">
        <v>3</v>
      </c>
      <c r="K48" s="20">
        <f t="shared" si="1"/>
        <v>3.3333333333333335</v>
      </c>
    </row>
    <row r="49" spans="1:11" s="18" customFormat="1" ht="20.100000000000001" customHeight="1">
      <c r="A49" s="18">
        <v>33</v>
      </c>
      <c r="B49" s="19">
        <v>33</v>
      </c>
      <c r="C49" s="50" t="s">
        <v>360</v>
      </c>
      <c r="D49" s="56">
        <v>5</v>
      </c>
      <c r="E49" s="57">
        <v>5</v>
      </c>
      <c r="F49" s="56">
        <v>4</v>
      </c>
      <c r="G49" s="20">
        <f t="shared" si="0"/>
        <v>4.666666666666667</v>
      </c>
      <c r="H49" s="51">
        <v>5</v>
      </c>
      <c r="I49" s="51">
        <v>3</v>
      </c>
      <c r="J49" s="51">
        <v>3</v>
      </c>
      <c r="K49" s="20">
        <f t="shared" si="1"/>
        <v>3.6666666666666665</v>
      </c>
    </row>
    <row r="50" spans="1:11" s="18" customFormat="1" ht="20.100000000000001" customHeight="1">
      <c r="A50" s="18">
        <v>34</v>
      </c>
      <c r="B50" s="19">
        <v>34</v>
      </c>
      <c r="C50" s="50" t="s">
        <v>361</v>
      </c>
      <c r="D50" s="56">
        <v>0</v>
      </c>
      <c r="E50" s="57">
        <v>0</v>
      </c>
      <c r="F50" s="56">
        <v>0</v>
      </c>
      <c r="G50" s="20">
        <f t="shared" si="0"/>
        <v>0</v>
      </c>
      <c r="H50" s="51">
        <v>4</v>
      </c>
      <c r="I50" s="51">
        <v>3</v>
      </c>
      <c r="J50" s="51">
        <v>5</v>
      </c>
      <c r="K50" s="20">
        <f t="shared" si="1"/>
        <v>4</v>
      </c>
    </row>
    <row r="51" spans="1:11" s="18" customFormat="1" ht="20.100000000000001" customHeight="1">
      <c r="A51" s="18">
        <v>35</v>
      </c>
      <c r="B51" s="19">
        <v>35</v>
      </c>
      <c r="C51" s="50" t="s">
        <v>362</v>
      </c>
      <c r="D51" s="56">
        <v>5</v>
      </c>
      <c r="E51" s="57">
        <v>5</v>
      </c>
      <c r="F51" s="56">
        <v>4</v>
      </c>
      <c r="G51" s="20">
        <f t="shared" si="0"/>
        <v>4.666666666666667</v>
      </c>
      <c r="H51" s="51">
        <v>4</v>
      </c>
      <c r="I51" s="51">
        <v>4</v>
      </c>
      <c r="J51" s="51">
        <v>4</v>
      </c>
      <c r="K51" s="20">
        <f t="shared" si="1"/>
        <v>4</v>
      </c>
    </row>
    <row r="52" spans="1:11" s="18" customFormat="1" ht="20.100000000000001" customHeight="1">
      <c r="A52" s="18">
        <v>36</v>
      </c>
      <c r="B52" s="19">
        <v>36</v>
      </c>
      <c r="C52" s="50" t="s">
        <v>363</v>
      </c>
      <c r="D52" s="56">
        <v>5</v>
      </c>
      <c r="E52" s="57">
        <v>5</v>
      </c>
      <c r="F52" s="56">
        <v>3</v>
      </c>
      <c r="G52" s="20">
        <f t="shared" si="0"/>
        <v>4.333333333333333</v>
      </c>
      <c r="H52" s="51">
        <v>4</v>
      </c>
      <c r="I52" s="51">
        <v>0</v>
      </c>
      <c r="J52" s="51">
        <v>2</v>
      </c>
      <c r="K52" s="20">
        <f t="shared" si="1"/>
        <v>2</v>
      </c>
    </row>
    <row r="53" spans="1:11" s="18" customFormat="1" ht="20.100000000000001" customHeight="1">
      <c r="A53" s="18">
        <v>37</v>
      </c>
      <c r="B53" s="19">
        <v>37</v>
      </c>
      <c r="C53" s="50" t="s">
        <v>364</v>
      </c>
      <c r="D53" s="56">
        <v>5</v>
      </c>
      <c r="E53" s="57">
        <v>4</v>
      </c>
      <c r="F53" s="56">
        <v>5</v>
      </c>
      <c r="G53" s="20">
        <f t="shared" si="0"/>
        <v>4.666666666666667</v>
      </c>
      <c r="H53" s="51">
        <v>2</v>
      </c>
      <c r="I53" s="51">
        <v>2</v>
      </c>
      <c r="J53" s="51">
        <v>4</v>
      </c>
      <c r="K53" s="20">
        <f t="shared" si="1"/>
        <v>2.6666666666666665</v>
      </c>
    </row>
    <row r="54" spans="1:11" s="18" customFormat="1" ht="20.100000000000001" customHeight="1">
      <c r="A54" s="18">
        <v>38</v>
      </c>
      <c r="B54" s="19">
        <v>38</v>
      </c>
      <c r="C54" s="50" t="s">
        <v>365</v>
      </c>
      <c r="D54" s="56">
        <v>4</v>
      </c>
      <c r="E54" s="57">
        <v>5</v>
      </c>
      <c r="F54" s="56">
        <v>4</v>
      </c>
      <c r="G54" s="20">
        <f t="shared" si="0"/>
        <v>4.333333333333333</v>
      </c>
      <c r="H54" s="51">
        <v>3</v>
      </c>
      <c r="I54" s="51">
        <v>0</v>
      </c>
      <c r="J54" s="51">
        <v>3</v>
      </c>
      <c r="K54" s="20">
        <f t="shared" si="1"/>
        <v>2</v>
      </c>
    </row>
    <row r="55" spans="1:11" s="18" customFormat="1" ht="20.100000000000001" customHeight="1">
      <c r="A55" s="18">
        <v>39</v>
      </c>
      <c r="B55" s="19">
        <v>39</v>
      </c>
      <c r="C55" s="50" t="s">
        <v>366</v>
      </c>
      <c r="D55" s="56">
        <v>4</v>
      </c>
      <c r="E55" s="57">
        <v>0</v>
      </c>
      <c r="F55" s="56">
        <v>4</v>
      </c>
      <c r="G55" s="20">
        <f t="shared" si="0"/>
        <v>2.6666666666666665</v>
      </c>
      <c r="H55" s="51">
        <v>4</v>
      </c>
      <c r="I55" s="51">
        <v>3</v>
      </c>
      <c r="J55" s="51">
        <v>4</v>
      </c>
      <c r="K55" s="20">
        <f t="shared" si="1"/>
        <v>3.6666666666666665</v>
      </c>
    </row>
    <row r="56" spans="1:11" s="18" customFormat="1" ht="20.100000000000001" customHeight="1">
      <c r="A56" s="18">
        <v>40</v>
      </c>
      <c r="B56" s="19">
        <v>40</v>
      </c>
      <c r="C56" s="50" t="s">
        <v>367</v>
      </c>
      <c r="D56" s="56">
        <v>5</v>
      </c>
      <c r="E56" s="57">
        <v>5</v>
      </c>
      <c r="F56" s="56">
        <v>3</v>
      </c>
      <c r="G56" s="20">
        <f t="shared" si="0"/>
        <v>4.333333333333333</v>
      </c>
      <c r="H56" s="51">
        <v>3</v>
      </c>
      <c r="I56" s="51">
        <v>3</v>
      </c>
      <c r="J56" s="51">
        <v>4</v>
      </c>
      <c r="K56" s="20">
        <f t="shared" si="1"/>
        <v>3.3333333333333335</v>
      </c>
    </row>
    <row r="57" spans="1:11" s="18" customFormat="1" ht="20.100000000000001" customHeight="1">
      <c r="A57" s="18">
        <v>41</v>
      </c>
      <c r="B57" s="19">
        <v>41</v>
      </c>
      <c r="C57" s="50" t="s">
        <v>368</v>
      </c>
      <c r="D57" s="56">
        <v>4</v>
      </c>
      <c r="E57" s="57">
        <v>5</v>
      </c>
      <c r="F57" s="56">
        <v>3</v>
      </c>
      <c r="G57" s="20">
        <f t="shared" si="0"/>
        <v>4</v>
      </c>
      <c r="H57" s="51">
        <v>2</v>
      </c>
      <c r="I57" s="51">
        <v>2</v>
      </c>
      <c r="J57" s="51">
        <v>4</v>
      </c>
      <c r="K57" s="20">
        <f t="shared" si="1"/>
        <v>2.6666666666666665</v>
      </c>
    </row>
    <row r="58" spans="1:11" s="18" customFormat="1" ht="20.100000000000001" customHeight="1">
      <c r="A58" s="18">
        <v>42</v>
      </c>
      <c r="B58" s="19">
        <v>42</v>
      </c>
      <c r="C58" s="50" t="s">
        <v>369</v>
      </c>
      <c r="D58" s="56">
        <v>5</v>
      </c>
      <c r="E58" s="57">
        <v>5</v>
      </c>
      <c r="F58" s="56">
        <v>4</v>
      </c>
      <c r="G58" s="20">
        <f t="shared" si="0"/>
        <v>4.666666666666667</v>
      </c>
      <c r="H58" s="51">
        <v>4</v>
      </c>
      <c r="I58" s="51">
        <v>5</v>
      </c>
      <c r="J58" s="51">
        <v>0</v>
      </c>
      <c r="K58" s="20">
        <f t="shared" si="1"/>
        <v>3</v>
      </c>
    </row>
    <row r="59" spans="1:11" s="18" customFormat="1" ht="20.100000000000001" customHeight="1">
      <c r="A59" s="18">
        <v>43</v>
      </c>
      <c r="B59" s="19">
        <v>43</v>
      </c>
      <c r="C59" s="50" t="s">
        <v>370</v>
      </c>
      <c r="D59" s="56">
        <v>5</v>
      </c>
      <c r="E59" s="57">
        <v>5</v>
      </c>
      <c r="F59" s="56">
        <v>5</v>
      </c>
      <c r="G59" s="20">
        <f t="shared" si="0"/>
        <v>5</v>
      </c>
      <c r="H59" s="51">
        <v>2</v>
      </c>
      <c r="I59" s="51">
        <v>2</v>
      </c>
      <c r="J59" s="51">
        <v>3</v>
      </c>
      <c r="K59" s="20">
        <f t="shared" si="1"/>
        <v>2.3333333333333335</v>
      </c>
    </row>
    <row r="60" spans="1:11" s="18" customFormat="1" ht="20.100000000000001" customHeight="1">
      <c r="A60" s="18">
        <v>44</v>
      </c>
      <c r="B60" s="19">
        <v>44</v>
      </c>
      <c r="C60" s="50" t="s">
        <v>371</v>
      </c>
      <c r="D60" s="56">
        <v>3</v>
      </c>
      <c r="E60" s="57">
        <v>0</v>
      </c>
      <c r="F60" s="56">
        <v>0</v>
      </c>
      <c r="G60" s="20">
        <f t="shared" si="0"/>
        <v>1</v>
      </c>
      <c r="H60" s="51">
        <v>2</v>
      </c>
      <c r="I60" s="51">
        <v>2</v>
      </c>
      <c r="J60" s="51">
        <v>3</v>
      </c>
      <c r="K60" s="20">
        <f t="shared" si="1"/>
        <v>2.3333333333333335</v>
      </c>
    </row>
    <row r="61" spans="1:11" s="18" customFormat="1" ht="20.100000000000001" customHeight="1">
      <c r="A61" s="18">
        <v>45</v>
      </c>
      <c r="B61" s="19">
        <v>45</v>
      </c>
      <c r="C61" s="50" t="s">
        <v>372</v>
      </c>
      <c r="D61" s="56">
        <v>4</v>
      </c>
      <c r="E61" s="57">
        <v>4</v>
      </c>
      <c r="F61" s="56">
        <v>5</v>
      </c>
      <c r="G61" s="20">
        <f t="shared" si="0"/>
        <v>4.333333333333333</v>
      </c>
      <c r="H61" s="51">
        <v>5</v>
      </c>
      <c r="I61" s="51">
        <v>3</v>
      </c>
      <c r="J61" s="51">
        <v>4</v>
      </c>
      <c r="K61" s="20">
        <f t="shared" si="1"/>
        <v>4</v>
      </c>
    </row>
    <row r="62" spans="1:11" s="18" customFormat="1" ht="20.100000000000001" customHeight="1">
      <c r="A62" s="18">
        <v>46</v>
      </c>
      <c r="B62" s="19">
        <v>46</v>
      </c>
      <c r="C62" s="50" t="s">
        <v>373</v>
      </c>
      <c r="D62" s="56">
        <v>5</v>
      </c>
      <c r="E62" s="57">
        <v>5</v>
      </c>
      <c r="F62" s="56">
        <v>5</v>
      </c>
      <c r="G62" s="20">
        <f t="shared" si="0"/>
        <v>5</v>
      </c>
      <c r="H62" s="51">
        <v>4</v>
      </c>
      <c r="I62" s="51">
        <v>3</v>
      </c>
      <c r="J62" s="51">
        <v>4</v>
      </c>
      <c r="K62" s="20">
        <f t="shared" si="1"/>
        <v>3.6666666666666665</v>
      </c>
    </row>
    <row r="63" spans="1:11" s="18" customFormat="1" ht="20.100000000000001" customHeight="1">
      <c r="A63" s="18">
        <v>47</v>
      </c>
      <c r="B63" s="19">
        <v>47</v>
      </c>
      <c r="C63" s="50" t="s">
        <v>374</v>
      </c>
      <c r="D63" s="56">
        <v>5</v>
      </c>
      <c r="E63" s="57">
        <v>5</v>
      </c>
      <c r="F63" s="56">
        <v>5</v>
      </c>
      <c r="G63" s="20">
        <f t="shared" si="0"/>
        <v>5</v>
      </c>
      <c r="H63" s="51">
        <v>3</v>
      </c>
      <c r="I63" s="51">
        <v>4</v>
      </c>
      <c r="J63" s="51">
        <v>3</v>
      </c>
      <c r="K63" s="20">
        <f t="shared" si="1"/>
        <v>3.3333333333333335</v>
      </c>
    </row>
    <row r="64" spans="1:11" s="18" customFormat="1" ht="20.100000000000001" customHeight="1">
      <c r="A64" s="18">
        <v>48</v>
      </c>
      <c r="B64" s="19">
        <v>48</v>
      </c>
      <c r="C64" s="50" t="s">
        <v>375</v>
      </c>
      <c r="D64" s="56">
        <v>5</v>
      </c>
      <c r="E64" s="57">
        <v>3</v>
      </c>
      <c r="F64" s="56">
        <v>5</v>
      </c>
      <c r="G64" s="20">
        <f t="shared" si="0"/>
        <v>4.333333333333333</v>
      </c>
      <c r="H64" s="51">
        <v>4</v>
      </c>
      <c r="I64" s="51">
        <v>2</v>
      </c>
      <c r="J64" s="51">
        <v>2</v>
      </c>
      <c r="K64" s="20">
        <f t="shared" si="1"/>
        <v>2.6666666666666665</v>
      </c>
    </row>
    <row r="65" spans="1:11" s="18" customFormat="1" ht="20.100000000000001" customHeight="1">
      <c r="A65" s="18">
        <v>49</v>
      </c>
      <c r="B65" s="19">
        <v>49</v>
      </c>
      <c r="C65" s="50" t="s">
        <v>376</v>
      </c>
      <c r="D65" s="56">
        <v>5</v>
      </c>
      <c r="E65" s="57">
        <v>3</v>
      </c>
      <c r="F65" s="56">
        <v>4</v>
      </c>
      <c r="G65" s="20">
        <f t="shared" si="0"/>
        <v>4</v>
      </c>
      <c r="H65" s="51">
        <v>4</v>
      </c>
      <c r="I65" s="51">
        <v>4</v>
      </c>
      <c r="J65" s="51">
        <v>3</v>
      </c>
      <c r="K65" s="20">
        <f t="shared" si="1"/>
        <v>3.6666666666666665</v>
      </c>
    </row>
    <row r="66" spans="1:11" s="18" customFormat="1" ht="20.100000000000001" customHeight="1">
      <c r="A66" s="18">
        <v>50</v>
      </c>
      <c r="B66" s="19">
        <v>50</v>
      </c>
      <c r="C66" s="50" t="s">
        <v>377</v>
      </c>
      <c r="D66" s="56">
        <v>5</v>
      </c>
      <c r="E66" s="57">
        <v>5</v>
      </c>
      <c r="F66" s="56">
        <v>5</v>
      </c>
      <c r="G66" s="20">
        <f t="shared" si="0"/>
        <v>5</v>
      </c>
      <c r="H66" s="51">
        <v>4</v>
      </c>
      <c r="I66" s="51">
        <v>4</v>
      </c>
      <c r="J66" s="51">
        <v>3</v>
      </c>
      <c r="K66" s="20">
        <f t="shared" si="1"/>
        <v>3.6666666666666665</v>
      </c>
    </row>
    <row r="67" spans="1:11" s="18" customFormat="1" ht="20.100000000000001" customHeight="1">
      <c r="A67" s="18">
        <v>51</v>
      </c>
      <c r="B67" s="19">
        <v>51</v>
      </c>
      <c r="C67" s="50" t="s">
        <v>378</v>
      </c>
      <c r="D67" s="56">
        <v>5</v>
      </c>
      <c r="E67" s="57">
        <v>5</v>
      </c>
      <c r="F67" s="56">
        <v>4</v>
      </c>
      <c r="G67" s="20">
        <f t="shared" si="0"/>
        <v>4.666666666666667</v>
      </c>
      <c r="H67" s="51">
        <v>5</v>
      </c>
      <c r="I67" s="51">
        <v>3</v>
      </c>
      <c r="J67" s="51">
        <v>2</v>
      </c>
      <c r="K67" s="20">
        <f t="shared" si="1"/>
        <v>3.3333333333333335</v>
      </c>
    </row>
    <row r="68" spans="1:11" s="18" customFormat="1" ht="20.100000000000001" customHeight="1">
      <c r="A68" s="18">
        <v>52</v>
      </c>
      <c r="B68" s="19">
        <v>52</v>
      </c>
      <c r="C68" s="50" t="s">
        <v>379</v>
      </c>
      <c r="D68" s="56">
        <v>4</v>
      </c>
      <c r="E68" s="57">
        <v>5</v>
      </c>
      <c r="F68" s="56">
        <v>3</v>
      </c>
      <c r="G68" s="20">
        <f t="shared" si="0"/>
        <v>4</v>
      </c>
      <c r="H68" s="51">
        <v>2</v>
      </c>
      <c r="I68" s="51">
        <v>1</v>
      </c>
      <c r="J68" s="51">
        <v>3</v>
      </c>
      <c r="K68" s="20">
        <f t="shared" si="1"/>
        <v>2</v>
      </c>
    </row>
    <row r="69" spans="1:11" s="18" customFormat="1" ht="20.100000000000001" customHeight="1">
      <c r="A69" s="18">
        <v>53</v>
      </c>
      <c r="B69" s="19">
        <v>53</v>
      </c>
      <c r="C69" s="50" t="s">
        <v>380</v>
      </c>
      <c r="D69" s="56">
        <v>4</v>
      </c>
      <c r="E69" s="57">
        <v>5</v>
      </c>
      <c r="F69" s="56">
        <v>3</v>
      </c>
      <c r="G69" s="20">
        <f t="shared" si="0"/>
        <v>4</v>
      </c>
      <c r="H69" s="51">
        <v>4</v>
      </c>
      <c r="I69" s="51">
        <v>2</v>
      </c>
      <c r="J69" s="51">
        <v>3</v>
      </c>
      <c r="K69" s="20">
        <f t="shared" si="1"/>
        <v>3</v>
      </c>
    </row>
    <row r="70" spans="1:11" s="18" customFormat="1" ht="20.100000000000001" customHeight="1">
      <c r="A70" s="18">
        <v>54</v>
      </c>
      <c r="B70" s="19">
        <v>54</v>
      </c>
      <c r="C70" s="50" t="s">
        <v>381</v>
      </c>
      <c r="D70" s="56">
        <v>5</v>
      </c>
      <c r="E70" s="57">
        <v>0</v>
      </c>
      <c r="F70" s="56">
        <v>3</v>
      </c>
      <c r="G70" s="20">
        <f t="shared" si="0"/>
        <v>2.6666666666666665</v>
      </c>
      <c r="H70" s="51">
        <v>4</v>
      </c>
      <c r="I70" s="51">
        <v>3</v>
      </c>
      <c r="J70" s="51">
        <v>3</v>
      </c>
      <c r="K70" s="20">
        <f t="shared" si="1"/>
        <v>3.3333333333333335</v>
      </c>
    </row>
    <row r="71" spans="1:11" s="18" customFormat="1" ht="20.100000000000001" customHeight="1">
      <c r="A71" s="18">
        <v>55</v>
      </c>
      <c r="B71" s="19">
        <v>55</v>
      </c>
      <c r="C71" s="50" t="s">
        <v>382</v>
      </c>
      <c r="D71" s="56">
        <v>5</v>
      </c>
      <c r="E71" s="57">
        <v>5</v>
      </c>
      <c r="F71" s="56">
        <v>4</v>
      </c>
      <c r="G71" s="20">
        <f t="shared" si="0"/>
        <v>4.666666666666667</v>
      </c>
      <c r="H71" s="51">
        <v>4</v>
      </c>
      <c r="I71" s="51">
        <v>3</v>
      </c>
      <c r="J71" s="51">
        <v>3</v>
      </c>
      <c r="K71" s="20">
        <f t="shared" si="1"/>
        <v>3.3333333333333335</v>
      </c>
    </row>
    <row r="72" spans="1:11" s="18" customFormat="1" ht="20.100000000000001" customHeight="1">
      <c r="A72" s="18">
        <v>56</v>
      </c>
      <c r="B72" s="19">
        <v>56</v>
      </c>
      <c r="C72" s="50" t="s">
        <v>383</v>
      </c>
      <c r="D72" s="56">
        <v>5</v>
      </c>
      <c r="E72" s="57">
        <v>4</v>
      </c>
      <c r="F72" s="56">
        <v>5</v>
      </c>
      <c r="G72" s="20">
        <f t="shared" si="0"/>
        <v>4.666666666666667</v>
      </c>
      <c r="H72" s="51">
        <v>4</v>
      </c>
      <c r="I72" s="51">
        <v>3</v>
      </c>
      <c r="J72" s="51">
        <v>3</v>
      </c>
      <c r="K72" s="20">
        <f t="shared" si="1"/>
        <v>3.3333333333333335</v>
      </c>
    </row>
    <row r="73" spans="1:11" s="18" customFormat="1" ht="20.100000000000001" customHeight="1">
      <c r="A73" s="18">
        <v>57</v>
      </c>
      <c r="B73" s="19">
        <v>57</v>
      </c>
      <c r="C73" s="50" t="s">
        <v>384</v>
      </c>
      <c r="D73" s="56">
        <v>5</v>
      </c>
      <c r="E73" s="57">
        <v>5</v>
      </c>
      <c r="F73" s="56">
        <v>3</v>
      </c>
      <c r="G73" s="20">
        <f t="shared" si="0"/>
        <v>4.333333333333333</v>
      </c>
      <c r="H73" s="51">
        <v>4</v>
      </c>
      <c r="I73" s="51">
        <v>4</v>
      </c>
      <c r="J73" s="51">
        <v>4</v>
      </c>
      <c r="K73" s="20">
        <f t="shared" si="1"/>
        <v>4</v>
      </c>
    </row>
    <row r="74" spans="1:11" s="18" customFormat="1" ht="20.100000000000001" customHeight="1">
      <c r="A74" s="18">
        <v>58</v>
      </c>
      <c r="B74" s="19">
        <v>58</v>
      </c>
      <c r="C74" s="50" t="s">
        <v>385</v>
      </c>
      <c r="D74" s="56">
        <v>4</v>
      </c>
      <c r="E74" s="57">
        <v>3</v>
      </c>
      <c r="F74" s="56">
        <v>4</v>
      </c>
      <c r="G74" s="20">
        <f t="shared" si="0"/>
        <v>3.6666666666666665</v>
      </c>
      <c r="H74" s="51">
        <v>3</v>
      </c>
      <c r="I74" s="51">
        <v>2</v>
      </c>
      <c r="J74" s="51">
        <v>4</v>
      </c>
      <c r="K74" s="20">
        <f t="shared" si="1"/>
        <v>3</v>
      </c>
    </row>
    <row r="75" spans="1:11" s="18" customFormat="1" ht="20.100000000000001" customHeight="1">
      <c r="A75" s="18">
        <v>59</v>
      </c>
      <c r="B75" s="19">
        <v>59</v>
      </c>
      <c r="C75" s="50" t="s">
        <v>386</v>
      </c>
      <c r="D75" s="56">
        <v>5</v>
      </c>
      <c r="E75" s="57">
        <v>4</v>
      </c>
      <c r="F75" s="56">
        <v>5</v>
      </c>
      <c r="G75" s="20">
        <f t="shared" si="0"/>
        <v>4.666666666666667</v>
      </c>
      <c r="H75" s="51">
        <v>3</v>
      </c>
      <c r="I75" s="51">
        <v>2</v>
      </c>
      <c r="J75" s="51">
        <v>3</v>
      </c>
      <c r="K75" s="20">
        <f t="shared" si="1"/>
        <v>2.6666666666666665</v>
      </c>
    </row>
    <row r="76" spans="1:11" s="18" customFormat="1" ht="20.100000000000001" customHeight="1">
      <c r="A76" s="18">
        <v>60</v>
      </c>
      <c r="B76" s="19">
        <v>60</v>
      </c>
      <c r="C76" s="50" t="s">
        <v>387</v>
      </c>
      <c r="D76" s="56">
        <v>5</v>
      </c>
      <c r="E76" s="57">
        <v>5</v>
      </c>
      <c r="F76" s="56">
        <v>3</v>
      </c>
      <c r="G76" s="20">
        <f t="shared" si="0"/>
        <v>4.333333333333333</v>
      </c>
      <c r="H76" s="51">
        <v>4</v>
      </c>
      <c r="I76" s="51">
        <v>3</v>
      </c>
      <c r="J76" s="51">
        <v>4</v>
      </c>
      <c r="K76" s="20">
        <f t="shared" si="1"/>
        <v>3.6666666666666665</v>
      </c>
    </row>
    <row r="77" spans="1:11" s="18" customFormat="1" ht="20.100000000000001" customHeight="1">
      <c r="A77" s="18">
        <v>61</v>
      </c>
      <c r="B77" s="19">
        <v>61</v>
      </c>
      <c r="C77" s="52" t="s">
        <v>388</v>
      </c>
      <c r="D77" s="56">
        <v>5</v>
      </c>
      <c r="E77" s="57">
        <v>2</v>
      </c>
      <c r="F77" s="56">
        <v>3</v>
      </c>
      <c r="G77" s="20">
        <f t="shared" si="0"/>
        <v>3.3333333333333335</v>
      </c>
      <c r="H77" s="51">
        <v>3</v>
      </c>
      <c r="I77" s="51">
        <v>4</v>
      </c>
      <c r="J77" s="51">
        <v>3</v>
      </c>
      <c r="K77" s="20">
        <f t="shared" si="1"/>
        <v>3.3333333333333335</v>
      </c>
    </row>
    <row r="78" spans="1:11" s="18" customFormat="1" ht="20.100000000000001" customHeight="1">
      <c r="A78" s="18">
        <v>62</v>
      </c>
      <c r="B78" s="19">
        <v>62</v>
      </c>
      <c r="C78" s="22" t="s">
        <v>389</v>
      </c>
      <c r="D78" s="56">
        <v>4</v>
      </c>
      <c r="E78" s="57">
        <v>2</v>
      </c>
      <c r="F78" s="56">
        <v>4</v>
      </c>
      <c r="G78" s="20">
        <f t="shared" si="0"/>
        <v>3.3333333333333335</v>
      </c>
      <c r="H78" s="51">
        <v>3</v>
      </c>
      <c r="I78" s="51">
        <v>3</v>
      </c>
      <c r="J78" s="51">
        <v>3</v>
      </c>
      <c r="K78" s="20">
        <f t="shared" si="1"/>
        <v>3</v>
      </c>
    </row>
    <row r="79" spans="1:11" s="18" customFormat="1" ht="20.100000000000001" customHeight="1">
      <c r="A79" s="18">
        <v>63</v>
      </c>
      <c r="B79" s="19">
        <v>63</v>
      </c>
      <c r="C79" s="22" t="s">
        <v>390</v>
      </c>
      <c r="D79" s="56">
        <v>5</v>
      </c>
      <c r="E79" s="57">
        <v>4</v>
      </c>
      <c r="F79" s="56">
        <v>4</v>
      </c>
      <c r="G79" s="20">
        <f t="shared" si="0"/>
        <v>4.333333333333333</v>
      </c>
      <c r="H79" s="51">
        <v>4</v>
      </c>
      <c r="I79" s="51">
        <v>2</v>
      </c>
      <c r="J79" s="51">
        <v>3</v>
      </c>
      <c r="K79" s="20">
        <f t="shared" si="1"/>
        <v>3</v>
      </c>
    </row>
    <row r="80" spans="1:11" s="18" customFormat="1" ht="20.100000000000001" customHeight="1">
      <c r="A80" s="18">
        <v>64</v>
      </c>
      <c r="B80" s="19">
        <v>64</v>
      </c>
      <c r="C80" s="22" t="s">
        <v>391</v>
      </c>
      <c r="D80" s="56">
        <v>5</v>
      </c>
      <c r="E80" s="57">
        <v>4</v>
      </c>
      <c r="F80" s="56">
        <v>5</v>
      </c>
      <c r="G80" s="20">
        <f t="shared" si="0"/>
        <v>4.666666666666667</v>
      </c>
      <c r="H80" s="51">
        <v>4</v>
      </c>
      <c r="I80" s="51">
        <v>4</v>
      </c>
      <c r="J80" s="51">
        <v>3</v>
      </c>
      <c r="K80" s="20">
        <f t="shared" si="1"/>
        <v>3.6666666666666665</v>
      </c>
    </row>
    <row r="81" spans="1:11" s="18" customFormat="1" ht="20.100000000000001" customHeight="1">
      <c r="A81" s="18">
        <v>65</v>
      </c>
      <c r="B81" s="19">
        <v>65</v>
      </c>
      <c r="C81" s="22" t="s">
        <v>392</v>
      </c>
      <c r="D81" s="56">
        <v>0</v>
      </c>
      <c r="E81" s="57">
        <v>0</v>
      </c>
      <c r="F81" s="56">
        <v>4</v>
      </c>
      <c r="G81" s="20">
        <f t="shared" si="0"/>
        <v>1.3333333333333333</v>
      </c>
      <c r="H81" s="51">
        <v>3</v>
      </c>
      <c r="I81" s="51">
        <v>2</v>
      </c>
      <c r="J81" s="51">
        <v>1</v>
      </c>
      <c r="K81" s="20">
        <f t="shared" si="1"/>
        <v>2</v>
      </c>
    </row>
    <row r="82" spans="1:11" s="18" customFormat="1" ht="20.100000000000001" customHeight="1">
      <c r="A82" s="18">
        <v>66</v>
      </c>
      <c r="B82" s="19">
        <v>66</v>
      </c>
      <c r="C82" s="52" t="s">
        <v>393</v>
      </c>
      <c r="D82" s="56">
        <v>5</v>
      </c>
      <c r="E82" s="57">
        <v>0</v>
      </c>
      <c r="F82" s="56">
        <v>4</v>
      </c>
      <c r="G82" s="20">
        <f t="shared" ref="G82:G145" si="2">IFERROR(IF(A82&lt;=$G$208,AVERAGE(D82:F82),""),0)</f>
        <v>3</v>
      </c>
      <c r="H82" s="51">
        <v>0</v>
      </c>
      <c r="I82" s="51">
        <v>3</v>
      </c>
      <c r="J82" s="51">
        <v>2</v>
      </c>
      <c r="K82" s="20">
        <f t="shared" ref="K82:K145" si="3">IFERROR(IF(A82&lt;=$G$208,AVERAGE(H82:J82),""),0)</f>
        <v>1.6666666666666667</v>
      </c>
    </row>
    <row r="83" spans="1:11" s="18" customFormat="1" ht="20.100000000000001" customHeight="1">
      <c r="A83" s="18">
        <v>67</v>
      </c>
      <c r="B83" s="19">
        <v>67</v>
      </c>
      <c r="C83" s="22" t="s">
        <v>394</v>
      </c>
      <c r="D83" s="56">
        <v>4</v>
      </c>
      <c r="E83" s="57">
        <v>3</v>
      </c>
      <c r="F83" s="56">
        <v>4</v>
      </c>
      <c r="G83" s="20">
        <f t="shared" si="2"/>
        <v>3.6666666666666665</v>
      </c>
      <c r="H83" s="51">
        <v>4</v>
      </c>
      <c r="I83" s="51">
        <v>2</v>
      </c>
      <c r="J83" s="51">
        <v>3</v>
      </c>
      <c r="K83" s="20">
        <f t="shared" si="3"/>
        <v>3</v>
      </c>
    </row>
    <row r="84" spans="1:11" s="18" customFormat="1" ht="20.100000000000001" customHeight="1">
      <c r="A84" s="18">
        <v>68</v>
      </c>
      <c r="B84" s="19">
        <v>68</v>
      </c>
      <c r="C84" s="22" t="s">
        <v>395</v>
      </c>
      <c r="D84" s="56">
        <v>3</v>
      </c>
      <c r="E84" s="57">
        <v>3</v>
      </c>
      <c r="F84" s="56">
        <v>5</v>
      </c>
      <c r="G84" s="20">
        <f t="shared" si="2"/>
        <v>3.6666666666666665</v>
      </c>
      <c r="H84" s="51">
        <v>3</v>
      </c>
      <c r="I84" s="51">
        <v>3</v>
      </c>
      <c r="J84" s="51">
        <v>2</v>
      </c>
      <c r="K84" s="20">
        <f t="shared" si="3"/>
        <v>2.6666666666666665</v>
      </c>
    </row>
    <row r="85" spans="1:11" s="18" customFormat="1" ht="20.100000000000001" customHeight="1">
      <c r="A85" s="18">
        <v>69</v>
      </c>
      <c r="B85" s="19">
        <v>69</v>
      </c>
      <c r="C85" s="22" t="s">
        <v>396</v>
      </c>
      <c r="D85" s="56">
        <v>5</v>
      </c>
      <c r="E85" s="57">
        <v>3</v>
      </c>
      <c r="F85" s="56">
        <v>4</v>
      </c>
      <c r="G85" s="20">
        <f t="shared" si="2"/>
        <v>4</v>
      </c>
      <c r="H85" s="51">
        <v>3</v>
      </c>
      <c r="I85" s="51">
        <v>3</v>
      </c>
      <c r="J85" s="51">
        <v>4</v>
      </c>
      <c r="K85" s="20">
        <f t="shared" si="3"/>
        <v>3.3333333333333335</v>
      </c>
    </row>
    <row r="86" spans="1:11" s="18" customFormat="1" ht="20.100000000000001" customHeight="1">
      <c r="A86" s="18">
        <v>70</v>
      </c>
      <c r="B86" s="19">
        <v>70</v>
      </c>
      <c r="C86" s="22" t="s">
        <v>397</v>
      </c>
      <c r="D86" s="56">
        <v>3</v>
      </c>
      <c r="E86" s="57">
        <v>3</v>
      </c>
      <c r="F86" s="56">
        <v>5</v>
      </c>
      <c r="G86" s="20">
        <f t="shared" si="2"/>
        <v>3.6666666666666665</v>
      </c>
      <c r="H86" s="51">
        <v>2</v>
      </c>
      <c r="I86" s="51">
        <v>1</v>
      </c>
      <c r="J86" s="51">
        <v>2</v>
      </c>
      <c r="K86" s="20">
        <f t="shared" si="3"/>
        <v>1.6666666666666667</v>
      </c>
    </row>
    <row r="87" spans="1:11" s="18" customFormat="1" ht="20.100000000000001" customHeight="1">
      <c r="A87" s="18">
        <v>71</v>
      </c>
      <c r="B87" s="19">
        <v>71</v>
      </c>
      <c r="C87" s="52" t="s">
        <v>398</v>
      </c>
      <c r="D87" s="56">
        <v>3</v>
      </c>
      <c r="E87" s="57">
        <v>0</v>
      </c>
      <c r="F87" s="56">
        <v>0</v>
      </c>
      <c r="G87" s="20">
        <f t="shared" si="2"/>
        <v>1</v>
      </c>
      <c r="H87" s="51">
        <v>2</v>
      </c>
      <c r="I87" s="51">
        <v>2</v>
      </c>
      <c r="J87" s="51">
        <v>1</v>
      </c>
      <c r="K87" s="20">
        <f t="shared" si="3"/>
        <v>1.6666666666666667</v>
      </c>
    </row>
    <row r="88" spans="1:11" s="18" customFormat="1" ht="20.100000000000001" customHeight="1">
      <c r="A88" s="18">
        <v>72</v>
      </c>
      <c r="B88" s="19">
        <v>72</v>
      </c>
      <c r="C88" s="22" t="s">
        <v>399</v>
      </c>
      <c r="D88" s="56">
        <v>3</v>
      </c>
      <c r="E88" s="57">
        <v>0</v>
      </c>
      <c r="F88" s="56">
        <v>0</v>
      </c>
      <c r="G88" s="20">
        <f t="shared" si="2"/>
        <v>1</v>
      </c>
      <c r="H88" s="51">
        <v>2</v>
      </c>
      <c r="I88" s="51">
        <v>2</v>
      </c>
      <c r="J88" s="51">
        <v>2</v>
      </c>
      <c r="K88" s="20">
        <f t="shared" si="3"/>
        <v>2</v>
      </c>
    </row>
    <row r="89" spans="1:11" s="18" customFormat="1" ht="20.100000000000001" customHeight="1">
      <c r="A89" s="18">
        <v>73</v>
      </c>
      <c r="B89" s="19">
        <v>73</v>
      </c>
      <c r="C89" s="22" t="s">
        <v>400</v>
      </c>
      <c r="D89" s="56">
        <v>3</v>
      </c>
      <c r="E89" s="57">
        <v>0</v>
      </c>
      <c r="F89" s="56">
        <v>0</v>
      </c>
      <c r="G89" s="20">
        <f t="shared" si="2"/>
        <v>1</v>
      </c>
      <c r="H89" s="51">
        <v>3</v>
      </c>
      <c r="I89" s="51">
        <v>2</v>
      </c>
      <c r="J89" s="51">
        <v>2</v>
      </c>
      <c r="K89" s="20">
        <f t="shared" si="3"/>
        <v>2.3333333333333335</v>
      </c>
    </row>
    <row r="90" spans="1:11" s="18" customFormat="1" ht="20.100000000000001" customHeight="1">
      <c r="A90" s="18">
        <v>74</v>
      </c>
      <c r="B90" s="19"/>
      <c r="C90" s="22"/>
      <c r="D90" s="56"/>
      <c r="E90" s="57"/>
      <c r="F90" s="56"/>
      <c r="G90" s="20" t="str">
        <f t="shared" si="2"/>
        <v/>
      </c>
      <c r="H90" s="51"/>
      <c r="I90" s="51"/>
      <c r="J90" s="51"/>
      <c r="K90" s="20" t="str">
        <f t="shared" si="3"/>
        <v/>
      </c>
    </row>
    <row r="91" spans="1:11" s="18" customFormat="1" ht="20.100000000000001" customHeight="1">
      <c r="A91" s="18">
        <v>75</v>
      </c>
      <c r="B91" s="19"/>
      <c r="C91" s="22"/>
      <c r="D91" s="56"/>
      <c r="E91" s="57"/>
      <c r="F91" s="56"/>
      <c r="G91" s="20" t="str">
        <f t="shared" si="2"/>
        <v/>
      </c>
      <c r="H91" s="51"/>
      <c r="I91" s="51"/>
      <c r="J91" s="51"/>
      <c r="K91" s="20" t="str">
        <f t="shared" si="3"/>
        <v/>
      </c>
    </row>
    <row r="92" spans="1:11" s="18" customFormat="1" ht="20.100000000000001" customHeight="1">
      <c r="A92" s="18">
        <v>76</v>
      </c>
      <c r="B92" s="19"/>
      <c r="C92" s="52"/>
      <c r="D92" s="56"/>
      <c r="E92" s="57"/>
      <c r="F92" s="56"/>
      <c r="G92" s="20" t="str">
        <f t="shared" si="2"/>
        <v/>
      </c>
      <c r="H92" s="51"/>
      <c r="I92" s="51"/>
      <c r="J92" s="51"/>
      <c r="K92" s="20" t="str">
        <f t="shared" si="3"/>
        <v/>
      </c>
    </row>
    <row r="93" spans="1:11" s="18" customFormat="1" ht="20.100000000000001" customHeight="1">
      <c r="A93" s="18">
        <v>77</v>
      </c>
      <c r="B93" s="19"/>
      <c r="C93" s="22"/>
      <c r="D93" s="56"/>
      <c r="E93" s="57"/>
      <c r="F93" s="56"/>
      <c r="G93" s="20" t="str">
        <f t="shared" si="2"/>
        <v/>
      </c>
      <c r="H93" s="51"/>
      <c r="I93" s="157"/>
      <c r="J93" s="51"/>
      <c r="K93" s="20" t="str">
        <f t="shared" si="3"/>
        <v/>
      </c>
    </row>
    <row r="94" spans="1:11" s="18" customFormat="1" ht="20.100000000000001" customHeight="1">
      <c r="A94" s="18">
        <v>78</v>
      </c>
      <c r="B94" s="19"/>
      <c r="C94" s="22"/>
      <c r="D94" s="56"/>
      <c r="E94" s="57"/>
      <c r="F94" s="56"/>
      <c r="G94" s="20" t="str">
        <f t="shared" si="2"/>
        <v/>
      </c>
      <c r="H94" s="51"/>
      <c r="I94" s="51"/>
      <c r="J94" s="51"/>
      <c r="K94" s="20" t="str">
        <f t="shared" si="3"/>
        <v/>
      </c>
    </row>
    <row r="95" spans="1:11" s="18" customFormat="1" ht="20.100000000000001" customHeight="1">
      <c r="A95" s="18">
        <v>79</v>
      </c>
      <c r="B95" s="19"/>
      <c r="C95" s="22"/>
      <c r="D95" s="56"/>
      <c r="E95" s="57"/>
      <c r="F95" s="56"/>
      <c r="G95" s="20" t="str">
        <f t="shared" si="2"/>
        <v/>
      </c>
      <c r="H95" s="51"/>
      <c r="I95" s="51"/>
      <c r="J95" s="51"/>
      <c r="K95" s="20" t="str">
        <f t="shared" si="3"/>
        <v/>
      </c>
    </row>
    <row r="96" spans="1:11" s="18" customFormat="1" ht="20.100000000000001" customHeight="1">
      <c r="A96" s="18">
        <v>80</v>
      </c>
      <c r="B96" s="19"/>
      <c r="C96" s="22"/>
      <c r="D96" s="56"/>
      <c r="E96" s="57"/>
      <c r="F96" s="56"/>
      <c r="G96" s="20" t="str">
        <f t="shared" si="2"/>
        <v/>
      </c>
      <c r="H96" s="51"/>
      <c r="I96" s="51"/>
      <c r="J96" s="51"/>
      <c r="K96" s="20" t="str">
        <f t="shared" si="3"/>
        <v/>
      </c>
    </row>
    <row r="97" spans="1:11" s="18" customFormat="1" ht="20.100000000000001" customHeight="1">
      <c r="A97" s="18">
        <v>81</v>
      </c>
      <c r="B97" s="19"/>
      <c r="C97" s="52"/>
      <c r="D97" s="56"/>
      <c r="E97" s="57"/>
      <c r="F97" s="56"/>
      <c r="G97" s="20" t="str">
        <f t="shared" si="2"/>
        <v/>
      </c>
      <c r="H97" s="51"/>
      <c r="I97" s="51"/>
      <c r="J97" s="51"/>
      <c r="K97" s="20" t="str">
        <f t="shared" si="3"/>
        <v/>
      </c>
    </row>
    <row r="98" spans="1:11" s="18" customFormat="1" ht="20.100000000000001" customHeight="1">
      <c r="A98" s="18">
        <v>82</v>
      </c>
      <c r="B98" s="19"/>
      <c r="C98" s="22"/>
      <c r="D98" s="56"/>
      <c r="E98" s="57"/>
      <c r="F98" s="56"/>
      <c r="G98" s="20" t="str">
        <f t="shared" si="2"/>
        <v/>
      </c>
      <c r="H98" s="51"/>
      <c r="I98" s="51"/>
      <c r="J98" s="51"/>
      <c r="K98" s="20" t="str">
        <f t="shared" si="3"/>
        <v/>
      </c>
    </row>
    <row r="99" spans="1:11" s="18" customFormat="1" ht="20.100000000000001" customHeight="1">
      <c r="A99" s="18">
        <v>83</v>
      </c>
      <c r="B99" s="19"/>
      <c r="C99" s="22"/>
      <c r="D99" s="56"/>
      <c r="E99" s="57"/>
      <c r="F99" s="56"/>
      <c r="G99" s="20" t="str">
        <f t="shared" si="2"/>
        <v/>
      </c>
      <c r="H99" s="51"/>
      <c r="I99" s="51"/>
      <c r="J99" s="51"/>
      <c r="K99" s="20" t="str">
        <f t="shared" si="3"/>
        <v/>
      </c>
    </row>
    <row r="100" spans="1:11" s="18" customFormat="1" ht="20.100000000000001" customHeight="1">
      <c r="A100" s="18">
        <v>84</v>
      </c>
      <c r="B100" s="19"/>
      <c r="C100" s="22"/>
      <c r="D100" s="56"/>
      <c r="E100" s="57"/>
      <c r="F100" s="56"/>
      <c r="G100" s="20" t="str">
        <f t="shared" si="2"/>
        <v/>
      </c>
      <c r="H100" s="51"/>
      <c r="I100" s="51"/>
      <c r="J100" s="51"/>
      <c r="K100" s="20" t="str">
        <f t="shared" si="3"/>
        <v/>
      </c>
    </row>
    <row r="101" spans="1:11" s="18" customFormat="1" ht="20.100000000000001" customHeight="1">
      <c r="A101" s="18">
        <v>85</v>
      </c>
      <c r="B101" s="19"/>
      <c r="C101" s="22"/>
      <c r="D101" s="56"/>
      <c r="E101" s="57"/>
      <c r="F101" s="56"/>
      <c r="G101" s="20" t="str">
        <f t="shared" si="2"/>
        <v/>
      </c>
      <c r="H101" s="51"/>
      <c r="I101" s="51"/>
      <c r="J101" s="51"/>
      <c r="K101" s="20" t="str">
        <f t="shared" si="3"/>
        <v/>
      </c>
    </row>
    <row r="102" spans="1:11" s="18" customFormat="1" ht="20.100000000000001" customHeight="1">
      <c r="A102" s="18">
        <v>86</v>
      </c>
      <c r="B102" s="19"/>
      <c r="C102" s="52"/>
      <c r="D102" s="56"/>
      <c r="E102" s="57"/>
      <c r="F102" s="56"/>
      <c r="G102" s="20" t="str">
        <f t="shared" si="2"/>
        <v/>
      </c>
      <c r="H102" s="51"/>
      <c r="I102" s="51"/>
      <c r="J102" s="51"/>
      <c r="K102" s="20" t="str">
        <f t="shared" si="3"/>
        <v/>
      </c>
    </row>
    <row r="103" spans="1:11" s="18" customFormat="1" ht="20.100000000000001" customHeight="1">
      <c r="A103" s="18">
        <v>87</v>
      </c>
      <c r="B103" s="19"/>
      <c r="C103" s="22"/>
      <c r="D103" s="56"/>
      <c r="E103" s="57"/>
      <c r="F103" s="56"/>
      <c r="G103" s="20" t="str">
        <f t="shared" si="2"/>
        <v/>
      </c>
      <c r="H103" s="51"/>
      <c r="I103" s="51"/>
      <c r="J103" s="51"/>
      <c r="K103" s="20" t="str">
        <f t="shared" si="3"/>
        <v/>
      </c>
    </row>
    <row r="104" spans="1:11" s="18" customFormat="1" ht="20.100000000000001" customHeight="1">
      <c r="A104" s="18">
        <v>88</v>
      </c>
      <c r="B104" s="19"/>
      <c r="C104" s="22"/>
      <c r="D104" s="56"/>
      <c r="E104" s="57"/>
      <c r="F104" s="56"/>
      <c r="G104" s="20" t="str">
        <f t="shared" si="2"/>
        <v/>
      </c>
      <c r="H104" s="51"/>
      <c r="I104" s="51"/>
      <c r="J104" s="51"/>
      <c r="K104" s="20" t="str">
        <f t="shared" si="3"/>
        <v/>
      </c>
    </row>
    <row r="105" spans="1:11" s="18" customFormat="1" ht="20.100000000000001" customHeight="1">
      <c r="A105" s="18">
        <v>89</v>
      </c>
      <c r="B105" s="19"/>
      <c r="C105" s="22"/>
      <c r="D105" s="56"/>
      <c r="E105" s="57"/>
      <c r="F105" s="56"/>
      <c r="G105" s="20" t="str">
        <f t="shared" si="2"/>
        <v/>
      </c>
      <c r="H105" s="51"/>
      <c r="I105" s="51"/>
      <c r="J105" s="51"/>
      <c r="K105" s="20" t="str">
        <f t="shared" si="3"/>
        <v/>
      </c>
    </row>
    <row r="106" spans="1:11" s="18" customFormat="1" ht="20.100000000000001" customHeight="1">
      <c r="A106" s="18">
        <v>90</v>
      </c>
      <c r="B106" s="19"/>
      <c r="C106" s="22"/>
      <c r="D106" s="56"/>
      <c r="E106" s="57"/>
      <c r="F106" s="56"/>
      <c r="G106" s="20" t="str">
        <f t="shared" si="2"/>
        <v/>
      </c>
      <c r="H106" s="51"/>
      <c r="I106" s="51"/>
      <c r="J106" s="51"/>
      <c r="K106" s="20" t="str">
        <f t="shared" si="3"/>
        <v/>
      </c>
    </row>
    <row r="107" spans="1:11" s="18" customFormat="1" ht="20.100000000000001" customHeight="1">
      <c r="A107" s="18">
        <v>91</v>
      </c>
      <c r="B107" s="19"/>
      <c r="C107" s="52"/>
      <c r="D107" s="56"/>
      <c r="E107" s="57"/>
      <c r="F107" s="56"/>
      <c r="G107" s="20" t="str">
        <f t="shared" si="2"/>
        <v/>
      </c>
      <c r="H107" s="51"/>
      <c r="I107" s="51"/>
      <c r="J107" s="51"/>
      <c r="K107" s="20" t="str">
        <f t="shared" si="3"/>
        <v/>
      </c>
    </row>
    <row r="108" spans="1:11" s="18" customFormat="1" ht="20.100000000000001" customHeight="1">
      <c r="A108" s="18">
        <v>92</v>
      </c>
      <c r="B108" s="19"/>
      <c r="C108" s="22"/>
      <c r="D108" s="56"/>
      <c r="E108" s="57"/>
      <c r="F108" s="56"/>
      <c r="G108" s="20" t="str">
        <f t="shared" si="2"/>
        <v/>
      </c>
      <c r="H108" s="51"/>
      <c r="I108" s="51"/>
      <c r="J108" s="51"/>
      <c r="K108" s="20" t="str">
        <f t="shared" si="3"/>
        <v/>
      </c>
    </row>
    <row r="109" spans="1:11" s="18" customFormat="1" ht="20.100000000000001" customHeight="1">
      <c r="A109" s="18">
        <v>93</v>
      </c>
      <c r="B109" s="19"/>
      <c r="C109" s="22"/>
      <c r="D109" s="56"/>
      <c r="E109" s="57"/>
      <c r="F109" s="56"/>
      <c r="G109" s="20" t="str">
        <f t="shared" si="2"/>
        <v/>
      </c>
      <c r="H109" s="51"/>
      <c r="I109" s="51"/>
      <c r="J109" s="51"/>
      <c r="K109" s="20" t="str">
        <f t="shared" si="3"/>
        <v/>
      </c>
    </row>
    <row r="110" spans="1:11" s="18" customFormat="1" ht="20.100000000000001" customHeight="1">
      <c r="A110" s="18">
        <v>94</v>
      </c>
      <c r="B110" s="19"/>
      <c r="C110" s="22"/>
      <c r="D110" s="56"/>
      <c r="E110" s="57"/>
      <c r="F110" s="56"/>
      <c r="G110" s="20" t="str">
        <f t="shared" si="2"/>
        <v/>
      </c>
      <c r="H110" s="51"/>
      <c r="I110" s="51"/>
      <c r="J110" s="51"/>
      <c r="K110" s="20" t="str">
        <f t="shared" si="3"/>
        <v/>
      </c>
    </row>
    <row r="111" spans="1:11" s="18" customFormat="1" ht="20.100000000000001" customHeight="1">
      <c r="A111" s="18">
        <v>95</v>
      </c>
      <c r="B111" s="19"/>
      <c r="C111" s="22"/>
      <c r="D111" s="56"/>
      <c r="E111" s="57"/>
      <c r="F111" s="56"/>
      <c r="G111" s="20" t="str">
        <f t="shared" si="2"/>
        <v/>
      </c>
      <c r="H111" s="51"/>
      <c r="I111" s="51"/>
      <c r="J111" s="51"/>
      <c r="K111" s="20" t="str">
        <f t="shared" si="3"/>
        <v/>
      </c>
    </row>
    <row r="112" spans="1:11" s="18" customFormat="1" ht="20.100000000000001" customHeight="1">
      <c r="A112" s="18">
        <v>96</v>
      </c>
      <c r="B112" s="19"/>
      <c r="C112" s="52"/>
      <c r="D112" s="56"/>
      <c r="E112" s="57"/>
      <c r="F112" s="56"/>
      <c r="G112" s="20" t="str">
        <f t="shared" si="2"/>
        <v/>
      </c>
      <c r="H112" s="51"/>
      <c r="I112" s="51"/>
      <c r="J112" s="51"/>
      <c r="K112" s="20" t="str">
        <f t="shared" si="3"/>
        <v/>
      </c>
    </row>
    <row r="113" spans="1:11" s="18" customFormat="1" ht="20.100000000000001" customHeight="1">
      <c r="A113" s="18">
        <v>97</v>
      </c>
      <c r="B113" s="19"/>
      <c r="C113" s="22"/>
      <c r="D113" s="56"/>
      <c r="E113" s="57"/>
      <c r="F113" s="56"/>
      <c r="G113" s="20" t="str">
        <f t="shared" si="2"/>
        <v/>
      </c>
      <c r="H113" s="51"/>
      <c r="I113" s="51"/>
      <c r="J113" s="51"/>
      <c r="K113" s="20" t="str">
        <f t="shared" si="3"/>
        <v/>
      </c>
    </row>
    <row r="114" spans="1:11" s="18" customFormat="1" ht="20.100000000000001" customHeight="1">
      <c r="A114" s="18">
        <v>98</v>
      </c>
      <c r="B114" s="19"/>
      <c r="C114" s="22"/>
      <c r="D114" s="56"/>
      <c r="E114" s="57"/>
      <c r="F114" s="56"/>
      <c r="G114" s="20" t="str">
        <f t="shared" si="2"/>
        <v/>
      </c>
      <c r="H114" s="51"/>
      <c r="I114" s="51"/>
      <c r="J114" s="51"/>
      <c r="K114" s="20" t="str">
        <f t="shared" si="3"/>
        <v/>
      </c>
    </row>
    <row r="115" spans="1:11" s="18" customFormat="1" ht="20.100000000000001" customHeight="1">
      <c r="A115" s="18">
        <v>99</v>
      </c>
      <c r="B115" s="19"/>
      <c r="C115" s="22"/>
      <c r="D115" s="56"/>
      <c r="E115" s="57"/>
      <c r="F115" s="56"/>
      <c r="G115" s="20" t="str">
        <f t="shared" si="2"/>
        <v/>
      </c>
      <c r="H115" s="51"/>
      <c r="I115" s="51"/>
      <c r="J115" s="51"/>
      <c r="K115" s="20" t="str">
        <f t="shared" si="3"/>
        <v/>
      </c>
    </row>
    <row r="116" spans="1:11" s="18" customFormat="1" ht="20.100000000000001" customHeight="1">
      <c r="A116" s="18">
        <v>100</v>
      </c>
      <c r="B116" s="19"/>
      <c r="C116" s="22"/>
      <c r="D116" s="56"/>
      <c r="E116" s="57"/>
      <c r="F116" s="56"/>
      <c r="G116" s="20" t="str">
        <f t="shared" si="2"/>
        <v/>
      </c>
      <c r="H116" s="51"/>
      <c r="I116" s="51"/>
      <c r="J116" s="51"/>
      <c r="K116" s="20" t="str">
        <f t="shared" si="3"/>
        <v/>
      </c>
    </row>
    <row r="117" spans="1:11" s="18" customFormat="1" ht="20.100000000000001" customHeight="1">
      <c r="A117" s="18">
        <v>101</v>
      </c>
      <c r="B117" s="19"/>
      <c r="C117" s="52"/>
      <c r="D117" s="56"/>
      <c r="E117" s="57"/>
      <c r="F117" s="56"/>
      <c r="G117" s="20" t="str">
        <f t="shared" si="2"/>
        <v/>
      </c>
      <c r="H117" s="51"/>
      <c r="I117" s="51"/>
      <c r="J117" s="51"/>
      <c r="K117" s="20" t="str">
        <f t="shared" si="3"/>
        <v/>
      </c>
    </row>
    <row r="118" spans="1:11" s="18" customFormat="1" ht="20.100000000000001" customHeight="1">
      <c r="A118" s="18">
        <v>102</v>
      </c>
      <c r="B118" s="19"/>
      <c r="C118" s="22"/>
      <c r="D118" s="56"/>
      <c r="E118" s="57"/>
      <c r="F118" s="56"/>
      <c r="G118" s="20" t="str">
        <f t="shared" si="2"/>
        <v/>
      </c>
      <c r="H118" s="51"/>
      <c r="I118" s="51"/>
      <c r="J118" s="51"/>
      <c r="K118" s="20" t="str">
        <f t="shared" si="3"/>
        <v/>
      </c>
    </row>
    <row r="119" spans="1:11" s="18" customFormat="1" ht="20.100000000000001" customHeight="1">
      <c r="A119" s="18">
        <v>103</v>
      </c>
      <c r="B119" s="19"/>
      <c r="C119" s="22"/>
      <c r="D119" s="56"/>
      <c r="E119" s="57"/>
      <c r="F119" s="56"/>
      <c r="G119" s="20" t="str">
        <f t="shared" si="2"/>
        <v/>
      </c>
      <c r="H119" s="51"/>
      <c r="I119" s="51"/>
      <c r="J119" s="51"/>
      <c r="K119" s="20" t="str">
        <f t="shared" si="3"/>
        <v/>
      </c>
    </row>
    <row r="120" spans="1:11" s="18" customFormat="1" ht="20.100000000000001" customHeight="1">
      <c r="A120" s="18">
        <v>104</v>
      </c>
      <c r="B120" s="19"/>
      <c r="C120" s="22"/>
      <c r="D120" s="56"/>
      <c r="E120" s="57"/>
      <c r="F120" s="56"/>
      <c r="G120" s="20" t="str">
        <f t="shared" si="2"/>
        <v/>
      </c>
      <c r="H120" s="51"/>
      <c r="I120" s="51"/>
      <c r="J120" s="51"/>
      <c r="K120" s="20" t="str">
        <f t="shared" si="3"/>
        <v/>
      </c>
    </row>
    <row r="121" spans="1:11" s="18" customFormat="1" ht="20.100000000000001" customHeight="1">
      <c r="A121" s="18">
        <v>105</v>
      </c>
      <c r="B121" s="19"/>
      <c r="C121" s="22"/>
      <c r="D121" s="56"/>
      <c r="E121" s="57"/>
      <c r="F121" s="56"/>
      <c r="G121" s="20" t="str">
        <f t="shared" si="2"/>
        <v/>
      </c>
      <c r="H121" s="51"/>
      <c r="I121" s="51"/>
      <c r="J121" s="51"/>
      <c r="K121" s="20" t="str">
        <f t="shared" si="3"/>
        <v/>
      </c>
    </row>
    <row r="122" spans="1:11" s="18" customFormat="1" ht="20.100000000000001" customHeight="1">
      <c r="A122" s="18">
        <v>106</v>
      </c>
      <c r="B122" s="19"/>
      <c r="C122" s="52"/>
      <c r="D122" s="56"/>
      <c r="E122" s="57"/>
      <c r="F122" s="56"/>
      <c r="G122" s="20" t="str">
        <f t="shared" si="2"/>
        <v/>
      </c>
      <c r="H122" s="51"/>
      <c r="I122" s="51"/>
      <c r="J122" s="51"/>
      <c r="K122" s="20" t="str">
        <f t="shared" si="3"/>
        <v/>
      </c>
    </row>
    <row r="123" spans="1:11" s="18" customFormat="1" ht="20.100000000000001" customHeight="1">
      <c r="A123" s="18">
        <v>107</v>
      </c>
      <c r="B123" s="19"/>
      <c r="C123" s="22"/>
      <c r="D123" s="56"/>
      <c r="E123" s="57"/>
      <c r="F123" s="56"/>
      <c r="G123" s="20" t="str">
        <f t="shared" si="2"/>
        <v/>
      </c>
      <c r="H123" s="51"/>
      <c r="I123" s="51"/>
      <c r="J123" s="51"/>
      <c r="K123" s="20" t="str">
        <f t="shared" si="3"/>
        <v/>
      </c>
    </row>
    <row r="124" spans="1:11" s="18" customFormat="1" ht="20.100000000000001" customHeight="1">
      <c r="A124" s="18">
        <v>108</v>
      </c>
      <c r="B124" s="19"/>
      <c r="C124" s="22"/>
      <c r="D124" s="56"/>
      <c r="E124" s="57"/>
      <c r="F124" s="56"/>
      <c r="G124" s="20" t="str">
        <f t="shared" si="2"/>
        <v/>
      </c>
      <c r="H124" s="51"/>
      <c r="I124" s="51"/>
      <c r="J124" s="51"/>
      <c r="K124" s="20" t="str">
        <f t="shared" si="3"/>
        <v/>
      </c>
    </row>
    <row r="125" spans="1:11" s="18" customFormat="1" ht="20.100000000000001" customHeight="1">
      <c r="A125" s="18">
        <v>109</v>
      </c>
      <c r="B125" s="19"/>
      <c r="C125" s="22"/>
      <c r="D125" s="56"/>
      <c r="E125" s="57"/>
      <c r="F125" s="56"/>
      <c r="G125" s="20" t="str">
        <f t="shared" si="2"/>
        <v/>
      </c>
      <c r="H125" s="51"/>
      <c r="I125" s="51"/>
      <c r="J125" s="51"/>
      <c r="K125" s="20" t="str">
        <f t="shared" si="3"/>
        <v/>
      </c>
    </row>
    <row r="126" spans="1:11" s="18" customFormat="1" ht="20.100000000000001" customHeight="1">
      <c r="A126" s="18">
        <v>110</v>
      </c>
      <c r="B126" s="19"/>
      <c r="C126" s="22"/>
      <c r="D126" s="56"/>
      <c r="E126" s="57"/>
      <c r="F126" s="56"/>
      <c r="G126" s="20" t="str">
        <f t="shared" si="2"/>
        <v/>
      </c>
      <c r="H126" s="51"/>
      <c r="I126" s="51"/>
      <c r="J126" s="51"/>
      <c r="K126" s="20" t="str">
        <f t="shared" si="3"/>
        <v/>
      </c>
    </row>
    <row r="127" spans="1:11" s="18" customFormat="1" ht="20.100000000000001" customHeight="1">
      <c r="A127" s="18">
        <v>111</v>
      </c>
      <c r="B127" s="19"/>
      <c r="C127" s="52"/>
      <c r="D127" s="56"/>
      <c r="E127" s="57"/>
      <c r="F127" s="56"/>
      <c r="G127" s="20" t="str">
        <f t="shared" si="2"/>
        <v/>
      </c>
      <c r="H127" s="51"/>
      <c r="I127" s="51"/>
      <c r="J127" s="51"/>
      <c r="K127" s="20" t="str">
        <f t="shared" si="3"/>
        <v/>
      </c>
    </row>
    <row r="128" spans="1:11" s="18" customFormat="1" ht="20.100000000000001" customHeight="1">
      <c r="A128" s="18">
        <v>112</v>
      </c>
      <c r="B128" s="19"/>
      <c r="C128" s="22"/>
      <c r="D128" s="56"/>
      <c r="E128" s="57"/>
      <c r="F128" s="56"/>
      <c r="G128" s="20" t="str">
        <f t="shared" si="2"/>
        <v/>
      </c>
      <c r="H128" s="51"/>
      <c r="I128" s="51"/>
      <c r="J128" s="51"/>
      <c r="K128" s="20" t="str">
        <f t="shared" si="3"/>
        <v/>
      </c>
    </row>
    <row r="129" spans="1:11" s="18" customFormat="1" ht="20.100000000000001" customHeight="1">
      <c r="A129" s="18">
        <v>113</v>
      </c>
      <c r="B129" s="19"/>
      <c r="C129" s="22"/>
      <c r="D129" s="56"/>
      <c r="E129" s="57"/>
      <c r="F129" s="56"/>
      <c r="G129" s="20" t="str">
        <f t="shared" si="2"/>
        <v/>
      </c>
      <c r="H129" s="51"/>
      <c r="I129" s="51"/>
      <c r="J129" s="51"/>
      <c r="K129" s="20" t="str">
        <f t="shared" si="3"/>
        <v/>
      </c>
    </row>
    <row r="130" spans="1:11" s="18" customFormat="1" ht="20.100000000000001" customHeight="1">
      <c r="A130" s="18">
        <v>114</v>
      </c>
      <c r="B130" s="19"/>
      <c r="C130" s="22"/>
      <c r="D130" s="56"/>
      <c r="E130" s="57"/>
      <c r="F130" s="56"/>
      <c r="G130" s="20" t="str">
        <f t="shared" si="2"/>
        <v/>
      </c>
      <c r="H130" s="51"/>
      <c r="I130" s="51"/>
      <c r="J130" s="51"/>
      <c r="K130" s="20" t="str">
        <f t="shared" si="3"/>
        <v/>
      </c>
    </row>
    <row r="131" spans="1:11" s="18" customFormat="1" ht="20.100000000000001" customHeight="1">
      <c r="A131" s="18">
        <v>115</v>
      </c>
      <c r="B131" s="19"/>
      <c r="C131" s="22"/>
      <c r="D131" s="56"/>
      <c r="E131" s="57"/>
      <c r="F131" s="56"/>
      <c r="G131" s="20" t="str">
        <f t="shared" si="2"/>
        <v/>
      </c>
      <c r="H131" s="51"/>
      <c r="I131" s="51"/>
      <c r="J131" s="51"/>
      <c r="K131" s="20" t="str">
        <f t="shared" si="3"/>
        <v/>
      </c>
    </row>
    <row r="132" spans="1:11" s="18" customFormat="1" ht="20.100000000000001" customHeight="1">
      <c r="A132" s="18">
        <v>116</v>
      </c>
      <c r="B132" s="19"/>
      <c r="C132" s="22"/>
      <c r="D132" s="56"/>
      <c r="E132" s="57"/>
      <c r="F132" s="56"/>
      <c r="G132" s="20" t="str">
        <f t="shared" si="2"/>
        <v/>
      </c>
      <c r="H132" s="51"/>
      <c r="I132" s="51"/>
      <c r="J132" s="51"/>
      <c r="K132" s="20" t="str">
        <f t="shared" si="3"/>
        <v/>
      </c>
    </row>
    <row r="133" spans="1:11" s="18" customFormat="1" ht="20.100000000000001" customHeight="1">
      <c r="A133" s="18">
        <v>117</v>
      </c>
      <c r="B133" s="19"/>
      <c r="C133" s="22"/>
      <c r="D133" s="56"/>
      <c r="E133" s="57"/>
      <c r="F133" s="56"/>
      <c r="G133" s="20" t="str">
        <f t="shared" si="2"/>
        <v/>
      </c>
      <c r="H133" s="51"/>
      <c r="I133" s="51"/>
      <c r="J133" s="51"/>
      <c r="K133" s="20" t="str">
        <f t="shared" si="3"/>
        <v/>
      </c>
    </row>
    <row r="134" spans="1:11" s="18" customFormat="1" ht="20.100000000000001" customHeight="1">
      <c r="A134" s="18">
        <v>118</v>
      </c>
      <c r="B134" s="19"/>
      <c r="C134" s="22"/>
      <c r="D134" s="56"/>
      <c r="E134" s="57"/>
      <c r="F134" s="56"/>
      <c r="G134" s="20" t="str">
        <f t="shared" si="2"/>
        <v/>
      </c>
      <c r="H134" s="51"/>
      <c r="I134" s="51"/>
      <c r="J134" s="51"/>
      <c r="K134" s="20" t="str">
        <f t="shared" si="3"/>
        <v/>
      </c>
    </row>
    <row r="135" spans="1:11" s="18" customFormat="1" ht="20.100000000000001" customHeight="1">
      <c r="A135" s="18">
        <v>119</v>
      </c>
      <c r="B135" s="19"/>
      <c r="C135" s="22"/>
      <c r="D135" s="56"/>
      <c r="E135" s="57"/>
      <c r="F135" s="56"/>
      <c r="G135" s="20" t="str">
        <f t="shared" si="2"/>
        <v/>
      </c>
      <c r="H135" s="51"/>
      <c r="I135" s="51"/>
      <c r="J135" s="51"/>
      <c r="K135" s="20" t="str">
        <f t="shared" si="3"/>
        <v/>
      </c>
    </row>
    <row r="136" spans="1:11" s="18" customFormat="1" ht="20.100000000000001" customHeight="1">
      <c r="A136" s="18">
        <v>120</v>
      </c>
      <c r="B136" s="19"/>
      <c r="C136" s="22"/>
      <c r="D136" s="56"/>
      <c r="E136" s="57"/>
      <c r="F136" s="56"/>
      <c r="G136" s="20" t="str">
        <f t="shared" si="2"/>
        <v/>
      </c>
      <c r="H136" s="51"/>
      <c r="I136" s="51"/>
      <c r="J136" s="51"/>
      <c r="K136" s="20" t="str">
        <f t="shared" si="3"/>
        <v/>
      </c>
    </row>
    <row r="137" spans="1:11" s="18" customFormat="1" ht="20.100000000000001" customHeight="1">
      <c r="A137" s="18">
        <v>121</v>
      </c>
      <c r="B137" s="19"/>
      <c r="C137" s="22"/>
      <c r="D137" s="56"/>
      <c r="E137" s="57"/>
      <c r="F137" s="56"/>
      <c r="G137" s="20" t="str">
        <f t="shared" si="2"/>
        <v/>
      </c>
      <c r="H137" s="51"/>
      <c r="I137" s="51"/>
      <c r="J137" s="51"/>
      <c r="K137" s="20" t="str">
        <f t="shared" si="3"/>
        <v/>
      </c>
    </row>
    <row r="138" spans="1:11" s="18" customFormat="1" ht="20.100000000000001" customHeight="1">
      <c r="A138" s="18">
        <v>122</v>
      </c>
      <c r="B138" s="19"/>
      <c r="C138" s="22"/>
      <c r="D138" s="56"/>
      <c r="E138" s="57"/>
      <c r="F138" s="56"/>
      <c r="G138" s="20" t="str">
        <f t="shared" si="2"/>
        <v/>
      </c>
      <c r="H138" s="51"/>
      <c r="I138" s="51"/>
      <c r="J138" s="51"/>
      <c r="K138" s="20" t="str">
        <f t="shared" si="3"/>
        <v/>
      </c>
    </row>
    <row r="139" spans="1:11" s="18" customFormat="1" ht="20.100000000000001" customHeight="1">
      <c r="A139" s="18">
        <v>123</v>
      </c>
      <c r="B139" s="19"/>
      <c r="C139" s="22"/>
      <c r="D139" s="56"/>
      <c r="E139" s="57"/>
      <c r="F139" s="56"/>
      <c r="G139" s="20" t="str">
        <f t="shared" si="2"/>
        <v/>
      </c>
      <c r="H139" s="51"/>
      <c r="I139" s="51"/>
      <c r="J139" s="51"/>
      <c r="K139" s="20" t="str">
        <f t="shared" si="3"/>
        <v/>
      </c>
    </row>
    <row r="140" spans="1:11" s="18" customFormat="1" ht="20.100000000000001" customHeight="1">
      <c r="A140" s="18">
        <v>124</v>
      </c>
      <c r="B140" s="19"/>
      <c r="C140" s="22"/>
      <c r="D140" s="56"/>
      <c r="E140" s="57"/>
      <c r="F140" s="56"/>
      <c r="G140" s="20" t="str">
        <f t="shared" si="2"/>
        <v/>
      </c>
      <c r="H140" s="51"/>
      <c r="I140" s="51"/>
      <c r="J140" s="51"/>
      <c r="K140" s="20" t="str">
        <f t="shared" si="3"/>
        <v/>
      </c>
    </row>
    <row r="141" spans="1:11" s="18" customFormat="1" ht="20.100000000000001" customHeight="1">
      <c r="A141" s="18">
        <v>125</v>
      </c>
      <c r="B141" s="19"/>
      <c r="C141" s="22"/>
      <c r="D141" s="56"/>
      <c r="E141" s="57"/>
      <c r="F141" s="56"/>
      <c r="G141" s="20" t="str">
        <f t="shared" si="2"/>
        <v/>
      </c>
      <c r="H141" s="51"/>
      <c r="I141" s="51"/>
      <c r="J141" s="51"/>
      <c r="K141" s="20" t="str">
        <f t="shared" si="3"/>
        <v/>
      </c>
    </row>
    <row r="142" spans="1:11" s="18" customFormat="1" ht="20.100000000000001" customHeight="1">
      <c r="A142" s="18">
        <v>126</v>
      </c>
      <c r="B142" s="19"/>
      <c r="C142" s="22"/>
      <c r="D142" s="56"/>
      <c r="E142" s="57"/>
      <c r="F142" s="56"/>
      <c r="G142" s="20" t="str">
        <f t="shared" si="2"/>
        <v/>
      </c>
      <c r="H142" s="51"/>
      <c r="I142" s="51"/>
      <c r="J142" s="51"/>
      <c r="K142" s="20" t="str">
        <f t="shared" si="3"/>
        <v/>
      </c>
    </row>
    <row r="143" spans="1:11" s="18" customFormat="1" ht="20.100000000000001" customHeight="1">
      <c r="A143" s="18">
        <v>127</v>
      </c>
      <c r="B143" s="19"/>
      <c r="C143" s="22"/>
      <c r="D143" s="56"/>
      <c r="E143" s="57"/>
      <c r="F143" s="56"/>
      <c r="G143" s="20" t="str">
        <f t="shared" si="2"/>
        <v/>
      </c>
      <c r="H143" s="51"/>
      <c r="I143" s="51"/>
      <c r="J143" s="51"/>
      <c r="K143" s="20" t="str">
        <f t="shared" si="3"/>
        <v/>
      </c>
    </row>
    <row r="144" spans="1:11" s="18" customFormat="1" ht="20.100000000000001" customHeight="1">
      <c r="A144" s="18">
        <v>128</v>
      </c>
      <c r="B144" s="19"/>
      <c r="C144" s="22"/>
      <c r="D144" s="56"/>
      <c r="E144" s="57"/>
      <c r="F144" s="56"/>
      <c r="G144" s="20" t="str">
        <f t="shared" si="2"/>
        <v/>
      </c>
      <c r="H144" s="51"/>
      <c r="I144" s="51"/>
      <c r="J144" s="51"/>
      <c r="K144" s="20" t="str">
        <f t="shared" si="3"/>
        <v/>
      </c>
    </row>
    <row r="145" spans="1:11" s="18" customFormat="1" ht="20.100000000000001" customHeight="1">
      <c r="A145" s="18">
        <v>129</v>
      </c>
      <c r="B145" s="19"/>
      <c r="C145" s="22"/>
      <c r="D145" s="56"/>
      <c r="E145" s="57"/>
      <c r="F145" s="56"/>
      <c r="G145" s="20" t="str">
        <f t="shared" si="2"/>
        <v/>
      </c>
      <c r="H145" s="51"/>
      <c r="I145" s="51"/>
      <c r="J145" s="51"/>
      <c r="K145" s="20" t="str">
        <f t="shared" si="3"/>
        <v/>
      </c>
    </row>
    <row r="146" spans="1:11" s="18" customFormat="1" ht="20.100000000000001" customHeight="1">
      <c r="A146" s="18">
        <v>130</v>
      </c>
      <c r="B146" s="19"/>
      <c r="C146" s="22"/>
      <c r="D146" s="56"/>
      <c r="E146" s="57"/>
      <c r="F146" s="56"/>
      <c r="G146" s="20" t="str">
        <f t="shared" ref="G146:G168" si="4">IFERROR(IF(A146&lt;=$G$208,AVERAGE(D146:F146),""),0)</f>
        <v/>
      </c>
      <c r="H146" s="51"/>
      <c r="I146" s="51"/>
      <c r="J146" s="51"/>
      <c r="K146" s="20" t="str">
        <f t="shared" ref="K146:K168" si="5">IFERROR(IF(A146&lt;=$G$208,AVERAGE(H146:J146),""),0)</f>
        <v/>
      </c>
    </row>
    <row r="147" spans="1:11" s="18" customFormat="1" ht="20.100000000000001" customHeight="1">
      <c r="A147" s="18">
        <v>131</v>
      </c>
      <c r="B147" s="19"/>
      <c r="C147" s="21"/>
      <c r="D147" s="56"/>
      <c r="E147" s="57"/>
      <c r="F147" s="56"/>
      <c r="G147" s="20" t="str">
        <f t="shared" si="4"/>
        <v/>
      </c>
      <c r="H147" s="51"/>
      <c r="I147" s="51"/>
      <c r="J147" s="51"/>
      <c r="K147" s="20" t="str">
        <f t="shared" si="5"/>
        <v/>
      </c>
    </row>
    <row r="148" spans="1:11" s="18" customFormat="1" ht="20.100000000000001" customHeight="1">
      <c r="A148" s="18">
        <v>132</v>
      </c>
      <c r="B148" s="19"/>
      <c r="C148" s="22"/>
      <c r="D148" s="56"/>
      <c r="E148" s="57"/>
      <c r="F148" s="56"/>
      <c r="G148" s="20" t="str">
        <f t="shared" si="4"/>
        <v/>
      </c>
      <c r="H148" s="51"/>
      <c r="I148" s="51"/>
      <c r="J148" s="51"/>
      <c r="K148" s="20" t="str">
        <f t="shared" si="5"/>
        <v/>
      </c>
    </row>
    <row r="149" spans="1:11" s="18" customFormat="1" ht="20.100000000000001" customHeight="1">
      <c r="A149" s="18">
        <v>133</v>
      </c>
      <c r="B149" s="19"/>
      <c r="C149" s="22"/>
      <c r="D149" s="56"/>
      <c r="E149" s="57"/>
      <c r="F149" s="56"/>
      <c r="G149" s="20" t="str">
        <f t="shared" si="4"/>
        <v/>
      </c>
      <c r="H149" s="51"/>
      <c r="I149" s="51"/>
      <c r="J149" s="51"/>
      <c r="K149" s="20" t="str">
        <f t="shared" si="5"/>
        <v/>
      </c>
    </row>
    <row r="150" spans="1:11" s="18" customFormat="1" ht="20.100000000000001" customHeight="1">
      <c r="A150" s="18">
        <v>134</v>
      </c>
      <c r="B150" s="19"/>
      <c r="C150" s="22"/>
      <c r="D150" s="56"/>
      <c r="E150" s="57"/>
      <c r="F150" s="56"/>
      <c r="G150" s="20" t="str">
        <f t="shared" si="4"/>
        <v/>
      </c>
      <c r="H150" s="51"/>
      <c r="I150" s="51"/>
      <c r="J150" s="51"/>
      <c r="K150" s="20" t="str">
        <f t="shared" si="5"/>
        <v/>
      </c>
    </row>
    <row r="151" spans="1:11" s="18" customFormat="1" ht="20.100000000000001" customHeight="1">
      <c r="A151" s="18">
        <v>135</v>
      </c>
      <c r="B151" s="19"/>
      <c r="C151" s="22"/>
      <c r="D151" s="56"/>
      <c r="E151" s="57"/>
      <c r="F151" s="56"/>
      <c r="G151" s="20" t="str">
        <f t="shared" si="4"/>
        <v/>
      </c>
      <c r="H151" s="51"/>
      <c r="I151" s="51"/>
      <c r="J151" s="51"/>
      <c r="K151" s="20" t="str">
        <f t="shared" si="5"/>
        <v/>
      </c>
    </row>
    <row r="152" spans="1:11" s="18" customFormat="1" ht="20.100000000000001" customHeight="1">
      <c r="A152" s="18">
        <v>136</v>
      </c>
      <c r="B152" s="19"/>
      <c r="C152" s="21"/>
      <c r="D152" s="56"/>
      <c r="E152" s="57"/>
      <c r="F152" s="56"/>
      <c r="G152" s="20" t="str">
        <f t="shared" si="4"/>
        <v/>
      </c>
      <c r="H152" s="51"/>
      <c r="I152" s="51"/>
      <c r="J152" s="51"/>
      <c r="K152" s="20" t="str">
        <f t="shared" si="5"/>
        <v/>
      </c>
    </row>
    <row r="153" spans="1:11" s="18" customFormat="1" ht="20.100000000000001" customHeight="1">
      <c r="A153" s="18">
        <v>137</v>
      </c>
      <c r="B153" s="19"/>
      <c r="C153" s="22"/>
      <c r="D153" s="56"/>
      <c r="E153" s="57"/>
      <c r="F153" s="56"/>
      <c r="G153" s="20" t="str">
        <f t="shared" si="4"/>
        <v/>
      </c>
      <c r="H153" s="51"/>
      <c r="I153" s="51"/>
      <c r="J153" s="51"/>
      <c r="K153" s="20" t="str">
        <f t="shared" si="5"/>
        <v/>
      </c>
    </row>
    <row r="154" spans="1:11" s="18" customFormat="1" ht="20.100000000000001" customHeight="1">
      <c r="A154" s="18">
        <v>138</v>
      </c>
      <c r="B154" s="19"/>
      <c r="C154" s="22"/>
      <c r="D154" s="56"/>
      <c r="E154" s="57"/>
      <c r="F154" s="56"/>
      <c r="G154" s="20" t="str">
        <f t="shared" si="4"/>
        <v/>
      </c>
      <c r="H154" s="51"/>
      <c r="I154" s="51"/>
      <c r="J154" s="51"/>
      <c r="K154" s="20" t="str">
        <f t="shared" si="5"/>
        <v/>
      </c>
    </row>
    <row r="155" spans="1:11" s="18" customFormat="1" ht="20.100000000000001" customHeight="1">
      <c r="A155" s="18">
        <v>139</v>
      </c>
      <c r="B155" s="19"/>
      <c r="C155" s="22"/>
      <c r="D155" s="56"/>
      <c r="E155" s="57"/>
      <c r="F155" s="56"/>
      <c r="G155" s="20" t="str">
        <f t="shared" si="4"/>
        <v/>
      </c>
      <c r="H155" s="51"/>
      <c r="I155" s="51"/>
      <c r="J155" s="51"/>
      <c r="K155" s="20" t="str">
        <f t="shared" si="5"/>
        <v/>
      </c>
    </row>
    <row r="156" spans="1:11" s="18" customFormat="1" ht="20.100000000000001" customHeight="1">
      <c r="A156" s="18">
        <v>140</v>
      </c>
      <c r="B156" s="19"/>
      <c r="C156" s="22"/>
      <c r="D156" s="56"/>
      <c r="E156" s="57"/>
      <c r="F156" s="56"/>
      <c r="G156" s="20" t="str">
        <f t="shared" si="4"/>
        <v/>
      </c>
      <c r="H156" s="51"/>
      <c r="I156" s="51"/>
      <c r="J156" s="51"/>
      <c r="K156" s="20" t="str">
        <f t="shared" si="5"/>
        <v/>
      </c>
    </row>
    <row r="157" spans="1:11" s="18" customFormat="1" ht="20.100000000000001" customHeight="1">
      <c r="A157" s="18">
        <v>141</v>
      </c>
      <c r="B157" s="19"/>
      <c r="C157" s="22"/>
      <c r="D157" s="56"/>
      <c r="E157" s="57"/>
      <c r="F157" s="56"/>
      <c r="G157" s="20" t="str">
        <f t="shared" si="4"/>
        <v/>
      </c>
      <c r="H157" s="51"/>
      <c r="I157" s="51"/>
      <c r="J157" s="51"/>
      <c r="K157" s="20" t="str">
        <f t="shared" si="5"/>
        <v/>
      </c>
    </row>
    <row r="158" spans="1:11" s="18" customFormat="1" ht="20.100000000000001" customHeight="1">
      <c r="A158" s="18">
        <v>142</v>
      </c>
      <c r="B158" s="19"/>
      <c r="C158" s="22"/>
      <c r="D158" s="56"/>
      <c r="E158" s="57"/>
      <c r="F158" s="56"/>
      <c r="G158" s="20" t="str">
        <f t="shared" si="4"/>
        <v/>
      </c>
      <c r="H158" s="51"/>
      <c r="I158" s="51"/>
      <c r="J158" s="51"/>
      <c r="K158" s="20" t="str">
        <f t="shared" si="5"/>
        <v/>
      </c>
    </row>
    <row r="159" spans="1:11" s="18" customFormat="1" ht="20.100000000000001" customHeight="1">
      <c r="A159" s="18">
        <v>143</v>
      </c>
      <c r="B159" s="19"/>
      <c r="C159" s="22"/>
      <c r="D159" s="56"/>
      <c r="E159" s="57"/>
      <c r="F159" s="56"/>
      <c r="G159" s="20" t="str">
        <f t="shared" si="4"/>
        <v/>
      </c>
      <c r="H159" s="51"/>
      <c r="I159" s="51"/>
      <c r="J159" s="51"/>
      <c r="K159" s="20" t="str">
        <f t="shared" si="5"/>
        <v/>
      </c>
    </row>
    <row r="160" spans="1:11" s="18" customFormat="1" ht="20.100000000000001" customHeight="1">
      <c r="A160" s="18">
        <v>144</v>
      </c>
      <c r="B160" s="19"/>
      <c r="C160" s="22"/>
      <c r="D160" s="56"/>
      <c r="E160" s="57"/>
      <c r="F160" s="56"/>
      <c r="G160" s="20" t="str">
        <f t="shared" si="4"/>
        <v/>
      </c>
      <c r="H160" s="51"/>
      <c r="I160" s="51"/>
      <c r="J160" s="51"/>
      <c r="K160" s="20" t="str">
        <f t="shared" si="5"/>
        <v/>
      </c>
    </row>
    <row r="161" spans="1:11" s="18" customFormat="1" ht="20.100000000000001" customHeight="1">
      <c r="A161" s="18">
        <v>145</v>
      </c>
      <c r="B161" s="19"/>
      <c r="C161" s="21"/>
      <c r="D161" s="56"/>
      <c r="E161" s="57"/>
      <c r="F161" s="56"/>
      <c r="G161" s="20" t="str">
        <f t="shared" si="4"/>
        <v/>
      </c>
      <c r="H161" s="51"/>
      <c r="I161" s="51"/>
      <c r="J161" s="51"/>
      <c r="K161" s="20" t="str">
        <f t="shared" si="5"/>
        <v/>
      </c>
    </row>
    <row r="162" spans="1:11" s="18" customFormat="1" ht="20.100000000000001" customHeight="1">
      <c r="A162" s="18">
        <v>146</v>
      </c>
      <c r="B162" s="19"/>
      <c r="C162" s="22"/>
      <c r="D162" s="56"/>
      <c r="E162" s="57"/>
      <c r="F162" s="56"/>
      <c r="G162" s="20" t="str">
        <f t="shared" si="4"/>
        <v/>
      </c>
      <c r="H162" s="51"/>
      <c r="I162" s="51"/>
      <c r="J162" s="51"/>
      <c r="K162" s="20" t="str">
        <f t="shared" si="5"/>
        <v/>
      </c>
    </row>
    <row r="163" spans="1:11" s="18" customFormat="1" ht="20.100000000000001" customHeight="1">
      <c r="A163" s="18">
        <v>147</v>
      </c>
      <c r="B163" s="19"/>
      <c r="C163" s="22"/>
      <c r="D163" s="56"/>
      <c r="E163" s="57"/>
      <c r="F163" s="56"/>
      <c r="G163" s="20" t="str">
        <f t="shared" si="4"/>
        <v/>
      </c>
      <c r="H163" s="51"/>
      <c r="I163" s="51"/>
      <c r="J163" s="51"/>
      <c r="K163" s="20" t="str">
        <f t="shared" si="5"/>
        <v/>
      </c>
    </row>
    <row r="164" spans="1:11" s="18" customFormat="1" ht="20.100000000000001" customHeight="1">
      <c r="A164" s="18">
        <v>148</v>
      </c>
      <c r="B164" s="19"/>
      <c r="C164" s="22"/>
      <c r="D164" s="56"/>
      <c r="E164" s="57"/>
      <c r="F164" s="56"/>
      <c r="G164" s="20" t="str">
        <f t="shared" si="4"/>
        <v/>
      </c>
      <c r="H164" s="51"/>
      <c r="I164" s="51"/>
      <c r="J164" s="51"/>
      <c r="K164" s="20" t="str">
        <f t="shared" si="5"/>
        <v/>
      </c>
    </row>
    <row r="165" spans="1:11" s="18" customFormat="1" ht="20.100000000000001" customHeight="1">
      <c r="A165" s="18">
        <v>149</v>
      </c>
      <c r="B165" s="19"/>
      <c r="C165" s="21"/>
      <c r="D165" s="56"/>
      <c r="E165" s="57"/>
      <c r="F165" s="56"/>
      <c r="G165" s="20" t="str">
        <f t="shared" si="4"/>
        <v/>
      </c>
      <c r="H165" s="51"/>
      <c r="I165" s="51"/>
      <c r="J165" s="51"/>
      <c r="K165" s="20" t="str">
        <f t="shared" si="5"/>
        <v/>
      </c>
    </row>
    <row r="166" spans="1:11" s="18" customFormat="1" ht="20.100000000000001" customHeight="1">
      <c r="A166" s="18">
        <v>150</v>
      </c>
      <c r="B166" s="19"/>
      <c r="C166" s="22"/>
      <c r="D166" s="56"/>
      <c r="E166" s="57"/>
      <c r="F166" s="56"/>
      <c r="G166" s="20" t="str">
        <f t="shared" si="4"/>
        <v/>
      </c>
      <c r="H166" s="51"/>
      <c r="I166" s="51"/>
      <c r="J166" s="51"/>
      <c r="K166" s="20" t="str">
        <f t="shared" si="5"/>
        <v/>
      </c>
    </row>
    <row r="167" spans="1:11" s="18" customFormat="1" ht="20.100000000000001" customHeight="1">
      <c r="A167" s="18">
        <v>151</v>
      </c>
      <c r="B167" s="19"/>
      <c r="C167" s="22"/>
      <c r="D167" s="56"/>
      <c r="E167" s="57"/>
      <c r="F167" s="56"/>
      <c r="G167" s="20" t="str">
        <f t="shared" si="4"/>
        <v/>
      </c>
      <c r="H167" s="51"/>
      <c r="I167" s="51"/>
      <c r="J167" s="51"/>
      <c r="K167" s="20" t="str">
        <f t="shared" si="5"/>
        <v/>
      </c>
    </row>
    <row r="168" spans="1:11" s="18" customFormat="1" ht="20.100000000000001" customHeight="1">
      <c r="A168" s="18">
        <v>152</v>
      </c>
      <c r="B168" s="19"/>
      <c r="C168" s="22"/>
      <c r="D168" s="56"/>
      <c r="E168" s="57"/>
      <c r="F168" s="56"/>
      <c r="G168" s="20" t="str">
        <f t="shared" si="4"/>
        <v/>
      </c>
      <c r="H168" s="51"/>
      <c r="I168" s="51"/>
      <c r="J168" s="51"/>
      <c r="K168" s="20" t="str">
        <f t="shared" si="5"/>
        <v/>
      </c>
    </row>
    <row r="169" spans="1:11" s="18" customFormat="1" ht="20.100000000000001" customHeight="1">
      <c r="B169" s="74"/>
      <c r="C169" s="24"/>
      <c r="D169" s="24"/>
      <c r="E169" s="24"/>
      <c r="F169" s="24"/>
      <c r="G169" s="24"/>
      <c r="H169" s="24"/>
      <c r="I169" s="24"/>
      <c r="J169" s="24"/>
      <c r="K169" s="24"/>
    </row>
    <row r="170" spans="1:11" s="18" customFormat="1" ht="20.100000000000001" customHeight="1">
      <c r="B170" s="24"/>
      <c r="C170" s="24"/>
      <c r="D170" s="24"/>
      <c r="E170" s="24"/>
      <c r="F170" s="24"/>
      <c r="G170" s="24"/>
      <c r="H170" s="24"/>
      <c r="I170" s="24"/>
      <c r="J170" s="24"/>
      <c r="K170" s="24"/>
    </row>
    <row r="171" spans="1:11" ht="15" customHeight="1">
      <c r="B171" s="38"/>
      <c r="C171" s="28"/>
      <c r="D171" s="29"/>
      <c r="E171" s="29"/>
      <c r="F171" s="30"/>
      <c r="G171" s="29"/>
      <c r="H171" s="31"/>
    </row>
    <row r="172" spans="1:11" ht="11.25" customHeight="1">
      <c r="B172" s="38"/>
      <c r="C172" s="28"/>
      <c r="D172" s="29"/>
      <c r="E172" s="29"/>
      <c r="F172" s="30"/>
      <c r="G172" s="29"/>
      <c r="H172" s="31"/>
    </row>
    <row r="173" spans="1:11" ht="67.150000000000006" customHeight="1">
      <c r="C173" s="220" t="s">
        <v>275</v>
      </c>
      <c r="D173" s="220" t="s">
        <v>261</v>
      </c>
      <c r="E173" s="308" t="str">
        <f>"No of students scoring &gt;= "&amp;D6&amp;"% marks"</f>
        <v>No of students scoring &gt;= 60% marks</v>
      </c>
      <c r="F173" s="308"/>
      <c r="G173" s="220" t="str">
        <f>"% of Students scoring &gt;="&amp;D6&amp;"% marks"</f>
        <v>% of Students scoring &gt;=60% marks</v>
      </c>
      <c r="H173" s="225" t="s">
        <v>254</v>
      </c>
      <c r="I173" s="74"/>
      <c r="J173" s="74"/>
      <c r="K173" s="99"/>
    </row>
    <row r="174" spans="1:11" ht="49.9" customHeight="1">
      <c r="C174" s="218" t="s">
        <v>276</v>
      </c>
      <c r="D174" s="152" t="str">
        <f>"&gt;= "&amp;D6&amp;"% marks"</f>
        <v>&gt;= 60% marks</v>
      </c>
      <c r="E174" s="306">
        <f>IFERROR(COUNTIF(G17:G168,"&gt;="&amp;G207),0)</f>
        <v>63</v>
      </c>
      <c r="F174" s="306"/>
      <c r="G174" s="64">
        <f>E174/G208*100</f>
        <v>86.301369863013704</v>
      </c>
      <c r="H174" s="64">
        <f>IF(G174&gt;=$E$9,D9,IF(AND(G174&gt;=$E$10,G174&lt;$E$9),D10,IF(AND(G174&gt;=$E$11,G174&lt;$E$10),D11,IF(AND(G174&gt;=$E$12,G174&lt;$E$11),D12,IF(AND(G174&gt;=$E$13,G174&lt;$E$12),D13,1)))))</f>
        <v>3</v>
      </c>
      <c r="I174" s="74"/>
      <c r="J174" s="74"/>
      <c r="K174" s="99"/>
    </row>
    <row r="175" spans="1:11" ht="49.9" customHeight="1">
      <c r="C175" s="219" t="s">
        <v>277</v>
      </c>
      <c r="D175" s="153" t="str">
        <f>"&gt;="&amp;D6&amp;"% marks"</f>
        <v>&gt;=60% marks</v>
      </c>
      <c r="E175" s="307">
        <f>IFERROR(COUNTIF(K17:K168,"&gt;=" &amp;G207),0)</f>
        <v>49</v>
      </c>
      <c r="F175" s="307"/>
      <c r="G175" s="64">
        <f>E175/G208*100</f>
        <v>67.123287671232873</v>
      </c>
      <c r="H175" s="64">
        <f>IF(G175&gt;=$E$9,D9,IF(AND(G175&gt;=$E$10,G175&lt;$E$9),D10,IF(AND(G175&gt;=$E$11,G175&lt;$E$10),D11,IF(AND(G175&gt;=$E$12,G175&lt;$E$11),D12,IF(AND(G175&gt;=$E$13,G175&lt;$E$12),D13,1)))))</f>
        <v>3</v>
      </c>
    </row>
    <row r="176" spans="1:11" ht="9.75" hidden="1" customHeight="1">
      <c r="H176" s="23"/>
      <c r="I176" s="23"/>
    </row>
    <row r="177" spans="4:9" ht="15" hidden="1" customHeight="1">
      <c r="H177" s="23"/>
      <c r="I177" s="23"/>
    </row>
    <row r="178" spans="4:9" ht="15" hidden="1" customHeight="1">
      <c r="H178" s="23"/>
      <c r="I178" s="23"/>
    </row>
    <row r="179" spans="4:9" ht="51.6" hidden="1" customHeight="1">
      <c r="D179" s="39"/>
      <c r="G179" s="24"/>
      <c r="H179" s="23"/>
      <c r="I179" s="23"/>
    </row>
    <row r="180" spans="4:9" ht="15" hidden="1" customHeight="1"/>
    <row r="181" spans="4:9" ht="15" hidden="1" customHeight="1"/>
    <row r="182" spans="4:9" ht="15" customHeight="1"/>
    <row r="183" spans="4:9" ht="15" customHeight="1"/>
    <row r="184" spans="4:9" ht="15" customHeight="1"/>
    <row r="185" spans="4:9" ht="15" customHeight="1"/>
    <row r="186" spans="4:9" ht="15" hidden="1" customHeight="1"/>
    <row r="187" spans="4:9" ht="15" hidden="1" customHeight="1"/>
    <row r="188" spans="4:9" ht="15" hidden="1" customHeight="1"/>
    <row r="189" spans="4:9" ht="15" hidden="1" customHeight="1"/>
    <row r="190" spans="4:9" ht="15" hidden="1" customHeight="1"/>
    <row r="191" spans="4:9" ht="15" hidden="1" customHeight="1"/>
    <row r="192" spans="4:9" ht="15" hidden="1" customHeight="1"/>
    <row r="193" spans="6:7" ht="15" hidden="1" customHeight="1"/>
    <row r="194" spans="6:7" ht="15" hidden="1" customHeight="1"/>
    <row r="195" spans="6:7" ht="15" hidden="1" customHeight="1"/>
    <row r="196" spans="6:7" ht="15" hidden="1" customHeight="1"/>
    <row r="197" spans="6:7" ht="15" hidden="1" customHeight="1"/>
    <row r="198" spans="6:7" ht="15" hidden="1" customHeight="1"/>
    <row r="199" spans="6:7" ht="15" hidden="1" customHeight="1"/>
    <row r="200" spans="6:7" ht="15" hidden="1" customHeight="1"/>
    <row r="201" spans="6:7" ht="15" hidden="1" customHeight="1"/>
    <row r="202" spans="6:7" ht="15" hidden="1" customHeight="1"/>
    <row r="203" spans="6:7" ht="15" hidden="1" customHeight="1"/>
    <row r="204" spans="6:7" ht="15" hidden="1" customHeight="1"/>
    <row r="205" spans="6:7" ht="15" hidden="1" customHeight="1"/>
    <row r="206" spans="6:7" ht="15" hidden="1" customHeight="1"/>
    <row r="207" spans="6:7" ht="15" hidden="1" customHeight="1">
      <c r="F207" s="74" t="s">
        <v>278</v>
      </c>
      <c r="G207" s="25">
        <f>5*D6/100</f>
        <v>3</v>
      </c>
    </row>
    <row r="208" spans="6:7" ht="15" hidden="1" customHeight="1">
      <c r="F208" s="74" t="s">
        <v>279</v>
      </c>
      <c r="G208" s="24">
        <f>D4+D5</f>
        <v>73</v>
      </c>
    </row>
    <row r="209" ht="15" hidden="1" customHeight="1"/>
    <row r="210" ht="15" hidden="1" customHeight="1"/>
    <row r="211" ht="15" hidden="1" customHeight="1"/>
    <row r="212" ht="15" hidden="1" customHeight="1"/>
    <row r="213" ht="15" hidden="1" customHeight="1"/>
    <row r="214" ht="15" hidden="1" customHeight="1"/>
    <row r="215" ht="15" hidden="1" customHeight="1"/>
    <row r="216" ht="15" hidden="1" customHeight="1"/>
    <row r="217" ht="15" hidden="1" customHeight="1"/>
    <row r="218" ht="15" hidden="1" customHeight="1"/>
    <row r="219" ht="15" hidden="1" customHeight="1"/>
    <row r="220" ht="15" hidden="1" customHeight="1"/>
    <row r="221" ht="15" hidden="1" customHeight="1"/>
    <row r="222" ht="15" hidden="1" customHeight="1"/>
    <row r="223" ht="15" hidden="1" customHeight="1"/>
    <row r="224" ht="15" hidden="1" customHeight="1"/>
    <row r="225" ht="15" hidden="1" customHeight="1"/>
    <row r="226" ht="15" hidden="1" customHeight="1"/>
    <row r="227" ht="15" hidden="1" customHeight="1"/>
    <row r="228" ht="15" hidden="1" customHeight="1"/>
    <row r="229" ht="15" hidden="1" customHeight="1"/>
    <row r="230" ht="15" hidden="1" customHeight="1"/>
    <row r="231" ht="15" hidden="1" customHeight="1"/>
    <row r="232" ht="15" hidden="1" customHeight="1"/>
    <row r="233" ht="15" hidden="1" customHeight="1"/>
    <row r="234" ht="15" hidden="1" customHeight="1"/>
    <row r="235" ht="15" hidden="1" customHeight="1"/>
    <row r="236" ht="15" hidden="1" customHeight="1"/>
    <row r="237" ht="15" hidden="1" customHeight="1"/>
    <row r="238" ht="15" hidden="1" customHeight="1"/>
    <row r="239" ht="15" hidden="1" customHeight="1"/>
    <row r="240" ht="15" hidden="1" customHeight="1"/>
    <row r="241" ht="15" hidden="1" customHeight="1"/>
    <row r="242" ht="15" hidden="1" customHeight="1"/>
    <row r="243" ht="15" hidden="1" customHeight="1"/>
    <row r="244" ht="15" hidden="1" customHeight="1"/>
    <row r="245" ht="15" hidden="1" customHeight="1"/>
    <row r="246" ht="15" hidden="1" customHeight="1"/>
    <row r="247" ht="15" hidden="1" customHeight="1"/>
    <row r="248" ht="15" hidden="1" customHeight="1"/>
    <row r="249" ht="15" hidden="1" customHeight="1"/>
    <row r="250" ht="15" hidden="1" customHeight="1"/>
    <row r="251" ht="15" hidden="1" customHeight="1"/>
    <row r="252" ht="15" hidden="1" customHeight="1"/>
    <row r="253" ht="15" hidden="1" customHeight="1"/>
    <row r="254" ht="15" hidden="1" customHeight="1"/>
    <row r="255" ht="15" hidden="1" customHeight="1"/>
    <row r="256" ht="15" hidden="1" customHeight="1"/>
    <row r="257" ht="15" hidden="1" customHeight="1"/>
    <row r="258" ht="15" hidden="1" customHeight="1"/>
    <row r="259" ht="15" hidden="1" customHeight="1"/>
    <row r="260" ht="15" hidden="1" customHeight="1"/>
    <row r="261" ht="15" hidden="1" customHeight="1"/>
    <row r="262" ht="15" hidden="1" customHeight="1"/>
    <row r="263" ht="15" hidden="1" customHeight="1"/>
    <row r="264" ht="15" hidden="1" customHeight="1"/>
    <row r="265" ht="15" hidden="1" customHeight="1"/>
    <row r="266" ht="15" hidden="1" customHeight="1"/>
    <row r="267" ht="15" hidden="1" customHeight="1"/>
    <row r="268" ht="15" hidden="1" customHeight="1"/>
    <row r="269" ht="15" hidden="1" customHeight="1"/>
    <row r="270" ht="15" hidden="1" customHeight="1"/>
    <row r="271" ht="15" hidden="1" customHeight="1"/>
    <row r="272" ht="15" hidden="1" customHeight="1"/>
  </sheetData>
  <sheetProtection selectLockedCells="1"/>
  <mergeCells count="23">
    <mergeCell ref="F12:H12"/>
    <mergeCell ref="F13:H13"/>
    <mergeCell ref="B6:C6"/>
    <mergeCell ref="E8:I8"/>
    <mergeCell ref="F9:H9"/>
    <mergeCell ref="F10:H10"/>
    <mergeCell ref="F11:H11"/>
    <mergeCell ref="E174:F174"/>
    <mergeCell ref="E175:F175"/>
    <mergeCell ref="E173:F173"/>
    <mergeCell ref="B1:K1"/>
    <mergeCell ref="B2:K2"/>
    <mergeCell ref="B15:K15"/>
    <mergeCell ref="J4:K4"/>
    <mergeCell ref="J5:K5"/>
    <mergeCell ref="B4:C4"/>
    <mergeCell ref="B5:C5"/>
    <mergeCell ref="E4:E5"/>
    <mergeCell ref="F4:G5"/>
    <mergeCell ref="H4:I4"/>
    <mergeCell ref="H5:I5"/>
    <mergeCell ref="F3:G3"/>
    <mergeCell ref="I3:K3"/>
  </mergeCells>
  <conditionalFormatting sqref="D17:D168">
    <cfRule type="expression" priority="14">
      <formula>"ISBLANK($L$185)"</formula>
    </cfRule>
    <cfRule type="expression" dxfId="12164" priority="18">
      <formula>AND(A17=B17,ISBLANK(D17))</formula>
    </cfRule>
    <cfRule type="cellIs" dxfId="12163" priority="21" operator="notBetween">
      <formula>0</formula>
      <formula>5</formula>
    </cfRule>
  </conditionalFormatting>
  <conditionalFormatting sqref="E17:E168">
    <cfRule type="expression" dxfId="12162" priority="10">
      <formula>AND(A17=B17,ISBLANK(E17))</formula>
    </cfRule>
    <cfRule type="expression" priority="11">
      <formula>"if(B9=A9)"</formula>
    </cfRule>
    <cfRule type="cellIs" dxfId="12161" priority="20" operator="notBetween">
      <formula>0</formula>
      <formula>5</formula>
    </cfRule>
  </conditionalFormatting>
  <conditionalFormatting sqref="F17:F168">
    <cfRule type="expression" dxfId="12160" priority="8">
      <formula>AND(A17=B17,ISBLANK(F17))</formula>
    </cfRule>
    <cfRule type="expression" priority="9">
      <formula>"if(B9=A9)"</formula>
    </cfRule>
    <cfRule type="cellIs" dxfId="12159" priority="19" operator="notBetween">
      <formula>0</formula>
      <formula>5</formula>
    </cfRule>
  </conditionalFormatting>
  <conditionalFormatting sqref="H17:H168">
    <cfRule type="expression" dxfId="12158" priority="6">
      <formula>AND(A17=B17,ISBLANK(H17))</formula>
    </cfRule>
    <cfRule type="cellIs" dxfId="12157" priority="7" operator="notBetween">
      <formula>0</formula>
      <formula>5</formula>
    </cfRule>
  </conditionalFormatting>
  <conditionalFormatting sqref="I17:I168">
    <cfRule type="expression" dxfId="12156" priority="4">
      <formula>AND(A17=B17,ISBLANK(I17))</formula>
    </cfRule>
    <cfRule type="cellIs" dxfId="12155" priority="5" operator="notBetween">
      <formula>0</formula>
      <formula>5</formula>
    </cfRule>
  </conditionalFormatting>
  <conditionalFormatting sqref="J17:J168">
    <cfRule type="expression" dxfId="12154" priority="2">
      <formula>AND(A17=B17,ISBLANK(J17))</formula>
    </cfRule>
    <cfRule type="cellIs" dxfId="12153" priority="3" operator="notBetween">
      <formula>0</formula>
      <formula>5</formula>
    </cfRule>
  </conditionalFormatting>
  <printOptions horizontalCentered="1"/>
  <pageMargins left="0.35" right="0.179861111111111" top="0.25972222222222202" bottom="0.17013888888888901" header="0.51180555555555596" footer="0.51180555555555596"/>
  <pageSetup paperSize="9" scale="87" firstPageNumber="0" fitToHeight="0" orientation="portrait" horizontalDpi="300" verticalDpi="300" r:id="rId1"/>
  <headerFooter alignWithMargins="0"/>
  <rowBreaks count="3" manualBreakCount="3">
    <brk id="59" max="10" man="1"/>
    <brk id="103" max="10" man="1"/>
    <brk id="147" max="10" man="1"/>
  </rowBreak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>
    <pageSetUpPr fitToPage="1"/>
  </sheetPr>
  <dimension ref="A1:XFD245"/>
  <sheetViews>
    <sheetView tabSelected="1" topLeftCell="B1" zoomScale="70" zoomScaleNormal="70" zoomScaleSheetLayoutView="109" workbookViewId="0">
      <pane ySplit="18" topLeftCell="A174" activePane="bottomLeft" state="frozen"/>
      <selection activeCell="AF6" sqref="AF6"/>
      <selection pane="bottomLeft" activeCell="Q184" sqref="Q184"/>
    </sheetView>
  </sheetViews>
  <sheetFormatPr defaultColWidth="0" defaultRowHeight="15" zeroHeight="1"/>
  <cols>
    <col min="1" max="1" width="9.140625" style="8" hidden="1" customWidth="1"/>
    <col min="2" max="2" width="11.7109375" style="8" customWidth="1"/>
    <col min="3" max="3" width="19.140625" style="8" customWidth="1"/>
    <col min="4" max="5" width="9.140625" style="8" customWidth="1"/>
    <col min="6" max="6" width="7.7109375" style="8" customWidth="1"/>
    <col min="7" max="10" width="9.140625" style="8" customWidth="1"/>
    <col min="11" max="11" width="10.7109375" style="8" customWidth="1"/>
    <col min="12" max="12" width="8.85546875" style="8" customWidth="1"/>
    <col min="13" max="13" width="10.7109375" style="8" customWidth="1"/>
    <col min="14" max="29" width="9.140625" style="8" customWidth="1"/>
    <col min="30" max="16384" width="0" style="8" hidden="1"/>
  </cols>
  <sheetData>
    <row r="1" spans="2:33" s="24" customFormat="1" ht="15" customHeight="1">
      <c r="B1" s="337" t="s">
        <v>0</v>
      </c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8"/>
      <c r="U1" s="338"/>
      <c r="V1" s="338"/>
      <c r="W1" s="338"/>
      <c r="X1" s="338"/>
      <c r="Y1" s="338"/>
      <c r="Z1" s="338"/>
      <c r="AA1" s="338"/>
      <c r="AB1" s="338"/>
      <c r="AC1" s="338"/>
    </row>
    <row r="2" spans="2:33" s="24" customFormat="1" ht="15" customHeight="1">
      <c r="B2" s="337" t="str">
        <f>INPUT!E4</f>
        <v>Department of Computer Science &amp; Engineering</v>
      </c>
      <c r="C2" s="338"/>
      <c r="D2" s="338"/>
      <c r="E2" s="338"/>
      <c r="F2" s="338"/>
      <c r="G2" s="338"/>
      <c r="H2" s="338"/>
      <c r="I2" s="338"/>
      <c r="J2" s="338"/>
      <c r="K2" s="338"/>
      <c r="L2" s="338"/>
      <c r="M2" s="338"/>
      <c r="N2" s="338"/>
      <c r="O2" s="338"/>
      <c r="P2" s="338"/>
      <c r="Q2" s="338"/>
      <c r="R2" s="338"/>
      <c r="S2" s="338"/>
      <c r="T2" s="338"/>
      <c r="U2" s="338"/>
      <c r="V2" s="338"/>
      <c r="W2" s="338"/>
      <c r="X2" s="338"/>
      <c r="Y2" s="338"/>
      <c r="Z2" s="338"/>
      <c r="AA2" s="338"/>
      <c r="AB2" s="338"/>
      <c r="AC2" s="338"/>
    </row>
    <row r="3" spans="2:33" s="24" customFormat="1" ht="10.15" customHeight="1">
      <c r="B3" s="155" t="s">
        <v>231</v>
      </c>
      <c r="C3" s="107" t="str">
        <f>INPUT!E5</f>
        <v>2018-19</v>
      </c>
      <c r="D3" s="35"/>
      <c r="E3" s="35"/>
      <c r="F3" s="222"/>
      <c r="G3" s="215" t="s">
        <v>232</v>
      </c>
      <c r="H3" s="103" t="str">
        <f>INPUT!E6</f>
        <v>3/4</v>
      </c>
      <c r="I3" s="36"/>
      <c r="J3" s="222"/>
      <c r="K3" s="222"/>
      <c r="L3" s="221" t="s">
        <v>233</v>
      </c>
      <c r="M3" s="156" t="str">
        <f>INPUT!E7</f>
        <v>II</v>
      </c>
      <c r="N3" s="222"/>
      <c r="O3" s="222"/>
      <c r="P3" s="222"/>
      <c r="Q3" s="222"/>
    </row>
    <row r="4" spans="2:33" s="24" customFormat="1" ht="10.15" customHeight="1">
      <c r="B4" s="296" t="s">
        <v>280</v>
      </c>
      <c r="C4" s="296"/>
      <c r="D4" s="296"/>
      <c r="E4" s="129">
        <v>73</v>
      </c>
      <c r="F4" s="8"/>
      <c r="G4" s="35"/>
      <c r="H4" s="36"/>
      <c r="I4" s="8"/>
      <c r="J4" s="8"/>
      <c r="L4" s="295" t="str">
        <f>INPUT!B11</f>
        <v>Name of the Faculty (A)</v>
      </c>
      <c r="M4" s="295"/>
      <c r="N4" s="294" t="str">
        <f>IF(INPUT!E11=0,"",INPUT!E11)</f>
        <v>S. Vinay Kumar</v>
      </c>
      <c r="O4" s="294"/>
      <c r="P4" s="294"/>
      <c r="Q4" s="34"/>
    </row>
    <row r="5" spans="2:33" s="24" customFormat="1" ht="10.15" customHeight="1">
      <c r="B5" s="299" t="s">
        <v>259</v>
      </c>
      <c r="C5" s="300"/>
      <c r="D5" s="301"/>
      <c r="E5" s="129">
        <v>60</v>
      </c>
      <c r="F5" s="119" t="s">
        <v>236</v>
      </c>
      <c r="G5" s="297" t="str">
        <f>INPUT!E10</f>
        <v>Web Programming &amp; Services</v>
      </c>
      <c r="H5" s="297"/>
      <c r="I5" s="297"/>
      <c r="J5" s="297"/>
      <c r="K5" s="298"/>
      <c r="L5" s="295"/>
      <c r="M5" s="295"/>
      <c r="N5" s="294"/>
      <c r="O5" s="294"/>
      <c r="P5" s="294"/>
      <c r="Q5" s="223"/>
    </row>
    <row r="6" spans="2:33" s="24" customFormat="1" ht="10.15" customHeight="1">
      <c r="F6" s="70"/>
      <c r="G6" s="83"/>
      <c r="H6" s="83"/>
      <c r="I6" s="83"/>
      <c r="J6" s="83"/>
      <c r="K6" s="83"/>
      <c r="N6" s="105"/>
      <c r="O6" s="105"/>
      <c r="P6" s="223"/>
      <c r="Q6" s="223"/>
    </row>
    <row r="7" spans="2:33" s="24" customFormat="1" ht="10.15" customHeight="1">
      <c r="B7" s="72"/>
      <c r="C7" s="72"/>
      <c r="D7" s="69"/>
      <c r="E7" s="213"/>
      <c r="F7" s="70"/>
      <c r="G7" s="83"/>
      <c r="H7" s="83"/>
      <c r="I7" s="83"/>
      <c r="J7" s="83"/>
      <c r="K7" s="83"/>
      <c r="L7" s="71"/>
      <c r="M7" s="71"/>
      <c r="N7" s="105"/>
      <c r="O7" s="105"/>
      <c r="P7" s="223"/>
      <c r="Q7" s="223"/>
    </row>
    <row r="8" spans="2:33" s="24" customFormat="1" ht="15" hidden="1" customHeight="1">
      <c r="B8" s="69"/>
      <c r="D8" s="211" t="s">
        <v>96</v>
      </c>
      <c r="E8" s="251" t="s">
        <v>97</v>
      </c>
      <c r="F8" s="251"/>
      <c r="G8" s="251"/>
      <c r="H8" s="251"/>
      <c r="I8" s="251"/>
      <c r="J8" s="83"/>
      <c r="K8" s="83"/>
      <c r="L8" s="71"/>
      <c r="M8" s="71"/>
      <c r="N8" s="105"/>
      <c r="O8" s="105"/>
      <c r="P8" s="223"/>
      <c r="Q8" s="223"/>
    </row>
    <row r="9" spans="2:33" s="24" customFormat="1" ht="15" hidden="1" customHeight="1">
      <c r="B9" s="69"/>
      <c r="D9" s="221">
        <f>INPUT!B16</f>
        <v>3</v>
      </c>
      <c r="E9" s="216">
        <f>INPUT!C16</f>
        <v>60</v>
      </c>
      <c r="F9" s="314" t="s">
        <v>104</v>
      </c>
      <c r="G9" s="314"/>
      <c r="H9" s="314"/>
      <c r="I9" s="100">
        <f>E5</f>
        <v>60</v>
      </c>
      <c r="J9" s="83"/>
      <c r="M9" s="71"/>
      <c r="N9" s="105"/>
      <c r="O9" s="105"/>
      <c r="P9" s="223"/>
      <c r="Q9" s="223"/>
    </row>
    <row r="10" spans="2:33" s="24" customFormat="1" ht="15" hidden="1" customHeight="1">
      <c r="B10" s="69"/>
      <c r="D10" s="221">
        <f>INPUT!B17</f>
        <v>2</v>
      </c>
      <c r="E10" s="216">
        <f>INPUT!C17</f>
        <v>59.9</v>
      </c>
      <c r="F10" s="314" t="s">
        <v>104</v>
      </c>
      <c r="G10" s="314"/>
      <c r="H10" s="314"/>
      <c r="I10" s="100">
        <f>E5</f>
        <v>60</v>
      </c>
      <c r="J10" s="83"/>
      <c r="M10" s="71"/>
      <c r="N10" s="105"/>
      <c r="O10" s="105"/>
      <c r="P10" s="223"/>
      <c r="Q10" s="223"/>
    </row>
    <row r="11" spans="2:33" s="24" customFormat="1" ht="15" hidden="1" customHeight="1">
      <c r="B11" s="69"/>
      <c r="D11" s="221">
        <f>INPUT!B18</f>
        <v>2</v>
      </c>
      <c r="E11" s="216">
        <f>INPUT!C18</f>
        <v>50</v>
      </c>
      <c r="F11" s="314" t="s">
        <v>104</v>
      </c>
      <c r="G11" s="314"/>
      <c r="H11" s="314"/>
      <c r="I11" s="100">
        <f>E5</f>
        <v>60</v>
      </c>
      <c r="J11" s="83"/>
      <c r="K11" s="83"/>
      <c r="L11" s="71"/>
      <c r="M11" s="71"/>
      <c r="N11" s="105"/>
      <c r="O11" s="105"/>
      <c r="P11" s="223"/>
      <c r="Q11" s="223"/>
    </row>
    <row r="12" spans="2:33" s="24" customFormat="1" ht="15" hidden="1" customHeight="1">
      <c r="B12" s="69"/>
      <c r="D12" s="221">
        <f>INPUT!B19</f>
        <v>1</v>
      </c>
      <c r="E12" s="216">
        <f>INPUT!C19</f>
        <v>49.9</v>
      </c>
      <c r="F12" s="314" t="s">
        <v>104</v>
      </c>
      <c r="G12" s="314"/>
      <c r="H12" s="314"/>
      <c r="I12" s="100">
        <f>E5</f>
        <v>60</v>
      </c>
      <c r="J12" s="83"/>
      <c r="K12" s="83"/>
      <c r="L12" s="71"/>
      <c r="M12" s="71"/>
      <c r="N12" s="105"/>
      <c r="O12" s="105"/>
      <c r="P12" s="223"/>
      <c r="Q12" s="223"/>
    </row>
    <row r="13" spans="2:33" s="24" customFormat="1" ht="15" hidden="1" customHeight="1">
      <c r="B13" s="69"/>
      <c r="D13" s="221">
        <f>INPUT!B20</f>
        <v>1</v>
      </c>
      <c r="E13" s="216">
        <f>INPUT!C20</f>
        <v>0</v>
      </c>
      <c r="F13" s="314" t="s">
        <v>104</v>
      </c>
      <c r="G13" s="314"/>
      <c r="H13" s="314"/>
      <c r="I13" s="100">
        <f>E5</f>
        <v>60</v>
      </c>
      <c r="J13" s="83"/>
      <c r="K13" s="83"/>
      <c r="L13" s="71"/>
      <c r="M13" s="71"/>
      <c r="N13" s="105"/>
      <c r="O13" s="105"/>
      <c r="P13" s="223"/>
      <c r="Q13" s="223"/>
    </row>
    <row r="14" spans="2:33" ht="21" hidden="1">
      <c r="B14" s="309" t="s">
        <v>281</v>
      </c>
      <c r="C14" s="309"/>
      <c r="D14" s="309"/>
      <c r="E14" s="309"/>
      <c r="F14" s="309"/>
      <c r="G14" s="309"/>
      <c r="H14" s="309"/>
      <c r="I14" s="309"/>
      <c r="J14" s="309"/>
      <c r="K14" s="309"/>
      <c r="L14" s="309"/>
      <c r="M14" s="309"/>
      <c r="N14" s="309"/>
      <c r="O14" s="309"/>
      <c r="P14" s="309"/>
      <c r="Q14" s="309"/>
      <c r="R14" s="309"/>
      <c r="S14" s="309"/>
      <c r="T14" s="309"/>
      <c r="U14" s="309"/>
      <c r="V14" s="309"/>
      <c r="W14" s="309"/>
      <c r="X14" s="309"/>
      <c r="Y14" s="309"/>
      <c r="Z14" s="309"/>
      <c r="AA14" s="309"/>
      <c r="AB14" s="309"/>
      <c r="AC14" s="309"/>
      <c r="AD14" s="7"/>
      <c r="AE14" s="7"/>
      <c r="AF14" s="7"/>
      <c r="AG14" s="223"/>
    </row>
    <row r="15" spans="2:33">
      <c r="B15" s="7"/>
      <c r="C15" s="1" t="s">
        <v>246</v>
      </c>
      <c r="D15" s="2" t="s">
        <v>20</v>
      </c>
      <c r="E15" s="2" t="s">
        <v>20</v>
      </c>
      <c r="F15" s="2" t="s">
        <v>28</v>
      </c>
      <c r="G15" s="2" t="s">
        <v>28</v>
      </c>
      <c r="H15" s="2" t="s">
        <v>34</v>
      </c>
      <c r="I15" s="2" t="s">
        <v>34</v>
      </c>
      <c r="J15" s="2" t="s">
        <v>41</v>
      </c>
      <c r="K15" s="2" t="s">
        <v>41</v>
      </c>
      <c r="L15" s="2" t="s">
        <v>50</v>
      </c>
      <c r="M15" s="2" t="s">
        <v>50</v>
      </c>
      <c r="N15" s="2" t="s">
        <v>20</v>
      </c>
      <c r="O15" s="2" t="s">
        <v>20</v>
      </c>
      <c r="P15" s="2" t="s">
        <v>28</v>
      </c>
      <c r="Q15" s="2" t="s">
        <v>28</v>
      </c>
      <c r="R15" s="2" t="s">
        <v>34</v>
      </c>
      <c r="S15" s="2" t="s">
        <v>34</v>
      </c>
      <c r="T15" s="2" t="s">
        <v>41</v>
      </c>
      <c r="U15" s="2" t="s">
        <v>41</v>
      </c>
      <c r="V15" s="2" t="s">
        <v>50</v>
      </c>
      <c r="W15" s="2" t="s">
        <v>50</v>
      </c>
      <c r="X15" s="2" t="s">
        <v>20</v>
      </c>
      <c r="Y15" s="2" t="s">
        <v>28</v>
      </c>
      <c r="Z15" s="2" t="s">
        <v>34</v>
      </c>
      <c r="AA15" s="2" t="s">
        <v>41</v>
      </c>
      <c r="AB15" s="2" t="s">
        <v>50</v>
      </c>
      <c r="AC15" s="223"/>
      <c r="AD15" s="7"/>
      <c r="AE15" s="7"/>
      <c r="AF15" s="7"/>
      <c r="AG15" s="223"/>
    </row>
    <row r="16" spans="2:33">
      <c r="B16" s="7"/>
      <c r="C16" s="5" t="s">
        <v>247</v>
      </c>
      <c r="D16" s="3">
        <v>2</v>
      </c>
      <c r="E16" s="3">
        <v>2</v>
      </c>
      <c r="F16" s="3">
        <v>2</v>
      </c>
      <c r="G16" s="3">
        <v>2</v>
      </c>
      <c r="H16" s="3">
        <v>2</v>
      </c>
      <c r="I16" s="3">
        <v>2</v>
      </c>
      <c r="J16" s="3">
        <v>2</v>
      </c>
      <c r="K16" s="3">
        <v>2</v>
      </c>
      <c r="L16" s="3">
        <v>2</v>
      </c>
      <c r="M16" s="3">
        <v>2</v>
      </c>
      <c r="N16" s="3">
        <v>4</v>
      </c>
      <c r="O16" s="3">
        <v>6</v>
      </c>
      <c r="P16" s="3">
        <v>5</v>
      </c>
      <c r="Q16" s="3">
        <v>5</v>
      </c>
      <c r="R16" s="3">
        <v>4</v>
      </c>
      <c r="S16" s="3">
        <v>6</v>
      </c>
      <c r="T16" s="3">
        <v>6</v>
      </c>
      <c r="U16" s="3">
        <v>4</v>
      </c>
      <c r="V16" s="3">
        <v>5</v>
      </c>
      <c r="W16" s="3">
        <v>5</v>
      </c>
      <c r="X16" s="3">
        <v>5</v>
      </c>
      <c r="Y16" s="3">
        <v>5</v>
      </c>
      <c r="Z16" s="3">
        <v>5</v>
      </c>
      <c r="AA16" s="3">
        <v>5</v>
      </c>
      <c r="AB16" s="3">
        <v>5</v>
      </c>
      <c r="AC16" s="223"/>
      <c r="AD16" s="7"/>
      <c r="AE16" s="7"/>
      <c r="AF16" s="7"/>
      <c r="AG16" s="223"/>
    </row>
    <row r="17" spans="1:49">
      <c r="A17" s="75">
        <f>E5</f>
        <v>60</v>
      </c>
      <c r="B17" s="4" t="s">
        <v>261</v>
      </c>
      <c r="C17" s="37" t="str">
        <f>E5&amp;"% Marks"</f>
        <v>60% Marks</v>
      </c>
      <c r="D17" s="40">
        <f>D16*A17/100</f>
        <v>1.2</v>
      </c>
      <c r="E17" s="40">
        <f>E16*A17/100</f>
        <v>1.2</v>
      </c>
      <c r="F17" s="40">
        <f>F16*A17/100</f>
        <v>1.2</v>
      </c>
      <c r="G17" s="40">
        <f>G16*A17/100</f>
        <v>1.2</v>
      </c>
      <c r="H17" s="40">
        <f>H16*A17/100</f>
        <v>1.2</v>
      </c>
      <c r="I17" s="40">
        <f>I16*A17/100</f>
        <v>1.2</v>
      </c>
      <c r="J17" s="40">
        <f>J16*A17/100</f>
        <v>1.2</v>
      </c>
      <c r="K17" s="40">
        <f>K16*A17/100</f>
        <v>1.2</v>
      </c>
      <c r="L17" s="40">
        <f>L16*A17/100</f>
        <v>1.2</v>
      </c>
      <c r="M17" s="40">
        <f>M16*A17/100</f>
        <v>1.2</v>
      </c>
      <c r="N17" s="40">
        <f>N16*A17/100</f>
        <v>2.4</v>
      </c>
      <c r="O17" s="40">
        <f>O16*A17/100</f>
        <v>3.6</v>
      </c>
      <c r="P17" s="40">
        <f>P16*$A$17/100</f>
        <v>3</v>
      </c>
      <c r="Q17" s="40">
        <f t="shared" ref="Q17:AB17" si="0">Q16*$A$17/100</f>
        <v>3</v>
      </c>
      <c r="R17" s="40">
        <f t="shared" si="0"/>
        <v>2.4</v>
      </c>
      <c r="S17" s="40">
        <f t="shared" si="0"/>
        <v>3.6</v>
      </c>
      <c r="T17" s="40">
        <f t="shared" si="0"/>
        <v>3.6</v>
      </c>
      <c r="U17" s="40">
        <f t="shared" si="0"/>
        <v>2.4</v>
      </c>
      <c r="V17" s="40">
        <f t="shared" si="0"/>
        <v>3</v>
      </c>
      <c r="W17" s="40">
        <f t="shared" si="0"/>
        <v>3</v>
      </c>
      <c r="X17" s="40">
        <f t="shared" si="0"/>
        <v>3</v>
      </c>
      <c r="Y17" s="40">
        <f t="shared" si="0"/>
        <v>3</v>
      </c>
      <c r="Z17" s="40">
        <f t="shared" si="0"/>
        <v>3</v>
      </c>
      <c r="AA17" s="40">
        <f t="shared" si="0"/>
        <v>3</v>
      </c>
      <c r="AB17" s="40">
        <f t="shared" si="0"/>
        <v>3</v>
      </c>
      <c r="AC17" s="223"/>
      <c r="AD17" s="7"/>
      <c r="AE17" s="7"/>
      <c r="AF17" s="7"/>
      <c r="AG17" s="223"/>
    </row>
    <row r="18" spans="1:49" ht="21">
      <c r="B18" s="9" t="s">
        <v>249</v>
      </c>
      <c r="C18" s="9" t="s">
        <v>250</v>
      </c>
      <c r="D18" s="10">
        <v>1</v>
      </c>
      <c r="E18" s="10">
        <v>2</v>
      </c>
      <c r="F18" s="10">
        <v>3</v>
      </c>
      <c r="G18" s="10">
        <v>4</v>
      </c>
      <c r="H18" s="10">
        <v>5</v>
      </c>
      <c r="I18" s="10">
        <v>6</v>
      </c>
      <c r="J18" s="10">
        <v>7</v>
      </c>
      <c r="K18" s="10">
        <v>8</v>
      </c>
      <c r="L18" s="10">
        <v>9</v>
      </c>
      <c r="M18" s="10">
        <v>10</v>
      </c>
      <c r="N18" s="10" t="s">
        <v>282</v>
      </c>
      <c r="O18" s="10" t="s">
        <v>283</v>
      </c>
      <c r="P18" s="10" t="s">
        <v>284</v>
      </c>
      <c r="Q18" s="10" t="s">
        <v>285</v>
      </c>
      <c r="R18" s="10" t="s">
        <v>286</v>
      </c>
      <c r="S18" s="10" t="s">
        <v>287</v>
      </c>
      <c r="T18" s="10" t="s">
        <v>288</v>
      </c>
      <c r="U18" s="10" t="s">
        <v>289</v>
      </c>
      <c r="V18" s="10" t="s">
        <v>290</v>
      </c>
      <c r="W18" s="10" t="s">
        <v>291</v>
      </c>
      <c r="X18" s="10" t="s">
        <v>292</v>
      </c>
      <c r="Y18" s="10" t="s">
        <v>293</v>
      </c>
      <c r="Z18" s="10" t="s">
        <v>294</v>
      </c>
      <c r="AA18" s="10" t="s">
        <v>295</v>
      </c>
      <c r="AB18" s="10" t="s">
        <v>296</v>
      </c>
      <c r="AC18" s="10" t="s">
        <v>245</v>
      </c>
      <c r="AD18" s="76" t="s">
        <v>11</v>
      </c>
      <c r="AE18" s="76"/>
      <c r="AF18" s="26" t="s">
        <v>97</v>
      </c>
      <c r="AG18" s="27" t="s">
        <v>96</v>
      </c>
    </row>
    <row r="19" spans="1:49" ht="18" customHeight="1">
      <c r="A19" s="8">
        <v>1</v>
      </c>
      <c r="B19" s="43">
        <v>1</v>
      </c>
      <c r="C19" s="77">
        <v>46575</v>
      </c>
      <c r="D19" s="78">
        <v>2</v>
      </c>
      <c r="E19" s="78">
        <v>2</v>
      </c>
      <c r="F19" s="78">
        <v>2</v>
      </c>
      <c r="G19" s="78">
        <v>2</v>
      </c>
      <c r="H19" s="78">
        <v>2</v>
      </c>
      <c r="I19" s="78">
        <v>2</v>
      </c>
      <c r="J19" s="78">
        <v>0</v>
      </c>
      <c r="K19" s="78">
        <v>2</v>
      </c>
      <c r="L19" s="78">
        <v>2</v>
      </c>
      <c r="M19" s="78">
        <v>2</v>
      </c>
      <c r="N19" s="79">
        <v>4</v>
      </c>
      <c r="O19" s="79">
        <v>5</v>
      </c>
      <c r="P19" s="79">
        <v>4</v>
      </c>
      <c r="Q19" s="79">
        <v>5</v>
      </c>
      <c r="R19" s="79" t="s">
        <v>252</v>
      </c>
      <c r="S19" s="79" t="s">
        <v>252</v>
      </c>
      <c r="T19" s="79">
        <v>5</v>
      </c>
      <c r="U19" s="79">
        <v>3</v>
      </c>
      <c r="V19" s="79" t="s">
        <v>252</v>
      </c>
      <c r="W19" s="79" t="s">
        <v>252</v>
      </c>
      <c r="X19" s="79">
        <v>5</v>
      </c>
      <c r="Y19" s="79">
        <v>2</v>
      </c>
      <c r="Z19" s="79">
        <v>1</v>
      </c>
      <c r="AA19" s="79">
        <v>2</v>
      </c>
      <c r="AB19" s="79" t="s">
        <v>252</v>
      </c>
      <c r="AC19" s="63">
        <f t="shared" ref="AC19:AC82" si="1">IF(AND(A19&lt;=$K$211,AW19=5),SUM(D19:AB19),"")</f>
        <v>54</v>
      </c>
      <c r="AD19" s="7" t="s">
        <v>20</v>
      </c>
      <c r="AE19" s="7"/>
      <c r="AF19" s="221">
        <v>65</v>
      </c>
      <c r="AG19" s="221">
        <v>3</v>
      </c>
      <c r="AH19" s="8" t="b">
        <f>ISTEXT(N19)</f>
        <v>0</v>
      </c>
      <c r="AI19" s="8" t="b">
        <f t="shared" ref="AI19:AV34" si="2">ISTEXT(O19)</f>
        <v>0</v>
      </c>
      <c r="AJ19" s="8" t="b">
        <f t="shared" si="2"/>
        <v>0</v>
      </c>
      <c r="AK19" s="8" t="b">
        <f t="shared" si="2"/>
        <v>0</v>
      </c>
      <c r="AL19" s="8" t="b">
        <f t="shared" si="2"/>
        <v>1</v>
      </c>
      <c r="AM19" s="8" t="b">
        <f t="shared" si="2"/>
        <v>1</v>
      </c>
      <c r="AN19" s="8" t="b">
        <f t="shared" si="2"/>
        <v>0</v>
      </c>
      <c r="AO19" s="8" t="b">
        <f t="shared" si="2"/>
        <v>0</v>
      </c>
      <c r="AP19" s="8" t="b">
        <f t="shared" si="2"/>
        <v>1</v>
      </c>
      <c r="AQ19" s="8" t="b">
        <f t="shared" si="2"/>
        <v>1</v>
      </c>
      <c r="AR19" s="8" t="b">
        <f t="shared" si="2"/>
        <v>0</v>
      </c>
      <c r="AS19" s="8" t="b">
        <f t="shared" si="2"/>
        <v>0</v>
      </c>
      <c r="AT19" s="8" t="b">
        <f t="shared" si="2"/>
        <v>0</v>
      </c>
      <c r="AU19" s="8" t="b">
        <f t="shared" si="2"/>
        <v>0</v>
      </c>
      <c r="AV19" s="8" t="b">
        <f t="shared" si="2"/>
        <v>1</v>
      </c>
      <c r="AW19" s="8">
        <f>COUNTIF(AH19:AV19,"TRUE")</f>
        <v>5</v>
      </c>
    </row>
    <row r="20" spans="1:49" ht="18" customHeight="1">
      <c r="A20" s="8">
        <v>2</v>
      </c>
      <c r="B20" s="43">
        <v>2</v>
      </c>
      <c r="C20" s="77">
        <v>46589</v>
      </c>
      <c r="D20" s="78">
        <v>1</v>
      </c>
      <c r="E20" s="78">
        <v>2</v>
      </c>
      <c r="F20" s="78">
        <v>0</v>
      </c>
      <c r="G20" s="78">
        <v>2</v>
      </c>
      <c r="H20" s="78">
        <v>2</v>
      </c>
      <c r="I20" s="78">
        <v>0</v>
      </c>
      <c r="J20" s="78">
        <v>1</v>
      </c>
      <c r="K20" s="78">
        <v>1</v>
      </c>
      <c r="L20" s="78">
        <v>1</v>
      </c>
      <c r="M20" s="78">
        <v>2</v>
      </c>
      <c r="N20" s="79">
        <v>3</v>
      </c>
      <c r="O20" s="79">
        <v>1</v>
      </c>
      <c r="P20" s="79">
        <v>3</v>
      </c>
      <c r="Q20" s="79">
        <v>1</v>
      </c>
      <c r="R20" s="79" t="s">
        <v>252</v>
      </c>
      <c r="S20" s="79" t="s">
        <v>252</v>
      </c>
      <c r="T20" s="79">
        <v>3</v>
      </c>
      <c r="U20" s="79">
        <v>1</v>
      </c>
      <c r="V20" s="79">
        <v>3</v>
      </c>
      <c r="W20" s="79">
        <v>0</v>
      </c>
      <c r="X20" s="79">
        <v>0</v>
      </c>
      <c r="Y20" s="79">
        <v>1</v>
      </c>
      <c r="Z20" s="79" t="s">
        <v>252</v>
      </c>
      <c r="AA20" s="79" t="s">
        <v>252</v>
      </c>
      <c r="AB20" s="79" t="s">
        <v>252</v>
      </c>
      <c r="AC20" s="63">
        <f t="shared" si="1"/>
        <v>28</v>
      </c>
      <c r="AD20" s="7" t="s">
        <v>28</v>
      </c>
      <c r="AE20" s="7"/>
      <c r="AF20" s="221">
        <v>60</v>
      </c>
      <c r="AG20" s="221">
        <v>2.5</v>
      </c>
      <c r="AH20" s="8" t="b">
        <f t="shared" ref="AH20:AV50" si="3">ISTEXT(N20)</f>
        <v>0</v>
      </c>
      <c r="AI20" s="8" t="b">
        <f t="shared" si="2"/>
        <v>0</v>
      </c>
      <c r="AJ20" s="8" t="b">
        <f t="shared" si="2"/>
        <v>0</v>
      </c>
      <c r="AK20" s="8" t="b">
        <f t="shared" si="2"/>
        <v>0</v>
      </c>
      <c r="AL20" s="8" t="b">
        <f t="shared" si="2"/>
        <v>1</v>
      </c>
      <c r="AM20" s="8" t="b">
        <f t="shared" si="2"/>
        <v>1</v>
      </c>
      <c r="AN20" s="8" t="b">
        <f t="shared" si="2"/>
        <v>0</v>
      </c>
      <c r="AO20" s="8" t="b">
        <f t="shared" si="2"/>
        <v>0</v>
      </c>
      <c r="AP20" s="8" t="b">
        <f t="shared" si="2"/>
        <v>0</v>
      </c>
      <c r="AQ20" s="8" t="b">
        <f t="shared" si="2"/>
        <v>0</v>
      </c>
      <c r="AR20" s="8" t="b">
        <f t="shared" si="2"/>
        <v>0</v>
      </c>
      <c r="AS20" s="8" t="b">
        <f t="shared" si="2"/>
        <v>0</v>
      </c>
      <c r="AT20" s="8" t="b">
        <f t="shared" si="2"/>
        <v>1</v>
      </c>
      <c r="AU20" s="8" t="b">
        <f t="shared" si="2"/>
        <v>1</v>
      </c>
      <c r="AV20" s="8" t="b">
        <f t="shared" si="2"/>
        <v>1</v>
      </c>
      <c r="AW20" s="8">
        <f t="shared" ref="AW20:AW83" si="4">COUNTIF(AH20:AV20,"TRUE")</f>
        <v>5</v>
      </c>
    </row>
    <row r="21" spans="1:49" ht="18" customHeight="1">
      <c r="A21" s="8">
        <v>3</v>
      </c>
      <c r="B21" s="43">
        <v>3</v>
      </c>
      <c r="C21" s="77">
        <v>46592</v>
      </c>
      <c r="D21" s="78">
        <v>2</v>
      </c>
      <c r="E21" s="78">
        <v>2</v>
      </c>
      <c r="F21" s="78">
        <v>2</v>
      </c>
      <c r="G21" s="78">
        <v>2</v>
      </c>
      <c r="H21" s="78">
        <v>2</v>
      </c>
      <c r="I21" s="78">
        <v>2</v>
      </c>
      <c r="J21" s="78">
        <v>2</v>
      </c>
      <c r="K21" s="78">
        <v>2</v>
      </c>
      <c r="L21" s="78">
        <v>2</v>
      </c>
      <c r="M21" s="78">
        <v>2</v>
      </c>
      <c r="N21" s="79">
        <v>4</v>
      </c>
      <c r="O21" s="79">
        <v>4</v>
      </c>
      <c r="P21" s="79">
        <v>3</v>
      </c>
      <c r="Q21" s="79">
        <v>4</v>
      </c>
      <c r="R21" s="79" t="s">
        <v>252</v>
      </c>
      <c r="S21" s="79" t="s">
        <v>252</v>
      </c>
      <c r="T21" s="79">
        <v>6</v>
      </c>
      <c r="U21" s="79">
        <v>4</v>
      </c>
      <c r="V21" s="79" t="s">
        <v>252</v>
      </c>
      <c r="W21" s="79" t="s">
        <v>252</v>
      </c>
      <c r="X21" s="79">
        <v>5</v>
      </c>
      <c r="Y21" s="79">
        <v>3</v>
      </c>
      <c r="Z21" s="79">
        <v>2</v>
      </c>
      <c r="AA21" s="79">
        <v>3</v>
      </c>
      <c r="AB21" s="79" t="s">
        <v>252</v>
      </c>
      <c r="AC21" s="63">
        <f t="shared" si="1"/>
        <v>58</v>
      </c>
      <c r="AD21" s="7" t="s">
        <v>34</v>
      </c>
      <c r="AE21" s="7"/>
      <c r="AF21" s="221">
        <v>55</v>
      </c>
      <c r="AG21" s="221">
        <v>2</v>
      </c>
      <c r="AH21" s="8" t="b">
        <f t="shared" si="3"/>
        <v>0</v>
      </c>
      <c r="AI21" s="8" t="b">
        <f t="shared" si="2"/>
        <v>0</v>
      </c>
      <c r="AJ21" s="8" t="b">
        <f t="shared" si="2"/>
        <v>0</v>
      </c>
      <c r="AK21" s="8" t="b">
        <f t="shared" si="2"/>
        <v>0</v>
      </c>
      <c r="AL21" s="8" t="b">
        <f t="shared" si="2"/>
        <v>1</v>
      </c>
      <c r="AM21" s="8" t="b">
        <f t="shared" si="2"/>
        <v>1</v>
      </c>
      <c r="AN21" s="8" t="b">
        <f t="shared" si="2"/>
        <v>0</v>
      </c>
      <c r="AO21" s="8" t="b">
        <f t="shared" si="2"/>
        <v>0</v>
      </c>
      <c r="AP21" s="8" t="b">
        <f t="shared" si="2"/>
        <v>1</v>
      </c>
      <c r="AQ21" s="8" t="b">
        <f t="shared" si="2"/>
        <v>1</v>
      </c>
      <c r="AR21" s="8" t="b">
        <f t="shared" si="2"/>
        <v>0</v>
      </c>
      <c r="AS21" s="8" t="b">
        <f t="shared" si="2"/>
        <v>0</v>
      </c>
      <c r="AT21" s="8" t="b">
        <f t="shared" si="2"/>
        <v>0</v>
      </c>
      <c r="AU21" s="8" t="b">
        <f t="shared" si="2"/>
        <v>0</v>
      </c>
      <c r="AV21" s="8" t="b">
        <f t="shared" si="2"/>
        <v>1</v>
      </c>
      <c r="AW21" s="8">
        <f t="shared" si="4"/>
        <v>5</v>
      </c>
    </row>
    <row r="22" spans="1:49" ht="18" customHeight="1">
      <c r="A22" s="8">
        <v>4</v>
      </c>
      <c r="B22" s="43">
        <v>4</v>
      </c>
      <c r="C22" s="77">
        <v>46593</v>
      </c>
      <c r="D22" s="78">
        <v>2</v>
      </c>
      <c r="E22" s="78">
        <v>2</v>
      </c>
      <c r="F22" s="78">
        <v>0</v>
      </c>
      <c r="G22" s="78">
        <v>1</v>
      </c>
      <c r="H22" s="78">
        <v>2</v>
      </c>
      <c r="I22" s="78">
        <v>2</v>
      </c>
      <c r="J22" s="78">
        <v>2</v>
      </c>
      <c r="K22" s="78">
        <v>0</v>
      </c>
      <c r="L22" s="78">
        <v>2</v>
      </c>
      <c r="M22" s="78">
        <v>2</v>
      </c>
      <c r="N22" s="79">
        <v>4</v>
      </c>
      <c r="O22" s="79">
        <v>4</v>
      </c>
      <c r="P22" s="79">
        <v>4</v>
      </c>
      <c r="Q22" s="79">
        <v>3</v>
      </c>
      <c r="R22" s="79" t="s">
        <v>252</v>
      </c>
      <c r="S22" s="79" t="s">
        <v>252</v>
      </c>
      <c r="T22" s="79" t="s">
        <v>252</v>
      </c>
      <c r="U22" s="79" t="s">
        <v>252</v>
      </c>
      <c r="V22" s="79">
        <v>3</v>
      </c>
      <c r="W22" s="79">
        <v>3</v>
      </c>
      <c r="X22" s="79">
        <v>4</v>
      </c>
      <c r="Y22" s="79">
        <v>2</v>
      </c>
      <c r="Z22" s="79">
        <v>1</v>
      </c>
      <c r="AA22" s="79" t="s">
        <v>252</v>
      </c>
      <c r="AB22" s="79">
        <v>2</v>
      </c>
      <c r="AC22" s="63">
        <f t="shared" si="1"/>
        <v>45</v>
      </c>
      <c r="AD22" s="7" t="s">
        <v>41</v>
      </c>
      <c r="AE22" s="7"/>
      <c r="AF22" s="221">
        <v>50</v>
      </c>
      <c r="AG22" s="221">
        <v>1.5</v>
      </c>
      <c r="AH22" s="8" t="b">
        <f t="shared" si="3"/>
        <v>0</v>
      </c>
      <c r="AI22" s="8" t="b">
        <f t="shared" si="2"/>
        <v>0</v>
      </c>
      <c r="AJ22" s="8" t="b">
        <f t="shared" si="2"/>
        <v>0</v>
      </c>
      <c r="AK22" s="8" t="b">
        <f t="shared" si="2"/>
        <v>0</v>
      </c>
      <c r="AL22" s="8" t="b">
        <f t="shared" si="2"/>
        <v>1</v>
      </c>
      <c r="AM22" s="8" t="b">
        <f t="shared" si="2"/>
        <v>1</v>
      </c>
      <c r="AN22" s="8" t="b">
        <f t="shared" si="2"/>
        <v>1</v>
      </c>
      <c r="AO22" s="8" t="b">
        <f t="shared" si="2"/>
        <v>1</v>
      </c>
      <c r="AP22" s="8" t="b">
        <f t="shared" si="2"/>
        <v>0</v>
      </c>
      <c r="AQ22" s="8" t="b">
        <f t="shared" si="2"/>
        <v>0</v>
      </c>
      <c r="AR22" s="8" t="b">
        <f t="shared" si="2"/>
        <v>0</v>
      </c>
      <c r="AS22" s="8" t="b">
        <f t="shared" si="2"/>
        <v>0</v>
      </c>
      <c r="AT22" s="8" t="b">
        <f t="shared" si="2"/>
        <v>0</v>
      </c>
      <c r="AU22" s="8" t="b">
        <f t="shared" si="2"/>
        <v>1</v>
      </c>
      <c r="AV22" s="8" t="b">
        <f t="shared" si="2"/>
        <v>0</v>
      </c>
      <c r="AW22" s="8">
        <f t="shared" si="4"/>
        <v>5</v>
      </c>
    </row>
    <row r="23" spans="1:49" ht="18" customHeight="1">
      <c r="A23" s="8">
        <v>5</v>
      </c>
      <c r="B23" s="43">
        <v>5</v>
      </c>
      <c r="C23" s="77">
        <v>46594</v>
      </c>
      <c r="D23" s="78">
        <v>1</v>
      </c>
      <c r="E23" s="78">
        <v>2</v>
      </c>
      <c r="F23" s="78">
        <v>2</v>
      </c>
      <c r="G23" s="78">
        <v>1</v>
      </c>
      <c r="H23" s="78">
        <v>2</v>
      </c>
      <c r="I23" s="78">
        <v>1</v>
      </c>
      <c r="J23" s="78">
        <v>2</v>
      </c>
      <c r="K23" s="78">
        <v>1</v>
      </c>
      <c r="L23" s="78">
        <v>2</v>
      </c>
      <c r="M23" s="78">
        <v>2</v>
      </c>
      <c r="N23" s="79">
        <v>3</v>
      </c>
      <c r="O23" s="79">
        <v>3</v>
      </c>
      <c r="P23" s="79">
        <v>2</v>
      </c>
      <c r="Q23" s="79">
        <v>2</v>
      </c>
      <c r="R23" s="79" t="s">
        <v>252</v>
      </c>
      <c r="S23" s="79" t="s">
        <v>252</v>
      </c>
      <c r="T23" s="79" t="s">
        <v>252</v>
      </c>
      <c r="U23" s="79" t="s">
        <v>252</v>
      </c>
      <c r="V23" s="79">
        <v>4</v>
      </c>
      <c r="W23" s="79">
        <v>3</v>
      </c>
      <c r="X23" s="79">
        <v>3</v>
      </c>
      <c r="Y23" s="79">
        <v>3</v>
      </c>
      <c r="Z23" s="79">
        <v>2</v>
      </c>
      <c r="AA23" s="79" t="s">
        <v>252</v>
      </c>
      <c r="AB23" s="79">
        <v>2</v>
      </c>
      <c r="AC23" s="63">
        <f t="shared" si="1"/>
        <v>43</v>
      </c>
      <c r="AD23" s="7" t="s">
        <v>50</v>
      </c>
      <c r="AE23" s="7"/>
      <c r="AF23" s="221">
        <v>45</v>
      </c>
      <c r="AG23" s="221">
        <v>1</v>
      </c>
      <c r="AH23" s="8" t="b">
        <f t="shared" si="3"/>
        <v>0</v>
      </c>
      <c r="AI23" s="8" t="b">
        <f t="shared" si="2"/>
        <v>0</v>
      </c>
      <c r="AJ23" s="8" t="b">
        <f t="shared" si="2"/>
        <v>0</v>
      </c>
      <c r="AK23" s="8" t="b">
        <f t="shared" si="2"/>
        <v>0</v>
      </c>
      <c r="AL23" s="8" t="b">
        <f t="shared" si="2"/>
        <v>1</v>
      </c>
      <c r="AM23" s="8" t="b">
        <f t="shared" si="2"/>
        <v>1</v>
      </c>
      <c r="AN23" s="8" t="b">
        <f t="shared" si="2"/>
        <v>1</v>
      </c>
      <c r="AO23" s="8" t="b">
        <f t="shared" si="2"/>
        <v>1</v>
      </c>
      <c r="AP23" s="8" t="b">
        <f t="shared" si="2"/>
        <v>0</v>
      </c>
      <c r="AQ23" s="8" t="b">
        <f t="shared" si="2"/>
        <v>0</v>
      </c>
      <c r="AR23" s="8" t="b">
        <f t="shared" si="2"/>
        <v>0</v>
      </c>
      <c r="AS23" s="8" t="b">
        <f t="shared" si="2"/>
        <v>0</v>
      </c>
      <c r="AT23" s="8" t="b">
        <f t="shared" si="2"/>
        <v>0</v>
      </c>
      <c r="AU23" s="8" t="b">
        <f t="shared" si="2"/>
        <v>1</v>
      </c>
      <c r="AV23" s="8" t="b">
        <f t="shared" si="2"/>
        <v>0</v>
      </c>
      <c r="AW23" s="8">
        <f t="shared" si="4"/>
        <v>5</v>
      </c>
    </row>
    <row r="24" spans="1:49" ht="18" customHeight="1">
      <c r="A24" s="8">
        <v>6</v>
      </c>
      <c r="B24" s="43">
        <v>6</v>
      </c>
      <c r="C24" s="77">
        <v>46595</v>
      </c>
      <c r="D24" s="78">
        <v>2</v>
      </c>
      <c r="E24" s="78">
        <v>0</v>
      </c>
      <c r="F24" s="78">
        <v>0</v>
      </c>
      <c r="G24" s="78">
        <v>0</v>
      </c>
      <c r="H24" s="78">
        <v>2</v>
      </c>
      <c r="I24" s="78">
        <v>1</v>
      </c>
      <c r="J24" s="78">
        <v>2</v>
      </c>
      <c r="K24" s="78">
        <v>1</v>
      </c>
      <c r="L24" s="78">
        <v>2</v>
      </c>
      <c r="M24" s="78">
        <v>2</v>
      </c>
      <c r="N24" s="79">
        <v>4</v>
      </c>
      <c r="O24" s="79">
        <v>1</v>
      </c>
      <c r="P24" s="79">
        <v>5</v>
      </c>
      <c r="Q24" s="79">
        <v>4</v>
      </c>
      <c r="R24" s="79" t="s">
        <v>252</v>
      </c>
      <c r="S24" s="79" t="s">
        <v>252</v>
      </c>
      <c r="T24" s="79">
        <v>5</v>
      </c>
      <c r="U24" s="79">
        <v>4</v>
      </c>
      <c r="V24" s="79" t="s">
        <v>252</v>
      </c>
      <c r="W24" s="79" t="s">
        <v>252</v>
      </c>
      <c r="X24" s="79">
        <v>5</v>
      </c>
      <c r="Y24" s="79">
        <v>2</v>
      </c>
      <c r="Z24" s="79">
        <v>4</v>
      </c>
      <c r="AA24" s="79" t="s">
        <v>252</v>
      </c>
      <c r="AB24" s="79">
        <v>1</v>
      </c>
      <c r="AC24" s="63">
        <f t="shared" si="1"/>
        <v>47</v>
      </c>
      <c r="AD24" s="7" t="s">
        <v>57</v>
      </c>
      <c r="AE24" s="7"/>
      <c r="AF24" s="7"/>
      <c r="AG24" s="223"/>
      <c r="AH24" s="8" t="b">
        <f t="shared" si="3"/>
        <v>0</v>
      </c>
      <c r="AI24" s="8" t="b">
        <f t="shared" si="2"/>
        <v>0</v>
      </c>
      <c r="AJ24" s="8" t="b">
        <f t="shared" si="2"/>
        <v>0</v>
      </c>
      <c r="AK24" s="8" t="b">
        <f t="shared" si="2"/>
        <v>0</v>
      </c>
      <c r="AL24" s="8" t="b">
        <f t="shared" si="2"/>
        <v>1</v>
      </c>
      <c r="AM24" s="8" t="b">
        <f t="shared" si="2"/>
        <v>1</v>
      </c>
      <c r="AN24" s="8" t="b">
        <f t="shared" si="2"/>
        <v>0</v>
      </c>
      <c r="AO24" s="8" t="b">
        <f t="shared" si="2"/>
        <v>0</v>
      </c>
      <c r="AP24" s="8" t="b">
        <f t="shared" si="2"/>
        <v>1</v>
      </c>
      <c r="AQ24" s="8" t="b">
        <f t="shared" si="2"/>
        <v>1</v>
      </c>
      <c r="AR24" s="8" t="b">
        <f t="shared" si="2"/>
        <v>0</v>
      </c>
      <c r="AS24" s="8" t="b">
        <f t="shared" si="2"/>
        <v>0</v>
      </c>
      <c r="AT24" s="8" t="b">
        <f t="shared" si="2"/>
        <v>0</v>
      </c>
      <c r="AU24" s="8" t="b">
        <f t="shared" si="2"/>
        <v>1</v>
      </c>
      <c r="AV24" s="8" t="b">
        <f t="shared" si="2"/>
        <v>0</v>
      </c>
      <c r="AW24" s="8">
        <f t="shared" si="4"/>
        <v>5</v>
      </c>
    </row>
    <row r="25" spans="1:49" ht="18" customHeight="1">
      <c r="A25" s="8">
        <v>7</v>
      </c>
      <c r="B25" s="43">
        <v>7</v>
      </c>
      <c r="C25" s="77">
        <v>46600</v>
      </c>
      <c r="D25" s="78">
        <v>2</v>
      </c>
      <c r="E25" s="78">
        <v>2</v>
      </c>
      <c r="F25" s="78">
        <v>2</v>
      </c>
      <c r="G25" s="78">
        <v>0</v>
      </c>
      <c r="H25" s="78">
        <v>2</v>
      </c>
      <c r="I25" s="78">
        <v>1</v>
      </c>
      <c r="J25" s="78">
        <v>2</v>
      </c>
      <c r="K25" s="78">
        <v>1</v>
      </c>
      <c r="L25" s="78">
        <v>2</v>
      </c>
      <c r="M25" s="78">
        <v>2</v>
      </c>
      <c r="N25" s="79">
        <v>4</v>
      </c>
      <c r="O25" s="79">
        <v>0</v>
      </c>
      <c r="P25" s="79">
        <v>3</v>
      </c>
      <c r="Q25" s="79">
        <v>0</v>
      </c>
      <c r="R25" s="79" t="s">
        <v>252</v>
      </c>
      <c r="S25" s="79" t="s">
        <v>252</v>
      </c>
      <c r="T25" s="79">
        <v>2</v>
      </c>
      <c r="U25" s="79">
        <v>1</v>
      </c>
      <c r="V25" s="79" t="s">
        <v>252</v>
      </c>
      <c r="W25" s="79" t="s">
        <v>252</v>
      </c>
      <c r="X25" s="79">
        <v>3</v>
      </c>
      <c r="Y25" s="79">
        <v>4</v>
      </c>
      <c r="Z25" s="79" t="s">
        <v>252</v>
      </c>
      <c r="AA25" s="79">
        <v>3</v>
      </c>
      <c r="AB25" s="79">
        <v>2</v>
      </c>
      <c r="AC25" s="63">
        <f t="shared" si="1"/>
        <v>38</v>
      </c>
      <c r="AD25" s="7"/>
      <c r="AE25" s="7"/>
      <c r="AF25" s="7"/>
      <c r="AG25" s="223"/>
      <c r="AH25" s="8" t="b">
        <f t="shared" si="3"/>
        <v>0</v>
      </c>
      <c r="AI25" s="8" t="b">
        <f t="shared" si="2"/>
        <v>0</v>
      </c>
      <c r="AJ25" s="8" t="b">
        <f t="shared" si="2"/>
        <v>0</v>
      </c>
      <c r="AK25" s="8" t="b">
        <f t="shared" si="2"/>
        <v>0</v>
      </c>
      <c r="AL25" s="8" t="b">
        <f t="shared" si="2"/>
        <v>1</v>
      </c>
      <c r="AM25" s="8" t="b">
        <f t="shared" si="2"/>
        <v>1</v>
      </c>
      <c r="AN25" s="8" t="b">
        <f t="shared" si="2"/>
        <v>0</v>
      </c>
      <c r="AO25" s="8" t="b">
        <f t="shared" si="2"/>
        <v>0</v>
      </c>
      <c r="AP25" s="8" t="b">
        <f t="shared" si="2"/>
        <v>1</v>
      </c>
      <c r="AQ25" s="8" t="b">
        <f t="shared" si="2"/>
        <v>1</v>
      </c>
      <c r="AR25" s="8" t="b">
        <f t="shared" si="2"/>
        <v>0</v>
      </c>
      <c r="AS25" s="8" t="b">
        <f t="shared" si="2"/>
        <v>0</v>
      </c>
      <c r="AT25" s="8" t="b">
        <f t="shared" si="2"/>
        <v>1</v>
      </c>
      <c r="AU25" s="8" t="b">
        <f t="shared" si="2"/>
        <v>0</v>
      </c>
      <c r="AV25" s="8" t="b">
        <f t="shared" si="2"/>
        <v>0</v>
      </c>
      <c r="AW25" s="8">
        <f t="shared" si="4"/>
        <v>5</v>
      </c>
    </row>
    <row r="26" spans="1:49" ht="18" customHeight="1">
      <c r="A26" s="8">
        <v>8</v>
      </c>
      <c r="B26" s="43">
        <v>8</v>
      </c>
      <c r="C26" s="77">
        <v>46601</v>
      </c>
      <c r="D26" s="78">
        <v>1</v>
      </c>
      <c r="E26" s="78">
        <v>1</v>
      </c>
      <c r="F26" s="78">
        <v>0</v>
      </c>
      <c r="G26" s="78">
        <v>2</v>
      </c>
      <c r="H26" s="78">
        <v>2</v>
      </c>
      <c r="I26" s="78">
        <v>0</v>
      </c>
      <c r="J26" s="78">
        <v>1</v>
      </c>
      <c r="K26" s="78">
        <v>1</v>
      </c>
      <c r="L26" s="78">
        <v>2</v>
      </c>
      <c r="M26" s="78">
        <v>2</v>
      </c>
      <c r="N26" s="79" t="s">
        <v>252</v>
      </c>
      <c r="O26" s="79" t="s">
        <v>252</v>
      </c>
      <c r="P26" s="79">
        <v>3</v>
      </c>
      <c r="Q26" s="79">
        <v>4</v>
      </c>
      <c r="R26" s="79">
        <v>4</v>
      </c>
      <c r="S26" s="79">
        <v>3</v>
      </c>
      <c r="T26" s="79">
        <v>6</v>
      </c>
      <c r="U26" s="79">
        <v>4</v>
      </c>
      <c r="V26" s="79">
        <v>3</v>
      </c>
      <c r="W26" s="79">
        <v>5</v>
      </c>
      <c r="X26" s="79" t="s">
        <v>252</v>
      </c>
      <c r="Y26" s="79" t="s">
        <v>252</v>
      </c>
      <c r="Z26" s="79" t="s">
        <v>252</v>
      </c>
      <c r="AA26" s="79">
        <v>3</v>
      </c>
      <c r="AB26" s="79">
        <v>2</v>
      </c>
      <c r="AC26" s="63">
        <f t="shared" si="1"/>
        <v>49</v>
      </c>
      <c r="AD26" s="7"/>
      <c r="AE26" s="7"/>
      <c r="AF26" s="7"/>
      <c r="AG26" s="223"/>
      <c r="AH26" s="8" t="b">
        <f t="shared" si="3"/>
        <v>1</v>
      </c>
      <c r="AI26" s="8" t="b">
        <f t="shared" si="2"/>
        <v>1</v>
      </c>
      <c r="AJ26" s="8" t="b">
        <f t="shared" si="2"/>
        <v>0</v>
      </c>
      <c r="AK26" s="8" t="b">
        <f t="shared" si="2"/>
        <v>0</v>
      </c>
      <c r="AL26" s="8" t="b">
        <f t="shared" si="2"/>
        <v>0</v>
      </c>
      <c r="AM26" s="8" t="b">
        <f t="shared" si="2"/>
        <v>0</v>
      </c>
      <c r="AN26" s="8" t="b">
        <f t="shared" si="2"/>
        <v>0</v>
      </c>
      <c r="AO26" s="8" t="b">
        <f t="shared" si="2"/>
        <v>0</v>
      </c>
      <c r="AP26" s="8" t="b">
        <f t="shared" si="2"/>
        <v>0</v>
      </c>
      <c r="AQ26" s="8" t="b">
        <f t="shared" si="2"/>
        <v>0</v>
      </c>
      <c r="AR26" s="8" t="b">
        <f t="shared" si="2"/>
        <v>1</v>
      </c>
      <c r="AS26" s="8" t="b">
        <f t="shared" si="2"/>
        <v>1</v>
      </c>
      <c r="AT26" s="8" t="b">
        <f t="shared" si="2"/>
        <v>1</v>
      </c>
      <c r="AU26" s="8" t="b">
        <f t="shared" si="2"/>
        <v>0</v>
      </c>
      <c r="AV26" s="8" t="b">
        <f t="shared" si="2"/>
        <v>0</v>
      </c>
      <c r="AW26" s="8">
        <f t="shared" si="4"/>
        <v>5</v>
      </c>
    </row>
    <row r="27" spans="1:49" ht="18" customHeight="1">
      <c r="A27" s="8">
        <v>9</v>
      </c>
      <c r="B27" s="43">
        <v>9</v>
      </c>
      <c r="C27" s="77">
        <v>46602</v>
      </c>
      <c r="D27" s="78">
        <v>1</v>
      </c>
      <c r="E27" s="78">
        <v>0</v>
      </c>
      <c r="F27" s="78">
        <v>0</v>
      </c>
      <c r="G27" s="78">
        <v>2</v>
      </c>
      <c r="H27" s="78">
        <v>2</v>
      </c>
      <c r="I27" s="78">
        <v>1</v>
      </c>
      <c r="J27" s="78">
        <v>1</v>
      </c>
      <c r="K27" s="78">
        <v>1</v>
      </c>
      <c r="L27" s="78">
        <v>2</v>
      </c>
      <c r="M27" s="78">
        <v>2</v>
      </c>
      <c r="N27" s="79" t="s">
        <v>252</v>
      </c>
      <c r="O27" s="79" t="s">
        <v>252</v>
      </c>
      <c r="P27" s="79">
        <v>4</v>
      </c>
      <c r="Q27" s="79">
        <v>2</v>
      </c>
      <c r="R27" s="79">
        <v>2</v>
      </c>
      <c r="S27" s="79">
        <v>3</v>
      </c>
      <c r="T27" s="79">
        <v>3</v>
      </c>
      <c r="U27" s="79">
        <v>1</v>
      </c>
      <c r="V27" s="79">
        <v>4</v>
      </c>
      <c r="W27" s="79">
        <v>1</v>
      </c>
      <c r="X27" s="79">
        <v>0</v>
      </c>
      <c r="Y27" s="79">
        <v>4</v>
      </c>
      <c r="Z27" s="79" t="s">
        <v>252</v>
      </c>
      <c r="AA27" s="79" t="s">
        <v>252</v>
      </c>
      <c r="AB27" s="79" t="s">
        <v>252</v>
      </c>
      <c r="AC27" s="63">
        <f t="shared" si="1"/>
        <v>36</v>
      </c>
      <c r="AD27" s="7"/>
      <c r="AE27" s="7"/>
      <c r="AF27" s="7"/>
      <c r="AG27" s="223"/>
      <c r="AH27" s="8" t="b">
        <f t="shared" si="3"/>
        <v>1</v>
      </c>
      <c r="AI27" s="8" t="b">
        <f t="shared" si="2"/>
        <v>1</v>
      </c>
      <c r="AJ27" s="8" t="b">
        <f t="shared" si="2"/>
        <v>0</v>
      </c>
      <c r="AK27" s="8" t="b">
        <f t="shared" si="2"/>
        <v>0</v>
      </c>
      <c r="AL27" s="8" t="b">
        <f t="shared" si="2"/>
        <v>0</v>
      </c>
      <c r="AM27" s="8" t="b">
        <f t="shared" si="2"/>
        <v>0</v>
      </c>
      <c r="AN27" s="8" t="b">
        <f t="shared" si="2"/>
        <v>0</v>
      </c>
      <c r="AO27" s="8" t="b">
        <f t="shared" si="2"/>
        <v>0</v>
      </c>
      <c r="AP27" s="8" t="b">
        <f t="shared" si="2"/>
        <v>0</v>
      </c>
      <c r="AQ27" s="8" t="b">
        <f t="shared" si="2"/>
        <v>0</v>
      </c>
      <c r="AR27" s="8" t="b">
        <f t="shared" si="2"/>
        <v>0</v>
      </c>
      <c r="AS27" s="8" t="b">
        <f t="shared" si="2"/>
        <v>0</v>
      </c>
      <c r="AT27" s="8" t="b">
        <f t="shared" si="2"/>
        <v>1</v>
      </c>
      <c r="AU27" s="8" t="b">
        <f t="shared" si="2"/>
        <v>1</v>
      </c>
      <c r="AV27" s="8" t="b">
        <f t="shared" si="2"/>
        <v>1</v>
      </c>
      <c r="AW27" s="8">
        <f t="shared" si="4"/>
        <v>5</v>
      </c>
    </row>
    <row r="28" spans="1:49" ht="18" customHeight="1">
      <c r="A28" s="8">
        <v>10</v>
      </c>
      <c r="B28" s="43">
        <v>10</v>
      </c>
      <c r="C28" s="77">
        <v>46603</v>
      </c>
      <c r="D28" s="78">
        <v>2</v>
      </c>
      <c r="E28" s="78">
        <v>0</v>
      </c>
      <c r="F28" s="78">
        <v>2</v>
      </c>
      <c r="G28" s="78">
        <v>1</v>
      </c>
      <c r="H28" s="78">
        <v>2</v>
      </c>
      <c r="I28" s="78">
        <v>0</v>
      </c>
      <c r="J28" s="78">
        <v>0</v>
      </c>
      <c r="K28" s="78">
        <v>0</v>
      </c>
      <c r="L28" s="78">
        <v>1</v>
      </c>
      <c r="M28" s="78">
        <v>2</v>
      </c>
      <c r="N28" s="79">
        <v>4</v>
      </c>
      <c r="O28" s="79">
        <v>1</v>
      </c>
      <c r="P28" s="79">
        <v>3</v>
      </c>
      <c r="Q28" s="79">
        <v>1</v>
      </c>
      <c r="R28" s="79">
        <v>3</v>
      </c>
      <c r="S28" s="79">
        <v>1</v>
      </c>
      <c r="T28" s="79">
        <v>4</v>
      </c>
      <c r="U28" s="79">
        <v>2</v>
      </c>
      <c r="V28" s="79">
        <v>4</v>
      </c>
      <c r="W28" s="79">
        <v>1</v>
      </c>
      <c r="X28" s="79" t="s">
        <v>252</v>
      </c>
      <c r="Y28" s="79" t="s">
        <v>252</v>
      </c>
      <c r="Z28" s="79" t="s">
        <v>252</v>
      </c>
      <c r="AA28" s="79" t="s">
        <v>252</v>
      </c>
      <c r="AB28" s="79" t="s">
        <v>252</v>
      </c>
      <c r="AC28" s="63">
        <f t="shared" si="1"/>
        <v>34</v>
      </c>
      <c r="AD28" s="7"/>
      <c r="AE28" s="7"/>
      <c r="AF28" s="7"/>
      <c r="AG28" s="223"/>
      <c r="AH28" s="8" t="b">
        <f t="shared" si="3"/>
        <v>0</v>
      </c>
      <c r="AI28" s="8" t="b">
        <f t="shared" si="2"/>
        <v>0</v>
      </c>
      <c r="AJ28" s="8" t="b">
        <f t="shared" si="2"/>
        <v>0</v>
      </c>
      <c r="AK28" s="8" t="b">
        <f t="shared" si="2"/>
        <v>0</v>
      </c>
      <c r="AL28" s="8" t="b">
        <f t="shared" si="2"/>
        <v>0</v>
      </c>
      <c r="AM28" s="8" t="b">
        <f t="shared" si="2"/>
        <v>0</v>
      </c>
      <c r="AN28" s="8" t="b">
        <f t="shared" si="2"/>
        <v>0</v>
      </c>
      <c r="AO28" s="8" t="b">
        <f t="shared" si="2"/>
        <v>0</v>
      </c>
      <c r="AP28" s="8" t="b">
        <f t="shared" si="2"/>
        <v>0</v>
      </c>
      <c r="AQ28" s="8" t="b">
        <f t="shared" si="2"/>
        <v>0</v>
      </c>
      <c r="AR28" s="8" t="b">
        <f t="shared" si="2"/>
        <v>1</v>
      </c>
      <c r="AS28" s="8" t="b">
        <f t="shared" si="2"/>
        <v>1</v>
      </c>
      <c r="AT28" s="8" t="b">
        <f t="shared" si="2"/>
        <v>1</v>
      </c>
      <c r="AU28" s="8" t="b">
        <f t="shared" si="2"/>
        <v>1</v>
      </c>
      <c r="AV28" s="8" t="b">
        <f t="shared" si="2"/>
        <v>1</v>
      </c>
      <c r="AW28" s="8">
        <f t="shared" si="4"/>
        <v>5</v>
      </c>
    </row>
    <row r="29" spans="1:49" ht="18" customHeight="1">
      <c r="A29" s="8">
        <v>11</v>
      </c>
      <c r="B29" s="43">
        <v>11</v>
      </c>
      <c r="C29" s="77">
        <v>46608</v>
      </c>
      <c r="D29" s="78">
        <v>1</v>
      </c>
      <c r="E29" s="78">
        <v>1</v>
      </c>
      <c r="F29" s="78">
        <v>2</v>
      </c>
      <c r="G29" s="78">
        <v>2</v>
      </c>
      <c r="H29" s="78">
        <v>2</v>
      </c>
      <c r="I29" s="78">
        <v>0</v>
      </c>
      <c r="J29" s="78">
        <v>0</v>
      </c>
      <c r="K29" s="78">
        <v>0</v>
      </c>
      <c r="L29" s="78">
        <v>1</v>
      </c>
      <c r="M29" s="78">
        <v>2</v>
      </c>
      <c r="N29" s="79">
        <v>4</v>
      </c>
      <c r="O29" s="79">
        <v>2</v>
      </c>
      <c r="P29" s="79">
        <v>3</v>
      </c>
      <c r="Q29" s="79">
        <v>2</v>
      </c>
      <c r="R29" s="79">
        <v>4</v>
      </c>
      <c r="S29" s="79">
        <v>4</v>
      </c>
      <c r="T29" s="79">
        <v>5</v>
      </c>
      <c r="U29" s="79">
        <v>3</v>
      </c>
      <c r="V29" s="79" t="s">
        <v>252</v>
      </c>
      <c r="W29" s="79" t="s">
        <v>252</v>
      </c>
      <c r="X29" s="79">
        <v>3</v>
      </c>
      <c r="Y29" s="79">
        <v>3</v>
      </c>
      <c r="Z29" s="79" t="s">
        <v>252</v>
      </c>
      <c r="AA29" s="79" t="s">
        <v>252</v>
      </c>
      <c r="AB29" s="79" t="s">
        <v>252</v>
      </c>
      <c r="AC29" s="63">
        <f t="shared" si="1"/>
        <v>44</v>
      </c>
      <c r="AD29" s="7"/>
      <c r="AE29" s="7"/>
      <c r="AF29" s="7"/>
      <c r="AG29" s="223"/>
      <c r="AH29" s="8" t="b">
        <f t="shared" si="3"/>
        <v>0</v>
      </c>
      <c r="AI29" s="8" t="b">
        <f t="shared" si="2"/>
        <v>0</v>
      </c>
      <c r="AJ29" s="8" t="b">
        <f t="shared" si="2"/>
        <v>0</v>
      </c>
      <c r="AK29" s="8" t="b">
        <f t="shared" si="2"/>
        <v>0</v>
      </c>
      <c r="AL29" s="8" t="b">
        <f t="shared" si="2"/>
        <v>0</v>
      </c>
      <c r="AM29" s="8" t="b">
        <f t="shared" si="2"/>
        <v>0</v>
      </c>
      <c r="AN29" s="8" t="b">
        <f t="shared" si="2"/>
        <v>0</v>
      </c>
      <c r="AO29" s="8" t="b">
        <f t="shared" si="2"/>
        <v>0</v>
      </c>
      <c r="AP29" s="8" t="b">
        <f t="shared" si="2"/>
        <v>1</v>
      </c>
      <c r="AQ29" s="8" t="b">
        <f t="shared" si="2"/>
        <v>1</v>
      </c>
      <c r="AR29" s="8" t="b">
        <f t="shared" si="2"/>
        <v>0</v>
      </c>
      <c r="AS29" s="8" t="b">
        <f t="shared" si="2"/>
        <v>0</v>
      </c>
      <c r="AT29" s="8" t="b">
        <f t="shared" si="2"/>
        <v>1</v>
      </c>
      <c r="AU29" s="8" t="b">
        <f t="shared" si="2"/>
        <v>1</v>
      </c>
      <c r="AV29" s="8" t="b">
        <f t="shared" si="2"/>
        <v>1</v>
      </c>
      <c r="AW29" s="8">
        <f t="shared" si="4"/>
        <v>5</v>
      </c>
    </row>
    <row r="30" spans="1:49" ht="18" customHeight="1">
      <c r="A30" s="8">
        <v>12</v>
      </c>
      <c r="B30" s="43">
        <v>12</v>
      </c>
      <c r="C30" s="77">
        <v>46609</v>
      </c>
      <c r="D30" s="78">
        <v>2</v>
      </c>
      <c r="E30" s="78">
        <v>1</v>
      </c>
      <c r="F30" s="78">
        <v>1</v>
      </c>
      <c r="G30" s="78">
        <v>2</v>
      </c>
      <c r="H30" s="78">
        <v>2</v>
      </c>
      <c r="I30" s="78">
        <v>1</v>
      </c>
      <c r="J30" s="78">
        <v>1</v>
      </c>
      <c r="K30" s="78">
        <v>1</v>
      </c>
      <c r="L30" s="78">
        <v>2</v>
      </c>
      <c r="M30" s="78">
        <v>2</v>
      </c>
      <c r="N30" s="79">
        <v>4</v>
      </c>
      <c r="O30" s="79">
        <v>1</v>
      </c>
      <c r="P30" s="79">
        <v>3</v>
      </c>
      <c r="Q30" s="79">
        <v>3</v>
      </c>
      <c r="R30" s="79" t="s">
        <v>252</v>
      </c>
      <c r="S30" s="79" t="s">
        <v>252</v>
      </c>
      <c r="T30" s="79">
        <v>5</v>
      </c>
      <c r="U30" s="79">
        <v>4</v>
      </c>
      <c r="V30" s="79" t="s">
        <v>252</v>
      </c>
      <c r="W30" s="79" t="s">
        <v>252</v>
      </c>
      <c r="X30" s="79">
        <v>3</v>
      </c>
      <c r="Y30" s="79">
        <v>2</v>
      </c>
      <c r="Z30" s="79">
        <v>4</v>
      </c>
      <c r="AA30" s="79">
        <v>3</v>
      </c>
      <c r="AB30" s="79" t="s">
        <v>252</v>
      </c>
      <c r="AC30" s="63">
        <f t="shared" si="1"/>
        <v>47</v>
      </c>
      <c r="AD30" s="7"/>
      <c r="AE30" s="7"/>
      <c r="AF30" s="7"/>
      <c r="AG30" s="223"/>
      <c r="AH30" s="8" t="b">
        <f t="shared" si="3"/>
        <v>0</v>
      </c>
      <c r="AI30" s="8" t="b">
        <f t="shared" si="2"/>
        <v>0</v>
      </c>
      <c r="AJ30" s="8" t="b">
        <f t="shared" si="2"/>
        <v>0</v>
      </c>
      <c r="AK30" s="8" t="b">
        <f t="shared" si="2"/>
        <v>0</v>
      </c>
      <c r="AL30" s="8" t="b">
        <f t="shared" si="2"/>
        <v>1</v>
      </c>
      <c r="AM30" s="8" t="b">
        <f t="shared" si="2"/>
        <v>1</v>
      </c>
      <c r="AN30" s="8" t="b">
        <f t="shared" si="2"/>
        <v>0</v>
      </c>
      <c r="AO30" s="8" t="b">
        <f t="shared" si="2"/>
        <v>0</v>
      </c>
      <c r="AP30" s="8" t="b">
        <f t="shared" si="2"/>
        <v>1</v>
      </c>
      <c r="AQ30" s="8" t="b">
        <f t="shared" si="2"/>
        <v>1</v>
      </c>
      <c r="AR30" s="8" t="b">
        <f t="shared" si="2"/>
        <v>0</v>
      </c>
      <c r="AS30" s="8" t="b">
        <f t="shared" si="2"/>
        <v>0</v>
      </c>
      <c r="AT30" s="8" t="b">
        <f t="shared" si="2"/>
        <v>0</v>
      </c>
      <c r="AU30" s="8" t="b">
        <f t="shared" si="2"/>
        <v>0</v>
      </c>
      <c r="AV30" s="8" t="b">
        <f t="shared" si="2"/>
        <v>1</v>
      </c>
      <c r="AW30" s="8">
        <f t="shared" si="4"/>
        <v>5</v>
      </c>
    </row>
    <row r="31" spans="1:49" ht="18" customHeight="1">
      <c r="A31" s="8">
        <v>13</v>
      </c>
      <c r="B31" s="43">
        <v>13</v>
      </c>
      <c r="C31" s="77">
        <v>46610</v>
      </c>
      <c r="D31" s="78">
        <v>1</v>
      </c>
      <c r="E31" s="78">
        <v>2</v>
      </c>
      <c r="F31" s="78">
        <v>0</v>
      </c>
      <c r="G31" s="78">
        <v>2</v>
      </c>
      <c r="H31" s="78">
        <v>1</v>
      </c>
      <c r="I31" s="78">
        <v>1</v>
      </c>
      <c r="J31" s="78">
        <v>1</v>
      </c>
      <c r="K31" s="78">
        <v>2</v>
      </c>
      <c r="L31" s="78">
        <v>0</v>
      </c>
      <c r="M31" s="78">
        <v>2</v>
      </c>
      <c r="N31" s="79">
        <v>4</v>
      </c>
      <c r="O31" s="79">
        <v>5</v>
      </c>
      <c r="P31" s="79">
        <v>3</v>
      </c>
      <c r="Q31" s="79">
        <v>0</v>
      </c>
      <c r="R31" s="79" t="s">
        <v>252</v>
      </c>
      <c r="S31" s="79" t="s">
        <v>252</v>
      </c>
      <c r="T31" s="79">
        <v>2</v>
      </c>
      <c r="U31" s="79">
        <v>3</v>
      </c>
      <c r="V31" s="79">
        <v>3</v>
      </c>
      <c r="W31" s="79">
        <v>1</v>
      </c>
      <c r="X31" s="79">
        <v>2</v>
      </c>
      <c r="Y31" s="79">
        <v>2</v>
      </c>
      <c r="Z31" s="79" t="s">
        <v>252</v>
      </c>
      <c r="AA31" s="79" t="s">
        <v>252</v>
      </c>
      <c r="AB31" s="79" t="s">
        <v>252</v>
      </c>
      <c r="AC31" s="63">
        <f t="shared" si="1"/>
        <v>37</v>
      </c>
      <c r="AD31" s="7"/>
      <c r="AE31" s="7"/>
      <c r="AF31" s="7"/>
      <c r="AG31" s="223"/>
      <c r="AH31" s="8" t="b">
        <f t="shared" si="3"/>
        <v>0</v>
      </c>
      <c r="AI31" s="8" t="b">
        <f t="shared" si="2"/>
        <v>0</v>
      </c>
      <c r="AJ31" s="8" t="b">
        <f t="shared" si="2"/>
        <v>0</v>
      </c>
      <c r="AK31" s="8" t="b">
        <f t="shared" si="2"/>
        <v>0</v>
      </c>
      <c r="AL31" s="8" t="b">
        <f t="shared" si="2"/>
        <v>1</v>
      </c>
      <c r="AM31" s="8" t="b">
        <f t="shared" si="2"/>
        <v>1</v>
      </c>
      <c r="AN31" s="8" t="b">
        <f t="shared" si="2"/>
        <v>0</v>
      </c>
      <c r="AO31" s="8" t="b">
        <f t="shared" si="2"/>
        <v>0</v>
      </c>
      <c r="AP31" s="8" t="b">
        <f t="shared" si="2"/>
        <v>0</v>
      </c>
      <c r="AQ31" s="8" t="b">
        <f t="shared" si="2"/>
        <v>0</v>
      </c>
      <c r="AR31" s="8" t="b">
        <f t="shared" si="2"/>
        <v>0</v>
      </c>
      <c r="AS31" s="8" t="b">
        <f t="shared" si="2"/>
        <v>0</v>
      </c>
      <c r="AT31" s="8" t="b">
        <f t="shared" si="2"/>
        <v>1</v>
      </c>
      <c r="AU31" s="8" t="b">
        <f t="shared" si="2"/>
        <v>1</v>
      </c>
      <c r="AV31" s="8" t="b">
        <f t="shared" si="2"/>
        <v>1</v>
      </c>
      <c r="AW31" s="8">
        <f t="shared" si="4"/>
        <v>5</v>
      </c>
    </row>
    <row r="32" spans="1:49" ht="18" customHeight="1">
      <c r="A32" s="8">
        <v>14</v>
      </c>
      <c r="B32" s="43">
        <v>14</v>
      </c>
      <c r="C32" s="77">
        <v>46611</v>
      </c>
      <c r="D32" s="78">
        <v>1</v>
      </c>
      <c r="E32" s="78">
        <v>1</v>
      </c>
      <c r="F32" s="78">
        <v>0</v>
      </c>
      <c r="G32" s="78">
        <v>1</v>
      </c>
      <c r="H32" s="78">
        <v>2</v>
      </c>
      <c r="I32" s="78">
        <v>1</v>
      </c>
      <c r="J32" s="78">
        <v>1</v>
      </c>
      <c r="K32" s="78">
        <v>2</v>
      </c>
      <c r="L32" s="78">
        <v>0</v>
      </c>
      <c r="M32" s="78">
        <v>2</v>
      </c>
      <c r="N32" s="79">
        <v>4</v>
      </c>
      <c r="O32" s="79">
        <v>5</v>
      </c>
      <c r="P32" s="79">
        <v>5</v>
      </c>
      <c r="Q32" s="79">
        <v>5</v>
      </c>
      <c r="R32" s="79">
        <v>3</v>
      </c>
      <c r="S32" s="79">
        <v>5</v>
      </c>
      <c r="T32" s="79">
        <v>4</v>
      </c>
      <c r="U32" s="79">
        <v>3</v>
      </c>
      <c r="V32" s="79">
        <v>2</v>
      </c>
      <c r="W32" s="79">
        <v>3</v>
      </c>
      <c r="X32" s="79" t="s">
        <v>252</v>
      </c>
      <c r="Y32" s="79" t="s">
        <v>252</v>
      </c>
      <c r="Z32" s="79" t="s">
        <v>252</v>
      </c>
      <c r="AA32" s="79" t="s">
        <v>252</v>
      </c>
      <c r="AB32" s="79" t="s">
        <v>252</v>
      </c>
      <c r="AC32" s="63">
        <f t="shared" si="1"/>
        <v>50</v>
      </c>
      <c r="AD32" s="7"/>
      <c r="AE32" s="7"/>
      <c r="AF32" s="7"/>
      <c r="AG32" s="223"/>
      <c r="AH32" s="8" t="b">
        <f t="shared" si="3"/>
        <v>0</v>
      </c>
      <c r="AI32" s="8" t="b">
        <f t="shared" si="2"/>
        <v>0</v>
      </c>
      <c r="AJ32" s="8" t="b">
        <f t="shared" si="2"/>
        <v>0</v>
      </c>
      <c r="AK32" s="8" t="b">
        <f t="shared" si="2"/>
        <v>0</v>
      </c>
      <c r="AL32" s="8" t="b">
        <f t="shared" si="2"/>
        <v>0</v>
      </c>
      <c r="AM32" s="8" t="b">
        <f t="shared" si="2"/>
        <v>0</v>
      </c>
      <c r="AN32" s="8" t="b">
        <f t="shared" si="2"/>
        <v>0</v>
      </c>
      <c r="AO32" s="8" t="b">
        <f t="shared" si="2"/>
        <v>0</v>
      </c>
      <c r="AP32" s="8" t="b">
        <f t="shared" si="2"/>
        <v>0</v>
      </c>
      <c r="AQ32" s="8" t="b">
        <f t="shared" si="2"/>
        <v>0</v>
      </c>
      <c r="AR32" s="8" t="b">
        <f t="shared" si="2"/>
        <v>1</v>
      </c>
      <c r="AS32" s="8" t="b">
        <f t="shared" si="2"/>
        <v>1</v>
      </c>
      <c r="AT32" s="8" t="b">
        <f t="shared" si="2"/>
        <v>1</v>
      </c>
      <c r="AU32" s="8" t="b">
        <f t="shared" si="2"/>
        <v>1</v>
      </c>
      <c r="AV32" s="8" t="b">
        <f t="shared" si="2"/>
        <v>1</v>
      </c>
      <c r="AW32" s="8">
        <f t="shared" si="4"/>
        <v>5</v>
      </c>
    </row>
    <row r="33" spans="1:49" ht="18" customHeight="1">
      <c r="A33" s="8">
        <v>15</v>
      </c>
      <c r="B33" s="43">
        <v>15</v>
      </c>
      <c r="C33" s="77">
        <v>46612</v>
      </c>
      <c r="D33" s="78">
        <v>1</v>
      </c>
      <c r="E33" s="78">
        <v>1</v>
      </c>
      <c r="F33" s="78">
        <v>2</v>
      </c>
      <c r="G33" s="78">
        <v>2</v>
      </c>
      <c r="H33" s="78">
        <v>2</v>
      </c>
      <c r="I33" s="78">
        <v>1</v>
      </c>
      <c r="J33" s="78">
        <v>2</v>
      </c>
      <c r="K33" s="78">
        <v>2</v>
      </c>
      <c r="L33" s="78">
        <v>1</v>
      </c>
      <c r="M33" s="78">
        <v>2</v>
      </c>
      <c r="N33" s="79">
        <v>4</v>
      </c>
      <c r="O33" s="79">
        <v>5</v>
      </c>
      <c r="P33" s="79">
        <v>5</v>
      </c>
      <c r="Q33" s="79">
        <v>4</v>
      </c>
      <c r="R33" s="79" t="s">
        <v>252</v>
      </c>
      <c r="S33" s="79" t="s">
        <v>252</v>
      </c>
      <c r="T33" s="79">
        <v>5</v>
      </c>
      <c r="U33" s="79">
        <v>4</v>
      </c>
      <c r="V33" s="79">
        <v>4</v>
      </c>
      <c r="W33" s="79">
        <v>4</v>
      </c>
      <c r="X33" s="79" t="s">
        <v>252</v>
      </c>
      <c r="Y33" s="79" t="s">
        <v>252</v>
      </c>
      <c r="Z33" s="79">
        <v>3</v>
      </c>
      <c r="AA33" s="79">
        <v>4</v>
      </c>
      <c r="AB33" s="79" t="s">
        <v>252</v>
      </c>
      <c r="AC33" s="63">
        <f t="shared" si="1"/>
        <v>58</v>
      </c>
      <c r="AD33" s="7"/>
      <c r="AE33" s="7"/>
      <c r="AF33" s="7"/>
      <c r="AG33" s="223"/>
      <c r="AH33" s="8" t="b">
        <f t="shared" si="3"/>
        <v>0</v>
      </c>
      <c r="AI33" s="8" t="b">
        <f t="shared" si="2"/>
        <v>0</v>
      </c>
      <c r="AJ33" s="8" t="b">
        <f t="shared" si="2"/>
        <v>0</v>
      </c>
      <c r="AK33" s="8" t="b">
        <f t="shared" si="2"/>
        <v>0</v>
      </c>
      <c r="AL33" s="8" t="b">
        <f t="shared" si="2"/>
        <v>1</v>
      </c>
      <c r="AM33" s="8" t="b">
        <f t="shared" si="2"/>
        <v>1</v>
      </c>
      <c r="AN33" s="8" t="b">
        <f t="shared" si="2"/>
        <v>0</v>
      </c>
      <c r="AO33" s="8" t="b">
        <f t="shared" si="2"/>
        <v>0</v>
      </c>
      <c r="AP33" s="8" t="b">
        <f t="shared" si="2"/>
        <v>0</v>
      </c>
      <c r="AQ33" s="8" t="b">
        <f t="shared" si="2"/>
        <v>0</v>
      </c>
      <c r="AR33" s="8" t="b">
        <f t="shared" si="2"/>
        <v>1</v>
      </c>
      <c r="AS33" s="8" t="b">
        <f t="shared" si="2"/>
        <v>1</v>
      </c>
      <c r="AT33" s="8" t="b">
        <f t="shared" si="2"/>
        <v>0</v>
      </c>
      <c r="AU33" s="8" t="b">
        <f t="shared" si="2"/>
        <v>0</v>
      </c>
      <c r="AV33" s="8" t="b">
        <f t="shared" si="2"/>
        <v>1</v>
      </c>
      <c r="AW33" s="8">
        <f t="shared" si="4"/>
        <v>5</v>
      </c>
    </row>
    <row r="34" spans="1:49" ht="18" customHeight="1">
      <c r="A34" s="8">
        <v>16</v>
      </c>
      <c r="B34" s="43">
        <v>16</v>
      </c>
      <c r="C34" s="77">
        <v>46650</v>
      </c>
      <c r="D34" s="78">
        <v>2</v>
      </c>
      <c r="E34" s="78">
        <v>2</v>
      </c>
      <c r="F34" s="78">
        <v>2</v>
      </c>
      <c r="G34" s="78">
        <v>2</v>
      </c>
      <c r="H34" s="78">
        <v>2</v>
      </c>
      <c r="I34" s="78">
        <v>2</v>
      </c>
      <c r="J34" s="78">
        <v>1</v>
      </c>
      <c r="K34" s="78">
        <v>0</v>
      </c>
      <c r="L34" s="78">
        <v>1</v>
      </c>
      <c r="M34" s="78">
        <v>2</v>
      </c>
      <c r="N34" s="79">
        <v>4</v>
      </c>
      <c r="O34" s="79">
        <v>5</v>
      </c>
      <c r="P34" s="79">
        <v>5</v>
      </c>
      <c r="Q34" s="79">
        <v>4</v>
      </c>
      <c r="R34" s="79" t="s">
        <v>252</v>
      </c>
      <c r="S34" s="79" t="s">
        <v>252</v>
      </c>
      <c r="T34" s="79">
        <v>5</v>
      </c>
      <c r="U34" s="79">
        <v>4</v>
      </c>
      <c r="V34" s="79" t="s">
        <v>252</v>
      </c>
      <c r="W34" s="79" t="s">
        <v>252</v>
      </c>
      <c r="X34" s="79">
        <v>3</v>
      </c>
      <c r="Y34" s="79">
        <v>2</v>
      </c>
      <c r="Z34" s="79">
        <v>2</v>
      </c>
      <c r="AA34" s="79">
        <v>2</v>
      </c>
      <c r="AB34" s="79" t="s">
        <v>252</v>
      </c>
      <c r="AC34" s="63">
        <f t="shared" si="1"/>
        <v>52</v>
      </c>
      <c r="AD34" s="7"/>
      <c r="AE34" s="7"/>
      <c r="AF34" s="7"/>
      <c r="AG34" s="223"/>
      <c r="AH34" s="8" t="b">
        <f t="shared" si="3"/>
        <v>0</v>
      </c>
      <c r="AI34" s="8" t="b">
        <f t="shared" si="2"/>
        <v>0</v>
      </c>
      <c r="AJ34" s="8" t="b">
        <f t="shared" si="2"/>
        <v>0</v>
      </c>
      <c r="AK34" s="8" t="b">
        <f t="shared" si="2"/>
        <v>0</v>
      </c>
      <c r="AL34" s="8" t="b">
        <f t="shared" si="2"/>
        <v>1</v>
      </c>
      <c r="AM34" s="8" t="b">
        <f t="shared" si="2"/>
        <v>1</v>
      </c>
      <c r="AN34" s="8" t="b">
        <f t="shared" si="2"/>
        <v>0</v>
      </c>
      <c r="AO34" s="8" t="b">
        <f t="shared" si="2"/>
        <v>0</v>
      </c>
      <c r="AP34" s="8" t="b">
        <f t="shared" si="2"/>
        <v>1</v>
      </c>
      <c r="AQ34" s="8" t="b">
        <f t="shared" si="2"/>
        <v>1</v>
      </c>
      <c r="AR34" s="8" t="b">
        <f t="shared" si="2"/>
        <v>0</v>
      </c>
      <c r="AS34" s="8" t="b">
        <f t="shared" si="2"/>
        <v>0</v>
      </c>
      <c r="AT34" s="8" t="b">
        <f t="shared" si="2"/>
        <v>0</v>
      </c>
      <c r="AU34" s="8" t="b">
        <f t="shared" si="2"/>
        <v>0</v>
      </c>
      <c r="AV34" s="8" t="b">
        <f t="shared" si="2"/>
        <v>1</v>
      </c>
      <c r="AW34" s="8">
        <f t="shared" si="4"/>
        <v>5</v>
      </c>
    </row>
    <row r="35" spans="1:49" ht="18" customHeight="1">
      <c r="A35" s="8">
        <v>17</v>
      </c>
      <c r="B35" s="43">
        <v>17</v>
      </c>
      <c r="C35" s="77">
        <v>46651</v>
      </c>
      <c r="D35" s="78">
        <v>2</v>
      </c>
      <c r="E35" s="78">
        <v>2</v>
      </c>
      <c r="F35" s="78">
        <v>0</v>
      </c>
      <c r="G35" s="78">
        <v>1</v>
      </c>
      <c r="H35" s="78">
        <v>2</v>
      </c>
      <c r="I35" s="78">
        <v>0</v>
      </c>
      <c r="J35" s="78">
        <v>2</v>
      </c>
      <c r="K35" s="78">
        <v>0</v>
      </c>
      <c r="L35" s="78">
        <v>1</v>
      </c>
      <c r="M35" s="78">
        <v>2</v>
      </c>
      <c r="N35" s="79">
        <v>4</v>
      </c>
      <c r="O35" s="79">
        <v>1</v>
      </c>
      <c r="P35" s="79">
        <v>2</v>
      </c>
      <c r="Q35" s="79">
        <v>0</v>
      </c>
      <c r="R35" s="79" t="s">
        <v>252</v>
      </c>
      <c r="S35" s="79" t="s">
        <v>252</v>
      </c>
      <c r="T35" s="79">
        <v>2</v>
      </c>
      <c r="U35" s="79">
        <v>0</v>
      </c>
      <c r="V35" s="79" t="s">
        <v>252</v>
      </c>
      <c r="W35" s="79" t="s">
        <v>252</v>
      </c>
      <c r="X35" s="79">
        <v>2</v>
      </c>
      <c r="Y35" s="79">
        <v>2</v>
      </c>
      <c r="Z35" s="79">
        <v>1</v>
      </c>
      <c r="AA35" s="79" t="s">
        <v>252</v>
      </c>
      <c r="AB35" s="79">
        <v>2</v>
      </c>
      <c r="AC35" s="63">
        <f t="shared" si="1"/>
        <v>28</v>
      </c>
      <c r="AD35" s="7"/>
      <c r="AE35" s="7"/>
      <c r="AF35" s="7"/>
      <c r="AG35" s="223"/>
      <c r="AH35" s="8" t="b">
        <f t="shared" si="3"/>
        <v>0</v>
      </c>
      <c r="AI35" s="8" t="b">
        <f t="shared" si="3"/>
        <v>0</v>
      </c>
      <c r="AJ35" s="8" t="b">
        <f t="shared" si="3"/>
        <v>0</v>
      </c>
      <c r="AK35" s="8" t="b">
        <f t="shared" si="3"/>
        <v>0</v>
      </c>
      <c r="AL35" s="8" t="b">
        <f t="shared" si="3"/>
        <v>1</v>
      </c>
      <c r="AM35" s="8" t="b">
        <f t="shared" si="3"/>
        <v>1</v>
      </c>
      <c r="AN35" s="8" t="b">
        <f t="shared" si="3"/>
        <v>0</v>
      </c>
      <c r="AO35" s="8" t="b">
        <f t="shared" si="3"/>
        <v>0</v>
      </c>
      <c r="AP35" s="8" t="b">
        <f t="shared" si="3"/>
        <v>1</v>
      </c>
      <c r="AQ35" s="8" t="b">
        <f t="shared" si="3"/>
        <v>1</v>
      </c>
      <c r="AR35" s="8" t="b">
        <f t="shared" si="3"/>
        <v>0</v>
      </c>
      <c r="AS35" s="8" t="b">
        <f t="shared" si="3"/>
        <v>0</v>
      </c>
      <c r="AT35" s="8" t="b">
        <f t="shared" si="3"/>
        <v>0</v>
      </c>
      <c r="AU35" s="8" t="b">
        <f t="shared" si="3"/>
        <v>1</v>
      </c>
      <c r="AV35" s="8" t="b">
        <f t="shared" si="3"/>
        <v>0</v>
      </c>
      <c r="AW35" s="8">
        <f t="shared" si="4"/>
        <v>5</v>
      </c>
    </row>
    <row r="36" spans="1:49" ht="18" customHeight="1">
      <c r="A36" s="8">
        <v>18</v>
      </c>
      <c r="B36" s="43">
        <v>18</v>
      </c>
      <c r="C36" s="77">
        <v>46652</v>
      </c>
      <c r="D36" s="78">
        <v>2</v>
      </c>
      <c r="E36" s="78">
        <v>2</v>
      </c>
      <c r="F36" s="78">
        <v>2</v>
      </c>
      <c r="G36" s="78">
        <v>2</v>
      </c>
      <c r="H36" s="78">
        <v>2</v>
      </c>
      <c r="I36" s="78">
        <v>2</v>
      </c>
      <c r="J36" s="78">
        <v>2</v>
      </c>
      <c r="K36" s="78">
        <v>2</v>
      </c>
      <c r="L36" s="78">
        <v>2</v>
      </c>
      <c r="M36" s="78">
        <v>2</v>
      </c>
      <c r="N36" s="79">
        <v>4</v>
      </c>
      <c r="O36" s="79">
        <v>5</v>
      </c>
      <c r="P36" s="79">
        <v>5</v>
      </c>
      <c r="Q36" s="79">
        <v>4</v>
      </c>
      <c r="R36" s="79">
        <v>3</v>
      </c>
      <c r="S36" s="79">
        <v>4</v>
      </c>
      <c r="T36" s="79">
        <v>4</v>
      </c>
      <c r="U36" s="79">
        <v>3</v>
      </c>
      <c r="V36" s="79" t="s">
        <v>252</v>
      </c>
      <c r="W36" s="79" t="s">
        <v>252</v>
      </c>
      <c r="X36" s="79" t="s">
        <v>252</v>
      </c>
      <c r="Y36" s="79" t="s">
        <v>252</v>
      </c>
      <c r="Z36" s="79">
        <v>3</v>
      </c>
      <c r="AA36" s="79">
        <v>3</v>
      </c>
      <c r="AB36" s="79" t="s">
        <v>252</v>
      </c>
      <c r="AC36" s="63">
        <f t="shared" si="1"/>
        <v>58</v>
      </c>
      <c r="AD36" s="7"/>
      <c r="AE36" s="7"/>
      <c r="AF36" s="7"/>
      <c r="AG36" s="223"/>
      <c r="AH36" s="8" t="b">
        <f t="shared" si="3"/>
        <v>0</v>
      </c>
      <c r="AI36" s="8" t="b">
        <f t="shared" si="3"/>
        <v>0</v>
      </c>
      <c r="AJ36" s="8" t="b">
        <f t="shared" si="3"/>
        <v>0</v>
      </c>
      <c r="AK36" s="8" t="b">
        <f t="shared" si="3"/>
        <v>0</v>
      </c>
      <c r="AL36" s="8" t="b">
        <f t="shared" si="3"/>
        <v>0</v>
      </c>
      <c r="AM36" s="8" t="b">
        <f t="shared" si="3"/>
        <v>0</v>
      </c>
      <c r="AN36" s="8" t="b">
        <f t="shared" si="3"/>
        <v>0</v>
      </c>
      <c r="AO36" s="8" t="b">
        <f t="shared" si="3"/>
        <v>0</v>
      </c>
      <c r="AP36" s="8" t="b">
        <f t="shared" si="3"/>
        <v>1</v>
      </c>
      <c r="AQ36" s="8" t="b">
        <f t="shared" si="3"/>
        <v>1</v>
      </c>
      <c r="AR36" s="8" t="b">
        <f t="shared" si="3"/>
        <v>1</v>
      </c>
      <c r="AS36" s="8" t="b">
        <f t="shared" si="3"/>
        <v>1</v>
      </c>
      <c r="AT36" s="8" t="b">
        <f t="shared" si="3"/>
        <v>0</v>
      </c>
      <c r="AU36" s="8" t="b">
        <f t="shared" si="3"/>
        <v>0</v>
      </c>
      <c r="AV36" s="8" t="b">
        <f t="shared" si="3"/>
        <v>1</v>
      </c>
      <c r="AW36" s="8">
        <f t="shared" si="4"/>
        <v>5</v>
      </c>
    </row>
    <row r="37" spans="1:49" ht="18" customHeight="1">
      <c r="A37" s="8">
        <v>19</v>
      </c>
      <c r="B37" s="43">
        <v>19</v>
      </c>
      <c r="C37" s="77">
        <v>46653</v>
      </c>
      <c r="D37" s="78">
        <v>2</v>
      </c>
      <c r="E37" s="78">
        <v>2</v>
      </c>
      <c r="F37" s="78">
        <v>2</v>
      </c>
      <c r="G37" s="78">
        <v>2</v>
      </c>
      <c r="H37" s="78">
        <v>2</v>
      </c>
      <c r="I37" s="78">
        <v>2</v>
      </c>
      <c r="J37" s="78">
        <v>2</v>
      </c>
      <c r="K37" s="78">
        <v>0</v>
      </c>
      <c r="L37" s="78">
        <v>1</v>
      </c>
      <c r="M37" s="78">
        <v>2</v>
      </c>
      <c r="N37" s="79">
        <v>4</v>
      </c>
      <c r="O37" s="79">
        <v>3</v>
      </c>
      <c r="P37" s="79">
        <v>4</v>
      </c>
      <c r="Q37" s="79">
        <v>5</v>
      </c>
      <c r="R37" s="79" t="s">
        <v>252</v>
      </c>
      <c r="S37" s="79" t="s">
        <v>252</v>
      </c>
      <c r="T37" s="79">
        <v>6</v>
      </c>
      <c r="U37" s="79">
        <v>3</v>
      </c>
      <c r="V37" s="79" t="s">
        <v>252</v>
      </c>
      <c r="W37" s="79" t="s">
        <v>252</v>
      </c>
      <c r="X37" s="79">
        <v>5</v>
      </c>
      <c r="Y37" s="79">
        <v>2</v>
      </c>
      <c r="Z37" s="79">
        <v>2</v>
      </c>
      <c r="AA37" s="79" t="s">
        <v>252</v>
      </c>
      <c r="AB37" s="79">
        <v>3</v>
      </c>
      <c r="AC37" s="63">
        <f t="shared" si="1"/>
        <v>54</v>
      </c>
      <c r="AD37" s="7"/>
      <c r="AE37" s="7"/>
      <c r="AF37" s="7"/>
      <c r="AG37" s="223"/>
      <c r="AH37" s="8" t="b">
        <f t="shared" si="3"/>
        <v>0</v>
      </c>
      <c r="AI37" s="8" t="b">
        <f t="shared" si="3"/>
        <v>0</v>
      </c>
      <c r="AJ37" s="8" t="b">
        <f t="shared" si="3"/>
        <v>0</v>
      </c>
      <c r="AK37" s="8" t="b">
        <f t="shared" si="3"/>
        <v>0</v>
      </c>
      <c r="AL37" s="8" t="b">
        <f t="shared" si="3"/>
        <v>1</v>
      </c>
      <c r="AM37" s="8" t="b">
        <f t="shared" si="3"/>
        <v>1</v>
      </c>
      <c r="AN37" s="8" t="b">
        <f t="shared" si="3"/>
        <v>0</v>
      </c>
      <c r="AO37" s="8" t="b">
        <f t="shared" si="3"/>
        <v>0</v>
      </c>
      <c r="AP37" s="8" t="b">
        <f t="shared" si="3"/>
        <v>1</v>
      </c>
      <c r="AQ37" s="8" t="b">
        <f t="shared" si="3"/>
        <v>1</v>
      </c>
      <c r="AR37" s="8" t="b">
        <f t="shared" si="3"/>
        <v>0</v>
      </c>
      <c r="AS37" s="8" t="b">
        <f t="shared" si="3"/>
        <v>0</v>
      </c>
      <c r="AT37" s="8" t="b">
        <f t="shared" si="3"/>
        <v>0</v>
      </c>
      <c r="AU37" s="8" t="b">
        <f t="shared" si="3"/>
        <v>1</v>
      </c>
      <c r="AV37" s="8" t="b">
        <f t="shared" si="3"/>
        <v>0</v>
      </c>
      <c r="AW37" s="8">
        <f t="shared" si="4"/>
        <v>5</v>
      </c>
    </row>
    <row r="38" spans="1:49" ht="18" customHeight="1">
      <c r="A38" s="8">
        <v>20</v>
      </c>
      <c r="B38" s="43">
        <v>20</v>
      </c>
      <c r="C38" s="77">
        <v>46654</v>
      </c>
      <c r="D38" s="78">
        <v>1</v>
      </c>
      <c r="E38" s="78">
        <v>0</v>
      </c>
      <c r="F38" s="78">
        <v>0</v>
      </c>
      <c r="G38" s="78">
        <v>0</v>
      </c>
      <c r="H38" s="78">
        <v>2</v>
      </c>
      <c r="I38" s="78">
        <v>1</v>
      </c>
      <c r="J38" s="78">
        <v>1</v>
      </c>
      <c r="K38" s="78">
        <v>2</v>
      </c>
      <c r="L38" s="78">
        <v>0</v>
      </c>
      <c r="M38" s="78">
        <v>1</v>
      </c>
      <c r="N38" s="79">
        <v>2</v>
      </c>
      <c r="O38" s="79">
        <v>2</v>
      </c>
      <c r="P38" s="79">
        <v>2</v>
      </c>
      <c r="Q38" s="79">
        <v>2</v>
      </c>
      <c r="R38" s="79" t="s">
        <v>252</v>
      </c>
      <c r="S38" s="79" t="s">
        <v>252</v>
      </c>
      <c r="T38" s="79">
        <v>3</v>
      </c>
      <c r="U38" s="79">
        <v>0</v>
      </c>
      <c r="V38" s="79" t="s">
        <v>252</v>
      </c>
      <c r="W38" s="79" t="s">
        <v>252</v>
      </c>
      <c r="X38" s="79">
        <v>3</v>
      </c>
      <c r="Y38" s="79">
        <v>0</v>
      </c>
      <c r="Z38" s="79">
        <v>1</v>
      </c>
      <c r="AA38" s="79" t="s">
        <v>252</v>
      </c>
      <c r="AB38" s="79">
        <v>3</v>
      </c>
      <c r="AC38" s="63">
        <f t="shared" si="1"/>
        <v>26</v>
      </c>
      <c r="AD38" s="7"/>
      <c r="AE38" s="7"/>
      <c r="AF38" s="7"/>
      <c r="AG38" s="223"/>
      <c r="AH38" s="8" t="b">
        <f t="shared" si="3"/>
        <v>0</v>
      </c>
      <c r="AI38" s="8" t="b">
        <f t="shared" si="3"/>
        <v>0</v>
      </c>
      <c r="AJ38" s="8" t="b">
        <f t="shared" si="3"/>
        <v>0</v>
      </c>
      <c r="AK38" s="8" t="b">
        <f t="shared" si="3"/>
        <v>0</v>
      </c>
      <c r="AL38" s="8" t="b">
        <f t="shared" si="3"/>
        <v>1</v>
      </c>
      <c r="AM38" s="8" t="b">
        <f t="shared" si="3"/>
        <v>1</v>
      </c>
      <c r="AN38" s="8" t="b">
        <f t="shared" si="3"/>
        <v>0</v>
      </c>
      <c r="AO38" s="8" t="b">
        <f t="shared" si="3"/>
        <v>0</v>
      </c>
      <c r="AP38" s="8" t="b">
        <f t="shared" si="3"/>
        <v>1</v>
      </c>
      <c r="AQ38" s="8" t="b">
        <f t="shared" si="3"/>
        <v>1</v>
      </c>
      <c r="AR38" s="8" t="b">
        <f t="shared" si="3"/>
        <v>0</v>
      </c>
      <c r="AS38" s="8" t="b">
        <f t="shared" si="3"/>
        <v>0</v>
      </c>
      <c r="AT38" s="8" t="b">
        <f t="shared" si="3"/>
        <v>0</v>
      </c>
      <c r="AU38" s="8" t="b">
        <f t="shared" si="3"/>
        <v>1</v>
      </c>
      <c r="AV38" s="8" t="b">
        <f t="shared" si="3"/>
        <v>0</v>
      </c>
      <c r="AW38" s="8">
        <f t="shared" si="4"/>
        <v>5</v>
      </c>
    </row>
    <row r="39" spans="1:49" ht="18" customHeight="1">
      <c r="A39" s="8">
        <v>21</v>
      </c>
      <c r="B39" s="43">
        <v>21</v>
      </c>
      <c r="C39" s="77">
        <v>46660</v>
      </c>
      <c r="D39" s="78">
        <v>2</v>
      </c>
      <c r="E39" s="78">
        <v>2</v>
      </c>
      <c r="F39" s="78">
        <v>0</v>
      </c>
      <c r="G39" s="78">
        <v>1</v>
      </c>
      <c r="H39" s="78">
        <v>2</v>
      </c>
      <c r="I39" s="78">
        <v>1</v>
      </c>
      <c r="J39" s="78">
        <v>0</v>
      </c>
      <c r="K39" s="78">
        <v>0</v>
      </c>
      <c r="L39" s="78">
        <v>1</v>
      </c>
      <c r="M39" s="78">
        <v>2</v>
      </c>
      <c r="N39" s="79">
        <v>3</v>
      </c>
      <c r="O39" s="79">
        <v>0</v>
      </c>
      <c r="P39" s="79">
        <v>3</v>
      </c>
      <c r="Q39" s="79">
        <v>2</v>
      </c>
      <c r="R39" s="79" t="s">
        <v>252</v>
      </c>
      <c r="S39" s="79" t="s">
        <v>252</v>
      </c>
      <c r="T39" s="79">
        <v>3</v>
      </c>
      <c r="U39" s="79">
        <v>2</v>
      </c>
      <c r="V39" s="79" t="s">
        <v>252</v>
      </c>
      <c r="W39" s="79" t="s">
        <v>252</v>
      </c>
      <c r="X39" s="79">
        <v>2</v>
      </c>
      <c r="Y39" s="79">
        <v>0</v>
      </c>
      <c r="Z39" s="79" t="s">
        <v>252</v>
      </c>
      <c r="AA39" s="79">
        <v>1</v>
      </c>
      <c r="AB39" s="79">
        <v>1</v>
      </c>
      <c r="AC39" s="63">
        <f t="shared" si="1"/>
        <v>28</v>
      </c>
      <c r="AD39" s="7"/>
      <c r="AE39" s="7"/>
      <c r="AF39" s="7"/>
      <c r="AG39" s="223"/>
      <c r="AH39" s="8" t="b">
        <f t="shared" si="3"/>
        <v>0</v>
      </c>
      <c r="AI39" s="8" t="b">
        <f t="shared" si="3"/>
        <v>0</v>
      </c>
      <c r="AJ39" s="8" t="b">
        <f t="shared" si="3"/>
        <v>0</v>
      </c>
      <c r="AK39" s="8" t="b">
        <f t="shared" si="3"/>
        <v>0</v>
      </c>
      <c r="AL39" s="8" t="b">
        <f t="shared" si="3"/>
        <v>1</v>
      </c>
      <c r="AM39" s="8" t="b">
        <f t="shared" si="3"/>
        <v>1</v>
      </c>
      <c r="AN39" s="8" t="b">
        <f t="shared" si="3"/>
        <v>0</v>
      </c>
      <c r="AO39" s="8" t="b">
        <f t="shared" si="3"/>
        <v>0</v>
      </c>
      <c r="AP39" s="8" t="b">
        <f t="shared" si="3"/>
        <v>1</v>
      </c>
      <c r="AQ39" s="8" t="b">
        <f t="shared" si="3"/>
        <v>1</v>
      </c>
      <c r="AR39" s="8" t="b">
        <f t="shared" si="3"/>
        <v>0</v>
      </c>
      <c r="AS39" s="8" t="b">
        <f t="shared" si="3"/>
        <v>0</v>
      </c>
      <c r="AT39" s="8" t="b">
        <f t="shared" si="3"/>
        <v>1</v>
      </c>
      <c r="AU39" s="8" t="b">
        <f t="shared" si="3"/>
        <v>0</v>
      </c>
      <c r="AV39" s="8" t="b">
        <f t="shared" si="3"/>
        <v>0</v>
      </c>
      <c r="AW39" s="8">
        <f t="shared" si="4"/>
        <v>5</v>
      </c>
    </row>
    <row r="40" spans="1:49" ht="18" customHeight="1">
      <c r="A40" s="8">
        <v>22</v>
      </c>
      <c r="B40" s="43">
        <v>22</v>
      </c>
      <c r="C40" s="77">
        <v>46661</v>
      </c>
      <c r="D40" s="78">
        <v>2</v>
      </c>
      <c r="E40" s="78">
        <v>2</v>
      </c>
      <c r="F40" s="78">
        <v>2</v>
      </c>
      <c r="G40" s="78">
        <v>2</v>
      </c>
      <c r="H40" s="78">
        <v>2</v>
      </c>
      <c r="I40" s="78">
        <v>1</v>
      </c>
      <c r="J40" s="78">
        <v>2</v>
      </c>
      <c r="K40" s="78">
        <v>0</v>
      </c>
      <c r="L40" s="78">
        <v>1</v>
      </c>
      <c r="M40" s="78">
        <v>2</v>
      </c>
      <c r="N40" s="79">
        <v>4</v>
      </c>
      <c r="O40" s="79">
        <v>5</v>
      </c>
      <c r="P40" s="79">
        <v>5</v>
      </c>
      <c r="Q40" s="79">
        <v>3</v>
      </c>
      <c r="R40" s="79" t="s">
        <v>252</v>
      </c>
      <c r="S40" s="79" t="s">
        <v>252</v>
      </c>
      <c r="T40" s="79">
        <v>5</v>
      </c>
      <c r="U40" s="79">
        <v>4</v>
      </c>
      <c r="V40" s="79">
        <v>4</v>
      </c>
      <c r="W40" s="79">
        <v>2</v>
      </c>
      <c r="X40" s="79">
        <v>3</v>
      </c>
      <c r="Y40" s="79">
        <v>2</v>
      </c>
      <c r="Z40" s="79" t="s">
        <v>252</v>
      </c>
      <c r="AA40" s="79" t="s">
        <v>252</v>
      </c>
      <c r="AB40" s="79" t="s">
        <v>252</v>
      </c>
      <c r="AC40" s="63">
        <f t="shared" si="1"/>
        <v>53</v>
      </c>
      <c r="AD40" s="7"/>
      <c r="AE40" s="7"/>
      <c r="AF40" s="7"/>
      <c r="AG40" s="223"/>
      <c r="AH40" s="8" t="b">
        <f t="shared" si="3"/>
        <v>0</v>
      </c>
      <c r="AI40" s="8" t="b">
        <f t="shared" si="3"/>
        <v>0</v>
      </c>
      <c r="AJ40" s="8" t="b">
        <f t="shared" si="3"/>
        <v>0</v>
      </c>
      <c r="AK40" s="8" t="b">
        <f t="shared" si="3"/>
        <v>0</v>
      </c>
      <c r="AL40" s="8" t="b">
        <f t="shared" si="3"/>
        <v>1</v>
      </c>
      <c r="AM40" s="8" t="b">
        <f t="shared" si="3"/>
        <v>1</v>
      </c>
      <c r="AN40" s="8" t="b">
        <f t="shared" si="3"/>
        <v>0</v>
      </c>
      <c r="AO40" s="8" t="b">
        <f t="shared" si="3"/>
        <v>0</v>
      </c>
      <c r="AP40" s="8" t="b">
        <f t="shared" si="3"/>
        <v>0</v>
      </c>
      <c r="AQ40" s="8" t="b">
        <f t="shared" si="3"/>
        <v>0</v>
      </c>
      <c r="AR40" s="8" t="b">
        <f t="shared" si="3"/>
        <v>0</v>
      </c>
      <c r="AS40" s="8" t="b">
        <f t="shared" si="3"/>
        <v>0</v>
      </c>
      <c r="AT40" s="8" t="b">
        <f t="shared" si="3"/>
        <v>1</v>
      </c>
      <c r="AU40" s="8" t="b">
        <f t="shared" si="3"/>
        <v>1</v>
      </c>
      <c r="AV40" s="8" t="b">
        <f t="shared" si="3"/>
        <v>1</v>
      </c>
      <c r="AW40" s="8">
        <f t="shared" si="4"/>
        <v>5</v>
      </c>
    </row>
    <row r="41" spans="1:49" ht="18" customHeight="1">
      <c r="A41" s="8">
        <v>23</v>
      </c>
      <c r="B41" s="43">
        <v>23</v>
      </c>
      <c r="C41" s="77">
        <v>46662</v>
      </c>
      <c r="D41" s="78">
        <v>2</v>
      </c>
      <c r="E41" s="78">
        <v>1</v>
      </c>
      <c r="F41" s="78">
        <v>0</v>
      </c>
      <c r="G41" s="78">
        <v>2</v>
      </c>
      <c r="H41" s="78">
        <v>2</v>
      </c>
      <c r="I41" s="78">
        <v>2</v>
      </c>
      <c r="J41" s="78">
        <v>1</v>
      </c>
      <c r="K41" s="78">
        <v>1</v>
      </c>
      <c r="L41" s="78">
        <v>1</v>
      </c>
      <c r="M41" s="78">
        <v>0</v>
      </c>
      <c r="N41" s="79">
        <v>4</v>
      </c>
      <c r="O41" s="79">
        <v>6</v>
      </c>
      <c r="P41" s="79">
        <v>3</v>
      </c>
      <c r="Q41" s="79">
        <v>2</v>
      </c>
      <c r="R41" s="79">
        <v>1</v>
      </c>
      <c r="S41" s="79">
        <v>2</v>
      </c>
      <c r="T41" s="79">
        <v>4</v>
      </c>
      <c r="U41" s="79">
        <v>4</v>
      </c>
      <c r="V41" s="79" t="s">
        <v>252</v>
      </c>
      <c r="W41" s="79" t="s">
        <v>252</v>
      </c>
      <c r="X41" s="79">
        <v>4</v>
      </c>
      <c r="Y41" s="79">
        <v>2</v>
      </c>
      <c r="Z41" s="79" t="s">
        <v>252</v>
      </c>
      <c r="AA41" s="79" t="s">
        <v>252</v>
      </c>
      <c r="AB41" s="79" t="s">
        <v>252</v>
      </c>
      <c r="AC41" s="63">
        <f t="shared" si="1"/>
        <v>44</v>
      </c>
      <c r="AD41" s="7"/>
      <c r="AE41" s="7"/>
      <c r="AF41" s="7"/>
      <c r="AG41" s="223"/>
      <c r="AH41" s="8" t="b">
        <f t="shared" si="3"/>
        <v>0</v>
      </c>
      <c r="AI41" s="8" t="b">
        <f t="shared" si="3"/>
        <v>0</v>
      </c>
      <c r="AJ41" s="8" t="b">
        <f t="shared" si="3"/>
        <v>0</v>
      </c>
      <c r="AK41" s="8" t="b">
        <f t="shared" si="3"/>
        <v>0</v>
      </c>
      <c r="AL41" s="8" t="b">
        <f t="shared" si="3"/>
        <v>0</v>
      </c>
      <c r="AM41" s="8" t="b">
        <f t="shared" si="3"/>
        <v>0</v>
      </c>
      <c r="AN41" s="8" t="b">
        <f t="shared" si="3"/>
        <v>0</v>
      </c>
      <c r="AO41" s="8" t="b">
        <f t="shared" si="3"/>
        <v>0</v>
      </c>
      <c r="AP41" s="8" t="b">
        <f t="shared" si="3"/>
        <v>1</v>
      </c>
      <c r="AQ41" s="8" t="b">
        <f t="shared" si="3"/>
        <v>1</v>
      </c>
      <c r="AR41" s="8" t="b">
        <f t="shared" si="3"/>
        <v>0</v>
      </c>
      <c r="AS41" s="8" t="b">
        <f t="shared" si="3"/>
        <v>0</v>
      </c>
      <c r="AT41" s="8" t="b">
        <f t="shared" si="3"/>
        <v>1</v>
      </c>
      <c r="AU41" s="8" t="b">
        <f t="shared" si="3"/>
        <v>1</v>
      </c>
      <c r="AV41" s="8" t="b">
        <f t="shared" si="3"/>
        <v>1</v>
      </c>
      <c r="AW41" s="8">
        <f t="shared" si="4"/>
        <v>5</v>
      </c>
    </row>
    <row r="42" spans="1:49" ht="18" customHeight="1">
      <c r="A42" s="8">
        <v>24</v>
      </c>
      <c r="B42" s="43">
        <v>24</v>
      </c>
      <c r="C42" s="77">
        <v>46663</v>
      </c>
      <c r="D42" s="78">
        <v>2</v>
      </c>
      <c r="E42" s="78">
        <v>1</v>
      </c>
      <c r="F42" s="78">
        <v>2</v>
      </c>
      <c r="G42" s="78">
        <v>2</v>
      </c>
      <c r="H42" s="78">
        <v>2</v>
      </c>
      <c r="I42" s="78">
        <v>1</v>
      </c>
      <c r="J42" s="78">
        <v>2</v>
      </c>
      <c r="K42" s="78">
        <v>1</v>
      </c>
      <c r="L42" s="78">
        <v>1</v>
      </c>
      <c r="M42" s="78">
        <v>2</v>
      </c>
      <c r="N42" s="79">
        <v>4</v>
      </c>
      <c r="O42" s="79">
        <v>4</v>
      </c>
      <c r="P42" s="79">
        <v>4</v>
      </c>
      <c r="Q42" s="79">
        <v>3</v>
      </c>
      <c r="R42" s="79">
        <v>2</v>
      </c>
      <c r="S42" s="79">
        <v>5</v>
      </c>
      <c r="T42" s="79">
        <v>5</v>
      </c>
      <c r="U42" s="79">
        <v>4</v>
      </c>
      <c r="V42" s="79">
        <v>3</v>
      </c>
      <c r="W42" s="79">
        <v>4</v>
      </c>
      <c r="X42" s="79" t="s">
        <v>252</v>
      </c>
      <c r="Y42" s="79" t="s">
        <v>252</v>
      </c>
      <c r="Z42" s="79" t="s">
        <v>252</v>
      </c>
      <c r="AA42" s="79" t="s">
        <v>252</v>
      </c>
      <c r="AB42" s="79" t="s">
        <v>252</v>
      </c>
      <c r="AC42" s="63">
        <f t="shared" si="1"/>
        <v>54</v>
      </c>
      <c r="AD42" s="7"/>
      <c r="AE42" s="7"/>
      <c r="AF42" s="7"/>
      <c r="AG42" s="223"/>
      <c r="AH42" s="8" t="b">
        <f t="shared" si="3"/>
        <v>0</v>
      </c>
      <c r="AI42" s="8" t="b">
        <f t="shared" si="3"/>
        <v>0</v>
      </c>
      <c r="AJ42" s="8" t="b">
        <f t="shared" si="3"/>
        <v>0</v>
      </c>
      <c r="AK42" s="8" t="b">
        <f t="shared" si="3"/>
        <v>0</v>
      </c>
      <c r="AL42" s="8" t="b">
        <f t="shared" si="3"/>
        <v>0</v>
      </c>
      <c r="AM42" s="8" t="b">
        <f t="shared" si="3"/>
        <v>0</v>
      </c>
      <c r="AN42" s="8" t="b">
        <f t="shared" si="3"/>
        <v>0</v>
      </c>
      <c r="AO42" s="8" t="b">
        <f t="shared" si="3"/>
        <v>0</v>
      </c>
      <c r="AP42" s="8" t="b">
        <f t="shared" si="3"/>
        <v>0</v>
      </c>
      <c r="AQ42" s="8" t="b">
        <f t="shared" si="3"/>
        <v>0</v>
      </c>
      <c r="AR42" s="8" t="b">
        <f t="shared" si="3"/>
        <v>1</v>
      </c>
      <c r="AS42" s="8" t="b">
        <f t="shared" si="3"/>
        <v>1</v>
      </c>
      <c r="AT42" s="8" t="b">
        <f t="shared" si="3"/>
        <v>1</v>
      </c>
      <c r="AU42" s="8" t="b">
        <f t="shared" si="3"/>
        <v>1</v>
      </c>
      <c r="AV42" s="8" t="b">
        <f t="shared" si="3"/>
        <v>1</v>
      </c>
      <c r="AW42" s="8">
        <f t="shared" si="4"/>
        <v>5</v>
      </c>
    </row>
    <row r="43" spans="1:49" ht="18" customHeight="1">
      <c r="A43" s="8">
        <v>25</v>
      </c>
      <c r="B43" s="43">
        <v>25</v>
      </c>
      <c r="C43" s="77">
        <v>46664</v>
      </c>
      <c r="D43" s="78">
        <v>1</v>
      </c>
      <c r="E43" s="78">
        <v>2</v>
      </c>
      <c r="F43" s="78">
        <v>2</v>
      </c>
      <c r="G43" s="78">
        <v>2</v>
      </c>
      <c r="H43" s="78">
        <v>2</v>
      </c>
      <c r="I43" s="78">
        <v>1</v>
      </c>
      <c r="J43" s="78">
        <v>2</v>
      </c>
      <c r="K43" s="78">
        <v>2</v>
      </c>
      <c r="L43" s="78">
        <v>1</v>
      </c>
      <c r="M43" s="78">
        <v>1</v>
      </c>
      <c r="N43" s="79">
        <v>4</v>
      </c>
      <c r="O43" s="79">
        <v>5</v>
      </c>
      <c r="P43" s="79">
        <v>4</v>
      </c>
      <c r="Q43" s="79">
        <v>3</v>
      </c>
      <c r="R43" s="79">
        <v>4</v>
      </c>
      <c r="S43" s="79">
        <v>3</v>
      </c>
      <c r="T43" s="79" t="s">
        <v>252</v>
      </c>
      <c r="U43" s="79" t="s">
        <v>252</v>
      </c>
      <c r="V43" s="79">
        <v>4</v>
      </c>
      <c r="W43" s="79">
        <v>5</v>
      </c>
      <c r="X43" s="79" t="s">
        <v>252</v>
      </c>
      <c r="Y43" s="79" t="s">
        <v>252</v>
      </c>
      <c r="Z43" s="79">
        <v>4</v>
      </c>
      <c r="AA43" s="79">
        <v>2</v>
      </c>
      <c r="AB43" s="79" t="s">
        <v>252</v>
      </c>
      <c r="AC43" s="63">
        <f t="shared" si="1"/>
        <v>54</v>
      </c>
      <c r="AD43" s="7"/>
      <c r="AE43" s="7"/>
      <c r="AF43" s="7"/>
      <c r="AG43" s="223"/>
      <c r="AH43" s="8" t="b">
        <f t="shared" si="3"/>
        <v>0</v>
      </c>
      <c r="AI43" s="8" t="b">
        <f t="shared" si="3"/>
        <v>0</v>
      </c>
      <c r="AJ43" s="8" t="b">
        <f t="shared" si="3"/>
        <v>0</v>
      </c>
      <c r="AK43" s="8" t="b">
        <f t="shared" si="3"/>
        <v>0</v>
      </c>
      <c r="AL43" s="8" t="b">
        <f t="shared" si="3"/>
        <v>0</v>
      </c>
      <c r="AM43" s="8" t="b">
        <f t="shared" si="3"/>
        <v>0</v>
      </c>
      <c r="AN43" s="8" t="b">
        <f t="shared" si="3"/>
        <v>1</v>
      </c>
      <c r="AO43" s="8" t="b">
        <f t="shared" si="3"/>
        <v>1</v>
      </c>
      <c r="AP43" s="8" t="b">
        <f t="shared" si="3"/>
        <v>0</v>
      </c>
      <c r="AQ43" s="8" t="b">
        <f t="shared" si="3"/>
        <v>0</v>
      </c>
      <c r="AR43" s="8" t="b">
        <f t="shared" si="3"/>
        <v>1</v>
      </c>
      <c r="AS43" s="8" t="b">
        <f t="shared" si="3"/>
        <v>1</v>
      </c>
      <c r="AT43" s="8" t="b">
        <f t="shared" si="3"/>
        <v>0</v>
      </c>
      <c r="AU43" s="8" t="b">
        <f t="shared" si="3"/>
        <v>0</v>
      </c>
      <c r="AV43" s="8" t="b">
        <f t="shared" si="3"/>
        <v>1</v>
      </c>
      <c r="AW43" s="8">
        <f t="shared" si="4"/>
        <v>5</v>
      </c>
    </row>
    <row r="44" spans="1:49" ht="18" customHeight="1">
      <c r="A44" s="8">
        <v>26</v>
      </c>
      <c r="B44" s="43">
        <v>26</v>
      </c>
      <c r="C44" s="77">
        <v>46665</v>
      </c>
      <c r="D44" s="78">
        <v>2</v>
      </c>
      <c r="E44" s="78">
        <v>2</v>
      </c>
      <c r="F44" s="78">
        <v>2</v>
      </c>
      <c r="G44" s="78">
        <v>1</v>
      </c>
      <c r="H44" s="78">
        <v>2</v>
      </c>
      <c r="I44" s="78">
        <v>1</v>
      </c>
      <c r="J44" s="78">
        <v>2</v>
      </c>
      <c r="K44" s="78">
        <v>2</v>
      </c>
      <c r="L44" s="78">
        <v>2</v>
      </c>
      <c r="M44" s="78">
        <v>2</v>
      </c>
      <c r="N44" s="79">
        <v>4</v>
      </c>
      <c r="O44" s="79">
        <v>6</v>
      </c>
      <c r="P44" s="79">
        <v>5</v>
      </c>
      <c r="Q44" s="79">
        <v>5</v>
      </c>
      <c r="R44" s="79">
        <v>4</v>
      </c>
      <c r="S44" s="79">
        <v>6</v>
      </c>
      <c r="T44" s="79">
        <v>6</v>
      </c>
      <c r="U44" s="79">
        <v>4</v>
      </c>
      <c r="V44" s="79" t="s">
        <v>252</v>
      </c>
      <c r="W44" s="79" t="s">
        <v>252</v>
      </c>
      <c r="X44" s="79">
        <v>4</v>
      </c>
      <c r="Y44" s="79">
        <v>5</v>
      </c>
      <c r="Z44" s="79" t="s">
        <v>252</v>
      </c>
      <c r="AA44" s="79" t="s">
        <v>252</v>
      </c>
      <c r="AB44" s="79" t="s">
        <v>252</v>
      </c>
      <c r="AC44" s="63">
        <f t="shared" si="1"/>
        <v>67</v>
      </c>
      <c r="AD44" s="7"/>
      <c r="AE44" s="7"/>
      <c r="AF44" s="7"/>
      <c r="AG44" s="223"/>
      <c r="AH44" s="8" t="b">
        <f t="shared" si="3"/>
        <v>0</v>
      </c>
      <c r="AI44" s="8" t="b">
        <f t="shared" si="3"/>
        <v>0</v>
      </c>
      <c r="AJ44" s="8" t="b">
        <f t="shared" si="3"/>
        <v>0</v>
      </c>
      <c r="AK44" s="8" t="b">
        <f t="shared" si="3"/>
        <v>0</v>
      </c>
      <c r="AL44" s="8" t="b">
        <f t="shared" si="3"/>
        <v>0</v>
      </c>
      <c r="AM44" s="8" t="b">
        <f t="shared" si="3"/>
        <v>0</v>
      </c>
      <c r="AN44" s="8" t="b">
        <f t="shared" si="3"/>
        <v>0</v>
      </c>
      <c r="AO44" s="8" t="b">
        <f t="shared" si="3"/>
        <v>0</v>
      </c>
      <c r="AP44" s="8" t="b">
        <f t="shared" si="3"/>
        <v>1</v>
      </c>
      <c r="AQ44" s="8" t="b">
        <f t="shared" si="3"/>
        <v>1</v>
      </c>
      <c r="AR44" s="8" t="b">
        <f t="shared" si="3"/>
        <v>0</v>
      </c>
      <c r="AS44" s="8" t="b">
        <f t="shared" si="3"/>
        <v>0</v>
      </c>
      <c r="AT44" s="8" t="b">
        <f t="shared" si="3"/>
        <v>1</v>
      </c>
      <c r="AU44" s="8" t="b">
        <f t="shared" si="3"/>
        <v>1</v>
      </c>
      <c r="AV44" s="8" t="b">
        <f t="shared" si="3"/>
        <v>1</v>
      </c>
      <c r="AW44" s="8">
        <f t="shared" si="4"/>
        <v>5</v>
      </c>
    </row>
    <row r="45" spans="1:49" ht="18" customHeight="1">
      <c r="A45" s="8">
        <v>27</v>
      </c>
      <c r="B45" s="43">
        <v>27</v>
      </c>
      <c r="C45" s="77">
        <v>46668</v>
      </c>
      <c r="D45" s="78">
        <v>1</v>
      </c>
      <c r="E45" s="78">
        <v>1</v>
      </c>
      <c r="F45" s="78">
        <v>2</v>
      </c>
      <c r="G45" s="78">
        <v>2</v>
      </c>
      <c r="H45" s="78">
        <v>2</v>
      </c>
      <c r="I45" s="78">
        <v>2</v>
      </c>
      <c r="J45" s="78">
        <v>1</v>
      </c>
      <c r="K45" s="78">
        <v>0</v>
      </c>
      <c r="L45" s="78">
        <v>1</v>
      </c>
      <c r="M45" s="78">
        <v>1</v>
      </c>
      <c r="N45" s="79">
        <v>4</v>
      </c>
      <c r="O45" s="79">
        <v>6</v>
      </c>
      <c r="P45" s="79">
        <v>5</v>
      </c>
      <c r="Q45" s="79">
        <v>4</v>
      </c>
      <c r="R45" s="79">
        <v>4</v>
      </c>
      <c r="S45" s="79">
        <v>4</v>
      </c>
      <c r="T45" s="79">
        <v>6</v>
      </c>
      <c r="U45" s="79">
        <v>4</v>
      </c>
      <c r="V45" s="79" t="s">
        <v>252</v>
      </c>
      <c r="W45" s="79" t="s">
        <v>252</v>
      </c>
      <c r="X45" s="79" t="s">
        <v>252</v>
      </c>
      <c r="Y45" s="79" t="s">
        <v>252</v>
      </c>
      <c r="Z45" s="79">
        <v>4</v>
      </c>
      <c r="AA45" s="79">
        <v>4</v>
      </c>
      <c r="AB45" s="79" t="s">
        <v>252</v>
      </c>
      <c r="AC45" s="63">
        <f t="shared" si="1"/>
        <v>58</v>
      </c>
      <c r="AD45" s="7"/>
      <c r="AE45" s="7"/>
      <c r="AF45" s="7"/>
      <c r="AG45" s="223"/>
      <c r="AH45" s="8" t="b">
        <f t="shared" si="3"/>
        <v>0</v>
      </c>
      <c r="AI45" s="8" t="b">
        <f t="shared" si="3"/>
        <v>0</v>
      </c>
      <c r="AJ45" s="8" t="b">
        <f t="shared" si="3"/>
        <v>0</v>
      </c>
      <c r="AK45" s="8" t="b">
        <f t="shared" si="3"/>
        <v>0</v>
      </c>
      <c r="AL45" s="8" t="b">
        <f t="shared" si="3"/>
        <v>0</v>
      </c>
      <c r="AM45" s="8" t="b">
        <f t="shared" si="3"/>
        <v>0</v>
      </c>
      <c r="AN45" s="8" t="b">
        <f t="shared" si="3"/>
        <v>0</v>
      </c>
      <c r="AO45" s="8" t="b">
        <f t="shared" si="3"/>
        <v>0</v>
      </c>
      <c r="AP45" s="8" t="b">
        <f t="shared" si="3"/>
        <v>1</v>
      </c>
      <c r="AQ45" s="8" t="b">
        <f t="shared" si="3"/>
        <v>1</v>
      </c>
      <c r="AR45" s="8" t="b">
        <f t="shared" si="3"/>
        <v>1</v>
      </c>
      <c r="AS45" s="8" t="b">
        <f t="shared" si="3"/>
        <v>1</v>
      </c>
      <c r="AT45" s="8" t="b">
        <f t="shared" si="3"/>
        <v>0</v>
      </c>
      <c r="AU45" s="8" t="b">
        <f t="shared" si="3"/>
        <v>0</v>
      </c>
      <c r="AV45" s="8" t="b">
        <f t="shared" si="3"/>
        <v>1</v>
      </c>
      <c r="AW45" s="8">
        <f t="shared" si="4"/>
        <v>5</v>
      </c>
    </row>
    <row r="46" spans="1:49" ht="18" customHeight="1">
      <c r="A46" s="8">
        <v>28</v>
      </c>
      <c r="B46" s="43">
        <v>28</v>
      </c>
      <c r="C46" s="77">
        <v>46669</v>
      </c>
      <c r="D46" s="78">
        <v>1</v>
      </c>
      <c r="E46" s="78">
        <v>2</v>
      </c>
      <c r="F46" s="78">
        <v>2</v>
      </c>
      <c r="G46" s="78">
        <v>2</v>
      </c>
      <c r="H46" s="78">
        <v>2</v>
      </c>
      <c r="I46" s="78">
        <v>0</v>
      </c>
      <c r="J46" s="78">
        <v>2</v>
      </c>
      <c r="K46" s="78">
        <v>1</v>
      </c>
      <c r="L46" s="78">
        <v>2</v>
      </c>
      <c r="M46" s="78">
        <v>2</v>
      </c>
      <c r="N46" s="79">
        <v>4</v>
      </c>
      <c r="O46" s="79">
        <v>3</v>
      </c>
      <c r="P46" s="79">
        <v>5</v>
      </c>
      <c r="Q46" s="79">
        <v>5</v>
      </c>
      <c r="R46" s="79" t="s">
        <v>252</v>
      </c>
      <c r="S46" s="79" t="s">
        <v>252</v>
      </c>
      <c r="T46" s="79">
        <v>6</v>
      </c>
      <c r="U46" s="79">
        <v>4</v>
      </c>
      <c r="V46" s="79" t="s">
        <v>252</v>
      </c>
      <c r="W46" s="79" t="s">
        <v>252</v>
      </c>
      <c r="X46" s="79">
        <v>4</v>
      </c>
      <c r="Y46" s="79">
        <v>5</v>
      </c>
      <c r="Z46" s="79">
        <v>4</v>
      </c>
      <c r="AA46" s="79">
        <v>4</v>
      </c>
      <c r="AB46" s="79" t="s">
        <v>252</v>
      </c>
      <c r="AC46" s="63">
        <f t="shared" si="1"/>
        <v>60</v>
      </c>
      <c r="AD46" s="7"/>
      <c r="AE46" s="7"/>
      <c r="AF46" s="7"/>
      <c r="AG46" s="223"/>
      <c r="AH46" s="8" t="b">
        <f t="shared" si="3"/>
        <v>0</v>
      </c>
      <c r="AI46" s="8" t="b">
        <f t="shared" si="3"/>
        <v>0</v>
      </c>
      <c r="AJ46" s="8" t="b">
        <f t="shared" si="3"/>
        <v>0</v>
      </c>
      <c r="AK46" s="8" t="b">
        <f t="shared" si="3"/>
        <v>0</v>
      </c>
      <c r="AL46" s="8" t="b">
        <f t="shared" si="3"/>
        <v>1</v>
      </c>
      <c r="AM46" s="8" t="b">
        <f t="shared" si="3"/>
        <v>1</v>
      </c>
      <c r="AN46" s="8" t="b">
        <f t="shared" si="3"/>
        <v>0</v>
      </c>
      <c r="AO46" s="8" t="b">
        <f t="shared" si="3"/>
        <v>0</v>
      </c>
      <c r="AP46" s="8" t="b">
        <f t="shared" si="3"/>
        <v>1</v>
      </c>
      <c r="AQ46" s="8" t="b">
        <f t="shared" si="3"/>
        <v>1</v>
      </c>
      <c r="AR46" s="8" t="b">
        <f t="shared" si="3"/>
        <v>0</v>
      </c>
      <c r="AS46" s="8" t="b">
        <f t="shared" si="3"/>
        <v>0</v>
      </c>
      <c r="AT46" s="8" t="b">
        <f t="shared" si="3"/>
        <v>0</v>
      </c>
      <c r="AU46" s="8" t="b">
        <f t="shared" si="3"/>
        <v>0</v>
      </c>
      <c r="AV46" s="8" t="b">
        <f t="shared" si="3"/>
        <v>1</v>
      </c>
      <c r="AW46" s="8">
        <f t="shared" si="4"/>
        <v>5</v>
      </c>
    </row>
    <row r="47" spans="1:49" ht="18" customHeight="1">
      <c r="A47" s="8">
        <v>29</v>
      </c>
      <c r="B47" s="43">
        <v>29</v>
      </c>
      <c r="C47" s="77">
        <v>46670</v>
      </c>
      <c r="D47" s="78">
        <v>1</v>
      </c>
      <c r="E47" s="78">
        <v>2</v>
      </c>
      <c r="F47" s="78">
        <v>2</v>
      </c>
      <c r="G47" s="78">
        <v>2</v>
      </c>
      <c r="H47" s="78">
        <v>2</v>
      </c>
      <c r="I47" s="78">
        <v>1</v>
      </c>
      <c r="J47" s="78">
        <v>2</v>
      </c>
      <c r="K47" s="78">
        <v>0</v>
      </c>
      <c r="L47" s="78">
        <v>2</v>
      </c>
      <c r="M47" s="78">
        <v>2</v>
      </c>
      <c r="N47" s="79">
        <v>4</v>
      </c>
      <c r="O47" s="79">
        <v>3</v>
      </c>
      <c r="P47" s="79" t="s">
        <v>252</v>
      </c>
      <c r="Q47" s="79" t="s">
        <v>252</v>
      </c>
      <c r="R47" s="79">
        <v>3</v>
      </c>
      <c r="S47" s="79">
        <v>2</v>
      </c>
      <c r="T47" s="79">
        <v>5</v>
      </c>
      <c r="U47" s="79">
        <v>4</v>
      </c>
      <c r="V47" s="79">
        <v>4</v>
      </c>
      <c r="W47" s="79">
        <v>4</v>
      </c>
      <c r="X47" s="79" t="s">
        <v>252</v>
      </c>
      <c r="Y47" s="79" t="s">
        <v>252</v>
      </c>
      <c r="Z47" s="79">
        <v>4</v>
      </c>
      <c r="AA47" s="79">
        <v>2</v>
      </c>
      <c r="AB47" s="79" t="s">
        <v>252</v>
      </c>
      <c r="AC47" s="63">
        <f t="shared" si="1"/>
        <v>51</v>
      </c>
      <c r="AD47" s="7"/>
      <c r="AE47" s="7"/>
      <c r="AF47" s="7"/>
      <c r="AG47" s="223"/>
      <c r="AH47" s="8" t="b">
        <f t="shared" si="3"/>
        <v>0</v>
      </c>
      <c r="AI47" s="8" t="b">
        <f t="shared" si="3"/>
        <v>0</v>
      </c>
      <c r="AJ47" s="8" t="b">
        <f t="shared" si="3"/>
        <v>1</v>
      </c>
      <c r="AK47" s="8" t="b">
        <f t="shared" si="3"/>
        <v>1</v>
      </c>
      <c r="AL47" s="8" t="b">
        <f t="shared" si="3"/>
        <v>0</v>
      </c>
      <c r="AM47" s="8" t="b">
        <f t="shared" si="3"/>
        <v>0</v>
      </c>
      <c r="AN47" s="8" t="b">
        <f t="shared" si="3"/>
        <v>0</v>
      </c>
      <c r="AO47" s="8" t="b">
        <f t="shared" si="3"/>
        <v>0</v>
      </c>
      <c r="AP47" s="8" t="b">
        <f t="shared" si="3"/>
        <v>0</v>
      </c>
      <c r="AQ47" s="8" t="b">
        <f t="shared" si="3"/>
        <v>0</v>
      </c>
      <c r="AR47" s="8" t="b">
        <f t="shared" si="3"/>
        <v>1</v>
      </c>
      <c r="AS47" s="8" t="b">
        <f t="shared" si="3"/>
        <v>1</v>
      </c>
      <c r="AT47" s="8" t="b">
        <f t="shared" si="3"/>
        <v>0</v>
      </c>
      <c r="AU47" s="8" t="b">
        <f t="shared" si="3"/>
        <v>0</v>
      </c>
      <c r="AV47" s="8" t="b">
        <f t="shared" si="3"/>
        <v>1</v>
      </c>
      <c r="AW47" s="8">
        <f t="shared" si="4"/>
        <v>5</v>
      </c>
    </row>
    <row r="48" spans="1:49" ht="18" customHeight="1">
      <c r="A48" s="8">
        <v>30</v>
      </c>
      <c r="B48" s="43">
        <v>30</v>
      </c>
      <c r="C48" s="77">
        <v>46671</v>
      </c>
      <c r="D48" s="78">
        <v>2</v>
      </c>
      <c r="E48" s="78">
        <v>1</v>
      </c>
      <c r="F48" s="78">
        <v>2</v>
      </c>
      <c r="G48" s="78">
        <v>1</v>
      </c>
      <c r="H48" s="78">
        <v>2</v>
      </c>
      <c r="I48" s="78">
        <v>2</v>
      </c>
      <c r="J48" s="78">
        <v>1</v>
      </c>
      <c r="K48" s="78">
        <v>2</v>
      </c>
      <c r="L48" s="78">
        <v>1</v>
      </c>
      <c r="M48" s="78">
        <v>2</v>
      </c>
      <c r="N48" s="79">
        <v>4</v>
      </c>
      <c r="O48" s="79">
        <v>2</v>
      </c>
      <c r="P48" s="79">
        <v>5</v>
      </c>
      <c r="Q48" s="79">
        <v>2</v>
      </c>
      <c r="R48" s="79" t="s">
        <v>252</v>
      </c>
      <c r="S48" s="79" t="s">
        <v>252</v>
      </c>
      <c r="T48" s="79">
        <v>4</v>
      </c>
      <c r="U48" s="79">
        <v>4</v>
      </c>
      <c r="V48" s="79">
        <v>5</v>
      </c>
      <c r="W48" s="79">
        <v>0</v>
      </c>
      <c r="X48" s="79">
        <v>1</v>
      </c>
      <c r="Y48" s="79">
        <v>2</v>
      </c>
      <c r="Z48" s="79" t="s">
        <v>252</v>
      </c>
      <c r="AA48" s="79" t="s">
        <v>252</v>
      </c>
      <c r="AB48" s="79" t="s">
        <v>252</v>
      </c>
      <c r="AC48" s="63">
        <f t="shared" si="1"/>
        <v>45</v>
      </c>
      <c r="AD48" s="7"/>
      <c r="AE48" s="7"/>
      <c r="AF48" s="7"/>
      <c r="AG48" s="223"/>
      <c r="AH48" s="8" t="b">
        <f t="shared" si="3"/>
        <v>0</v>
      </c>
      <c r="AI48" s="8" t="b">
        <f t="shared" si="3"/>
        <v>0</v>
      </c>
      <c r="AJ48" s="8" t="b">
        <f t="shared" si="3"/>
        <v>0</v>
      </c>
      <c r="AK48" s="8" t="b">
        <f t="shared" si="3"/>
        <v>0</v>
      </c>
      <c r="AL48" s="8" t="b">
        <f t="shared" si="3"/>
        <v>1</v>
      </c>
      <c r="AM48" s="8" t="b">
        <f t="shared" si="3"/>
        <v>1</v>
      </c>
      <c r="AN48" s="8" t="b">
        <f t="shared" si="3"/>
        <v>0</v>
      </c>
      <c r="AO48" s="8" t="b">
        <f t="shared" si="3"/>
        <v>0</v>
      </c>
      <c r="AP48" s="8" t="b">
        <f t="shared" si="3"/>
        <v>0</v>
      </c>
      <c r="AQ48" s="8" t="b">
        <f t="shared" si="3"/>
        <v>0</v>
      </c>
      <c r="AR48" s="8" t="b">
        <f t="shared" si="3"/>
        <v>0</v>
      </c>
      <c r="AS48" s="8" t="b">
        <f t="shared" si="3"/>
        <v>0</v>
      </c>
      <c r="AT48" s="8" t="b">
        <f t="shared" si="3"/>
        <v>1</v>
      </c>
      <c r="AU48" s="8" t="b">
        <f t="shared" si="3"/>
        <v>1</v>
      </c>
      <c r="AV48" s="8" t="b">
        <f t="shared" si="3"/>
        <v>1</v>
      </c>
      <c r="AW48" s="8">
        <f t="shared" si="4"/>
        <v>5</v>
      </c>
    </row>
    <row r="49" spans="1:49" ht="18" customHeight="1">
      <c r="A49" s="8">
        <v>31</v>
      </c>
      <c r="B49" s="43">
        <v>31</v>
      </c>
      <c r="C49" s="77">
        <v>46672</v>
      </c>
      <c r="D49" s="78">
        <v>1</v>
      </c>
      <c r="E49" s="78">
        <v>2</v>
      </c>
      <c r="F49" s="78">
        <v>2</v>
      </c>
      <c r="G49" s="78">
        <v>2</v>
      </c>
      <c r="H49" s="78">
        <v>2</v>
      </c>
      <c r="I49" s="78">
        <v>1</v>
      </c>
      <c r="J49" s="78">
        <v>1</v>
      </c>
      <c r="K49" s="78">
        <v>0</v>
      </c>
      <c r="L49" s="78">
        <v>2</v>
      </c>
      <c r="M49" s="78">
        <v>2</v>
      </c>
      <c r="N49" s="79">
        <v>4</v>
      </c>
      <c r="O49" s="79">
        <v>3</v>
      </c>
      <c r="P49" s="79">
        <v>5</v>
      </c>
      <c r="Q49" s="79">
        <v>4</v>
      </c>
      <c r="R49" s="79" t="s">
        <v>252</v>
      </c>
      <c r="S49" s="79" t="s">
        <v>252</v>
      </c>
      <c r="T49" s="79">
        <v>6</v>
      </c>
      <c r="U49" s="79">
        <v>4</v>
      </c>
      <c r="V49" s="79" t="s">
        <v>252</v>
      </c>
      <c r="W49" s="79" t="s">
        <v>252</v>
      </c>
      <c r="X49" s="79">
        <v>4</v>
      </c>
      <c r="Y49" s="79">
        <v>4</v>
      </c>
      <c r="Z49" s="79">
        <v>4</v>
      </c>
      <c r="AA49" s="79" t="s">
        <v>252</v>
      </c>
      <c r="AB49" s="79">
        <v>2</v>
      </c>
      <c r="AC49" s="63">
        <f t="shared" si="1"/>
        <v>55</v>
      </c>
      <c r="AD49" s="7"/>
      <c r="AE49" s="7"/>
      <c r="AF49" s="7"/>
      <c r="AG49" s="223"/>
      <c r="AH49" s="8" t="b">
        <f t="shared" si="3"/>
        <v>0</v>
      </c>
      <c r="AI49" s="8" t="b">
        <f t="shared" si="3"/>
        <v>0</v>
      </c>
      <c r="AJ49" s="8" t="b">
        <f t="shared" si="3"/>
        <v>0</v>
      </c>
      <c r="AK49" s="8" t="b">
        <f t="shared" si="3"/>
        <v>0</v>
      </c>
      <c r="AL49" s="8" t="b">
        <f t="shared" si="3"/>
        <v>1</v>
      </c>
      <c r="AM49" s="8" t="b">
        <f t="shared" si="3"/>
        <v>1</v>
      </c>
      <c r="AN49" s="8" t="b">
        <f t="shared" si="3"/>
        <v>0</v>
      </c>
      <c r="AO49" s="8" t="b">
        <f t="shared" si="3"/>
        <v>0</v>
      </c>
      <c r="AP49" s="8" t="b">
        <f t="shared" si="3"/>
        <v>1</v>
      </c>
      <c r="AQ49" s="8" t="b">
        <f t="shared" si="3"/>
        <v>1</v>
      </c>
      <c r="AR49" s="8" t="b">
        <f t="shared" si="3"/>
        <v>0</v>
      </c>
      <c r="AS49" s="8" t="b">
        <f t="shared" si="3"/>
        <v>0</v>
      </c>
      <c r="AT49" s="8" t="b">
        <f t="shared" si="3"/>
        <v>0</v>
      </c>
      <c r="AU49" s="8" t="b">
        <f t="shared" si="3"/>
        <v>1</v>
      </c>
      <c r="AV49" s="8" t="b">
        <f t="shared" si="3"/>
        <v>0</v>
      </c>
      <c r="AW49" s="8">
        <f t="shared" si="4"/>
        <v>5</v>
      </c>
    </row>
    <row r="50" spans="1:49" ht="18" customHeight="1">
      <c r="A50" s="8">
        <v>32</v>
      </c>
      <c r="B50" s="43">
        <v>32</v>
      </c>
      <c r="C50" s="77">
        <v>46673</v>
      </c>
      <c r="D50" s="78">
        <v>1</v>
      </c>
      <c r="E50" s="78">
        <v>0</v>
      </c>
      <c r="F50" s="78">
        <v>1</v>
      </c>
      <c r="G50" s="78">
        <v>1</v>
      </c>
      <c r="H50" s="78">
        <v>2</v>
      </c>
      <c r="I50" s="78">
        <v>0</v>
      </c>
      <c r="J50" s="78">
        <v>0</v>
      </c>
      <c r="K50" s="78">
        <v>2</v>
      </c>
      <c r="L50" s="78">
        <v>1</v>
      </c>
      <c r="M50" s="78">
        <v>2</v>
      </c>
      <c r="N50" s="79">
        <v>4</v>
      </c>
      <c r="O50" s="79">
        <v>0</v>
      </c>
      <c r="P50" s="79">
        <v>5</v>
      </c>
      <c r="Q50" s="79">
        <v>2</v>
      </c>
      <c r="R50" s="79" t="s">
        <v>252</v>
      </c>
      <c r="S50" s="79" t="s">
        <v>252</v>
      </c>
      <c r="T50" s="79">
        <v>6</v>
      </c>
      <c r="U50" s="79">
        <v>4</v>
      </c>
      <c r="V50" s="79">
        <v>4</v>
      </c>
      <c r="W50" s="79">
        <v>1</v>
      </c>
      <c r="X50" s="79">
        <v>2</v>
      </c>
      <c r="Y50" s="79">
        <v>2</v>
      </c>
      <c r="Z50" s="79" t="s">
        <v>252</v>
      </c>
      <c r="AA50" s="79" t="s">
        <v>252</v>
      </c>
      <c r="AB50" s="79" t="s">
        <v>252</v>
      </c>
      <c r="AC50" s="63">
        <f t="shared" si="1"/>
        <v>40</v>
      </c>
      <c r="AD50" s="7"/>
      <c r="AE50" s="7"/>
      <c r="AF50" s="7"/>
      <c r="AG50" s="223"/>
      <c r="AH50" s="8" t="b">
        <f t="shared" si="3"/>
        <v>0</v>
      </c>
      <c r="AI50" s="8" t="b">
        <f t="shared" si="3"/>
        <v>0</v>
      </c>
      <c r="AJ50" s="8" t="b">
        <f t="shared" si="3"/>
        <v>0</v>
      </c>
      <c r="AK50" s="8" t="b">
        <f t="shared" si="3"/>
        <v>0</v>
      </c>
      <c r="AL50" s="8" t="b">
        <f t="shared" si="3"/>
        <v>1</v>
      </c>
      <c r="AM50" s="8" t="b">
        <f t="shared" si="3"/>
        <v>1</v>
      </c>
      <c r="AN50" s="8" t="b">
        <f t="shared" si="3"/>
        <v>0</v>
      </c>
      <c r="AO50" s="8" t="b">
        <f t="shared" si="3"/>
        <v>0</v>
      </c>
      <c r="AP50" s="8" t="b">
        <f t="shared" si="3"/>
        <v>0</v>
      </c>
      <c r="AQ50" s="8" t="b">
        <f t="shared" si="3"/>
        <v>0</v>
      </c>
      <c r="AR50" s="8" t="b">
        <f t="shared" si="3"/>
        <v>0</v>
      </c>
      <c r="AS50" s="8" t="b">
        <f t="shared" si="3"/>
        <v>0</v>
      </c>
      <c r="AT50" s="8" t="b">
        <f t="shared" si="3"/>
        <v>1</v>
      </c>
      <c r="AU50" s="8" t="b">
        <f t="shared" si="3"/>
        <v>1</v>
      </c>
      <c r="AV50" s="8" t="b">
        <f t="shared" si="3"/>
        <v>1</v>
      </c>
      <c r="AW50" s="8">
        <f t="shared" si="4"/>
        <v>5</v>
      </c>
    </row>
    <row r="51" spans="1:49" ht="18" customHeight="1">
      <c r="A51" s="8">
        <v>33</v>
      </c>
      <c r="B51" s="43">
        <v>33</v>
      </c>
      <c r="C51" s="77">
        <v>46674</v>
      </c>
      <c r="D51" s="78">
        <v>2</v>
      </c>
      <c r="E51" s="78">
        <v>2</v>
      </c>
      <c r="F51" s="78">
        <v>2</v>
      </c>
      <c r="G51" s="78">
        <v>2</v>
      </c>
      <c r="H51" s="78">
        <v>2</v>
      </c>
      <c r="I51" s="78">
        <v>1</v>
      </c>
      <c r="J51" s="78">
        <v>0</v>
      </c>
      <c r="K51" s="78">
        <v>2</v>
      </c>
      <c r="L51" s="78">
        <v>2</v>
      </c>
      <c r="M51" s="78">
        <v>2</v>
      </c>
      <c r="N51" s="79">
        <v>4</v>
      </c>
      <c r="O51" s="79">
        <v>3</v>
      </c>
      <c r="P51" s="79">
        <v>5</v>
      </c>
      <c r="Q51" s="79">
        <v>5</v>
      </c>
      <c r="R51" s="79">
        <v>4</v>
      </c>
      <c r="S51" s="79">
        <v>6</v>
      </c>
      <c r="T51" s="79">
        <v>6</v>
      </c>
      <c r="U51" s="79">
        <v>3</v>
      </c>
      <c r="V51" s="79" t="s">
        <v>252</v>
      </c>
      <c r="W51" s="79" t="s">
        <v>252</v>
      </c>
      <c r="X51" s="79" t="s">
        <v>252</v>
      </c>
      <c r="Y51" s="79" t="s">
        <v>252</v>
      </c>
      <c r="Z51" s="79">
        <v>4</v>
      </c>
      <c r="AA51" s="79">
        <v>3</v>
      </c>
      <c r="AB51" s="79" t="s">
        <v>252</v>
      </c>
      <c r="AC51" s="63">
        <f t="shared" si="1"/>
        <v>60</v>
      </c>
      <c r="AD51" s="7"/>
      <c r="AE51" s="7"/>
      <c r="AF51" s="7"/>
      <c r="AG51" s="223"/>
      <c r="AH51" s="8" t="b">
        <f t="shared" ref="AH51:AV67" si="5">ISTEXT(N51)</f>
        <v>0</v>
      </c>
      <c r="AI51" s="8" t="b">
        <f t="shared" si="5"/>
        <v>0</v>
      </c>
      <c r="AJ51" s="8" t="b">
        <f t="shared" si="5"/>
        <v>0</v>
      </c>
      <c r="AK51" s="8" t="b">
        <f t="shared" si="5"/>
        <v>0</v>
      </c>
      <c r="AL51" s="8" t="b">
        <f t="shared" si="5"/>
        <v>0</v>
      </c>
      <c r="AM51" s="8" t="b">
        <f t="shared" si="5"/>
        <v>0</v>
      </c>
      <c r="AN51" s="8" t="b">
        <f t="shared" si="5"/>
        <v>0</v>
      </c>
      <c r="AO51" s="8" t="b">
        <f t="shared" si="5"/>
        <v>0</v>
      </c>
      <c r="AP51" s="8" t="b">
        <f t="shared" si="5"/>
        <v>1</v>
      </c>
      <c r="AQ51" s="8" t="b">
        <f t="shared" si="5"/>
        <v>1</v>
      </c>
      <c r="AR51" s="8" t="b">
        <f t="shared" si="5"/>
        <v>1</v>
      </c>
      <c r="AS51" s="8" t="b">
        <f t="shared" si="5"/>
        <v>1</v>
      </c>
      <c r="AT51" s="8" t="b">
        <f t="shared" si="5"/>
        <v>0</v>
      </c>
      <c r="AU51" s="8" t="b">
        <f t="shared" si="5"/>
        <v>0</v>
      </c>
      <c r="AV51" s="8" t="b">
        <f t="shared" si="5"/>
        <v>1</v>
      </c>
      <c r="AW51" s="8">
        <f t="shared" si="4"/>
        <v>5</v>
      </c>
    </row>
    <row r="52" spans="1:49" ht="18" customHeight="1">
      <c r="A52" s="8">
        <v>34</v>
      </c>
      <c r="B52" s="43">
        <v>34</v>
      </c>
      <c r="C52" s="77">
        <v>46675</v>
      </c>
      <c r="D52" s="78">
        <v>1</v>
      </c>
      <c r="E52" s="78">
        <v>0</v>
      </c>
      <c r="F52" s="78">
        <v>0</v>
      </c>
      <c r="G52" s="78">
        <v>1</v>
      </c>
      <c r="H52" s="78">
        <v>2</v>
      </c>
      <c r="I52" s="78">
        <v>1</v>
      </c>
      <c r="J52" s="78">
        <v>1</v>
      </c>
      <c r="K52" s="78">
        <v>2</v>
      </c>
      <c r="L52" s="78">
        <v>2</v>
      </c>
      <c r="M52" s="78">
        <v>2</v>
      </c>
      <c r="N52" s="79">
        <v>3</v>
      </c>
      <c r="O52" s="79">
        <v>2</v>
      </c>
      <c r="P52" s="79">
        <v>5</v>
      </c>
      <c r="Q52" s="79">
        <v>2</v>
      </c>
      <c r="R52" s="79" t="s">
        <v>252</v>
      </c>
      <c r="S52" s="79" t="s">
        <v>252</v>
      </c>
      <c r="T52" s="79">
        <v>2</v>
      </c>
      <c r="U52" s="79">
        <v>3</v>
      </c>
      <c r="V52" s="79" t="s">
        <v>252</v>
      </c>
      <c r="W52" s="79" t="s">
        <v>252</v>
      </c>
      <c r="X52" s="79">
        <v>0</v>
      </c>
      <c r="Y52" s="79">
        <v>2</v>
      </c>
      <c r="Z52" s="79">
        <v>4</v>
      </c>
      <c r="AA52" s="79">
        <v>4</v>
      </c>
      <c r="AB52" s="79" t="s">
        <v>252</v>
      </c>
      <c r="AC52" s="63">
        <f t="shared" si="1"/>
        <v>39</v>
      </c>
      <c r="AD52" s="7"/>
      <c r="AE52" s="7"/>
      <c r="AF52" s="7"/>
      <c r="AG52" s="223"/>
      <c r="AH52" s="8" t="b">
        <f t="shared" si="5"/>
        <v>0</v>
      </c>
      <c r="AI52" s="8" t="b">
        <f t="shared" si="5"/>
        <v>0</v>
      </c>
      <c r="AJ52" s="8" t="b">
        <f t="shared" si="5"/>
        <v>0</v>
      </c>
      <c r="AK52" s="8" t="b">
        <f t="shared" si="5"/>
        <v>0</v>
      </c>
      <c r="AL52" s="8" t="b">
        <f t="shared" si="5"/>
        <v>1</v>
      </c>
      <c r="AM52" s="8" t="b">
        <f t="shared" si="5"/>
        <v>1</v>
      </c>
      <c r="AN52" s="8" t="b">
        <f t="shared" si="5"/>
        <v>0</v>
      </c>
      <c r="AO52" s="8" t="b">
        <f t="shared" si="5"/>
        <v>0</v>
      </c>
      <c r="AP52" s="8" t="b">
        <f t="shared" si="5"/>
        <v>1</v>
      </c>
      <c r="AQ52" s="8" t="b">
        <f t="shared" si="5"/>
        <v>1</v>
      </c>
      <c r="AR52" s="8" t="b">
        <f t="shared" si="5"/>
        <v>0</v>
      </c>
      <c r="AS52" s="8" t="b">
        <f t="shared" si="5"/>
        <v>0</v>
      </c>
      <c r="AT52" s="8" t="b">
        <f t="shared" si="5"/>
        <v>0</v>
      </c>
      <c r="AU52" s="8" t="b">
        <f t="shared" si="5"/>
        <v>0</v>
      </c>
      <c r="AV52" s="8" t="b">
        <f t="shared" si="5"/>
        <v>1</v>
      </c>
      <c r="AW52" s="8">
        <f t="shared" si="4"/>
        <v>5</v>
      </c>
    </row>
    <row r="53" spans="1:49" ht="18" customHeight="1">
      <c r="A53" s="8">
        <v>35</v>
      </c>
      <c r="B53" s="43">
        <v>35</v>
      </c>
      <c r="C53" s="77">
        <v>46676</v>
      </c>
      <c r="D53" s="78">
        <v>2</v>
      </c>
      <c r="E53" s="78">
        <v>1</v>
      </c>
      <c r="F53" s="78">
        <v>1</v>
      </c>
      <c r="G53" s="78">
        <v>1</v>
      </c>
      <c r="H53" s="78">
        <v>0</v>
      </c>
      <c r="I53" s="78">
        <v>0</v>
      </c>
      <c r="J53" s="78">
        <v>1</v>
      </c>
      <c r="K53" s="78">
        <v>1</v>
      </c>
      <c r="L53" s="78">
        <v>1</v>
      </c>
      <c r="M53" s="78">
        <v>1</v>
      </c>
      <c r="N53" s="79">
        <v>3</v>
      </c>
      <c r="O53" s="79">
        <v>1</v>
      </c>
      <c r="P53" s="79" t="s">
        <v>252</v>
      </c>
      <c r="Q53" s="79" t="s">
        <v>252</v>
      </c>
      <c r="R53" s="79">
        <v>2</v>
      </c>
      <c r="S53" s="79">
        <v>1</v>
      </c>
      <c r="T53" s="79">
        <v>4</v>
      </c>
      <c r="U53" s="79">
        <v>3</v>
      </c>
      <c r="V53" s="79" t="s">
        <v>252</v>
      </c>
      <c r="W53" s="79" t="s">
        <v>252</v>
      </c>
      <c r="X53" s="79">
        <v>2</v>
      </c>
      <c r="Y53" s="79">
        <v>2</v>
      </c>
      <c r="Z53" s="79">
        <v>2</v>
      </c>
      <c r="AA53" s="79">
        <v>0</v>
      </c>
      <c r="AB53" s="79" t="s">
        <v>252</v>
      </c>
      <c r="AC53" s="63">
        <f t="shared" si="1"/>
        <v>29</v>
      </c>
      <c r="AD53" s="7"/>
      <c r="AE53" s="7"/>
      <c r="AF53" s="7"/>
      <c r="AG53" s="223"/>
      <c r="AH53" s="8" t="b">
        <f t="shared" si="5"/>
        <v>0</v>
      </c>
      <c r="AI53" s="8" t="b">
        <f t="shared" si="5"/>
        <v>0</v>
      </c>
      <c r="AJ53" s="8" t="b">
        <f t="shared" si="5"/>
        <v>1</v>
      </c>
      <c r="AK53" s="8" t="b">
        <f t="shared" si="5"/>
        <v>1</v>
      </c>
      <c r="AL53" s="8" t="b">
        <f t="shared" si="5"/>
        <v>0</v>
      </c>
      <c r="AM53" s="8" t="b">
        <f t="shared" si="5"/>
        <v>0</v>
      </c>
      <c r="AN53" s="8" t="b">
        <f t="shared" si="5"/>
        <v>0</v>
      </c>
      <c r="AO53" s="8" t="b">
        <f t="shared" si="5"/>
        <v>0</v>
      </c>
      <c r="AP53" s="8" t="b">
        <f t="shared" si="5"/>
        <v>1</v>
      </c>
      <c r="AQ53" s="8" t="b">
        <f t="shared" si="5"/>
        <v>1</v>
      </c>
      <c r="AR53" s="8" t="b">
        <f t="shared" si="5"/>
        <v>0</v>
      </c>
      <c r="AS53" s="8" t="b">
        <f t="shared" si="5"/>
        <v>0</v>
      </c>
      <c r="AT53" s="8" t="b">
        <f t="shared" si="5"/>
        <v>0</v>
      </c>
      <c r="AU53" s="8" t="b">
        <f t="shared" si="5"/>
        <v>0</v>
      </c>
      <c r="AV53" s="8" t="b">
        <f t="shared" si="5"/>
        <v>1</v>
      </c>
      <c r="AW53" s="8">
        <f t="shared" si="4"/>
        <v>5</v>
      </c>
    </row>
    <row r="54" spans="1:49" ht="18" customHeight="1">
      <c r="A54" s="8">
        <v>36</v>
      </c>
      <c r="B54" s="43">
        <v>36</v>
      </c>
      <c r="C54" s="77">
        <v>46677</v>
      </c>
      <c r="D54" s="78">
        <v>0</v>
      </c>
      <c r="E54" s="78">
        <v>1</v>
      </c>
      <c r="F54" s="78">
        <v>0</v>
      </c>
      <c r="G54" s="78">
        <v>1</v>
      </c>
      <c r="H54" s="78">
        <v>2</v>
      </c>
      <c r="I54" s="78">
        <v>1</v>
      </c>
      <c r="J54" s="78">
        <v>0</v>
      </c>
      <c r="K54" s="78">
        <v>1</v>
      </c>
      <c r="L54" s="78">
        <v>1</v>
      </c>
      <c r="M54" s="78">
        <v>2</v>
      </c>
      <c r="N54" s="79">
        <v>3</v>
      </c>
      <c r="O54" s="79">
        <v>2</v>
      </c>
      <c r="P54" s="79">
        <v>2</v>
      </c>
      <c r="Q54" s="79">
        <v>2</v>
      </c>
      <c r="R54" s="79" t="s">
        <v>252</v>
      </c>
      <c r="S54" s="79" t="s">
        <v>252</v>
      </c>
      <c r="T54" s="79">
        <v>4</v>
      </c>
      <c r="U54" s="79">
        <v>0</v>
      </c>
      <c r="V54" s="79">
        <v>2</v>
      </c>
      <c r="W54" s="79">
        <v>0</v>
      </c>
      <c r="X54" s="79" t="s">
        <v>252</v>
      </c>
      <c r="Y54" s="79" t="s">
        <v>252</v>
      </c>
      <c r="Z54" s="79">
        <v>3</v>
      </c>
      <c r="AA54" s="79" t="s">
        <v>252</v>
      </c>
      <c r="AB54" s="79">
        <v>2</v>
      </c>
      <c r="AC54" s="63">
        <f t="shared" si="1"/>
        <v>29</v>
      </c>
      <c r="AD54" s="7"/>
      <c r="AE54" s="7"/>
      <c r="AF54" s="7"/>
      <c r="AG54" s="223"/>
      <c r="AH54" s="8" t="b">
        <f t="shared" si="5"/>
        <v>0</v>
      </c>
      <c r="AI54" s="8" t="b">
        <f t="shared" si="5"/>
        <v>0</v>
      </c>
      <c r="AJ54" s="8" t="b">
        <f t="shared" si="5"/>
        <v>0</v>
      </c>
      <c r="AK54" s="8" t="b">
        <f t="shared" si="5"/>
        <v>0</v>
      </c>
      <c r="AL54" s="8" t="b">
        <f t="shared" si="5"/>
        <v>1</v>
      </c>
      <c r="AM54" s="8" t="b">
        <f t="shared" si="5"/>
        <v>1</v>
      </c>
      <c r="AN54" s="8" t="b">
        <f t="shared" si="5"/>
        <v>0</v>
      </c>
      <c r="AO54" s="8" t="b">
        <f t="shared" si="5"/>
        <v>0</v>
      </c>
      <c r="AP54" s="8" t="b">
        <f t="shared" si="5"/>
        <v>0</v>
      </c>
      <c r="AQ54" s="8" t="b">
        <f t="shared" si="5"/>
        <v>0</v>
      </c>
      <c r="AR54" s="8" t="b">
        <f t="shared" si="5"/>
        <v>1</v>
      </c>
      <c r="AS54" s="8" t="b">
        <f t="shared" si="5"/>
        <v>1</v>
      </c>
      <c r="AT54" s="8" t="b">
        <f t="shared" si="5"/>
        <v>0</v>
      </c>
      <c r="AU54" s="8" t="b">
        <f t="shared" si="5"/>
        <v>1</v>
      </c>
      <c r="AV54" s="8" t="b">
        <f t="shared" si="5"/>
        <v>0</v>
      </c>
      <c r="AW54" s="8">
        <f t="shared" si="4"/>
        <v>5</v>
      </c>
    </row>
    <row r="55" spans="1:49" ht="18" customHeight="1">
      <c r="A55" s="8">
        <v>37</v>
      </c>
      <c r="B55" s="43">
        <v>37</v>
      </c>
      <c r="C55" s="77">
        <v>46678</v>
      </c>
      <c r="D55" s="78">
        <v>2</v>
      </c>
      <c r="E55" s="78">
        <v>2</v>
      </c>
      <c r="F55" s="78">
        <v>2</v>
      </c>
      <c r="G55" s="78">
        <v>2</v>
      </c>
      <c r="H55" s="78">
        <v>2</v>
      </c>
      <c r="I55" s="78">
        <v>1</v>
      </c>
      <c r="J55" s="78">
        <v>2</v>
      </c>
      <c r="K55" s="78">
        <v>2</v>
      </c>
      <c r="L55" s="78">
        <v>2</v>
      </c>
      <c r="M55" s="78">
        <v>2</v>
      </c>
      <c r="N55" s="79">
        <v>4</v>
      </c>
      <c r="O55" s="79">
        <v>2</v>
      </c>
      <c r="P55" s="79">
        <v>5</v>
      </c>
      <c r="Q55" s="79">
        <v>5</v>
      </c>
      <c r="R55" s="79">
        <v>4</v>
      </c>
      <c r="S55" s="79">
        <v>6</v>
      </c>
      <c r="T55" s="79">
        <v>6</v>
      </c>
      <c r="U55" s="79">
        <v>4</v>
      </c>
      <c r="V55" s="79" t="s">
        <v>252</v>
      </c>
      <c r="W55" s="79" t="s">
        <v>252</v>
      </c>
      <c r="X55" s="79">
        <v>4</v>
      </c>
      <c r="Y55" s="79">
        <v>5</v>
      </c>
      <c r="Z55" s="79" t="s">
        <v>252</v>
      </c>
      <c r="AA55" s="79" t="s">
        <v>252</v>
      </c>
      <c r="AB55" s="79" t="s">
        <v>252</v>
      </c>
      <c r="AC55" s="63">
        <f t="shared" si="1"/>
        <v>64</v>
      </c>
      <c r="AD55" s="7"/>
      <c r="AE55" s="7"/>
      <c r="AF55" s="7"/>
      <c r="AG55" s="223"/>
      <c r="AH55" s="8" t="b">
        <f t="shared" si="5"/>
        <v>0</v>
      </c>
      <c r="AI55" s="8" t="b">
        <f t="shared" si="5"/>
        <v>0</v>
      </c>
      <c r="AJ55" s="8" t="b">
        <f t="shared" si="5"/>
        <v>0</v>
      </c>
      <c r="AK55" s="8" t="b">
        <f t="shared" si="5"/>
        <v>0</v>
      </c>
      <c r="AL55" s="8" t="b">
        <f t="shared" si="5"/>
        <v>0</v>
      </c>
      <c r="AM55" s="8" t="b">
        <f t="shared" si="5"/>
        <v>0</v>
      </c>
      <c r="AN55" s="8" t="b">
        <f t="shared" si="5"/>
        <v>0</v>
      </c>
      <c r="AO55" s="8" t="b">
        <f t="shared" si="5"/>
        <v>0</v>
      </c>
      <c r="AP55" s="8" t="b">
        <f t="shared" si="5"/>
        <v>1</v>
      </c>
      <c r="AQ55" s="8" t="b">
        <f t="shared" si="5"/>
        <v>1</v>
      </c>
      <c r="AR55" s="8" t="b">
        <f t="shared" si="5"/>
        <v>0</v>
      </c>
      <c r="AS55" s="8" t="b">
        <f t="shared" si="5"/>
        <v>0</v>
      </c>
      <c r="AT55" s="8" t="b">
        <f t="shared" si="5"/>
        <v>1</v>
      </c>
      <c r="AU55" s="8" t="b">
        <f t="shared" si="5"/>
        <v>1</v>
      </c>
      <c r="AV55" s="8" t="b">
        <f t="shared" si="5"/>
        <v>1</v>
      </c>
      <c r="AW55" s="8">
        <f t="shared" si="4"/>
        <v>5</v>
      </c>
    </row>
    <row r="56" spans="1:49" ht="18" customHeight="1">
      <c r="A56" s="8">
        <v>38</v>
      </c>
      <c r="B56" s="43">
        <v>38</v>
      </c>
      <c r="C56" s="77">
        <v>46679</v>
      </c>
      <c r="D56" s="78">
        <v>1</v>
      </c>
      <c r="E56" s="78">
        <v>1</v>
      </c>
      <c r="F56" s="78">
        <v>1</v>
      </c>
      <c r="G56" s="78">
        <v>1</v>
      </c>
      <c r="H56" s="78">
        <v>0</v>
      </c>
      <c r="I56" s="78">
        <v>1</v>
      </c>
      <c r="J56" s="78">
        <v>1</v>
      </c>
      <c r="K56" s="78">
        <v>2</v>
      </c>
      <c r="L56" s="78">
        <v>0</v>
      </c>
      <c r="M56" s="78">
        <v>2</v>
      </c>
      <c r="N56" s="79">
        <v>4</v>
      </c>
      <c r="O56" s="79">
        <v>3</v>
      </c>
      <c r="P56" s="79">
        <v>3</v>
      </c>
      <c r="Q56" s="79">
        <v>2</v>
      </c>
      <c r="R56" s="79" t="s">
        <v>252</v>
      </c>
      <c r="S56" s="79" t="s">
        <v>252</v>
      </c>
      <c r="T56" s="79">
        <v>4</v>
      </c>
      <c r="U56" s="79">
        <v>1</v>
      </c>
      <c r="V56" s="79" t="s">
        <v>252</v>
      </c>
      <c r="W56" s="79" t="s">
        <v>252</v>
      </c>
      <c r="X56" s="79">
        <v>3</v>
      </c>
      <c r="Y56" s="79">
        <v>2</v>
      </c>
      <c r="Z56" s="79">
        <v>4</v>
      </c>
      <c r="AA56" s="79">
        <v>3</v>
      </c>
      <c r="AB56" s="79" t="s">
        <v>252</v>
      </c>
      <c r="AC56" s="63">
        <f t="shared" si="1"/>
        <v>39</v>
      </c>
      <c r="AD56" s="7"/>
      <c r="AE56" s="7"/>
      <c r="AF56" s="7"/>
      <c r="AG56" s="223"/>
      <c r="AH56" s="8" t="b">
        <f t="shared" si="5"/>
        <v>0</v>
      </c>
      <c r="AI56" s="8" t="b">
        <f t="shared" si="5"/>
        <v>0</v>
      </c>
      <c r="AJ56" s="8" t="b">
        <f t="shared" si="5"/>
        <v>0</v>
      </c>
      <c r="AK56" s="8" t="b">
        <f t="shared" si="5"/>
        <v>0</v>
      </c>
      <c r="AL56" s="8" t="b">
        <f t="shared" si="5"/>
        <v>1</v>
      </c>
      <c r="AM56" s="8" t="b">
        <f t="shared" si="5"/>
        <v>1</v>
      </c>
      <c r="AN56" s="8" t="b">
        <f t="shared" si="5"/>
        <v>0</v>
      </c>
      <c r="AO56" s="8" t="b">
        <f t="shared" si="5"/>
        <v>0</v>
      </c>
      <c r="AP56" s="8" t="b">
        <f t="shared" si="5"/>
        <v>1</v>
      </c>
      <c r="AQ56" s="8" t="b">
        <f t="shared" si="5"/>
        <v>1</v>
      </c>
      <c r="AR56" s="8" t="b">
        <f t="shared" si="5"/>
        <v>0</v>
      </c>
      <c r="AS56" s="8" t="b">
        <f t="shared" si="5"/>
        <v>0</v>
      </c>
      <c r="AT56" s="8" t="b">
        <f t="shared" si="5"/>
        <v>0</v>
      </c>
      <c r="AU56" s="8" t="b">
        <f t="shared" si="5"/>
        <v>0</v>
      </c>
      <c r="AV56" s="8" t="b">
        <f t="shared" si="5"/>
        <v>1</v>
      </c>
      <c r="AW56" s="8">
        <f t="shared" si="4"/>
        <v>5</v>
      </c>
    </row>
    <row r="57" spans="1:49" ht="18" customHeight="1">
      <c r="A57" s="8">
        <v>39</v>
      </c>
      <c r="B57" s="43">
        <v>39</v>
      </c>
      <c r="C57" s="77">
        <v>46680</v>
      </c>
      <c r="D57" s="78">
        <v>2</v>
      </c>
      <c r="E57" s="78">
        <v>1</v>
      </c>
      <c r="F57" s="78">
        <v>2</v>
      </c>
      <c r="G57" s="78">
        <v>2</v>
      </c>
      <c r="H57" s="78">
        <v>2</v>
      </c>
      <c r="I57" s="78">
        <v>1</v>
      </c>
      <c r="J57" s="78">
        <v>1</v>
      </c>
      <c r="K57" s="78">
        <v>0</v>
      </c>
      <c r="L57" s="78">
        <v>1</v>
      </c>
      <c r="M57" s="78">
        <v>2</v>
      </c>
      <c r="N57" s="79">
        <v>4</v>
      </c>
      <c r="O57" s="79">
        <v>4</v>
      </c>
      <c r="P57" s="79" t="s">
        <v>252</v>
      </c>
      <c r="Q57" s="79" t="s">
        <v>252</v>
      </c>
      <c r="R57" s="79" t="s">
        <v>252</v>
      </c>
      <c r="S57" s="79" t="s">
        <v>252</v>
      </c>
      <c r="T57" s="79">
        <v>5</v>
      </c>
      <c r="U57" s="79">
        <v>3</v>
      </c>
      <c r="V57" s="79">
        <v>3</v>
      </c>
      <c r="W57" s="79">
        <v>2</v>
      </c>
      <c r="X57" s="79">
        <v>3</v>
      </c>
      <c r="Y57" s="79">
        <v>5</v>
      </c>
      <c r="Z57" s="79">
        <v>4</v>
      </c>
      <c r="AA57" s="79" t="s">
        <v>252</v>
      </c>
      <c r="AB57" s="79">
        <v>4</v>
      </c>
      <c r="AC57" s="63">
        <f t="shared" si="1"/>
        <v>51</v>
      </c>
      <c r="AD57" s="7"/>
      <c r="AE57" s="7"/>
      <c r="AF57" s="7"/>
      <c r="AG57" s="223"/>
      <c r="AH57" s="8" t="b">
        <f t="shared" si="5"/>
        <v>0</v>
      </c>
      <c r="AI57" s="8" t="b">
        <f t="shared" si="5"/>
        <v>0</v>
      </c>
      <c r="AJ57" s="8" t="b">
        <f t="shared" si="5"/>
        <v>1</v>
      </c>
      <c r="AK57" s="8" t="b">
        <f t="shared" si="5"/>
        <v>1</v>
      </c>
      <c r="AL57" s="8" t="b">
        <f t="shared" si="5"/>
        <v>1</v>
      </c>
      <c r="AM57" s="8" t="b">
        <f t="shared" si="5"/>
        <v>1</v>
      </c>
      <c r="AN57" s="8" t="b">
        <f t="shared" si="5"/>
        <v>0</v>
      </c>
      <c r="AO57" s="8" t="b">
        <f t="shared" si="5"/>
        <v>0</v>
      </c>
      <c r="AP57" s="8" t="b">
        <f t="shared" si="5"/>
        <v>0</v>
      </c>
      <c r="AQ57" s="8" t="b">
        <f t="shared" si="5"/>
        <v>0</v>
      </c>
      <c r="AR57" s="8" t="b">
        <f t="shared" si="5"/>
        <v>0</v>
      </c>
      <c r="AS57" s="8" t="b">
        <f t="shared" si="5"/>
        <v>0</v>
      </c>
      <c r="AT57" s="8" t="b">
        <f t="shared" si="5"/>
        <v>0</v>
      </c>
      <c r="AU57" s="8" t="b">
        <f t="shared" si="5"/>
        <v>1</v>
      </c>
      <c r="AV57" s="8" t="b">
        <f t="shared" si="5"/>
        <v>0</v>
      </c>
      <c r="AW57" s="8">
        <f t="shared" si="4"/>
        <v>5</v>
      </c>
    </row>
    <row r="58" spans="1:49" ht="18" customHeight="1">
      <c r="A58" s="8">
        <v>40</v>
      </c>
      <c r="B58" s="43">
        <v>40</v>
      </c>
      <c r="C58" s="77">
        <v>46681</v>
      </c>
      <c r="D58" s="78">
        <v>2</v>
      </c>
      <c r="E58" s="78">
        <v>0</v>
      </c>
      <c r="F58" s="78">
        <v>2</v>
      </c>
      <c r="G58" s="78">
        <v>1</v>
      </c>
      <c r="H58" s="78">
        <v>2</v>
      </c>
      <c r="I58" s="78">
        <v>0</v>
      </c>
      <c r="J58" s="78">
        <v>0</v>
      </c>
      <c r="K58" s="78">
        <v>0</v>
      </c>
      <c r="L58" s="78">
        <v>2</v>
      </c>
      <c r="M58" s="78">
        <v>2</v>
      </c>
      <c r="N58" s="79">
        <v>4</v>
      </c>
      <c r="O58" s="79">
        <v>2</v>
      </c>
      <c r="P58" s="79">
        <v>2</v>
      </c>
      <c r="Q58" s="79">
        <v>3</v>
      </c>
      <c r="R58" s="79">
        <v>3</v>
      </c>
      <c r="S58" s="79">
        <v>2</v>
      </c>
      <c r="T58" s="79" t="s">
        <v>252</v>
      </c>
      <c r="U58" s="79" t="s">
        <v>252</v>
      </c>
      <c r="V58" s="79">
        <v>4</v>
      </c>
      <c r="W58" s="79">
        <v>1</v>
      </c>
      <c r="X58" s="79">
        <v>2</v>
      </c>
      <c r="Y58" s="79">
        <v>2</v>
      </c>
      <c r="Z58" s="79" t="s">
        <v>252</v>
      </c>
      <c r="AA58" s="79" t="s">
        <v>252</v>
      </c>
      <c r="AB58" s="79" t="s">
        <v>252</v>
      </c>
      <c r="AC58" s="63">
        <f t="shared" si="1"/>
        <v>36</v>
      </c>
      <c r="AD58" s="7"/>
      <c r="AE58" s="7"/>
      <c r="AF58" s="7"/>
      <c r="AG58" s="223"/>
      <c r="AH58" s="8" t="b">
        <f t="shared" si="5"/>
        <v>0</v>
      </c>
      <c r="AI58" s="8" t="b">
        <f t="shared" si="5"/>
        <v>0</v>
      </c>
      <c r="AJ58" s="8" t="b">
        <f t="shared" si="5"/>
        <v>0</v>
      </c>
      <c r="AK58" s="8" t="b">
        <f t="shared" si="5"/>
        <v>0</v>
      </c>
      <c r="AL58" s="8" t="b">
        <f t="shared" si="5"/>
        <v>0</v>
      </c>
      <c r="AM58" s="8" t="b">
        <f t="shared" si="5"/>
        <v>0</v>
      </c>
      <c r="AN58" s="8" t="b">
        <f t="shared" si="5"/>
        <v>1</v>
      </c>
      <c r="AO58" s="8" t="b">
        <f t="shared" si="5"/>
        <v>1</v>
      </c>
      <c r="AP58" s="8" t="b">
        <f t="shared" si="5"/>
        <v>0</v>
      </c>
      <c r="AQ58" s="8" t="b">
        <f t="shared" si="5"/>
        <v>0</v>
      </c>
      <c r="AR58" s="8" t="b">
        <f t="shared" si="5"/>
        <v>0</v>
      </c>
      <c r="AS58" s="8" t="b">
        <f t="shared" si="5"/>
        <v>0</v>
      </c>
      <c r="AT58" s="8" t="b">
        <f t="shared" si="5"/>
        <v>1</v>
      </c>
      <c r="AU58" s="8" t="b">
        <f t="shared" si="5"/>
        <v>1</v>
      </c>
      <c r="AV58" s="8" t="b">
        <f t="shared" si="5"/>
        <v>1</v>
      </c>
      <c r="AW58" s="8">
        <f t="shared" si="4"/>
        <v>5</v>
      </c>
    </row>
    <row r="59" spans="1:49" ht="18" customHeight="1">
      <c r="A59" s="8">
        <v>41</v>
      </c>
      <c r="B59" s="43">
        <v>41</v>
      </c>
      <c r="C59" s="77">
        <v>46682</v>
      </c>
      <c r="D59" s="78">
        <v>1</v>
      </c>
      <c r="E59" s="78">
        <v>2</v>
      </c>
      <c r="F59" s="78">
        <v>2</v>
      </c>
      <c r="G59" s="78">
        <v>2</v>
      </c>
      <c r="H59" s="78">
        <v>2</v>
      </c>
      <c r="I59" s="78">
        <v>1</v>
      </c>
      <c r="J59" s="78">
        <v>0</v>
      </c>
      <c r="K59" s="78">
        <v>0</v>
      </c>
      <c r="L59" s="78">
        <v>2</v>
      </c>
      <c r="M59" s="78">
        <v>2</v>
      </c>
      <c r="N59" s="79" t="s">
        <v>252</v>
      </c>
      <c r="O59" s="79" t="s">
        <v>252</v>
      </c>
      <c r="P59" s="79">
        <v>4</v>
      </c>
      <c r="Q59" s="79">
        <v>5</v>
      </c>
      <c r="R59" s="79">
        <v>4</v>
      </c>
      <c r="S59" s="79">
        <v>6</v>
      </c>
      <c r="T59" s="79">
        <v>4</v>
      </c>
      <c r="U59" s="79">
        <v>1</v>
      </c>
      <c r="V59" s="79" t="s">
        <v>252</v>
      </c>
      <c r="W59" s="79" t="s">
        <v>252</v>
      </c>
      <c r="X59" s="79">
        <v>4</v>
      </c>
      <c r="Y59" s="79">
        <v>5</v>
      </c>
      <c r="Z59" s="79">
        <v>4</v>
      </c>
      <c r="AA59" s="79" t="s">
        <v>252</v>
      </c>
      <c r="AB59" s="79">
        <v>3</v>
      </c>
      <c r="AC59" s="63">
        <f t="shared" si="1"/>
        <v>54</v>
      </c>
      <c r="AD59" s="7"/>
      <c r="AE59" s="7"/>
      <c r="AF59" s="7"/>
      <c r="AG59" s="223"/>
      <c r="AH59" s="8" t="b">
        <f t="shared" si="5"/>
        <v>1</v>
      </c>
      <c r="AI59" s="8" t="b">
        <f t="shared" si="5"/>
        <v>1</v>
      </c>
      <c r="AJ59" s="8" t="b">
        <f t="shared" si="5"/>
        <v>0</v>
      </c>
      <c r="AK59" s="8" t="b">
        <f t="shared" si="5"/>
        <v>0</v>
      </c>
      <c r="AL59" s="8" t="b">
        <f t="shared" si="5"/>
        <v>0</v>
      </c>
      <c r="AM59" s="8" t="b">
        <f t="shared" si="5"/>
        <v>0</v>
      </c>
      <c r="AN59" s="8" t="b">
        <f t="shared" si="5"/>
        <v>0</v>
      </c>
      <c r="AO59" s="8" t="b">
        <f t="shared" si="5"/>
        <v>0</v>
      </c>
      <c r="AP59" s="8" t="b">
        <f t="shared" si="5"/>
        <v>1</v>
      </c>
      <c r="AQ59" s="8" t="b">
        <f t="shared" si="5"/>
        <v>1</v>
      </c>
      <c r="AR59" s="8" t="b">
        <f t="shared" si="5"/>
        <v>0</v>
      </c>
      <c r="AS59" s="8" t="b">
        <f t="shared" si="5"/>
        <v>0</v>
      </c>
      <c r="AT59" s="8" t="b">
        <f t="shared" si="5"/>
        <v>0</v>
      </c>
      <c r="AU59" s="8" t="b">
        <f t="shared" si="5"/>
        <v>1</v>
      </c>
      <c r="AV59" s="8" t="b">
        <f t="shared" si="5"/>
        <v>0</v>
      </c>
      <c r="AW59" s="8">
        <f t="shared" si="4"/>
        <v>5</v>
      </c>
    </row>
    <row r="60" spans="1:49" ht="18" customHeight="1">
      <c r="A60" s="8">
        <v>42</v>
      </c>
      <c r="B60" s="43">
        <v>42</v>
      </c>
      <c r="C60" s="77">
        <v>46683</v>
      </c>
      <c r="D60" s="78">
        <v>1</v>
      </c>
      <c r="E60" s="78">
        <v>1</v>
      </c>
      <c r="F60" s="78">
        <v>2</v>
      </c>
      <c r="G60" s="78">
        <v>2</v>
      </c>
      <c r="H60" s="78">
        <v>2</v>
      </c>
      <c r="I60" s="78">
        <v>1</v>
      </c>
      <c r="J60" s="78">
        <v>0</v>
      </c>
      <c r="K60" s="78">
        <v>0</v>
      </c>
      <c r="L60" s="78">
        <v>1</v>
      </c>
      <c r="M60" s="78">
        <v>1</v>
      </c>
      <c r="N60" s="79">
        <v>2</v>
      </c>
      <c r="O60" s="79">
        <v>4</v>
      </c>
      <c r="P60" s="79">
        <v>3</v>
      </c>
      <c r="Q60" s="79">
        <v>3</v>
      </c>
      <c r="R60" s="79">
        <v>4</v>
      </c>
      <c r="S60" s="79">
        <v>0</v>
      </c>
      <c r="T60" s="79">
        <v>0</v>
      </c>
      <c r="U60" s="79">
        <v>4</v>
      </c>
      <c r="V60" s="79" t="s">
        <v>252</v>
      </c>
      <c r="W60" s="79" t="s">
        <v>252</v>
      </c>
      <c r="X60" s="79" t="s">
        <v>252</v>
      </c>
      <c r="Y60" s="79" t="s">
        <v>252</v>
      </c>
      <c r="Z60" s="79">
        <v>2</v>
      </c>
      <c r="AA60" s="79">
        <v>3</v>
      </c>
      <c r="AB60" s="79" t="s">
        <v>252</v>
      </c>
      <c r="AC60" s="63">
        <f t="shared" si="1"/>
        <v>36</v>
      </c>
      <c r="AD60" s="7"/>
      <c r="AE60" s="7"/>
      <c r="AF60" s="7"/>
      <c r="AG60" s="223"/>
      <c r="AH60" s="8" t="b">
        <f t="shared" si="5"/>
        <v>0</v>
      </c>
      <c r="AI60" s="8" t="b">
        <f t="shared" si="5"/>
        <v>0</v>
      </c>
      <c r="AJ60" s="8" t="b">
        <f t="shared" si="5"/>
        <v>0</v>
      </c>
      <c r="AK60" s="8" t="b">
        <f t="shared" si="5"/>
        <v>0</v>
      </c>
      <c r="AL60" s="8" t="b">
        <f t="shared" si="5"/>
        <v>0</v>
      </c>
      <c r="AM60" s="8" t="b">
        <f t="shared" si="5"/>
        <v>0</v>
      </c>
      <c r="AN60" s="8" t="b">
        <f t="shared" si="5"/>
        <v>0</v>
      </c>
      <c r="AO60" s="8" t="b">
        <f t="shared" si="5"/>
        <v>0</v>
      </c>
      <c r="AP60" s="8" t="b">
        <f t="shared" si="5"/>
        <v>1</v>
      </c>
      <c r="AQ60" s="8" t="b">
        <f t="shared" si="5"/>
        <v>1</v>
      </c>
      <c r="AR60" s="8" t="b">
        <f t="shared" si="5"/>
        <v>1</v>
      </c>
      <c r="AS60" s="8" t="b">
        <f t="shared" si="5"/>
        <v>1</v>
      </c>
      <c r="AT60" s="8" t="b">
        <f t="shared" si="5"/>
        <v>0</v>
      </c>
      <c r="AU60" s="8" t="b">
        <f t="shared" si="5"/>
        <v>0</v>
      </c>
      <c r="AV60" s="8" t="b">
        <f t="shared" si="5"/>
        <v>1</v>
      </c>
      <c r="AW60" s="8">
        <f t="shared" si="4"/>
        <v>5</v>
      </c>
    </row>
    <row r="61" spans="1:49" ht="18" customHeight="1">
      <c r="A61" s="8">
        <v>43</v>
      </c>
      <c r="B61" s="43">
        <v>43</v>
      </c>
      <c r="C61" s="77">
        <v>46684</v>
      </c>
      <c r="D61" s="78">
        <v>1</v>
      </c>
      <c r="E61" s="78">
        <v>2</v>
      </c>
      <c r="F61" s="78">
        <v>2</v>
      </c>
      <c r="G61" s="78">
        <v>0</v>
      </c>
      <c r="H61" s="78">
        <v>2</v>
      </c>
      <c r="I61" s="78">
        <v>1</v>
      </c>
      <c r="J61" s="78">
        <v>0</v>
      </c>
      <c r="K61" s="78">
        <v>2</v>
      </c>
      <c r="L61" s="78">
        <v>0</v>
      </c>
      <c r="M61" s="78">
        <v>2</v>
      </c>
      <c r="N61" s="79">
        <v>4</v>
      </c>
      <c r="O61" s="79">
        <v>3</v>
      </c>
      <c r="P61" s="79">
        <v>3</v>
      </c>
      <c r="Q61" s="79">
        <v>0</v>
      </c>
      <c r="R61" s="79" t="s">
        <v>252</v>
      </c>
      <c r="S61" s="79" t="s">
        <v>252</v>
      </c>
      <c r="T61" s="79">
        <v>2</v>
      </c>
      <c r="U61" s="79">
        <v>4</v>
      </c>
      <c r="V61" s="79">
        <v>3</v>
      </c>
      <c r="W61" s="79">
        <v>3</v>
      </c>
      <c r="X61" s="79">
        <v>3</v>
      </c>
      <c r="Y61" s="79">
        <v>2</v>
      </c>
      <c r="Z61" s="79" t="s">
        <v>252</v>
      </c>
      <c r="AA61" s="79" t="s">
        <v>252</v>
      </c>
      <c r="AB61" s="79" t="s">
        <v>252</v>
      </c>
      <c r="AC61" s="63">
        <f t="shared" si="1"/>
        <v>39</v>
      </c>
      <c r="AD61" s="7"/>
      <c r="AE61" s="7"/>
      <c r="AF61" s="7"/>
      <c r="AG61" s="223"/>
      <c r="AH61" s="8" t="b">
        <f t="shared" si="5"/>
        <v>0</v>
      </c>
      <c r="AI61" s="8" t="b">
        <f t="shared" si="5"/>
        <v>0</v>
      </c>
      <c r="AJ61" s="8" t="b">
        <f t="shared" si="5"/>
        <v>0</v>
      </c>
      <c r="AK61" s="8" t="b">
        <f t="shared" si="5"/>
        <v>0</v>
      </c>
      <c r="AL61" s="8" t="b">
        <f t="shared" si="5"/>
        <v>1</v>
      </c>
      <c r="AM61" s="8" t="b">
        <f t="shared" si="5"/>
        <v>1</v>
      </c>
      <c r="AN61" s="8" t="b">
        <f t="shared" si="5"/>
        <v>0</v>
      </c>
      <c r="AO61" s="8" t="b">
        <f t="shared" si="5"/>
        <v>0</v>
      </c>
      <c r="AP61" s="8" t="b">
        <f t="shared" si="5"/>
        <v>0</v>
      </c>
      <c r="AQ61" s="8" t="b">
        <f t="shared" si="5"/>
        <v>0</v>
      </c>
      <c r="AR61" s="8" t="b">
        <f t="shared" si="5"/>
        <v>0</v>
      </c>
      <c r="AS61" s="8" t="b">
        <f t="shared" si="5"/>
        <v>0</v>
      </c>
      <c r="AT61" s="8" t="b">
        <f t="shared" si="5"/>
        <v>1</v>
      </c>
      <c r="AU61" s="8" t="b">
        <f t="shared" si="5"/>
        <v>1</v>
      </c>
      <c r="AV61" s="8" t="b">
        <f t="shared" si="5"/>
        <v>1</v>
      </c>
      <c r="AW61" s="8">
        <f t="shared" si="4"/>
        <v>5</v>
      </c>
    </row>
    <row r="62" spans="1:49" ht="18" customHeight="1">
      <c r="A62" s="8">
        <v>44</v>
      </c>
      <c r="B62" s="43">
        <v>44</v>
      </c>
      <c r="C62" s="77">
        <v>46685</v>
      </c>
      <c r="D62" s="78">
        <v>2</v>
      </c>
      <c r="E62" s="78">
        <v>2</v>
      </c>
      <c r="F62" s="78">
        <v>1</v>
      </c>
      <c r="G62" s="78">
        <v>2</v>
      </c>
      <c r="H62" s="78">
        <v>2</v>
      </c>
      <c r="I62" s="78">
        <v>1</v>
      </c>
      <c r="J62" s="78">
        <v>2</v>
      </c>
      <c r="K62" s="78">
        <v>1</v>
      </c>
      <c r="L62" s="78">
        <v>2</v>
      </c>
      <c r="M62" s="78">
        <v>2</v>
      </c>
      <c r="N62" s="79">
        <v>4</v>
      </c>
      <c r="O62" s="79">
        <v>3</v>
      </c>
      <c r="P62" s="79">
        <v>5</v>
      </c>
      <c r="Q62" s="79">
        <v>3</v>
      </c>
      <c r="R62" s="79" t="s">
        <v>252</v>
      </c>
      <c r="S62" s="79" t="s">
        <v>252</v>
      </c>
      <c r="T62" s="79">
        <v>5</v>
      </c>
      <c r="U62" s="79">
        <v>3</v>
      </c>
      <c r="V62" s="79">
        <v>4</v>
      </c>
      <c r="W62" s="79">
        <v>3</v>
      </c>
      <c r="X62" s="79">
        <v>3</v>
      </c>
      <c r="Y62" s="79">
        <v>2</v>
      </c>
      <c r="Z62" s="79" t="s">
        <v>252</v>
      </c>
      <c r="AA62" s="79" t="s">
        <v>252</v>
      </c>
      <c r="AB62" s="79" t="s">
        <v>252</v>
      </c>
      <c r="AC62" s="63">
        <f t="shared" si="1"/>
        <v>52</v>
      </c>
      <c r="AD62" s="7"/>
      <c r="AE62" s="7"/>
      <c r="AF62" s="7"/>
      <c r="AG62" s="223"/>
      <c r="AH62" s="8" t="b">
        <f t="shared" si="5"/>
        <v>0</v>
      </c>
      <c r="AI62" s="8" t="b">
        <f t="shared" si="5"/>
        <v>0</v>
      </c>
      <c r="AJ62" s="8" t="b">
        <f t="shared" si="5"/>
        <v>0</v>
      </c>
      <c r="AK62" s="8" t="b">
        <f t="shared" si="5"/>
        <v>0</v>
      </c>
      <c r="AL62" s="8" t="b">
        <f t="shared" si="5"/>
        <v>1</v>
      </c>
      <c r="AM62" s="8" t="b">
        <f t="shared" si="5"/>
        <v>1</v>
      </c>
      <c r="AN62" s="8" t="b">
        <f t="shared" si="5"/>
        <v>0</v>
      </c>
      <c r="AO62" s="8" t="b">
        <f t="shared" si="5"/>
        <v>0</v>
      </c>
      <c r="AP62" s="8" t="b">
        <f t="shared" si="5"/>
        <v>0</v>
      </c>
      <c r="AQ62" s="8" t="b">
        <f t="shared" si="5"/>
        <v>0</v>
      </c>
      <c r="AR62" s="8" t="b">
        <f t="shared" si="5"/>
        <v>0</v>
      </c>
      <c r="AS62" s="8" t="b">
        <f t="shared" si="5"/>
        <v>0</v>
      </c>
      <c r="AT62" s="8" t="b">
        <f t="shared" si="5"/>
        <v>1</v>
      </c>
      <c r="AU62" s="8" t="b">
        <f t="shared" si="5"/>
        <v>1</v>
      </c>
      <c r="AV62" s="8" t="b">
        <f t="shared" si="5"/>
        <v>1</v>
      </c>
      <c r="AW62" s="8">
        <f t="shared" si="4"/>
        <v>5</v>
      </c>
    </row>
    <row r="63" spans="1:49" ht="18" customHeight="1">
      <c r="A63" s="8">
        <v>45</v>
      </c>
      <c r="B63" s="43">
        <v>45</v>
      </c>
      <c r="C63" s="77">
        <v>46686</v>
      </c>
      <c r="D63" s="78">
        <v>2</v>
      </c>
      <c r="E63" s="78">
        <v>2</v>
      </c>
      <c r="F63" s="78">
        <v>2</v>
      </c>
      <c r="G63" s="78">
        <v>2</v>
      </c>
      <c r="H63" s="78">
        <v>2</v>
      </c>
      <c r="I63" s="78">
        <v>2</v>
      </c>
      <c r="J63" s="78">
        <v>2</v>
      </c>
      <c r="K63" s="78">
        <v>2</v>
      </c>
      <c r="L63" s="78">
        <v>2</v>
      </c>
      <c r="M63" s="78">
        <v>2</v>
      </c>
      <c r="N63" s="79">
        <v>4</v>
      </c>
      <c r="O63" s="79">
        <v>5</v>
      </c>
      <c r="P63" s="79">
        <v>5</v>
      </c>
      <c r="Q63" s="79">
        <v>5</v>
      </c>
      <c r="R63" s="79" t="s">
        <v>252</v>
      </c>
      <c r="S63" s="79" t="s">
        <v>252</v>
      </c>
      <c r="T63" s="79">
        <v>4</v>
      </c>
      <c r="U63" s="79">
        <v>3</v>
      </c>
      <c r="V63" s="79" t="s">
        <v>252</v>
      </c>
      <c r="W63" s="79" t="s">
        <v>252</v>
      </c>
      <c r="X63" s="79">
        <v>2</v>
      </c>
      <c r="Y63" s="79">
        <v>3</v>
      </c>
      <c r="Z63" s="79">
        <v>4</v>
      </c>
      <c r="AA63" s="79">
        <v>5</v>
      </c>
      <c r="AB63" s="79" t="s">
        <v>252</v>
      </c>
      <c r="AC63" s="63">
        <f t="shared" si="1"/>
        <v>60</v>
      </c>
      <c r="AD63" s="7"/>
      <c r="AE63" s="7"/>
      <c r="AF63" s="7"/>
      <c r="AG63" s="223"/>
      <c r="AH63" s="8" t="b">
        <f t="shared" si="5"/>
        <v>0</v>
      </c>
      <c r="AI63" s="8" t="b">
        <f t="shared" si="5"/>
        <v>0</v>
      </c>
      <c r="AJ63" s="8" t="b">
        <f t="shared" si="5"/>
        <v>0</v>
      </c>
      <c r="AK63" s="8" t="b">
        <f t="shared" si="5"/>
        <v>0</v>
      </c>
      <c r="AL63" s="8" t="b">
        <f t="shared" si="5"/>
        <v>1</v>
      </c>
      <c r="AM63" s="8" t="b">
        <f t="shared" si="5"/>
        <v>1</v>
      </c>
      <c r="AN63" s="8" t="b">
        <f t="shared" si="5"/>
        <v>0</v>
      </c>
      <c r="AO63" s="8" t="b">
        <f t="shared" si="5"/>
        <v>0</v>
      </c>
      <c r="AP63" s="8" t="b">
        <f t="shared" si="5"/>
        <v>1</v>
      </c>
      <c r="AQ63" s="8" t="b">
        <f t="shared" si="5"/>
        <v>1</v>
      </c>
      <c r="AR63" s="8" t="b">
        <f t="shared" si="5"/>
        <v>0</v>
      </c>
      <c r="AS63" s="8" t="b">
        <f t="shared" si="5"/>
        <v>0</v>
      </c>
      <c r="AT63" s="8" t="b">
        <f t="shared" si="5"/>
        <v>0</v>
      </c>
      <c r="AU63" s="8" t="b">
        <f t="shared" si="5"/>
        <v>0</v>
      </c>
      <c r="AV63" s="8" t="b">
        <f t="shared" si="5"/>
        <v>1</v>
      </c>
      <c r="AW63" s="8">
        <f t="shared" si="4"/>
        <v>5</v>
      </c>
    </row>
    <row r="64" spans="1:49" ht="18" customHeight="1">
      <c r="A64" s="8">
        <v>46</v>
      </c>
      <c r="B64" s="43">
        <v>46</v>
      </c>
      <c r="C64" s="77">
        <v>46687</v>
      </c>
      <c r="D64" s="78">
        <v>2</v>
      </c>
      <c r="E64" s="78">
        <v>2</v>
      </c>
      <c r="F64" s="78">
        <v>2</v>
      </c>
      <c r="G64" s="78">
        <v>2</v>
      </c>
      <c r="H64" s="78">
        <v>2</v>
      </c>
      <c r="I64" s="78">
        <v>1</v>
      </c>
      <c r="J64" s="78">
        <v>2</v>
      </c>
      <c r="K64" s="78">
        <v>2</v>
      </c>
      <c r="L64" s="78">
        <v>2</v>
      </c>
      <c r="M64" s="78">
        <v>2</v>
      </c>
      <c r="N64" s="79">
        <v>3</v>
      </c>
      <c r="O64" s="79">
        <v>4</v>
      </c>
      <c r="P64" s="79">
        <v>5</v>
      </c>
      <c r="Q64" s="79">
        <v>3</v>
      </c>
      <c r="R64" s="79">
        <v>4</v>
      </c>
      <c r="S64" s="79">
        <v>3</v>
      </c>
      <c r="T64" s="79">
        <v>6</v>
      </c>
      <c r="U64" s="79">
        <v>4</v>
      </c>
      <c r="V64" s="79" t="s">
        <v>252</v>
      </c>
      <c r="W64" s="79" t="s">
        <v>252</v>
      </c>
      <c r="X64" s="79" t="s">
        <v>252</v>
      </c>
      <c r="Y64" s="79" t="s">
        <v>252</v>
      </c>
      <c r="Z64" s="79" t="s">
        <v>252</v>
      </c>
      <c r="AA64" s="79">
        <v>2</v>
      </c>
      <c r="AB64" s="79">
        <v>4</v>
      </c>
      <c r="AC64" s="63">
        <f t="shared" si="1"/>
        <v>57</v>
      </c>
      <c r="AD64" s="7"/>
      <c r="AE64" s="7"/>
      <c r="AF64" s="7"/>
      <c r="AG64" s="223"/>
      <c r="AH64" s="8" t="b">
        <f t="shared" si="5"/>
        <v>0</v>
      </c>
      <c r="AI64" s="8" t="b">
        <f t="shared" si="5"/>
        <v>0</v>
      </c>
      <c r="AJ64" s="8" t="b">
        <f t="shared" si="5"/>
        <v>0</v>
      </c>
      <c r="AK64" s="8" t="b">
        <f t="shared" si="5"/>
        <v>0</v>
      </c>
      <c r="AL64" s="8" t="b">
        <f t="shared" si="5"/>
        <v>0</v>
      </c>
      <c r="AM64" s="8" t="b">
        <f t="shared" si="5"/>
        <v>0</v>
      </c>
      <c r="AN64" s="8" t="b">
        <f t="shared" si="5"/>
        <v>0</v>
      </c>
      <c r="AO64" s="8" t="b">
        <f t="shared" si="5"/>
        <v>0</v>
      </c>
      <c r="AP64" s="8" t="b">
        <f t="shared" si="5"/>
        <v>1</v>
      </c>
      <c r="AQ64" s="8" t="b">
        <f t="shared" si="5"/>
        <v>1</v>
      </c>
      <c r="AR64" s="8" t="b">
        <f t="shared" si="5"/>
        <v>1</v>
      </c>
      <c r="AS64" s="8" t="b">
        <f t="shared" si="5"/>
        <v>1</v>
      </c>
      <c r="AT64" s="8" t="b">
        <f t="shared" si="5"/>
        <v>1</v>
      </c>
      <c r="AU64" s="8" t="b">
        <f t="shared" si="5"/>
        <v>0</v>
      </c>
      <c r="AV64" s="8" t="b">
        <f t="shared" si="5"/>
        <v>0</v>
      </c>
      <c r="AW64" s="8">
        <f t="shared" si="4"/>
        <v>5</v>
      </c>
    </row>
    <row r="65" spans="1:49" ht="18" customHeight="1">
      <c r="A65" s="8">
        <v>47</v>
      </c>
      <c r="B65" s="43">
        <v>47</v>
      </c>
      <c r="C65" s="77">
        <v>46688</v>
      </c>
      <c r="D65" s="78">
        <v>1</v>
      </c>
      <c r="E65" s="78">
        <v>1</v>
      </c>
      <c r="F65" s="78">
        <v>2</v>
      </c>
      <c r="G65" s="78">
        <v>1</v>
      </c>
      <c r="H65" s="78">
        <v>1</v>
      </c>
      <c r="I65" s="78">
        <v>0</v>
      </c>
      <c r="J65" s="78">
        <v>1</v>
      </c>
      <c r="K65" s="78">
        <v>0</v>
      </c>
      <c r="L65" s="78">
        <v>2</v>
      </c>
      <c r="M65" s="78">
        <v>1</v>
      </c>
      <c r="N65" s="79">
        <v>4</v>
      </c>
      <c r="O65" s="79">
        <v>2</v>
      </c>
      <c r="P65" s="79">
        <v>5</v>
      </c>
      <c r="Q65" s="79">
        <v>2</v>
      </c>
      <c r="R65" s="79" t="s">
        <v>252</v>
      </c>
      <c r="S65" s="79" t="s">
        <v>252</v>
      </c>
      <c r="T65" s="79">
        <v>4</v>
      </c>
      <c r="U65" s="79">
        <v>2</v>
      </c>
      <c r="V65" s="79" t="s">
        <v>252</v>
      </c>
      <c r="W65" s="79" t="s">
        <v>252</v>
      </c>
      <c r="X65" s="79">
        <v>2</v>
      </c>
      <c r="Y65" s="79">
        <v>2</v>
      </c>
      <c r="Z65" s="79" t="s">
        <v>252</v>
      </c>
      <c r="AA65" s="79">
        <v>3</v>
      </c>
      <c r="AB65" s="79">
        <v>3</v>
      </c>
      <c r="AC65" s="63">
        <f t="shared" si="1"/>
        <v>39</v>
      </c>
      <c r="AD65" s="7"/>
      <c r="AE65" s="7"/>
      <c r="AF65" s="7"/>
      <c r="AG65" s="223"/>
      <c r="AH65" s="8" t="b">
        <f t="shared" si="5"/>
        <v>0</v>
      </c>
      <c r="AI65" s="8" t="b">
        <f t="shared" si="5"/>
        <v>0</v>
      </c>
      <c r="AJ65" s="8" t="b">
        <f t="shared" si="5"/>
        <v>0</v>
      </c>
      <c r="AK65" s="8" t="b">
        <f t="shared" si="5"/>
        <v>0</v>
      </c>
      <c r="AL65" s="8" t="b">
        <f t="shared" si="5"/>
        <v>1</v>
      </c>
      <c r="AM65" s="8" t="b">
        <f t="shared" si="5"/>
        <v>1</v>
      </c>
      <c r="AN65" s="8" t="b">
        <f t="shared" si="5"/>
        <v>0</v>
      </c>
      <c r="AO65" s="8" t="b">
        <f t="shared" si="5"/>
        <v>0</v>
      </c>
      <c r="AP65" s="8" t="b">
        <f t="shared" si="5"/>
        <v>1</v>
      </c>
      <c r="AQ65" s="8" t="b">
        <f t="shared" si="5"/>
        <v>1</v>
      </c>
      <c r="AR65" s="8" t="b">
        <f t="shared" si="5"/>
        <v>0</v>
      </c>
      <c r="AS65" s="8" t="b">
        <f t="shared" si="5"/>
        <v>0</v>
      </c>
      <c r="AT65" s="8" t="b">
        <f t="shared" si="5"/>
        <v>1</v>
      </c>
      <c r="AU65" s="8" t="b">
        <f t="shared" si="5"/>
        <v>0</v>
      </c>
      <c r="AV65" s="8" t="b">
        <f t="shared" si="5"/>
        <v>0</v>
      </c>
      <c r="AW65" s="8">
        <f t="shared" si="4"/>
        <v>5</v>
      </c>
    </row>
    <row r="66" spans="1:49" ht="18" customHeight="1">
      <c r="A66" s="8">
        <v>48</v>
      </c>
      <c r="B66" s="43">
        <v>48</v>
      </c>
      <c r="C66" s="77">
        <v>46689</v>
      </c>
      <c r="D66" s="78">
        <v>1</v>
      </c>
      <c r="E66" s="78">
        <v>1</v>
      </c>
      <c r="F66" s="78">
        <v>2</v>
      </c>
      <c r="G66" s="78">
        <v>2</v>
      </c>
      <c r="H66" s="78">
        <v>2</v>
      </c>
      <c r="I66" s="78">
        <v>1</v>
      </c>
      <c r="J66" s="78">
        <v>0</v>
      </c>
      <c r="K66" s="78">
        <v>2</v>
      </c>
      <c r="L66" s="78">
        <v>1</v>
      </c>
      <c r="M66" s="78">
        <v>1</v>
      </c>
      <c r="N66" s="79">
        <v>4</v>
      </c>
      <c r="O66" s="79">
        <v>4</v>
      </c>
      <c r="P66" s="79">
        <v>4</v>
      </c>
      <c r="Q66" s="79">
        <v>3</v>
      </c>
      <c r="R66" s="79" t="s">
        <v>252</v>
      </c>
      <c r="S66" s="79" t="s">
        <v>252</v>
      </c>
      <c r="T66" s="79">
        <v>3</v>
      </c>
      <c r="U66" s="79">
        <v>2</v>
      </c>
      <c r="V66" s="79">
        <v>4</v>
      </c>
      <c r="W66" s="79">
        <v>4</v>
      </c>
      <c r="X66" s="79" t="s">
        <v>252</v>
      </c>
      <c r="Y66" s="79" t="s">
        <v>252</v>
      </c>
      <c r="Z66" s="79">
        <v>3</v>
      </c>
      <c r="AA66" s="79" t="s">
        <v>252</v>
      </c>
      <c r="AB66" s="79">
        <v>2</v>
      </c>
      <c r="AC66" s="63">
        <f t="shared" si="1"/>
        <v>46</v>
      </c>
      <c r="AD66" s="7"/>
      <c r="AE66" s="7"/>
      <c r="AF66" s="7"/>
      <c r="AG66" s="223"/>
      <c r="AH66" s="8" t="b">
        <f t="shared" si="5"/>
        <v>0</v>
      </c>
      <c r="AI66" s="8" t="b">
        <f t="shared" si="5"/>
        <v>0</v>
      </c>
      <c r="AJ66" s="8" t="b">
        <f t="shared" si="5"/>
        <v>0</v>
      </c>
      <c r="AK66" s="8" t="b">
        <f t="shared" si="5"/>
        <v>0</v>
      </c>
      <c r="AL66" s="8" t="b">
        <f t="shared" si="5"/>
        <v>1</v>
      </c>
      <c r="AM66" s="8" t="b">
        <f t="shared" si="5"/>
        <v>1</v>
      </c>
      <c r="AN66" s="8" t="b">
        <f t="shared" si="5"/>
        <v>0</v>
      </c>
      <c r="AO66" s="8" t="b">
        <f t="shared" si="5"/>
        <v>0</v>
      </c>
      <c r="AP66" s="8" t="b">
        <f t="shared" si="5"/>
        <v>0</v>
      </c>
      <c r="AQ66" s="8" t="b">
        <f t="shared" si="5"/>
        <v>0</v>
      </c>
      <c r="AR66" s="8" t="b">
        <f t="shared" si="5"/>
        <v>1</v>
      </c>
      <c r="AS66" s="8" t="b">
        <f t="shared" si="5"/>
        <v>1</v>
      </c>
      <c r="AT66" s="8" t="b">
        <f t="shared" si="5"/>
        <v>0</v>
      </c>
      <c r="AU66" s="8" t="b">
        <f t="shared" si="5"/>
        <v>1</v>
      </c>
      <c r="AV66" s="8" t="b">
        <f t="shared" si="5"/>
        <v>0</v>
      </c>
      <c r="AW66" s="8">
        <f t="shared" si="4"/>
        <v>5</v>
      </c>
    </row>
    <row r="67" spans="1:49" ht="18" customHeight="1">
      <c r="A67" s="8">
        <v>49</v>
      </c>
      <c r="B67" s="43">
        <v>49</v>
      </c>
      <c r="C67" s="77">
        <v>46690</v>
      </c>
      <c r="D67" s="78">
        <v>1</v>
      </c>
      <c r="E67" s="78">
        <v>1</v>
      </c>
      <c r="F67" s="78">
        <v>2</v>
      </c>
      <c r="G67" s="78">
        <v>2</v>
      </c>
      <c r="H67" s="78">
        <v>2</v>
      </c>
      <c r="I67" s="78">
        <v>1</v>
      </c>
      <c r="J67" s="78">
        <v>1</v>
      </c>
      <c r="K67" s="78">
        <v>2</v>
      </c>
      <c r="L67" s="78">
        <v>1</v>
      </c>
      <c r="M67" s="78">
        <v>2</v>
      </c>
      <c r="N67" s="79">
        <v>4</v>
      </c>
      <c r="O67" s="79">
        <v>4</v>
      </c>
      <c r="P67" s="79">
        <v>5</v>
      </c>
      <c r="Q67" s="79">
        <v>4</v>
      </c>
      <c r="R67" s="79">
        <v>4</v>
      </c>
      <c r="S67" s="79">
        <v>4</v>
      </c>
      <c r="T67" s="79" t="s">
        <v>252</v>
      </c>
      <c r="U67" s="79" t="s">
        <v>252</v>
      </c>
      <c r="V67" s="79" t="s">
        <v>252</v>
      </c>
      <c r="W67" s="79" t="s">
        <v>252</v>
      </c>
      <c r="X67" s="79">
        <v>1</v>
      </c>
      <c r="Y67" s="79">
        <v>2</v>
      </c>
      <c r="Z67" s="79">
        <v>3</v>
      </c>
      <c r="AA67" s="79">
        <v>5</v>
      </c>
      <c r="AB67" s="79" t="s">
        <v>252</v>
      </c>
      <c r="AC67" s="63">
        <f t="shared" si="1"/>
        <v>51</v>
      </c>
      <c r="AD67" s="7"/>
      <c r="AE67" s="7"/>
      <c r="AF67" s="7"/>
      <c r="AG67" s="223"/>
      <c r="AH67" s="8" t="b">
        <f t="shared" si="5"/>
        <v>0</v>
      </c>
      <c r="AI67" s="8" t="b">
        <f t="shared" si="5"/>
        <v>0</v>
      </c>
      <c r="AJ67" s="8" t="b">
        <f t="shared" si="5"/>
        <v>0</v>
      </c>
      <c r="AK67" s="8" t="b">
        <f t="shared" si="5"/>
        <v>0</v>
      </c>
      <c r="AL67" s="8" t="b">
        <f t="shared" si="5"/>
        <v>0</v>
      </c>
      <c r="AM67" s="8" t="b">
        <f t="shared" si="5"/>
        <v>0</v>
      </c>
      <c r="AN67" s="8" t="b">
        <f t="shared" si="5"/>
        <v>1</v>
      </c>
      <c r="AO67" s="8" t="b">
        <f t="shared" si="5"/>
        <v>1</v>
      </c>
      <c r="AP67" s="8" t="b">
        <f t="shared" si="5"/>
        <v>1</v>
      </c>
      <c r="AQ67" s="8" t="b">
        <f t="shared" si="5"/>
        <v>1</v>
      </c>
      <c r="AR67" s="8" t="b">
        <f t="shared" si="5"/>
        <v>0</v>
      </c>
      <c r="AS67" s="8" t="b">
        <f t="shared" si="5"/>
        <v>0</v>
      </c>
      <c r="AT67" s="8" t="b">
        <f t="shared" si="5"/>
        <v>0</v>
      </c>
      <c r="AU67" s="8" t="b">
        <f t="shared" si="5"/>
        <v>0</v>
      </c>
      <c r="AV67" s="8" t="b">
        <f t="shared" si="5"/>
        <v>1</v>
      </c>
      <c r="AW67" s="8">
        <f t="shared" si="4"/>
        <v>5</v>
      </c>
    </row>
    <row r="68" spans="1:49" ht="18" customHeight="1">
      <c r="A68" s="8">
        <v>50</v>
      </c>
      <c r="B68" s="43">
        <v>50</v>
      </c>
      <c r="C68" s="77">
        <v>46691</v>
      </c>
      <c r="D68" s="78">
        <v>1</v>
      </c>
      <c r="E68" s="78">
        <v>1</v>
      </c>
      <c r="F68" s="78">
        <v>2</v>
      </c>
      <c r="G68" s="78">
        <v>2</v>
      </c>
      <c r="H68" s="78">
        <v>2</v>
      </c>
      <c r="I68" s="78">
        <v>2</v>
      </c>
      <c r="J68" s="78">
        <v>2</v>
      </c>
      <c r="K68" s="78">
        <v>0</v>
      </c>
      <c r="L68" s="78">
        <v>1</v>
      </c>
      <c r="M68" s="78">
        <v>2</v>
      </c>
      <c r="N68" s="79">
        <v>4</v>
      </c>
      <c r="O68" s="79">
        <v>6</v>
      </c>
      <c r="P68" s="79">
        <v>5</v>
      </c>
      <c r="Q68" s="79">
        <v>5</v>
      </c>
      <c r="R68" s="79" t="s">
        <v>252</v>
      </c>
      <c r="S68" s="79" t="s">
        <v>252</v>
      </c>
      <c r="T68" s="79">
        <v>6</v>
      </c>
      <c r="U68" s="79">
        <v>4</v>
      </c>
      <c r="V68" s="79" t="s">
        <v>252</v>
      </c>
      <c r="W68" s="79" t="s">
        <v>252</v>
      </c>
      <c r="X68" s="79">
        <v>5</v>
      </c>
      <c r="Y68" s="79">
        <v>2</v>
      </c>
      <c r="Z68" s="79">
        <v>4</v>
      </c>
      <c r="AA68" s="79" t="s">
        <v>252</v>
      </c>
      <c r="AB68" s="79">
        <v>3</v>
      </c>
      <c r="AC68" s="63">
        <f t="shared" si="1"/>
        <v>59</v>
      </c>
      <c r="AD68" s="7"/>
      <c r="AE68" s="7"/>
      <c r="AF68" s="7"/>
      <c r="AG68" s="223"/>
      <c r="AH68" s="8" t="b">
        <f t="shared" ref="AH68:AV84" si="6">ISTEXT(N68)</f>
        <v>0</v>
      </c>
      <c r="AI68" s="8" t="b">
        <f t="shared" si="6"/>
        <v>0</v>
      </c>
      <c r="AJ68" s="8" t="b">
        <f t="shared" si="6"/>
        <v>0</v>
      </c>
      <c r="AK68" s="8" t="b">
        <f t="shared" si="6"/>
        <v>0</v>
      </c>
      <c r="AL68" s="8" t="b">
        <f t="shared" si="6"/>
        <v>1</v>
      </c>
      <c r="AM68" s="8" t="b">
        <f t="shared" si="6"/>
        <v>1</v>
      </c>
      <c r="AN68" s="8" t="b">
        <f t="shared" si="6"/>
        <v>0</v>
      </c>
      <c r="AO68" s="8" t="b">
        <f t="shared" si="6"/>
        <v>0</v>
      </c>
      <c r="AP68" s="8" t="b">
        <f t="shared" si="6"/>
        <v>1</v>
      </c>
      <c r="AQ68" s="8" t="b">
        <f t="shared" si="6"/>
        <v>1</v>
      </c>
      <c r="AR68" s="8" t="b">
        <f t="shared" si="6"/>
        <v>0</v>
      </c>
      <c r="AS68" s="8" t="b">
        <f t="shared" si="6"/>
        <v>0</v>
      </c>
      <c r="AT68" s="8" t="b">
        <f t="shared" si="6"/>
        <v>0</v>
      </c>
      <c r="AU68" s="8" t="b">
        <f t="shared" si="6"/>
        <v>1</v>
      </c>
      <c r="AV68" s="8" t="b">
        <f t="shared" si="6"/>
        <v>0</v>
      </c>
      <c r="AW68" s="8">
        <f t="shared" si="4"/>
        <v>5</v>
      </c>
    </row>
    <row r="69" spans="1:49" ht="18" customHeight="1">
      <c r="A69" s="8">
        <v>51</v>
      </c>
      <c r="B69" s="43">
        <v>51</v>
      </c>
      <c r="C69" s="77">
        <v>46692</v>
      </c>
      <c r="D69" s="78">
        <v>2</v>
      </c>
      <c r="E69" s="78">
        <v>2</v>
      </c>
      <c r="F69" s="78">
        <v>2</v>
      </c>
      <c r="G69" s="78">
        <v>2</v>
      </c>
      <c r="H69" s="78">
        <v>2</v>
      </c>
      <c r="I69" s="78">
        <v>1</v>
      </c>
      <c r="J69" s="78">
        <v>0</v>
      </c>
      <c r="K69" s="78">
        <v>2</v>
      </c>
      <c r="L69" s="78">
        <v>2</v>
      </c>
      <c r="M69" s="78">
        <v>2</v>
      </c>
      <c r="N69" s="79">
        <v>4</v>
      </c>
      <c r="O69" s="79">
        <v>6</v>
      </c>
      <c r="P69" s="79" t="s">
        <v>252</v>
      </c>
      <c r="Q69" s="79" t="s">
        <v>252</v>
      </c>
      <c r="R69" s="79">
        <v>2</v>
      </c>
      <c r="S69" s="79">
        <v>6</v>
      </c>
      <c r="T69" s="79">
        <v>6</v>
      </c>
      <c r="U69" s="79">
        <v>4</v>
      </c>
      <c r="V69" s="79" t="s">
        <v>252</v>
      </c>
      <c r="W69" s="79" t="s">
        <v>252</v>
      </c>
      <c r="X69" s="79">
        <v>4</v>
      </c>
      <c r="Y69" s="79">
        <v>4</v>
      </c>
      <c r="Z69" s="79">
        <v>4</v>
      </c>
      <c r="AA69" s="79">
        <v>3</v>
      </c>
      <c r="AB69" s="79" t="s">
        <v>252</v>
      </c>
      <c r="AC69" s="63">
        <f t="shared" si="1"/>
        <v>60</v>
      </c>
      <c r="AD69" s="7"/>
      <c r="AE69" s="7"/>
      <c r="AF69" s="7"/>
      <c r="AG69" s="223"/>
      <c r="AH69" s="8" t="b">
        <f t="shared" si="6"/>
        <v>0</v>
      </c>
      <c r="AI69" s="8" t="b">
        <f t="shared" si="6"/>
        <v>0</v>
      </c>
      <c r="AJ69" s="8" t="b">
        <f t="shared" si="6"/>
        <v>1</v>
      </c>
      <c r="AK69" s="8" t="b">
        <f t="shared" si="6"/>
        <v>1</v>
      </c>
      <c r="AL69" s="8" t="b">
        <f t="shared" si="6"/>
        <v>0</v>
      </c>
      <c r="AM69" s="8" t="b">
        <f t="shared" si="6"/>
        <v>0</v>
      </c>
      <c r="AN69" s="8" t="b">
        <f t="shared" si="6"/>
        <v>0</v>
      </c>
      <c r="AO69" s="8" t="b">
        <f t="shared" si="6"/>
        <v>0</v>
      </c>
      <c r="AP69" s="8" t="b">
        <f t="shared" si="6"/>
        <v>1</v>
      </c>
      <c r="AQ69" s="8" t="b">
        <f t="shared" si="6"/>
        <v>1</v>
      </c>
      <c r="AR69" s="8" t="b">
        <f t="shared" si="6"/>
        <v>0</v>
      </c>
      <c r="AS69" s="8" t="b">
        <f t="shared" si="6"/>
        <v>0</v>
      </c>
      <c r="AT69" s="8" t="b">
        <f t="shared" si="6"/>
        <v>0</v>
      </c>
      <c r="AU69" s="8" t="b">
        <f t="shared" si="6"/>
        <v>0</v>
      </c>
      <c r="AV69" s="8" t="b">
        <f t="shared" si="6"/>
        <v>1</v>
      </c>
      <c r="AW69" s="8">
        <f t="shared" si="4"/>
        <v>5</v>
      </c>
    </row>
    <row r="70" spans="1:49" ht="18" customHeight="1">
      <c r="A70" s="8">
        <v>52</v>
      </c>
      <c r="B70" s="43">
        <v>52</v>
      </c>
      <c r="C70" s="77">
        <v>46693</v>
      </c>
      <c r="D70" s="78">
        <v>2</v>
      </c>
      <c r="E70" s="78">
        <v>1</v>
      </c>
      <c r="F70" s="78">
        <v>2</v>
      </c>
      <c r="G70" s="78">
        <v>2</v>
      </c>
      <c r="H70" s="78">
        <v>2</v>
      </c>
      <c r="I70" s="78">
        <v>1</v>
      </c>
      <c r="J70" s="78">
        <v>2</v>
      </c>
      <c r="K70" s="78">
        <v>2</v>
      </c>
      <c r="L70" s="78">
        <v>2</v>
      </c>
      <c r="M70" s="78">
        <v>2</v>
      </c>
      <c r="N70" s="79">
        <v>4</v>
      </c>
      <c r="O70" s="79">
        <v>4</v>
      </c>
      <c r="P70" s="79">
        <v>5</v>
      </c>
      <c r="Q70" s="79">
        <v>2</v>
      </c>
      <c r="R70" s="79" t="s">
        <v>252</v>
      </c>
      <c r="S70" s="79" t="s">
        <v>252</v>
      </c>
      <c r="T70" s="79">
        <v>2</v>
      </c>
      <c r="U70" s="79">
        <v>2</v>
      </c>
      <c r="V70" s="79" t="s">
        <v>252</v>
      </c>
      <c r="W70" s="79" t="s">
        <v>252</v>
      </c>
      <c r="X70" s="79">
        <v>2</v>
      </c>
      <c r="Y70" s="79">
        <v>3</v>
      </c>
      <c r="Z70" s="79">
        <v>4</v>
      </c>
      <c r="AA70" s="79">
        <v>2</v>
      </c>
      <c r="AB70" s="79" t="s">
        <v>252</v>
      </c>
      <c r="AC70" s="63">
        <f t="shared" si="1"/>
        <v>48</v>
      </c>
      <c r="AD70" s="7"/>
      <c r="AE70" s="7"/>
      <c r="AF70" s="7"/>
      <c r="AG70" s="223"/>
      <c r="AH70" s="8" t="b">
        <f t="shared" si="6"/>
        <v>0</v>
      </c>
      <c r="AI70" s="8" t="b">
        <f t="shared" si="6"/>
        <v>0</v>
      </c>
      <c r="AJ70" s="8" t="b">
        <f t="shared" si="6"/>
        <v>0</v>
      </c>
      <c r="AK70" s="8" t="b">
        <f t="shared" si="6"/>
        <v>0</v>
      </c>
      <c r="AL70" s="8" t="b">
        <f t="shared" si="6"/>
        <v>1</v>
      </c>
      <c r="AM70" s="8" t="b">
        <f t="shared" si="6"/>
        <v>1</v>
      </c>
      <c r="AN70" s="8" t="b">
        <f t="shared" si="6"/>
        <v>0</v>
      </c>
      <c r="AO70" s="8" t="b">
        <f t="shared" si="6"/>
        <v>0</v>
      </c>
      <c r="AP70" s="8" t="b">
        <f t="shared" si="6"/>
        <v>1</v>
      </c>
      <c r="AQ70" s="8" t="b">
        <f t="shared" si="6"/>
        <v>1</v>
      </c>
      <c r="AR70" s="8" t="b">
        <f t="shared" si="6"/>
        <v>0</v>
      </c>
      <c r="AS70" s="8" t="b">
        <f t="shared" si="6"/>
        <v>0</v>
      </c>
      <c r="AT70" s="8" t="b">
        <f t="shared" si="6"/>
        <v>0</v>
      </c>
      <c r="AU70" s="8" t="b">
        <f t="shared" si="6"/>
        <v>0</v>
      </c>
      <c r="AV70" s="8" t="b">
        <f t="shared" si="6"/>
        <v>1</v>
      </c>
      <c r="AW70" s="8">
        <f t="shared" si="4"/>
        <v>5</v>
      </c>
    </row>
    <row r="71" spans="1:49" ht="18" customHeight="1">
      <c r="A71" s="8">
        <v>53</v>
      </c>
      <c r="B71" s="43">
        <v>53</v>
      </c>
      <c r="C71" s="77">
        <v>46694</v>
      </c>
      <c r="D71" s="78">
        <v>1</v>
      </c>
      <c r="E71" s="78">
        <v>1</v>
      </c>
      <c r="F71" s="78">
        <v>2</v>
      </c>
      <c r="G71" s="78">
        <v>2</v>
      </c>
      <c r="H71" s="78">
        <v>2</v>
      </c>
      <c r="I71" s="78">
        <v>1</v>
      </c>
      <c r="J71" s="78">
        <v>0</v>
      </c>
      <c r="K71" s="78">
        <v>0</v>
      </c>
      <c r="L71" s="78">
        <v>2</v>
      </c>
      <c r="M71" s="78">
        <v>2</v>
      </c>
      <c r="N71" s="79">
        <v>4</v>
      </c>
      <c r="O71" s="79">
        <v>5</v>
      </c>
      <c r="P71" s="79" t="s">
        <v>252</v>
      </c>
      <c r="Q71" s="79" t="s">
        <v>252</v>
      </c>
      <c r="R71" s="79">
        <v>2</v>
      </c>
      <c r="S71" s="79">
        <v>3</v>
      </c>
      <c r="T71" s="79">
        <v>4</v>
      </c>
      <c r="U71" s="79">
        <v>2</v>
      </c>
      <c r="V71" s="79" t="s">
        <v>252</v>
      </c>
      <c r="W71" s="79" t="s">
        <v>252</v>
      </c>
      <c r="X71" s="79">
        <v>3</v>
      </c>
      <c r="Y71" s="79">
        <v>2</v>
      </c>
      <c r="Z71" s="79">
        <v>3</v>
      </c>
      <c r="AA71" s="79" t="s">
        <v>252</v>
      </c>
      <c r="AB71" s="79">
        <v>3</v>
      </c>
      <c r="AC71" s="63">
        <f t="shared" si="1"/>
        <v>44</v>
      </c>
      <c r="AD71" s="7"/>
      <c r="AE71" s="7"/>
      <c r="AF71" s="7"/>
      <c r="AG71" s="223"/>
      <c r="AH71" s="8" t="b">
        <f t="shared" si="6"/>
        <v>0</v>
      </c>
      <c r="AI71" s="8" t="b">
        <f t="shared" si="6"/>
        <v>0</v>
      </c>
      <c r="AJ71" s="8" t="b">
        <f t="shared" si="6"/>
        <v>1</v>
      </c>
      <c r="AK71" s="8" t="b">
        <f t="shared" si="6"/>
        <v>1</v>
      </c>
      <c r="AL71" s="8" t="b">
        <f t="shared" si="6"/>
        <v>0</v>
      </c>
      <c r="AM71" s="8" t="b">
        <f t="shared" si="6"/>
        <v>0</v>
      </c>
      <c r="AN71" s="8" t="b">
        <f t="shared" si="6"/>
        <v>0</v>
      </c>
      <c r="AO71" s="8" t="b">
        <f t="shared" si="6"/>
        <v>0</v>
      </c>
      <c r="AP71" s="8" t="b">
        <f t="shared" si="6"/>
        <v>1</v>
      </c>
      <c r="AQ71" s="8" t="b">
        <f t="shared" si="6"/>
        <v>1</v>
      </c>
      <c r="AR71" s="8" t="b">
        <f t="shared" si="6"/>
        <v>0</v>
      </c>
      <c r="AS71" s="8" t="b">
        <f t="shared" si="6"/>
        <v>0</v>
      </c>
      <c r="AT71" s="8" t="b">
        <f t="shared" si="6"/>
        <v>0</v>
      </c>
      <c r="AU71" s="8" t="b">
        <f t="shared" si="6"/>
        <v>1</v>
      </c>
      <c r="AV71" s="8" t="b">
        <f t="shared" si="6"/>
        <v>0</v>
      </c>
      <c r="AW71" s="8">
        <f t="shared" si="4"/>
        <v>5</v>
      </c>
    </row>
    <row r="72" spans="1:49" ht="18" customHeight="1">
      <c r="A72" s="8">
        <v>54</v>
      </c>
      <c r="B72" s="43">
        <v>54</v>
      </c>
      <c r="C72" s="77">
        <v>46695</v>
      </c>
      <c r="D72" s="78">
        <v>1</v>
      </c>
      <c r="E72" s="78">
        <v>1</v>
      </c>
      <c r="F72" s="78">
        <v>0</v>
      </c>
      <c r="G72" s="78">
        <v>1</v>
      </c>
      <c r="H72" s="78">
        <v>2</v>
      </c>
      <c r="I72" s="78">
        <v>1</v>
      </c>
      <c r="J72" s="78">
        <v>2</v>
      </c>
      <c r="K72" s="78">
        <v>0</v>
      </c>
      <c r="L72" s="78">
        <v>2</v>
      </c>
      <c r="M72" s="78">
        <v>2</v>
      </c>
      <c r="N72" s="79">
        <v>4</v>
      </c>
      <c r="O72" s="79">
        <v>5</v>
      </c>
      <c r="P72" s="79">
        <v>4</v>
      </c>
      <c r="Q72" s="79">
        <v>2</v>
      </c>
      <c r="R72" s="79" t="s">
        <v>252</v>
      </c>
      <c r="S72" s="79" t="s">
        <v>252</v>
      </c>
      <c r="T72" s="79">
        <v>4</v>
      </c>
      <c r="U72" s="79">
        <v>2</v>
      </c>
      <c r="V72" s="79" t="s">
        <v>252</v>
      </c>
      <c r="W72" s="79" t="s">
        <v>252</v>
      </c>
      <c r="X72" s="79">
        <v>3</v>
      </c>
      <c r="Y72" s="79">
        <v>2</v>
      </c>
      <c r="Z72" s="79">
        <v>3</v>
      </c>
      <c r="AA72" s="79" t="s">
        <v>252</v>
      </c>
      <c r="AB72" s="79">
        <v>3</v>
      </c>
      <c r="AC72" s="63">
        <f t="shared" si="1"/>
        <v>44</v>
      </c>
      <c r="AD72" s="7"/>
      <c r="AE72" s="7"/>
      <c r="AF72" s="7"/>
      <c r="AG72" s="223"/>
      <c r="AH72" s="8" t="b">
        <f t="shared" si="6"/>
        <v>0</v>
      </c>
      <c r="AI72" s="8" t="b">
        <f t="shared" si="6"/>
        <v>0</v>
      </c>
      <c r="AJ72" s="8" t="b">
        <f t="shared" si="6"/>
        <v>0</v>
      </c>
      <c r="AK72" s="8" t="b">
        <f t="shared" si="6"/>
        <v>0</v>
      </c>
      <c r="AL72" s="8" t="b">
        <f t="shared" si="6"/>
        <v>1</v>
      </c>
      <c r="AM72" s="8" t="b">
        <f t="shared" si="6"/>
        <v>1</v>
      </c>
      <c r="AN72" s="8" t="b">
        <f t="shared" si="6"/>
        <v>0</v>
      </c>
      <c r="AO72" s="8" t="b">
        <f t="shared" si="6"/>
        <v>0</v>
      </c>
      <c r="AP72" s="8" t="b">
        <f t="shared" si="6"/>
        <v>1</v>
      </c>
      <c r="AQ72" s="8" t="b">
        <f t="shared" si="6"/>
        <v>1</v>
      </c>
      <c r="AR72" s="8" t="b">
        <f t="shared" si="6"/>
        <v>0</v>
      </c>
      <c r="AS72" s="8" t="b">
        <f t="shared" si="6"/>
        <v>0</v>
      </c>
      <c r="AT72" s="8" t="b">
        <f t="shared" si="6"/>
        <v>0</v>
      </c>
      <c r="AU72" s="8" t="b">
        <f t="shared" si="6"/>
        <v>1</v>
      </c>
      <c r="AV72" s="8" t="b">
        <f t="shared" si="6"/>
        <v>0</v>
      </c>
      <c r="AW72" s="8">
        <f t="shared" si="4"/>
        <v>5</v>
      </c>
    </row>
    <row r="73" spans="1:49" ht="18" customHeight="1">
      <c r="A73" s="8">
        <v>55</v>
      </c>
      <c r="B73" s="43">
        <v>55</v>
      </c>
      <c r="C73" s="77">
        <v>46696</v>
      </c>
      <c r="D73" s="78">
        <v>2</v>
      </c>
      <c r="E73" s="78">
        <v>0</v>
      </c>
      <c r="F73" s="78">
        <v>0</v>
      </c>
      <c r="G73" s="78">
        <v>0</v>
      </c>
      <c r="H73" s="78">
        <v>2</v>
      </c>
      <c r="I73" s="78">
        <v>1</v>
      </c>
      <c r="J73" s="78">
        <v>0</v>
      </c>
      <c r="K73" s="78">
        <v>2</v>
      </c>
      <c r="L73" s="78">
        <v>0</v>
      </c>
      <c r="M73" s="78">
        <v>2</v>
      </c>
      <c r="N73" s="79">
        <v>4</v>
      </c>
      <c r="O73" s="79">
        <v>5</v>
      </c>
      <c r="P73" s="79">
        <v>4</v>
      </c>
      <c r="Q73" s="79">
        <v>2</v>
      </c>
      <c r="R73" s="79" t="s">
        <v>252</v>
      </c>
      <c r="S73" s="79" t="s">
        <v>252</v>
      </c>
      <c r="T73" s="79">
        <v>4</v>
      </c>
      <c r="U73" s="79">
        <v>3</v>
      </c>
      <c r="V73" s="79" t="s">
        <v>252</v>
      </c>
      <c r="W73" s="79" t="s">
        <v>252</v>
      </c>
      <c r="X73" s="79">
        <v>3</v>
      </c>
      <c r="Y73" s="79">
        <v>0</v>
      </c>
      <c r="Z73" s="79">
        <v>2</v>
      </c>
      <c r="AA73" s="79">
        <v>1</v>
      </c>
      <c r="AB73" s="79" t="s">
        <v>252</v>
      </c>
      <c r="AC73" s="63">
        <f t="shared" si="1"/>
        <v>37</v>
      </c>
      <c r="AD73" s="7"/>
      <c r="AE73" s="7"/>
      <c r="AF73" s="7"/>
      <c r="AG73" s="223"/>
      <c r="AH73" s="8" t="b">
        <f t="shared" si="6"/>
        <v>0</v>
      </c>
      <c r="AI73" s="8" t="b">
        <f t="shared" si="6"/>
        <v>0</v>
      </c>
      <c r="AJ73" s="8" t="b">
        <f t="shared" si="6"/>
        <v>0</v>
      </c>
      <c r="AK73" s="8" t="b">
        <f t="shared" si="6"/>
        <v>0</v>
      </c>
      <c r="AL73" s="8" t="b">
        <f t="shared" si="6"/>
        <v>1</v>
      </c>
      <c r="AM73" s="8" t="b">
        <f t="shared" si="6"/>
        <v>1</v>
      </c>
      <c r="AN73" s="8" t="b">
        <f t="shared" si="6"/>
        <v>0</v>
      </c>
      <c r="AO73" s="8" t="b">
        <f t="shared" si="6"/>
        <v>0</v>
      </c>
      <c r="AP73" s="8" t="b">
        <f t="shared" si="6"/>
        <v>1</v>
      </c>
      <c r="AQ73" s="8" t="b">
        <f t="shared" si="6"/>
        <v>1</v>
      </c>
      <c r="AR73" s="8" t="b">
        <f t="shared" si="6"/>
        <v>0</v>
      </c>
      <c r="AS73" s="8" t="b">
        <f t="shared" si="6"/>
        <v>0</v>
      </c>
      <c r="AT73" s="8" t="b">
        <f t="shared" si="6"/>
        <v>0</v>
      </c>
      <c r="AU73" s="8" t="b">
        <f t="shared" si="6"/>
        <v>0</v>
      </c>
      <c r="AV73" s="8" t="b">
        <f t="shared" si="6"/>
        <v>1</v>
      </c>
      <c r="AW73" s="8">
        <f t="shared" si="4"/>
        <v>5</v>
      </c>
    </row>
    <row r="74" spans="1:49" ht="18" customHeight="1">
      <c r="A74" s="8">
        <v>56</v>
      </c>
      <c r="B74" s="43">
        <v>56</v>
      </c>
      <c r="C74" s="77">
        <v>46697</v>
      </c>
      <c r="D74" s="78">
        <v>2</v>
      </c>
      <c r="E74" s="78">
        <v>0</v>
      </c>
      <c r="F74" s="78">
        <v>0</v>
      </c>
      <c r="G74" s="78">
        <v>1</v>
      </c>
      <c r="H74" s="78">
        <v>2</v>
      </c>
      <c r="I74" s="78">
        <v>1</v>
      </c>
      <c r="J74" s="78">
        <v>0</v>
      </c>
      <c r="K74" s="78">
        <v>0</v>
      </c>
      <c r="L74" s="78">
        <v>2</v>
      </c>
      <c r="M74" s="78">
        <v>2</v>
      </c>
      <c r="N74" s="79">
        <v>4</v>
      </c>
      <c r="O74" s="79">
        <v>4</v>
      </c>
      <c r="P74" s="79">
        <v>4</v>
      </c>
      <c r="Q74" s="79">
        <v>1</v>
      </c>
      <c r="R74" s="79" t="s">
        <v>252</v>
      </c>
      <c r="S74" s="79" t="s">
        <v>252</v>
      </c>
      <c r="T74" s="79">
        <v>5</v>
      </c>
      <c r="U74" s="79">
        <v>4</v>
      </c>
      <c r="V74" s="79">
        <v>4</v>
      </c>
      <c r="W74" s="79">
        <v>0</v>
      </c>
      <c r="X74" s="79">
        <v>5</v>
      </c>
      <c r="Y74" s="79">
        <v>2</v>
      </c>
      <c r="Z74" s="79" t="s">
        <v>252</v>
      </c>
      <c r="AA74" s="79" t="s">
        <v>252</v>
      </c>
      <c r="AB74" s="79" t="s">
        <v>252</v>
      </c>
      <c r="AC74" s="63">
        <f t="shared" si="1"/>
        <v>43</v>
      </c>
      <c r="AD74" s="7"/>
      <c r="AE74" s="7"/>
      <c r="AF74" s="7"/>
      <c r="AG74" s="223"/>
      <c r="AH74" s="8" t="b">
        <f t="shared" si="6"/>
        <v>0</v>
      </c>
      <c r="AI74" s="8" t="b">
        <f t="shared" si="6"/>
        <v>0</v>
      </c>
      <c r="AJ74" s="8" t="b">
        <f t="shared" si="6"/>
        <v>0</v>
      </c>
      <c r="AK74" s="8" t="b">
        <f t="shared" si="6"/>
        <v>0</v>
      </c>
      <c r="AL74" s="8" t="b">
        <f t="shared" si="6"/>
        <v>1</v>
      </c>
      <c r="AM74" s="8" t="b">
        <f t="shared" si="6"/>
        <v>1</v>
      </c>
      <c r="AN74" s="8" t="b">
        <f t="shared" si="6"/>
        <v>0</v>
      </c>
      <c r="AO74" s="8" t="b">
        <f t="shared" si="6"/>
        <v>0</v>
      </c>
      <c r="AP74" s="8" t="b">
        <f t="shared" si="6"/>
        <v>0</v>
      </c>
      <c r="AQ74" s="8" t="b">
        <f t="shared" si="6"/>
        <v>0</v>
      </c>
      <c r="AR74" s="8" t="b">
        <f t="shared" si="6"/>
        <v>0</v>
      </c>
      <c r="AS74" s="8" t="b">
        <f t="shared" si="6"/>
        <v>0</v>
      </c>
      <c r="AT74" s="8" t="b">
        <f t="shared" si="6"/>
        <v>1</v>
      </c>
      <c r="AU74" s="8" t="b">
        <f t="shared" si="6"/>
        <v>1</v>
      </c>
      <c r="AV74" s="8" t="b">
        <f t="shared" si="6"/>
        <v>1</v>
      </c>
      <c r="AW74" s="8">
        <f t="shared" si="4"/>
        <v>5</v>
      </c>
    </row>
    <row r="75" spans="1:49" ht="18" customHeight="1">
      <c r="A75" s="8">
        <v>57</v>
      </c>
      <c r="B75" s="43">
        <v>57</v>
      </c>
      <c r="C75" s="77">
        <v>46698</v>
      </c>
      <c r="D75" s="78">
        <v>1</v>
      </c>
      <c r="E75" s="78">
        <v>2</v>
      </c>
      <c r="F75" s="78">
        <v>0</v>
      </c>
      <c r="G75" s="78">
        <v>2</v>
      </c>
      <c r="H75" s="78">
        <v>2</v>
      </c>
      <c r="I75" s="78">
        <v>0</v>
      </c>
      <c r="J75" s="78">
        <v>0</v>
      </c>
      <c r="K75" s="78">
        <v>0</v>
      </c>
      <c r="L75" s="78">
        <v>0</v>
      </c>
      <c r="M75" s="78">
        <v>2</v>
      </c>
      <c r="N75" s="79">
        <v>4</v>
      </c>
      <c r="O75" s="79">
        <v>5</v>
      </c>
      <c r="P75" s="79">
        <v>3</v>
      </c>
      <c r="Q75" s="79">
        <v>2</v>
      </c>
      <c r="R75" s="79" t="s">
        <v>252</v>
      </c>
      <c r="S75" s="79" t="s">
        <v>252</v>
      </c>
      <c r="T75" s="79">
        <v>4</v>
      </c>
      <c r="U75" s="79">
        <v>2</v>
      </c>
      <c r="V75" s="79" t="s">
        <v>252</v>
      </c>
      <c r="W75" s="79" t="s">
        <v>252</v>
      </c>
      <c r="X75" s="79">
        <v>4</v>
      </c>
      <c r="Y75" s="79">
        <v>2</v>
      </c>
      <c r="Z75" s="79">
        <v>1</v>
      </c>
      <c r="AA75" s="79">
        <v>2</v>
      </c>
      <c r="AB75" s="79" t="s">
        <v>252</v>
      </c>
      <c r="AC75" s="63">
        <f t="shared" si="1"/>
        <v>38</v>
      </c>
      <c r="AD75" s="7"/>
      <c r="AE75" s="7"/>
      <c r="AF75" s="7"/>
      <c r="AG75" s="223"/>
      <c r="AH75" s="8" t="b">
        <f t="shared" si="6"/>
        <v>0</v>
      </c>
      <c r="AI75" s="8" t="b">
        <f t="shared" si="6"/>
        <v>0</v>
      </c>
      <c r="AJ75" s="8" t="b">
        <f t="shared" si="6"/>
        <v>0</v>
      </c>
      <c r="AK75" s="8" t="b">
        <f t="shared" si="6"/>
        <v>0</v>
      </c>
      <c r="AL75" s="8" t="b">
        <f t="shared" si="6"/>
        <v>1</v>
      </c>
      <c r="AM75" s="8" t="b">
        <f t="shared" si="6"/>
        <v>1</v>
      </c>
      <c r="AN75" s="8" t="b">
        <f t="shared" si="6"/>
        <v>0</v>
      </c>
      <c r="AO75" s="8" t="b">
        <f t="shared" si="6"/>
        <v>0</v>
      </c>
      <c r="AP75" s="8" t="b">
        <f t="shared" si="6"/>
        <v>1</v>
      </c>
      <c r="AQ75" s="8" t="b">
        <f t="shared" si="6"/>
        <v>1</v>
      </c>
      <c r="AR75" s="8" t="b">
        <f t="shared" si="6"/>
        <v>0</v>
      </c>
      <c r="AS75" s="8" t="b">
        <f t="shared" si="6"/>
        <v>0</v>
      </c>
      <c r="AT75" s="8" t="b">
        <f t="shared" si="6"/>
        <v>0</v>
      </c>
      <c r="AU75" s="8" t="b">
        <f t="shared" si="6"/>
        <v>0</v>
      </c>
      <c r="AV75" s="8" t="b">
        <f t="shared" si="6"/>
        <v>1</v>
      </c>
      <c r="AW75" s="8">
        <f t="shared" si="4"/>
        <v>5</v>
      </c>
    </row>
    <row r="76" spans="1:49" ht="18" customHeight="1">
      <c r="A76" s="8">
        <v>58</v>
      </c>
      <c r="B76" s="43">
        <v>58</v>
      </c>
      <c r="C76" s="77">
        <v>46699</v>
      </c>
      <c r="D76" s="78">
        <v>2</v>
      </c>
      <c r="E76" s="78">
        <v>2</v>
      </c>
      <c r="F76" s="78">
        <v>2</v>
      </c>
      <c r="G76" s="78">
        <v>2</v>
      </c>
      <c r="H76" s="78">
        <v>2</v>
      </c>
      <c r="I76" s="78">
        <v>2</v>
      </c>
      <c r="J76" s="78">
        <v>2</v>
      </c>
      <c r="K76" s="78">
        <v>2</v>
      </c>
      <c r="L76" s="78">
        <v>2</v>
      </c>
      <c r="M76" s="78">
        <v>2</v>
      </c>
      <c r="N76" s="79">
        <v>4</v>
      </c>
      <c r="O76" s="79">
        <v>6</v>
      </c>
      <c r="P76" s="79">
        <v>5</v>
      </c>
      <c r="Q76" s="79">
        <v>5</v>
      </c>
      <c r="R76" s="79">
        <v>4</v>
      </c>
      <c r="S76" s="79">
        <v>6</v>
      </c>
      <c r="T76" s="79">
        <v>6</v>
      </c>
      <c r="U76" s="79">
        <v>1</v>
      </c>
      <c r="V76" s="79" t="s">
        <v>252</v>
      </c>
      <c r="W76" s="79" t="s">
        <v>252</v>
      </c>
      <c r="X76" s="79">
        <v>4</v>
      </c>
      <c r="Y76" s="79">
        <v>5</v>
      </c>
      <c r="Z76" s="79" t="s">
        <v>252</v>
      </c>
      <c r="AA76" s="79" t="s">
        <v>252</v>
      </c>
      <c r="AB76" s="79" t="s">
        <v>252</v>
      </c>
      <c r="AC76" s="63">
        <f t="shared" si="1"/>
        <v>66</v>
      </c>
      <c r="AD76" s="7"/>
      <c r="AE76" s="7"/>
      <c r="AF76" s="7"/>
      <c r="AG76" s="223"/>
      <c r="AH76" s="8" t="b">
        <f t="shared" si="6"/>
        <v>0</v>
      </c>
      <c r="AI76" s="8" t="b">
        <f t="shared" si="6"/>
        <v>0</v>
      </c>
      <c r="AJ76" s="8" t="b">
        <f t="shared" si="6"/>
        <v>0</v>
      </c>
      <c r="AK76" s="8" t="b">
        <f t="shared" si="6"/>
        <v>0</v>
      </c>
      <c r="AL76" s="8" t="b">
        <f t="shared" si="6"/>
        <v>0</v>
      </c>
      <c r="AM76" s="8" t="b">
        <f t="shared" si="6"/>
        <v>0</v>
      </c>
      <c r="AN76" s="8" t="b">
        <f t="shared" si="6"/>
        <v>0</v>
      </c>
      <c r="AO76" s="8" t="b">
        <f t="shared" si="6"/>
        <v>0</v>
      </c>
      <c r="AP76" s="8" t="b">
        <f t="shared" si="6"/>
        <v>1</v>
      </c>
      <c r="AQ76" s="8" t="b">
        <f t="shared" si="6"/>
        <v>1</v>
      </c>
      <c r="AR76" s="8" t="b">
        <f t="shared" si="6"/>
        <v>0</v>
      </c>
      <c r="AS76" s="8" t="b">
        <f t="shared" si="6"/>
        <v>0</v>
      </c>
      <c r="AT76" s="8" t="b">
        <f t="shared" si="6"/>
        <v>1</v>
      </c>
      <c r="AU76" s="8" t="b">
        <f t="shared" si="6"/>
        <v>1</v>
      </c>
      <c r="AV76" s="8" t="b">
        <f t="shared" si="6"/>
        <v>1</v>
      </c>
      <c r="AW76" s="8">
        <f t="shared" si="4"/>
        <v>5</v>
      </c>
    </row>
    <row r="77" spans="1:49" ht="18" customHeight="1">
      <c r="A77" s="8">
        <v>59</v>
      </c>
      <c r="B77" s="43">
        <v>59</v>
      </c>
      <c r="C77" s="77">
        <v>46700</v>
      </c>
      <c r="D77" s="78">
        <v>1</v>
      </c>
      <c r="E77" s="78">
        <v>2</v>
      </c>
      <c r="F77" s="78">
        <v>2</v>
      </c>
      <c r="G77" s="78">
        <v>2</v>
      </c>
      <c r="H77" s="78">
        <v>2</v>
      </c>
      <c r="I77" s="78">
        <v>1</v>
      </c>
      <c r="J77" s="78">
        <v>0</v>
      </c>
      <c r="K77" s="78">
        <v>1</v>
      </c>
      <c r="L77" s="78">
        <v>0</v>
      </c>
      <c r="M77" s="78">
        <v>2</v>
      </c>
      <c r="N77" s="79">
        <v>4</v>
      </c>
      <c r="O77" s="79">
        <v>6</v>
      </c>
      <c r="P77" s="79">
        <v>3</v>
      </c>
      <c r="Q77" s="79">
        <v>5</v>
      </c>
      <c r="R77" s="79" t="s">
        <v>252</v>
      </c>
      <c r="S77" s="79" t="s">
        <v>252</v>
      </c>
      <c r="T77" s="79">
        <v>5</v>
      </c>
      <c r="U77" s="79">
        <v>0</v>
      </c>
      <c r="V77" s="79">
        <v>4</v>
      </c>
      <c r="W77" s="79">
        <v>3</v>
      </c>
      <c r="X77" s="79">
        <v>5</v>
      </c>
      <c r="Y77" s="79">
        <v>2</v>
      </c>
      <c r="Z77" s="79" t="s">
        <v>252</v>
      </c>
      <c r="AA77" s="79" t="s">
        <v>252</v>
      </c>
      <c r="AB77" s="79" t="s">
        <v>252</v>
      </c>
      <c r="AC77" s="63">
        <f t="shared" si="1"/>
        <v>50</v>
      </c>
      <c r="AD77" s="7"/>
      <c r="AE77" s="7"/>
      <c r="AF77" s="7"/>
      <c r="AG77" s="223"/>
      <c r="AH77" s="8" t="b">
        <f t="shared" si="6"/>
        <v>0</v>
      </c>
      <c r="AI77" s="8" t="b">
        <f t="shared" si="6"/>
        <v>0</v>
      </c>
      <c r="AJ77" s="8" t="b">
        <f t="shared" si="6"/>
        <v>0</v>
      </c>
      <c r="AK77" s="8" t="b">
        <f t="shared" si="6"/>
        <v>0</v>
      </c>
      <c r="AL77" s="8" t="b">
        <f t="shared" si="6"/>
        <v>1</v>
      </c>
      <c r="AM77" s="8" t="b">
        <f t="shared" si="6"/>
        <v>1</v>
      </c>
      <c r="AN77" s="8" t="b">
        <f t="shared" si="6"/>
        <v>0</v>
      </c>
      <c r="AO77" s="8" t="b">
        <f t="shared" si="6"/>
        <v>0</v>
      </c>
      <c r="AP77" s="8" t="b">
        <f t="shared" si="6"/>
        <v>0</v>
      </c>
      <c r="AQ77" s="8" t="b">
        <f t="shared" si="6"/>
        <v>0</v>
      </c>
      <c r="AR77" s="8" t="b">
        <f t="shared" si="6"/>
        <v>0</v>
      </c>
      <c r="AS77" s="8" t="b">
        <f t="shared" si="6"/>
        <v>0</v>
      </c>
      <c r="AT77" s="8" t="b">
        <f t="shared" si="6"/>
        <v>1</v>
      </c>
      <c r="AU77" s="8" t="b">
        <f t="shared" si="6"/>
        <v>1</v>
      </c>
      <c r="AV77" s="8" t="b">
        <f t="shared" si="6"/>
        <v>1</v>
      </c>
      <c r="AW77" s="8">
        <f t="shared" si="4"/>
        <v>5</v>
      </c>
    </row>
    <row r="78" spans="1:49" ht="18" customHeight="1">
      <c r="A78" s="8">
        <v>60</v>
      </c>
      <c r="B78" s="43">
        <v>60</v>
      </c>
      <c r="C78" s="77">
        <v>46701</v>
      </c>
      <c r="D78" s="78">
        <v>2</v>
      </c>
      <c r="E78" s="78">
        <v>2</v>
      </c>
      <c r="F78" s="78">
        <v>2</v>
      </c>
      <c r="G78" s="78">
        <v>0</v>
      </c>
      <c r="H78" s="78">
        <v>2</v>
      </c>
      <c r="I78" s="78">
        <v>0</v>
      </c>
      <c r="J78" s="78">
        <v>1</v>
      </c>
      <c r="K78" s="78">
        <v>0</v>
      </c>
      <c r="L78" s="78">
        <v>1</v>
      </c>
      <c r="M78" s="78">
        <v>2</v>
      </c>
      <c r="N78" s="79">
        <v>4</v>
      </c>
      <c r="O78" s="79">
        <v>0</v>
      </c>
      <c r="P78" s="79">
        <v>5</v>
      </c>
      <c r="Q78" s="79">
        <v>3</v>
      </c>
      <c r="R78" s="79" t="s">
        <v>252</v>
      </c>
      <c r="S78" s="79" t="s">
        <v>252</v>
      </c>
      <c r="T78" s="79">
        <v>6</v>
      </c>
      <c r="U78" s="79">
        <v>2</v>
      </c>
      <c r="V78" s="79" t="s">
        <v>252</v>
      </c>
      <c r="W78" s="79" t="s">
        <v>252</v>
      </c>
      <c r="X78" s="79">
        <v>3</v>
      </c>
      <c r="Y78" s="79">
        <v>5</v>
      </c>
      <c r="Z78" s="79">
        <v>4</v>
      </c>
      <c r="AA78" s="79">
        <v>4</v>
      </c>
      <c r="AB78" s="79" t="s">
        <v>252</v>
      </c>
      <c r="AC78" s="63">
        <f t="shared" si="1"/>
        <v>48</v>
      </c>
      <c r="AD78" s="7"/>
      <c r="AE78" s="7"/>
      <c r="AF78" s="7"/>
      <c r="AG78" s="223"/>
      <c r="AH78" s="8" t="b">
        <f t="shared" si="6"/>
        <v>0</v>
      </c>
      <c r="AI78" s="8" t="b">
        <f t="shared" si="6"/>
        <v>0</v>
      </c>
      <c r="AJ78" s="8" t="b">
        <f t="shared" si="6"/>
        <v>0</v>
      </c>
      <c r="AK78" s="8" t="b">
        <f t="shared" si="6"/>
        <v>0</v>
      </c>
      <c r="AL78" s="8" t="b">
        <f t="shared" si="6"/>
        <v>1</v>
      </c>
      <c r="AM78" s="8" t="b">
        <f t="shared" si="6"/>
        <v>1</v>
      </c>
      <c r="AN78" s="8" t="b">
        <f t="shared" si="6"/>
        <v>0</v>
      </c>
      <c r="AO78" s="8" t="b">
        <f t="shared" si="6"/>
        <v>0</v>
      </c>
      <c r="AP78" s="8" t="b">
        <f t="shared" si="6"/>
        <v>1</v>
      </c>
      <c r="AQ78" s="8" t="b">
        <f t="shared" si="6"/>
        <v>1</v>
      </c>
      <c r="AR78" s="8" t="b">
        <f t="shared" si="6"/>
        <v>0</v>
      </c>
      <c r="AS78" s="8" t="b">
        <f t="shared" si="6"/>
        <v>0</v>
      </c>
      <c r="AT78" s="8" t="b">
        <f t="shared" si="6"/>
        <v>0</v>
      </c>
      <c r="AU78" s="8" t="b">
        <f t="shared" si="6"/>
        <v>0</v>
      </c>
      <c r="AV78" s="8" t="b">
        <f t="shared" si="6"/>
        <v>1</v>
      </c>
      <c r="AW78" s="8">
        <f t="shared" si="4"/>
        <v>5</v>
      </c>
    </row>
    <row r="79" spans="1:49" ht="18" customHeight="1">
      <c r="A79" s="8">
        <v>61</v>
      </c>
      <c r="B79" s="43">
        <v>61</v>
      </c>
      <c r="C79" s="77">
        <v>46702</v>
      </c>
      <c r="D79" s="78">
        <v>2</v>
      </c>
      <c r="E79" s="78">
        <v>1</v>
      </c>
      <c r="F79" s="78">
        <v>2</v>
      </c>
      <c r="G79" s="78">
        <v>2</v>
      </c>
      <c r="H79" s="78">
        <v>2</v>
      </c>
      <c r="I79" s="78">
        <v>1</v>
      </c>
      <c r="J79" s="78">
        <v>1</v>
      </c>
      <c r="K79" s="78">
        <v>1</v>
      </c>
      <c r="L79" s="78">
        <v>1</v>
      </c>
      <c r="M79" s="78">
        <v>2</v>
      </c>
      <c r="N79" s="79">
        <v>4</v>
      </c>
      <c r="O79" s="79">
        <v>5</v>
      </c>
      <c r="P79" s="79">
        <v>5</v>
      </c>
      <c r="Q79" s="79">
        <v>5</v>
      </c>
      <c r="R79" s="79">
        <v>2</v>
      </c>
      <c r="S79" s="79">
        <v>4</v>
      </c>
      <c r="T79" s="79">
        <v>5</v>
      </c>
      <c r="U79" s="79">
        <v>4</v>
      </c>
      <c r="V79" s="79" t="s">
        <v>252</v>
      </c>
      <c r="W79" s="79" t="s">
        <v>252</v>
      </c>
      <c r="X79" s="79">
        <v>2</v>
      </c>
      <c r="Y79" s="79">
        <v>2</v>
      </c>
      <c r="Z79" s="79" t="s">
        <v>252</v>
      </c>
      <c r="AA79" s="79" t="s">
        <v>252</v>
      </c>
      <c r="AB79" s="79" t="s">
        <v>252</v>
      </c>
      <c r="AC79" s="63">
        <f t="shared" si="1"/>
        <v>53</v>
      </c>
      <c r="AD79" s="7"/>
      <c r="AE79" s="7"/>
      <c r="AF79" s="7"/>
      <c r="AG79" s="223"/>
      <c r="AH79" s="8" t="b">
        <f t="shared" si="6"/>
        <v>0</v>
      </c>
      <c r="AI79" s="8" t="b">
        <f t="shared" si="6"/>
        <v>0</v>
      </c>
      <c r="AJ79" s="8" t="b">
        <f t="shared" si="6"/>
        <v>0</v>
      </c>
      <c r="AK79" s="8" t="b">
        <f t="shared" si="6"/>
        <v>0</v>
      </c>
      <c r="AL79" s="8" t="b">
        <f t="shared" si="6"/>
        <v>0</v>
      </c>
      <c r="AM79" s="8" t="b">
        <f t="shared" si="6"/>
        <v>0</v>
      </c>
      <c r="AN79" s="8" t="b">
        <f t="shared" si="6"/>
        <v>0</v>
      </c>
      <c r="AO79" s="8" t="b">
        <f t="shared" si="6"/>
        <v>0</v>
      </c>
      <c r="AP79" s="8" t="b">
        <f t="shared" si="6"/>
        <v>1</v>
      </c>
      <c r="AQ79" s="8" t="b">
        <f t="shared" si="6"/>
        <v>1</v>
      </c>
      <c r="AR79" s="8" t="b">
        <f t="shared" si="6"/>
        <v>0</v>
      </c>
      <c r="AS79" s="8" t="b">
        <f t="shared" si="6"/>
        <v>0</v>
      </c>
      <c r="AT79" s="8" t="b">
        <f t="shared" si="6"/>
        <v>1</v>
      </c>
      <c r="AU79" s="8" t="b">
        <f t="shared" si="6"/>
        <v>1</v>
      </c>
      <c r="AV79" s="8" t="b">
        <f t="shared" si="6"/>
        <v>1</v>
      </c>
      <c r="AW79" s="8">
        <f t="shared" si="4"/>
        <v>5</v>
      </c>
    </row>
    <row r="80" spans="1:49" ht="18" customHeight="1">
      <c r="A80" s="8">
        <v>62</v>
      </c>
      <c r="B80" s="43">
        <v>62</v>
      </c>
      <c r="C80" s="77">
        <v>46703</v>
      </c>
      <c r="D80" s="78">
        <v>1</v>
      </c>
      <c r="E80" s="78">
        <v>1</v>
      </c>
      <c r="F80" s="78">
        <v>2</v>
      </c>
      <c r="G80" s="78">
        <v>1</v>
      </c>
      <c r="H80" s="78">
        <v>2</v>
      </c>
      <c r="I80" s="78">
        <v>1</v>
      </c>
      <c r="J80" s="78">
        <v>0</v>
      </c>
      <c r="K80" s="78">
        <v>2</v>
      </c>
      <c r="L80" s="78">
        <v>0</v>
      </c>
      <c r="M80" s="78">
        <v>2</v>
      </c>
      <c r="N80" s="79">
        <v>3</v>
      </c>
      <c r="O80" s="79">
        <v>4</v>
      </c>
      <c r="P80" s="79">
        <v>4</v>
      </c>
      <c r="Q80" s="79">
        <v>5</v>
      </c>
      <c r="R80" s="79" t="s">
        <v>252</v>
      </c>
      <c r="S80" s="79" t="s">
        <v>252</v>
      </c>
      <c r="T80" s="79">
        <v>6</v>
      </c>
      <c r="U80" s="79">
        <v>0</v>
      </c>
      <c r="V80" s="79">
        <v>3</v>
      </c>
      <c r="W80" s="79">
        <v>3</v>
      </c>
      <c r="X80" s="79">
        <v>5</v>
      </c>
      <c r="Y80" s="79">
        <v>2</v>
      </c>
      <c r="Z80" s="79" t="s">
        <v>252</v>
      </c>
      <c r="AA80" s="79" t="s">
        <v>252</v>
      </c>
      <c r="AB80" s="79" t="s">
        <v>252</v>
      </c>
      <c r="AC80" s="63">
        <f t="shared" si="1"/>
        <v>47</v>
      </c>
      <c r="AD80" s="7"/>
      <c r="AE80" s="7"/>
      <c r="AF80" s="7"/>
      <c r="AG80" s="223"/>
      <c r="AH80" s="8" t="b">
        <f t="shared" si="6"/>
        <v>0</v>
      </c>
      <c r="AI80" s="8" t="b">
        <f t="shared" si="6"/>
        <v>0</v>
      </c>
      <c r="AJ80" s="8" t="b">
        <f t="shared" si="6"/>
        <v>0</v>
      </c>
      <c r="AK80" s="8" t="b">
        <f t="shared" si="6"/>
        <v>0</v>
      </c>
      <c r="AL80" s="8" t="b">
        <f t="shared" si="6"/>
        <v>1</v>
      </c>
      <c r="AM80" s="8" t="b">
        <f t="shared" si="6"/>
        <v>1</v>
      </c>
      <c r="AN80" s="8" t="b">
        <f t="shared" si="6"/>
        <v>0</v>
      </c>
      <c r="AO80" s="8" t="b">
        <f t="shared" si="6"/>
        <v>0</v>
      </c>
      <c r="AP80" s="8" t="b">
        <f t="shared" si="6"/>
        <v>0</v>
      </c>
      <c r="AQ80" s="8" t="b">
        <f t="shared" si="6"/>
        <v>0</v>
      </c>
      <c r="AR80" s="8" t="b">
        <f t="shared" si="6"/>
        <v>0</v>
      </c>
      <c r="AS80" s="8" t="b">
        <f t="shared" si="6"/>
        <v>0</v>
      </c>
      <c r="AT80" s="8" t="b">
        <f t="shared" si="6"/>
        <v>1</v>
      </c>
      <c r="AU80" s="8" t="b">
        <f t="shared" si="6"/>
        <v>1</v>
      </c>
      <c r="AV80" s="8" t="b">
        <f t="shared" si="6"/>
        <v>1</v>
      </c>
      <c r="AW80" s="8">
        <f t="shared" si="4"/>
        <v>5</v>
      </c>
    </row>
    <row r="81" spans="1:49" ht="18" customHeight="1">
      <c r="A81" s="8">
        <v>63</v>
      </c>
      <c r="B81" s="43">
        <v>63</v>
      </c>
      <c r="C81" s="77">
        <v>46704</v>
      </c>
      <c r="D81" s="78">
        <v>2</v>
      </c>
      <c r="E81" s="78">
        <v>2</v>
      </c>
      <c r="F81" s="78">
        <v>2</v>
      </c>
      <c r="G81" s="78">
        <v>2</v>
      </c>
      <c r="H81" s="78">
        <v>2</v>
      </c>
      <c r="I81" s="78">
        <v>1</v>
      </c>
      <c r="J81" s="78">
        <v>0</v>
      </c>
      <c r="K81" s="78">
        <v>0</v>
      </c>
      <c r="L81" s="78">
        <v>1</v>
      </c>
      <c r="M81" s="78">
        <v>2</v>
      </c>
      <c r="N81" s="79">
        <v>4</v>
      </c>
      <c r="O81" s="79">
        <v>2</v>
      </c>
      <c r="P81" s="79">
        <v>4</v>
      </c>
      <c r="Q81" s="79">
        <v>4</v>
      </c>
      <c r="R81" s="79" t="s">
        <v>252</v>
      </c>
      <c r="S81" s="79" t="s">
        <v>252</v>
      </c>
      <c r="T81" s="79">
        <v>6</v>
      </c>
      <c r="U81" s="79">
        <v>4</v>
      </c>
      <c r="V81" s="79" t="s">
        <v>252</v>
      </c>
      <c r="W81" s="79" t="s">
        <v>252</v>
      </c>
      <c r="X81" s="79">
        <v>4</v>
      </c>
      <c r="Y81" s="79">
        <v>5</v>
      </c>
      <c r="Z81" s="79">
        <v>2</v>
      </c>
      <c r="AA81" s="79">
        <v>5</v>
      </c>
      <c r="AB81" s="79" t="s">
        <v>252</v>
      </c>
      <c r="AC81" s="63">
        <f t="shared" si="1"/>
        <v>54</v>
      </c>
      <c r="AD81" s="7"/>
      <c r="AE81" s="7"/>
      <c r="AF81" s="7"/>
      <c r="AG81" s="223"/>
      <c r="AH81" s="8" t="b">
        <f t="shared" si="6"/>
        <v>0</v>
      </c>
      <c r="AI81" s="8" t="b">
        <f t="shared" si="6"/>
        <v>0</v>
      </c>
      <c r="AJ81" s="8" t="b">
        <f t="shared" si="6"/>
        <v>0</v>
      </c>
      <c r="AK81" s="8" t="b">
        <f t="shared" si="6"/>
        <v>0</v>
      </c>
      <c r="AL81" s="8" t="b">
        <f t="shared" si="6"/>
        <v>1</v>
      </c>
      <c r="AM81" s="8" t="b">
        <f t="shared" si="6"/>
        <v>1</v>
      </c>
      <c r="AN81" s="8" t="b">
        <f t="shared" si="6"/>
        <v>0</v>
      </c>
      <c r="AO81" s="8" t="b">
        <f t="shared" si="6"/>
        <v>0</v>
      </c>
      <c r="AP81" s="8" t="b">
        <f t="shared" si="6"/>
        <v>1</v>
      </c>
      <c r="AQ81" s="8" t="b">
        <f t="shared" si="6"/>
        <v>1</v>
      </c>
      <c r="AR81" s="8" t="b">
        <f t="shared" si="6"/>
        <v>0</v>
      </c>
      <c r="AS81" s="8" t="b">
        <f t="shared" si="6"/>
        <v>0</v>
      </c>
      <c r="AT81" s="8" t="b">
        <f t="shared" si="6"/>
        <v>0</v>
      </c>
      <c r="AU81" s="8" t="b">
        <f t="shared" si="6"/>
        <v>0</v>
      </c>
      <c r="AV81" s="8" t="b">
        <f t="shared" si="6"/>
        <v>1</v>
      </c>
      <c r="AW81" s="8">
        <f t="shared" si="4"/>
        <v>5</v>
      </c>
    </row>
    <row r="82" spans="1:49" ht="18" customHeight="1">
      <c r="A82" s="8">
        <v>64</v>
      </c>
      <c r="B82" s="43">
        <v>64</v>
      </c>
      <c r="C82" s="77">
        <v>46705</v>
      </c>
      <c r="D82" s="78">
        <v>2</v>
      </c>
      <c r="E82" s="78">
        <v>0</v>
      </c>
      <c r="F82" s="78">
        <v>2</v>
      </c>
      <c r="G82" s="78">
        <v>1</v>
      </c>
      <c r="H82" s="78">
        <v>2</v>
      </c>
      <c r="I82" s="78">
        <v>0</v>
      </c>
      <c r="J82" s="78">
        <v>0</v>
      </c>
      <c r="K82" s="78">
        <v>2</v>
      </c>
      <c r="L82" s="78">
        <v>0</v>
      </c>
      <c r="M82" s="78">
        <v>1</v>
      </c>
      <c r="N82" s="79">
        <v>4</v>
      </c>
      <c r="O82" s="79">
        <v>2</v>
      </c>
      <c r="P82" s="79">
        <v>2</v>
      </c>
      <c r="Q82" s="79">
        <v>2</v>
      </c>
      <c r="R82" s="79" t="s">
        <v>252</v>
      </c>
      <c r="S82" s="79" t="s">
        <v>252</v>
      </c>
      <c r="T82" s="79">
        <v>2</v>
      </c>
      <c r="U82" s="79">
        <v>0</v>
      </c>
      <c r="V82" s="79" t="s">
        <v>252</v>
      </c>
      <c r="W82" s="79" t="s">
        <v>252</v>
      </c>
      <c r="X82" s="79">
        <v>3</v>
      </c>
      <c r="Y82" s="79">
        <v>3</v>
      </c>
      <c r="Z82" s="79">
        <v>0</v>
      </c>
      <c r="AA82" s="79">
        <v>0</v>
      </c>
      <c r="AB82" s="79" t="s">
        <v>252</v>
      </c>
      <c r="AC82" s="63">
        <f t="shared" si="1"/>
        <v>28</v>
      </c>
      <c r="AD82" s="7"/>
      <c r="AE82" s="7"/>
      <c r="AF82" s="7"/>
      <c r="AG82" s="223"/>
      <c r="AH82" s="8" t="b">
        <f t="shared" si="6"/>
        <v>0</v>
      </c>
      <c r="AI82" s="8" t="b">
        <f t="shared" si="6"/>
        <v>0</v>
      </c>
      <c r="AJ82" s="8" t="b">
        <f t="shared" si="6"/>
        <v>0</v>
      </c>
      <c r="AK82" s="8" t="b">
        <f t="shared" si="6"/>
        <v>0</v>
      </c>
      <c r="AL82" s="8" t="b">
        <f t="shared" si="6"/>
        <v>1</v>
      </c>
      <c r="AM82" s="8" t="b">
        <f t="shared" si="6"/>
        <v>1</v>
      </c>
      <c r="AN82" s="8" t="b">
        <f t="shared" si="6"/>
        <v>0</v>
      </c>
      <c r="AO82" s="8" t="b">
        <f t="shared" si="6"/>
        <v>0</v>
      </c>
      <c r="AP82" s="8" t="b">
        <f t="shared" si="6"/>
        <v>1</v>
      </c>
      <c r="AQ82" s="8" t="b">
        <f t="shared" si="6"/>
        <v>1</v>
      </c>
      <c r="AR82" s="8" t="b">
        <f t="shared" si="6"/>
        <v>0</v>
      </c>
      <c r="AS82" s="8" t="b">
        <f t="shared" si="6"/>
        <v>0</v>
      </c>
      <c r="AT82" s="8" t="b">
        <f t="shared" si="6"/>
        <v>0</v>
      </c>
      <c r="AU82" s="8" t="b">
        <f t="shared" si="6"/>
        <v>0</v>
      </c>
      <c r="AV82" s="8" t="b">
        <f t="shared" si="6"/>
        <v>1</v>
      </c>
      <c r="AW82" s="8">
        <f t="shared" si="4"/>
        <v>5</v>
      </c>
    </row>
    <row r="83" spans="1:49" ht="18" customHeight="1">
      <c r="A83" s="8">
        <v>65</v>
      </c>
      <c r="B83" s="43">
        <v>65</v>
      </c>
      <c r="C83" s="77">
        <v>46706</v>
      </c>
      <c r="D83" s="78">
        <v>2</v>
      </c>
      <c r="E83" s="78">
        <v>2</v>
      </c>
      <c r="F83" s="78">
        <v>2</v>
      </c>
      <c r="G83" s="78">
        <v>2</v>
      </c>
      <c r="H83" s="78">
        <v>2</v>
      </c>
      <c r="I83" s="78">
        <v>0</v>
      </c>
      <c r="J83" s="78">
        <v>1</v>
      </c>
      <c r="K83" s="78">
        <v>0</v>
      </c>
      <c r="L83" s="78">
        <v>2</v>
      </c>
      <c r="M83" s="78">
        <v>2</v>
      </c>
      <c r="N83" s="79">
        <v>4</v>
      </c>
      <c r="O83" s="79">
        <v>5</v>
      </c>
      <c r="P83" s="79" t="s">
        <v>252</v>
      </c>
      <c r="Q83" s="79" t="s">
        <v>252</v>
      </c>
      <c r="R83" s="79">
        <v>4</v>
      </c>
      <c r="S83" s="79">
        <v>6</v>
      </c>
      <c r="T83" s="79">
        <v>6</v>
      </c>
      <c r="U83" s="79">
        <v>4</v>
      </c>
      <c r="V83" s="79" t="s">
        <v>252</v>
      </c>
      <c r="W83" s="79" t="s">
        <v>252</v>
      </c>
      <c r="X83" s="79">
        <v>5</v>
      </c>
      <c r="Y83" s="79">
        <v>5</v>
      </c>
      <c r="Z83" s="79" t="s">
        <v>252</v>
      </c>
      <c r="AA83" s="79">
        <v>4</v>
      </c>
      <c r="AB83" s="79">
        <v>5</v>
      </c>
      <c r="AC83" s="63">
        <f t="shared" ref="AC83:AC146" si="7">IF(AND(A83&lt;=$K$211,AW83=5),SUM(D83:AB83),"")</f>
        <v>63</v>
      </c>
      <c r="AD83" s="7"/>
      <c r="AE83" s="7"/>
      <c r="AF83" s="7"/>
      <c r="AG83" s="223"/>
      <c r="AH83" s="8" t="b">
        <f t="shared" si="6"/>
        <v>0</v>
      </c>
      <c r="AI83" s="8" t="b">
        <f t="shared" si="6"/>
        <v>0</v>
      </c>
      <c r="AJ83" s="8" t="b">
        <f t="shared" si="6"/>
        <v>1</v>
      </c>
      <c r="AK83" s="8" t="b">
        <f t="shared" si="6"/>
        <v>1</v>
      </c>
      <c r="AL83" s="8" t="b">
        <f t="shared" si="6"/>
        <v>0</v>
      </c>
      <c r="AM83" s="8" t="b">
        <f t="shared" si="6"/>
        <v>0</v>
      </c>
      <c r="AN83" s="8" t="b">
        <f t="shared" si="6"/>
        <v>0</v>
      </c>
      <c r="AO83" s="8" t="b">
        <f t="shared" si="6"/>
        <v>0</v>
      </c>
      <c r="AP83" s="8" t="b">
        <f t="shared" si="6"/>
        <v>1</v>
      </c>
      <c r="AQ83" s="8" t="b">
        <f t="shared" si="6"/>
        <v>1</v>
      </c>
      <c r="AR83" s="8" t="b">
        <f t="shared" si="6"/>
        <v>0</v>
      </c>
      <c r="AS83" s="8" t="b">
        <f t="shared" si="6"/>
        <v>0</v>
      </c>
      <c r="AT83" s="8" t="b">
        <f t="shared" si="6"/>
        <v>1</v>
      </c>
      <c r="AU83" s="8" t="b">
        <f t="shared" si="6"/>
        <v>0</v>
      </c>
      <c r="AV83" s="8" t="b">
        <f t="shared" si="6"/>
        <v>0</v>
      </c>
      <c r="AW83" s="8">
        <f t="shared" si="4"/>
        <v>5</v>
      </c>
    </row>
    <row r="84" spans="1:49" ht="18" customHeight="1">
      <c r="A84" s="8">
        <v>66</v>
      </c>
      <c r="B84" s="43">
        <v>66</v>
      </c>
      <c r="C84" s="77">
        <v>46707</v>
      </c>
      <c r="D84" s="78">
        <v>1</v>
      </c>
      <c r="E84" s="78">
        <v>2</v>
      </c>
      <c r="F84" s="78">
        <v>2</v>
      </c>
      <c r="G84" s="78">
        <v>2</v>
      </c>
      <c r="H84" s="78">
        <v>2</v>
      </c>
      <c r="I84" s="78">
        <v>1</v>
      </c>
      <c r="J84" s="78">
        <v>2</v>
      </c>
      <c r="K84" s="78">
        <v>1</v>
      </c>
      <c r="L84" s="78">
        <v>2</v>
      </c>
      <c r="M84" s="78">
        <v>2</v>
      </c>
      <c r="N84" s="79">
        <v>4</v>
      </c>
      <c r="O84" s="79">
        <v>4</v>
      </c>
      <c r="P84" s="79">
        <v>5</v>
      </c>
      <c r="Q84" s="79">
        <v>3</v>
      </c>
      <c r="R84" s="79" t="s">
        <v>252</v>
      </c>
      <c r="S84" s="79" t="s">
        <v>252</v>
      </c>
      <c r="T84" s="79">
        <v>6</v>
      </c>
      <c r="U84" s="79">
        <v>4</v>
      </c>
      <c r="V84" s="79" t="s">
        <v>252</v>
      </c>
      <c r="W84" s="79" t="s">
        <v>252</v>
      </c>
      <c r="X84" s="79">
        <v>4</v>
      </c>
      <c r="Y84" s="79">
        <v>3</v>
      </c>
      <c r="Z84" s="79">
        <v>3</v>
      </c>
      <c r="AA84" s="79">
        <v>3</v>
      </c>
      <c r="AB84" s="79" t="s">
        <v>252</v>
      </c>
      <c r="AC84" s="63">
        <f t="shared" si="7"/>
        <v>56</v>
      </c>
      <c r="AD84" s="7"/>
      <c r="AE84" s="7"/>
      <c r="AF84" s="7"/>
      <c r="AG84" s="223"/>
      <c r="AH84" s="8" t="b">
        <f t="shared" si="6"/>
        <v>0</v>
      </c>
      <c r="AI84" s="8" t="b">
        <f t="shared" si="6"/>
        <v>0</v>
      </c>
      <c r="AJ84" s="8" t="b">
        <f t="shared" si="6"/>
        <v>0</v>
      </c>
      <c r="AK84" s="8" t="b">
        <f t="shared" si="6"/>
        <v>0</v>
      </c>
      <c r="AL84" s="8" t="b">
        <f t="shared" si="6"/>
        <v>1</v>
      </c>
      <c r="AM84" s="8" t="b">
        <f t="shared" si="6"/>
        <v>1</v>
      </c>
      <c r="AN84" s="8" t="b">
        <f t="shared" si="6"/>
        <v>0</v>
      </c>
      <c r="AO84" s="8" t="b">
        <f t="shared" si="6"/>
        <v>0</v>
      </c>
      <c r="AP84" s="8" t="b">
        <f t="shared" si="6"/>
        <v>1</v>
      </c>
      <c r="AQ84" s="8" t="b">
        <f t="shared" si="6"/>
        <v>1</v>
      </c>
      <c r="AR84" s="8" t="b">
        <f t="shared" si="6"/>
        <v>0</v>
      </c>
      <c r="AS84" s="8" t="b">
        <f t="shared" si="6"/>
        <v>0</v>
      </c>
      <c r="AT84" s="8" t="b">
        <f t="shared" si="6"/>
        <v>0</v>
      </c>
      <c r="AU84" s="8" t="b">
        <f t="shared" si="6"/>
        <v>0</v>
      </c>
      <c r="AV84" s="8" t="b">
        <f t="shared" si="6"/>
        <v>1</v>
      </c>
      <c r="AW84" s="8">
        <f t="shared" ref="AW84:AW147" si="8">COUNTIF(AH84:AV84,"TRUE")</f>
        <v>5</v>
      </c>
    </row>
    <row r="85" spans="1:49" ht="18" customHeight="1">
      <c r="A85" s="8">
        <v>67</v>
      </c>
      <c r="B85" s="43">
        <v>67</v>
      </c>
      <c r="C85" s="77">
        <v>46708</v>
      </c>
      <c r="D85" s="78">
        <v>2</v>
      </c>
      <c r="E85" s="78">
        <v>1</v>
      </c>
      <c r="F85" s="78">
        <v>2</v>
      </c>
      <c r="G85" s="78">
        <v>2</v>
      </c>
      <c r="H85" s="78">
        <v>2</v>
      </c>
      <c r="I85" s="78">
        <v>1</v>
      </c>
      <c r="J85" s="78">
        <v>0</v>
      </c>
      <c r="K85" s="78">
        <v>0</v>
      </c>
      <c r="L85" s="78">
        <v>1</v>
      </c>
      <c r="M85" s="78">
        <v>2</v>
      </c>
      <c r="N85" s="79">
        <v>4</v>
      </c>
      <c r="O85" s="79">
        <v>4</v>
      </c>
      <c r="P85" s="79">
        <v>5</v>
      </c>
      <c r="Q85" s="79">
        <v>2</v>
      </c>
      <c r="R85" s="79" t="s">
        <v>252</v>
      </c>
      <c r="S85" s="79" t="s">
        <v>252</v>
      </c>
      <c r="T85" s="79">
        <v>5</v>
      </c>
      <c r="U85" s="79">
        <v>4</v>
      </c>
      <c r="V85" s="79" t="s">
        <v>252</v>
      </c>
      <c r="W85" s="79" t="s">
        <v>252</v>
      </c>
      <c r="X85" s="79">
        <v>5</v>
      </c>
      <c r="Y85" s="79">
        <v>2</v>
      </c>
      <c r="Z85" s="79">
        <v>2</v>
      </c>
      <c r="AA85" s="79">
        <v>1</v>
      </c>
      <c r="AB85" s="79" t="s">
        <v>252</v>
      </c>
      <c r="AC85" s="63">
        <f t="shared" si="7"/>
        <v>47</v>
      </c>
      <c r="AD85" s="7"/>
      <c r="AE85" s="7"/>
      <c r="AF85" s="7"/>
      <c r="AG85" s="223"/>
      <c r="AH85" s="8" t="b">
        <f t="shared" ref="AH85:AV101" si="9">ISTEXT(N85)</f>
        <v>0</v>
      </c>
      <c r="AI85" s="8" t="b">
        <f t="shared" si="9"/>
        <v>0</v>
      </c>
      <c r="AJ85" s="8" t="b">
        <f t="shared" si="9"/>
        <v>0</v>
      </c>
      <c r="AK85" s="8" t="b">
        <f t="shared" si="9"/>
        <v>0</v>
      </c>
      <c r="AL85" s="8" t="b">
        <f t="shared" si="9"/>
        <v>1</v>
      </c>
      <c r="AM85" s="8" t="b">
        <f t="shared" si="9"/>
        <v>1</v>
      </c>
      <c r="AN85" s="8" t="b">
        <f t="shared" si="9"/>
        <v>0</v>
      </c>
      <c r="AO85" s="8" t="b">
        <f t="shared" si="9"/>
        <v>0</v>
      </c>
      <c r="AP85" s="8" t="b">
        <f t="shared" si="9"/>
        <v>1</v>
      </c>
      <c r="AQ85" s="8" t="b">
        <f t="shared" si="9"/>
        <v>1</v>
      </c>
      <c r="AR85" s="8" t="b">
        <f t="shared" si="9"/>
        <v>0</v>
      </c>
      <c r="AS85" s="8" t="b">
        <f t="shared" si="9"/>
        <v>0</v>
      </c>
      <c r="AT85" s="8" t="b">
        <f t="shared" si="9"/>
        <v>0</v>
      </c>
      <c r="AU85" s="8" t="b">
        <f t="shared" si="9"/>
        <v>0</v>
      </c>
      <c r="AV85" s="8" t="b">
        <f t="shared" si="9"/>
        <v>1</v>
      </c>
      <c r="AW85" s="8">
        <f t="shared" si="8"/>
        <v>5</v>
      </c>
    </row>
    <row r="86" spans="1:49" ht="18" customHeight="1">
      <c r="A86" s="8">
        <v>68</v>
      </c>
      <c r="B86" s="43">
        <v>68</v>
      </c>
      <c r="C86" s="77">
        <v>46709</v>
      </c>
      <c r="D86" s="78">
        <v>1</v>
      </c>
      <c r="E86" s="78">
        <v>1</v>
      </c>
      <c r="F86" s="78">
        <v>2</v>
      </c>
      <c r="G86" s="78">
        <v>2</v>
      </c>
      <c r="H86" s="78">
        <v>2</v>
      </c>
      <c r="I86" s="78">
        <v>1</v>
      </c>
      <c r="J86" s="78">
        <v>2</v>
      </c>
      <c r="K86" s="78">
        <v>0</v>
      </c>
      <c r="L86" s="78">
        <v>2</v>
      </c>
      <c r="M86" s="78">
        <v>2</v>
      </c>
      <c r="N86" s="79">
        <v>4</v>
      </c>
      <c r="O86" s="79">
        <v>3</v>
      </c>
      <c r="P86" s="79">
        <v>5</v>
      </c>
      <c r="Q86" s="79">
        <v>3</v>
      </c>
      <c r="R86" s="79" t="s">
        <v>252</v>
      </c>
      <c r="S86" s="79" t="s">
        <v>252</v>
      </c>
      <c r="T86" s="79">
        <v>6</v>
      </c>
      <c r="U86" s="79">
        <v>4</v>
      </c>
      <c r="V86" s="79" t="s">
        <v>252</v>
      </c>
      <c r="W86" s="79" t="s">
        <v>252</v>
      </c>
      <c r="X86" s="79">
        <v>2</v>
      </c>
      <c r="Y86" s="79">
        <v>2</v>
      </c>
      <c r="Z86" s="79">
        <v>3</v>
      </c>
      <c r="AA86" s="79" t="s">
        <v>252</v>
      </c>
      <c r="AB86" s="79">
        <v>4</v>
      </c>
      <c r="AC86" s="63">
        <f t="shared" si="7"/>
        <v>51</v>
      </c>
      <c r="AD86" s="7"/>
      <c r="AE86" s="7"/>
      <c r="AF86" s="7"/>
      <c r="AG86" s="223"/>
      <c r="AH86" s="8" t="b">
        <f t="shared" si="9"/>
        <v>0</v>
      </c>
      <c r="AI86" s="8" t="b">
        <f t="shared" si="9"/>
        <v>0</v>
      </c>
      <c r="AJ86" s="8" t="b">
        <f t="shared" si="9"/>
        <v>0</v>
      </c>
      <c r="AK86" s="8" t="b">
        <f t="shared" si="9"/>
        <v>0</v>
      </c>
      <c r="AL86" s="8" t="b">
        <f t="shared" si="9"/>
        <v>1</v>
      </c>
      <c r="AM86" s="8" t="b">
        <f t="shared" si="9"/>
        <v>1</v>
      </c>
      <c r="AN86" s="8" t="b">
        <f t="shared" si="9"/>
        <v>0</v>
      </c>
      <c r="AO86" s="8" t="b">
        <f t="shared" si="9"/>
        <v>0</v>
      </c>
      <c r="AP86" s="8" t="b">
        <f t="shared" si="9"/>
        <v>1</v>
      </c>
      <c r="AQ86" s="8" t="b">
        <f t="shared" si="9"/>
        <v>1</v>
      </c>
      <c r="AR86" s="8" t="b">
        <f t="shared" si="9"/>
        <v>0</v>
      </c>
      <c r="AS86" s="8" t="b">
        <f t="shared" si="9"/>
        <v>0</v>
      </c>
      <c r="AT86" s="8" t="b">
        <f t="shared" si="9"/>
        <v>0</v>
      </c>
      <c r="AU86" s="8" t="b">
        <f t="shared" si="9"/>
        <v>1</v>
      </c>
      <c r="AV86" s="8" t="b">
        <f t="shared" si="9"/>
        <v>0</v>
      </c>
      <c r="AW86" s="8">
        <f t="shared" si="8"/>
        <v>5</v>
      </c>
    </row>
    <row r="87" spans="1:49" ht="18" customHeight="1">
      <c r="A87" s="8">
        <v>69</v>
      </c>
      <c r="B87" s="43">
        <v>69</v>
      </c>
      <c r="C87" s="77">
        <v>46710</v>
      </c>
      <c r="D87" s="78">
        <v>0</v>
      </c>
      <c r="E87" s="78">
        <v>1</v>
      </c>
      <c r="F87" s="78">
        <v>0</v>
      </c>
      <c r="G87" s="78">
        <v>0</v>
      </c>
      <c r="H87" s="78">
        <v>1</v>
      </c>
      <c r="I87" s="78">
        <v>0</v>
      </c>
      <c r="J87" s="78">
        <v>0</v>
      </c>
      <c r="K87" s="78">
        <v>1</v>
      </c>
      <c r="L87" s="78">
        <v>0</v>
      </c>
      <c r="M87" s="78">
        <v>1</v>
      </c>
      <c r="N87" s="79">
        <v>2</v>
      </c>
      <c r="O87" s="79">
        <v>4</v>
      </c>
      <c r="P87" s="79" t="s">
        <v>252</v>
      </c>
      <c r="Q87" s="79" t="s">
        <v>252</v>
      </c>
      <c r="R87" s="79">
        <v>3</v>
      </c>
      <c r="S87" s="79">
        <v>0</v>
      </c>
      <c r="T87" s="79">
        <v>0</v>
      </c>
      <c r="U87" s="79">
        <v>1</v>
      </c>
      <c r="V87" s="79" t="s">
        <v>252</v>
      </c>
      <c r="W87" s="79" t="s">
        <v>252</v>
      </c>
      <c r="X87" s="79">
        <v>0</v>
      </c>
      <c r="Y87" s="79">
        <v>0</v>
      </c>
      <c r="Z87" s="79">
        <v>1</v>
      </c>
      <c r="AA87" s="79">
        <v>0</v>
      </c>
      <c r="AB87" s="79" t="s">
        <v>252</v>
      </c>
      <c r="AC87" s="63">
        <f t="shared" si="7"/>
        <v>15</v>
      </c>
      <c r="AD87" s="7"/>
      <c r="AE87" s="7"/>
      <c r="AF87" s="7"/>
      <c r="AG87" s="223"/>
      <c r="AH87" s="8" t="b">
        <f t="shared" si="9"/>
        <v>0</v>
      </c>
      <c r="AI87" s="8" t="b">
        <f t="shared" si="9"/>
        <v>0</v>
      </c>
      <c r="AJ87" s="8" t="b">
        <f t="shared" si="9"/>
        <v>1</v>
      </c>
      <c r="AK87" s="8" t="b">
        <f t="shared" si="9"/>
        <v>1</v>
      </c>
      <c r="AL87" s="8" t="b">
        <f t="shared" si="9"/>
        <v>0</v>
      </c>
      <c r="AM87" s="8" t="b">
        <f t="shared" si="9"/>
        <v>0</v>
      </c>
      <c r="AN87" s="8" t="b">
        <f t="shared" si="9"/>
        <v>0</v>
      </c>
      <c r="AO87" s="8" t="b">
        <f t="shared" si="9"/>
        <v>0</v>
      </c>
      <c r="AP87" s="8" t="b">
        <f t="shared" si="9"/>
        <v>1</v>
      </c>
      <c r="AQ87" s="8" t="b">
        <f t="shared" si="9"/>
        <v>1</v>
      </c>
      <c r="AR87" s="8" t="b">
        <f t="shared" si="9"/>
        <v>0</v>
      </c>
      <c r="AS87" s="8" t="b">
        <f t="shared" si="9"/>
        <v>0</v>
      </c>
      <c r="AT87" s="8" t="b">
        <f t="shared" si="9"/>
        <v>0</v>
      </c>
      <c r="AU87" s="8" t="b">
        <f t="shared" si="9"/>
        <v>0</v>
      </c>
      <c r="AV87" s="8" t="b">
        <f t="shared" si="9"/>
        <v>1</v>
      </c>
      <c r="AW87" s="8">
        <f t="shared" si="8"/>
        <v>5</v>
      </c>
    </row>
    <row r="88" spans="1:49" ht="18" customHeight="1">
      <c r="A88" s="8">
        <v>70</v>
      </c>
      <c r="B88" s="43">
        <v>70</v>
      </c>
      <c r="C88" s="80">
        <v>46711</v>
      </c>
      <c r="D88" s="78">
        <v>1</v>
      </c>
      <c r="E88" s="78">
        <v>2</v>
      </c>
      <c r="F88" s="78">
        <v>1</v>
      </c>
      <c r="G88" s="78">
        <v>1</v>
      </c>
      <c r="H88" s="78">
        <v>2</v>
      </c>
      <c r="I88" s="78">
        <v>1</v>
      </c>
      <c r="J88" s="78">
        <v>0</v>
      </c>
      <c r="K88" s="78">
        <v>1</v>
      </c>
      <c r="L88" s="78">
        <v>2</v>
      </c>
      <c r="M88" s="78">
        <v>2</v>
      </c>
      <c r="N88" s="79">
        <v>4</v>
      </c>
      <c r="O88" s="79">
        <v>4</v>
      </c>
      <c r="P88" s="79">
        <v>2</v>
      </c>
      <c r="Q88" s="79">
        <v>2</v>
      </c>
      <c r="R88" s="79" t="s">
        <v>252</v>
      </c>
      <c r="S88" s="79" t="s">
        <v>252</v>
      </c>
      <c r="T88" s="79">
        <v>2</v>
      </c>
      <c r="U88" s="79">
        <v>2</v>
      </c>
      <c r="V88" s="79" t="s">
        <v>252</v>
      </c>
      <c r="W88" s="79" t="s">
        <v>252</v>
      </c>
      <c r="X88" s="79">
        <v>4</v>
      </c>
      <c r="Y88" s="79">
        <v>3</v>
      </c>
      <c r="Z88" s="79">
        <v>3</v>
      </c>
      <c r="AA88" s="79" t="s">
        <v>252</v>
      </c>
      <c r="AB88" s="79">
        <v>3</v>
      </c>
      <c r="AC88" s="63">
        <f t="shared" si="7"/>
        <v>42</v>
      </c>
      <c r="AD88" s="7"/>
      <c r="AE88" s="7"/>
      <c r="AF88" s="7"/>
      <c r="AG88" s="223"/>
      <c r="AH88" s="8" t="b">
        <f t="shared" si="9"/>
        <v>0</v>
      </c>
      <c r="AI88" s="8" t="b">
        <f t="shared" si="9"/>
        <v>0</v>
      </c>
      <c r="AJ88" s="8" t="b">
        <f t="shared" si="9"/>
        <v>0</v>
      </c>
      <c r="AK88" s="8" t="b">
        <f t="shared" si="9"/>
        <v>0</v>
      </c>
      <c r="AL88" s="8" t="b">
        <f t="shared" si="9"/>
        <v>1</v>
      </c>
      <c r="AM88" s="8" t="b">
        <f t="shared" si="9"/>
        <v>1</v>
      </c>
      <c r="AN88" s="8" t="b">
        <f t="shared" si="9"/>
        <v>0</v>
      </c>
      <c r="AO88" s="8" t="b">
        <f t="shared" si="9"/>
        <v>0</v>
      </c>
      <c r="AP88" s="8" t="b">
        <f t="shared" si="9"/>
        <v>1</v>
      </c>
      <c r="AQ88" s="8" t="b">
        <f t="shared" si="9"/>
        <v>1</v>
      </c>
      <c r="AR88" s="8" t="b">
        <f t="shared" si="9"/>
        <v>0</v>
      </c>
      <c r="AS88" s="8" t="b">
        <f t="shared" si="9"/>
        <v>0</v>
      </c>
      <c r="AT88" s="8" t="b">
        <f t="shared" si="9"/>
        <v>0</v>
      </c>
      <c r="AU88" s="8" t="b">
        <f t="shared" si="9"/>
        <v>1</v>
      </c>
      <c r="AV88" s="8" t="b">
        <f t="shared" si="9"/>
        <v>0</v>
      </c>
      <c r="AW88" s="8">
        <f t="shared" si="8"/>
        <v>5</v>
      </c>
    </row>
    <row r="89" spans="1:49" ht="18" customHeight="1">
      <c r="A89" s="8">
        <v>71</v>
      </c>
      <c r="B89" s="43">
        <v>71</v>
      </c>
      <c r="C89" s="77">
        <v>46712</v>
      </c>
      <c r="D89" s="78">
        <v>2</v>
      </c>
      <c r="E89" s="78">
        <v>1</v>
      </c>
      <c r="F89" s="78">
        <v>2</v>
      </c>
      <c r="G89" s="78">
        <v>2</v>
      </c>
      <c r="H89" s="78">
        <v>2</v>
      </c>
      <c r="I89" s="78">
        <v>1</v>
      </c>
      <c r="J89" s="78">
        <v>2</v>
      </c>
      <c r="K89" s="78">
        <v>2</v>
      </c>
      <c r="L89" s="78">
        <v>2</v>
      </c>
      <c r="M89" s="78">
        <v>2</v>
      </c>
      <c r="N89" s="79">
        <v>3</v>
      </c>
      <c r="O89" s="79">
        <v>4</v>
      </c>
      <c r="P89" s="79">
        <v>5</v>
      </c>
      <c r="Q89" s="79">
        <v>3</v>
      </c>
      <c r="R89" s="79" t="s">
        <v>252</v>
      </c>
      <c r="S89" s="79" t="s">
        <v>252</v>
      </c>
      <c r="T89" s="79">
        <v>6</v>
      </c>
      <c r="U89" s="79">
        <v>4</v>
      </c>
      <c r="V89" s="79">
        <v>4</v>
      </c>
      <c r="W89" s="79">
        <v>4</v>
      </c>
      <c r="X89" s="79" t="s">
        <v>252</v>
      </c>
      <c r="Y89" s="79" t="s">
        <v>252</v>
      </c>
      <c r="Z89" s="79" t="s">
        <v>252</v>
      </c>
      <c r="AA89" s="79">
        <v>4</v>
      </c>
      <c r="AB89" s="79">
        <v>4</v>
      </c>
      <c r="AC89" s="63">
        <f t="shared" si="7"/>
        <v>59</v>
      </c>
      <c r="AD89" s="7"/>
      <c r="AE89" s="7"/>
      <c r="AF89" s="7"/>
      <c r="AG89" s="223"/>
      <c r="AH89" s="8" t="b">
        <f t="shared" si="9"/>
        <v>0</v>
      </c>
      <c r="AI89" s="8" t="b">
        <f t="shared" si="9"/>
        <v>0</v>
      </c>
      <c r="AJ89" s="8" t="b">
        <f t="shared" si="9"/>
        <v>0</v>
      </c>
      <c r="AK89" s="8" t="b">
        <f t="shared" si="9"/>
        <v>0</v>
      </c>
      <c r="AL89" s="8" t="b">
        <f t="shared" si="9"/>
        <v>1</v>
      </c>
      <c r="AM89" s="8" t="b">
        <f t="shared" si="9"/>
        <v>1</v>
      </c>
      <c r="AN89" s="8" t="b">
        <f t="shared" si="9"/>
        <v>0</v>
      </c>
      <c r="AO89" s="8" t="b">
        <f t="shared" si="9"/>
        <v>0</v>
      </c>
      <c r="AP89" s="8" t="b">
        <f t="shared" si="9"/>
        <v>0</v>
      </c>
      <c r="AQ89" s="8" t="b">
        <f t="shared" si="9"/>
        <v>0</v>
      </c>
      <c r="AR89" s="8" t="b">
        <f t="shared" si="9"/>
        <v>1</v>
      </c>
      <c r="AS89" s="8" t="b">
        <f t="shared" si="9"/>
        <v>1</v>
      </c>
      <c r="AT89" s="8" t="b">
        <f t="shared" si="9"/>
        <v>1</v>
      </c>
      <c r="AU89" s="8" t="b">
        <f t="shared" si="9"/>
        <v>0</v>
      </c>
      <c r="AV89" s="8" t="b">
        <f t="shared" si="9"/>
        <v>0</v>
      </c>
      <c r="AW89" s="8">
        <f t="shared" si="8"/>
        <v>5</v>
      </c>
    </row>
    <row r="90" spans="1:49" ht="18" customHeight="1">
      <c r="A90" s="8">
        <v>72</v>
      </c>
      <c r="B90" s="229">
        <v>72</v>
      </c>
      <c r="C90" s="230">
        <v>46713</v>
      </c>
      <c r="D90" s="231">
        <v>2</v>
      </c>
      <c r="E90" s="231">
        <v>2</v>
      </c>
      <c r="F90" s="231">
        <v>2</v>
      </c>
      <c r="G90" s="231">
        <v>2</v>
      </c>
      <c r="H90" s="231">
        <v>2</v>
      </c>
      <c r="I90" s="231">
        <v>1</v>
      </c>
      <c r="J90" s="231">
        <v>1</v>
      </c>
      <c r="K90" s="231">
        <v>2</v>
      </c>
      <c r="L90" s="231">
        <v>1</v>
      </c>
      <c r="M90" s="231">
        <v>1</v>
      </c>
      <c r="N90" s="232">
        <v>4</v>
      </c>
      <c r="O90" s="232">
        <v>5</v>
      </c>
      <c r="P90" s="232">
        <v>5</v>
      </c>
      <c r="Q90" s="232">
        <v>3</v>
      </c>
      <c r="R90" s="232">
        <v>4</v>
      </c>
      <c r="S90" s="232">
        <v>6</v>
      </c>
      <c r="T90" s="232">
        <v>5</v>
      </c>
      <c r="U90" s="232">
        <v>4</v>
      </c>
      <c r="V90" s="232">
        <v>4</v>
      </c>
      <c r="W90" s="232">
        <v>4</v>
      </c>
      <c r="X90" s="232" t="s">
        <v>252</v>
      </c>
      <c r="Y90" s="232" t="s">
        <v>252</v>
      </c>
      <c r="Z90" s="232" t="s">
        <v>252</v>
      </c>
      <c r="AA90" s="232" t="s">
        <v>252</v>
      </c>
      <c r="AB90" s="232" t="s">
        <v>252</v>
      </c>
      <c r="AC90" s="233">
        <f t="shared" si="7"/>
        <v>60</v>
      </c>
      <c r="AD90" s="7"/>
      <c r="AE90" s="7"/>
      <c r="AF90" s="7"/>
      <c r="AG90" s="223"/>
      <c r="AH90" s="8" t="b">
        <f t="shared" si="9"/>
        <v>0</v>
      </c>
      <c r="AI90" s="8" t="b">
        <f t="shared" si="9"/>
        <v>0</v>
      </c>
      <c r="AJ90" s="8" t="b">
        <f t="shared" si="9"/>
        <v>0</v>
      </c>
      <c r="AK90" s="8" t="b">
        <f t="shared" si="9"/>
        <v>0</v>
      </c>
      <c r="AL90" s="8" t="b">
        <f t="shared" si="9"/>
        <v>0</v>
      </c>
      <c r="AM90" s="8" t="b">
        <f t="shared" si="9"/>
        <v>0</v>
      </c>
      <c r="AN90" s="8" t="b">
        <f t="shared" si="9"/>
        <v>0</v>
      </c>
      <c r="AO90" s="8" t="b">
        <f t="shared" si="9"/>
        <v>0</v>
      </c>
      <c r="AP90" s="8" t="b">
        <f t="shared" si="9"/>
        <v>0</v>
      </c>
      <c r="AQ90" s="8" t="b">
        <f t="shared" si="9"/>
        <v>0</v>
      </c>
      <c r="AR90" s="8" t="b">
        <f t="shared" si="9"/>
        <v>1</v>
      </c>
      <c r="AS90" s="8" t="b">
        <f t="shared" si="9"/>
        <v>1</v>
      </c>
      <c r="AT90" s="8" t="b">
        <f t="shared" si="9"/>
        <v>1</v>
      </c>
      <c r="AU90" s="8" t="b">
        <f t="shared" si="9"/>
        <v>1</v>
      </c>
      <c r="AV90" s="8" t="b">
        <f t="shared" si="9"/>
        <v>1</v>
      </c>
      <c r="AW90" s="8">
        <f t="shared" si="8"/>
        <v>5</v>
      </c>
    </row>
    <row r="91" spans="1:49" s="93" customFormat="1" ht="18" customHeight="1">
      <c r="A91" s="93">
        <v>73</v>
      </c>
      <c r="B91" s="43">
        <v>73</v>
      </c>
      <c r="C91" s="243">
        <v>46714</v>
      </c>
      <c r="D91" s="244">
        <v>1</v>
      </c>
      <c r="E91" s="244">
        <v>1</v>
      </c>
      <c r="F91" s="244">
        <v>2</v>
      </c>
      <c r="G91" s="244">
        <v>1</v>
      </c>
      <c r="H91" s="244">
        <v>2</v>
      </c>
      <c r="I91" s="244">
        <v>1</v>
      </c>
      <c r="J91" s="244">
        <v>0</v>
      </c>
      <c r="K91" s="244">
        <v>1</v>
      </c>
      <c r="L91" s="244">
        <v>2</v>
      </c>
      <c r="M91" s="244">
        <v>2</v>
      </c>
      <c r="N91" s="244">
        <v>4</v>
      </c>
      <c r="O91" s="244">
        <v>4</v>
      </c>
      <c r="P91" s="244">
        <v>2</v>
      </c>
      <c r="Q91" s="244">
        <v>2</v>
      </c>
      <c r="R91" s="244" t="s">
        <v>252</v>
      </c>
      <c r="S91" s="244" t="s">
        <v>252</v>
      </c>
      <c r="T91" s="244">
        <v>4</v>
      </c>
      <c r="U91" s="244">
        <v>2</v>
      </c>
      <c r="V91" s="244" t="s">
        <v>252</v>
      </c>
      <c r="W91" s="244" t="s">
        <v>252</v>
      </c>
      <c r="X91" s="244">
        <v>2</v>
      </c>
      <c r="Y91" s="244">
        <v>2</v>
      </c>
      <c r="Z91" s="244">
        <v>2</v>
      </c>
      <c r="AA91" s="244">
        <v>4</v>
      </c>
      <c r="AB91" s="244" t="s">
        <v>252</v>
      </c>
      <c r="AC91" s="63">
        <f t="shared" si="7"/>
        <v>41</v>
      </c>
      <c r="AD91" s="87"/>
      <c r="AE91" s="87"/>
      <c r="AF91" s="87"/>
      <c r="AG91" s="226"/>
      <c r="AH91" s="93" t="b">
        <f t="shared" si="9"/>
        <v>0</v>
      </c>
      <c r="AI91" s="93" t="b">
        <f t="shared" si="9"/>
        <v>0</v>
      </c>
      <c r="AJ91" s="93" t="b">
        <f t="shared" si="9"/>
        <v>0</v>
      </c>
      <c r="AK91" s="93" t="b">
        <f t="shared" si="9"/>
        <v>0</v>
      </c>
      <c r="AL91" s="93" t="b">
        <f t="shared" si="9"/>
        <v>1</v>
      </c>
      <c r="AM91" s="93" t="b">
        <f t="shared" si="9"/>
        <v>1</v>
      </c>
      <c r="AN91" s="93" t="b">
        <f t="shared" si="9"/>
        <v>0</v>
      </c>
      <c r="AO91" s="93" t="b">
        <f t="shared" si="9"/>
        <v>0</v>
      </c>
      <c r="AP91" s="93" t="b">
        <f t="shared" si="9"/>
        <v>1</v>
      </c>
      <c r="AQ91" s="93" t="b">
        <f t="shared" si="9"/>
        <v>1</v>
      </c>
      <c r="AR91" s="93" t="b">
        <f t="shared" si="9"/>
        <v>0</v>
      </c>
      <c r="AS91" s="93" t="b">
        <f t="shared" si="9"/>
        <v>0</v>
      </c>
      <c r="AT91" s="93" t="b">
        <f t="shared" si="9"/>
        <v>0</v>
      </c>
      <c r="AU91" s="93" t="b">
        <f t="shared" si="9"/>
        <v>0</v>
      </c>
      <c r="AV91" s="93" t="b">
        <f t="shared" si="9"/>
        <v>1</v>
      </c>
      <c r="AW91" s="93">
        <f t="shared" si="8"/>
        <v>5</v>
      </c>
    </row>
    <row r="92" spans="1:49" s="245" customFormat="1" ht="18" customHeight="1">
      <c r="A92" s="245">
        <v>74</v>
      </c>
      <c r="B92" s="239"/>
      <c r="C92" s="240"/>
      <c r="D92" s="241"/>
      <c r="E92" s="241"/>
      <c r="F92" s="241"/>
      <c r="G92" s="241"/>
      <c r="H92" s="241"/>
      <c r="I92" s="241"/>
      <c r="J92" s="241"/>
      <c r="K92" s="241"/>
      <c r="L92" s="241"/>
      <c r="M92" s="241"/>
      <c r="N92" s="241"/>
      <c r="O92" s="241"/>
      <c r="P92" s="241"/>
      <c r="Q92" s="241"/>
      <c r="R92" s="241"/>
      <c r="S92" s="241"/>
      <c r="T92" s="241"/>
      <c r="U92" s="241"/>
      <c r="V92" s="241"/>
      <c r="W92" s="241"/>
      <c r="X92" s="241"/>
      <c r="Y92" s="241"/>
      <c r="Z92" s="241"/>
      <c r="AA92" s="241"/>
      <c r="AB92" s="241"/>
      <c r="AC92" s="242" t="str">
        <f t="shared" si="7"/>
        <v/>
      </c>
      <c r="AD92" s="246"/>
      <c r="AE92" s="246"/>
      <c r="AF92" s="246"/>
      <c r="AG92" s="247"/>
      <c r="AH92" s="245" t="b">
        <f t="shared" si="9"/>
        <v>0</v>
      </c>
      <c r="AI92" s="245" t="b">
        <f t="shared" si="9"/>
        <v>0</v>
      </c>
      <c r="AJ92" s="245" t="b">
        <f t="shared" si="9"/>
        <v>0</v>
      </c>
      <c r="AK92" s="245" t="b">
        <f t="shared" si="9"/>
        <v>0</v>
      </c>
      <c r="AL92" s="245" t="b">
        <f t="shared" si="9"/>
        <v>0</v>
      </c>
      <c r="AM92" s="245" t="b">
        <f t="shared" si="9"/>
        <v>0</v>
      </c>
      <c r="AN92" s="245" t="b">
        <f t="shared" si="9"/>
        <v>0</v>
      </c>
      <c r="AO92" s="245" t="b">
        <f t="shared" si="9"/>
        <v>0</v>
      </c>
      <c r="AP92" s="245" t="b">
        <f t="shared" si="9"/>
        <v>0</v>
      </c>
      <c r="AQ92" s="245" t="b">
        <f t="shared" si="9"/>
        <v>0</v>
      </c>
      <c r="AR92" s="245" t="b">
        <f t="shared" si="9"/>
        <v>0</v>
      </c>
      <c r="AS92" s="245" t="b">
        <f t="shared" si="9"/>
        <v>0</v>
      </c>
      <c r="AT92" s="245" t="b">
        <f t="shared" si="9"/>
        <v>0</v>
      </c>
      <c r="AU92" s="245" t="b">
        <f t="shared" si="9"/>
        <v>0</v>
      </c>
      <c r="AV92" s="245" t="b">
        <f t="shared" si="9"/>
        <v>0</v>
      </c>
      <c r="AW92" s="245">
        <f t="shared" si="8"/>
        <v>0</v>
      </c>
    </row>
    <row r="93" spans="1:49">
      <c r="A93" s="8">
        <v>75</v>
      </c>
      <c r="B93" s="239"/>
      <c r="C93" s="240"/>
      <c r="D93" s="241"/>
      <c r="E93" s="241"/>
      <c r="F93" s="241"/>
      <c r="G93" s="241"/>
      <c r="H93" s="241"/>
      <c r="I93" s="241"/>
      <c r="J93" s="241"/>
      <c r="K93" s="241"/>
      <c r="L93" s="241"/>
      <c r="M93" s="241"/>
      <c r="N93" s="241"/>
      <c r="O93" s="241"/>
      <c r="P93" s="241"/>
      <c r="Q93" s="241"/>
      <c r="R93" s="241"/>
      <c r="S93" s="241"/>
      <c r="T93" s="241"/>
      <c r="U93" s="241"/>
      <c r="V93" s="241"/>
      <c r="W93" s="241"/>
      <c r="X93" s="241"/>
      <c r="Y93" s="241"/>
      <c r="Z93" s="241"/>
      <c r="AA93" s="241"/>
      <c r="AB93" s="241"/>
      <c r="AC93" s="242" t="str">
        <f t="shared" si="7"/>
        <v/>
      </c>
      <c r="AD93" s="7"/>
      <c r="AE93" s="7"/>
      <c r="AF93" s="7"/>
      <c r="AG93" s="223"/>
      <c r="AH93" s="8" t="b">
        <f t="shared" si="9"/>
        <v>0</v>
      </c>
      <c r="AI93" s="8" t="b">
        <f t="shared" si="9"/>
        <v>0</v>
      </c>
      <c r="AJ93" s="8" t="b">
        <f t="shared" si="9"/>
        <v>0</v>
      </c>
      <c r="AK93" s="8" t="b">
        <f t="shared" si="9"/>
        <v>0</v>
      </c>
      <c r="AL93" s="8" t="b">
        <f t="shared" si="9"/>
        <v>0</v>
      </c>
      <c r="AM93" s="8" t="b">
        <f t="shared" si="9"/>
        <v>0</v>
      </c>
      <c r="AN93" s="8" t="b">
        <f t="shared" si="9"/>
        <v>0</v>
      </c>
      <c r="AO93" s="8" t="b">
        <f t="shared" si="9"/>
        <v>0</v>
      </c>
      <c r="AP93" s="8" t="b">
        <f t="shared" si="9"/>
        <v>0</v>
      </c>
      <c r="AQ93" s="8" t="b">
        <f t="shared" si="9"/>
        <v>0</v>
      </c>
      <c r="AR93" s="8" t="b">
        <f t="shared" si="9"/>
        <v>0</v>
      </c>
      <c r="AS93" s="8" t="b">
        <f t="shared" si="9"/>
        <v>0</v>
      </c>
      <c r="AT93" s="8" t="b">
        <f t="shared" si="9"/>
        <v>0</v>
      </c>
      <c r="AU93" s="8" t="b">
        <f t="shared" si="9"/>
        <v>0</v>
      </c>
      <c r="AV93" s="8" t="b">
        <f t="shared" si="9"/>
        <v>0</v>
      </c>
      <c r="AW93" s="8">
        <f t="shared" si="8"/>
        <v>0</v>
      </c>
    </row>
    <row r="94" spans="1:49" ht="18" customHeight="1">
      <c r="A94" s="8">
        <v>76</v>
      </c>
      <c r="B94" s="239"/>
      <c r="C94" s="240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1"/>
      <c r="P94" s="241"/>
      <c r="Q94" s="241"/>
      <c r="R94" s="241"/>
      <c r="S94" s="241"/>
      <c r="T94" s="241"/>
      <c r="U94" s="241"/>
      <c r="V94" s="241"/>
      <c r="W94" s="241"/>
      <c r="X94" s="241"/>
      <c r="Y94" s="241"/>
      <c r="Z94" s="241"/>
      <c r="AA94" s="241"/>
      <c r="AB94" s="241"/>
      <c r="AC94" s="242" t="str">
        <f t="shared" si="7"/>
        <v/>
      </c>
      <c r="AD94" s="7"/>
      <c r="AE94" s="7"/>
      <c r="AF94" s="7"/>
      <c r="AG94" s="223"/>
      <c r="AH94" s="8" t="b">
        <f t="shared" si="9"/>
        <v>0</v>
      </c>
      <c r="AI94" s="8" t="b">
        <f t="shared" si="9"/>
        <v>0</v>
      </c>
      <c r="AJ94" s="8" t="b">
        <f t="shared" si="9"/>
        <v>0</v>
      </c>
      <c r="AK94" s="8" t="b">
        <f t="shared" si="9"/>
        <v>0</v>
      </c>
      <c r="AL94" s="8" t="b">
        <f t="shared" si="9"/>
        <v>0</v>
      </c>
      <c r="AM94" s="8" t="b">
        <f t="shared" si="9"/>
        <v>0</v>
      </c>
      <c r="AN94" s="8" t="b">
        <f t="shared" si="9"/>
        <v>0</v>
      </c>
      <c r="AO94" s="8" t="b">
        <f t="shared" si="9"/>
        <v>0</v>
      </c>
      <c r="AP94" s="8" t="b">
        <f t="shared" si="9"/>
        <v>0</v>
      </c>
      <c r="AQ94" s="8" t="b">
        <f t="shared" si="9"/>
        <v>0</v>
      </c>
      <c r="AR94" s="8" t="b">
        <f t="shared" si="9"/>
        <v>0</v>
      </c>
      <c r="AS94" s="8" t="b">
        <f t="shared" si="9"/>
        <v>0</v>
      </c>
      <c r="AT94" s="8" t="b">
        <f t="shared" si="9"/>
        <v>0</v>
      </c>
      <c r="AU94" s="8" t="b">
        <f t="shared" si="9"/>
        <v>0</v>
      </c>
      <c r="AV94" s="8" t="b">
        <f t="shared" si="9"/>
        <v>0</v>
      </c>
      <c r="AW94" s="8">
        <f t="shared" si="8"/>
        <v>0</v>
      </c>
    </row>
    <row r="95" spans="1:49" ht="18" customHeight="1">
      <c r="A95" s="8">
        <v>77</v>
      </c>
      <c r="B95" s="239"/>
      <c r="C95" s="240"/>
      <c r="D95" s="241"/>
      <c r="E95" s="241"/>
      <c r="F95" s="241"/>
      <c r="G95" s="241"/>
      <c r="H95" s="241"/>
      <c r="I95" s="241"/>
      <c r="J95" s="241"/>
      <c r="K95" s="241"/>
      <c r="L95" s="241"/>
      <c r="M95" s="241"/>
      <c r="N95" s="241"/>
      <c r="O95" s="241"/>
      <c r="P95" s="241"/>
      <c r="Q95" s="241"/>
      <c r="R95" s="241"/>
      <c r="S95" s="241"/>
      <c r="T95" s="241"/>
      <c r="U95" s="241"/>
      <c r="V95" s="241"/>
      <c r="W95" s="241"/>
      <c r="X95" s="241"/>
      <c r="Y95" s="241"/>
      <c r="Z95" s="241"/>
      <c r="AA95" s="241"/>
      <c r="AB95" s="241"/>
      <c r="AC95" s="242" t="str">
        <f t="shared" si="7"/>
        <v/>
      </c>
      <c r="AD95" s="7"/>
      <c r="AE95" s="7"/>
      <c r="AF95" s="7"/>
      <c r="AG95" s="223"/>
      <c r="AH95" s="8" t="b">
        <f t="shared" si="9"/>
        <v>0</v>
      </c>
      <c r="AI95" s="8" t="b">
        <f t="shared" si="9"/>
        <v>0</v>
      </c>
      <c r="AJ95" s="8" t="b">
        <f t="shared" si="9"/>
        <v>0</v>
      </c>
      <c r="AK95" s="8" t="b">
        <f t="shared" si="9"/>
        <v>0</v>
      </c>
      <c r="AL95" s="8" t="b">
        <f t="shared" si="9"/>
        <v>0</v>
      </c>
      <c r="AM95" s="8" t="b">
        <f t="shared" si="9"/>
        <v>0</v>
      </c>
      <c r="AN95" s="8" t="b">
        <f t="shared" si="9"/>
        <v>0</v>
      </c>
      <c r="AO95" s="8" t="b">
        <f t="shared" si="9"/>
        <v>0</v>
      </c>
      <c r="AP95" s="8" t="b">
        <f t="shared" si="9"/>
        <v>0</v>
      </c>
      <c r="AQ95" s="8" t="b">
        <f t="shared" si="9"/>
        <v>0</v>
      </c>
      <c r="AR95" s="8" t="b">
        <f t="shared" si="9"/>
        <v>0</v>
      </c>
      <c r="AS95" s="8" t="b">
        <f t="shared" si="9"/>
        <v>0</v>
      </c>
      <c r="AT95" s="8" t="b">
        <f t="shared" si="9"/>
        <v>0</v>
      </c>
      <c r="AU95" s="8" t="b">
        <f t="shared" si="9"/>
        <v>0</v>
      </c>
      <c r="AV95" s="8" t="b">
        <f t="shared" si="9"/>
        <v>0</v>
      </c>
      <c r="AW95" s="8">
        <f t="shared" si="8"/>
        <v>0</v>
      </c>
    </row>
    <row r="96" spans="1:49" ht="18" customHeight="1">
      <c r="A96" s="8">
        <v>78</v>
      </c>
      <c r="B96" s="239"/>
      <c r="C96" s="240"/>
      <c r="D96" s="241"/>
      <c r="E96" s="241"/>
      <c r="F96" s="241"/>
      <c r="G96" s="241"/>
      <c r="H96" s="241"/>
      <c r="I96" s="241"/>
      <c r="J96" s="241"/>
      <c r="K96" s="241"/>
      <c r="L96" s="241"/>
      <c r="M96" s="241"/>
      <c r="N96" s="241"/>
      <c r="O96" s="241"/>
      <c r="P96" s="241"/>
      <c r="Q96" s="241"/>
      <c r="R96" s="241"/>
      <c r="S96" s="241"/>
      <c r="T96" s="241"/>
      <c r="U96" s="241"/>
      <c r="V96" s="241"/>
      <c r="W96" s="241"/>
      <c r="X96" s="241"/>
      <c r="Y96" s="241"/>
      <c r="Z96" s="241"/>
      <c r="AA96" s="241"/>
      <c r="AB96" s="241"/>
      <c r="AC96" s="242" t="str">
        <f t="shared" si="7"/>
        <v/>
      </c>
      <c r="AD96" s="7"/>
      <c r="AE96" s="7"/>
      <c r="AF96" s="7"/>
      <c r="AG96" s="223"/>
      <c r="AH96" s="8" t="b">
        <f t="shared" si="9"/>
        <v>0</v>
      </c>
      <c r="AI96" s="8" t="b">
        <f t="shared" si="9"/>
        <v>0</v>
      </c>
      <c r="AJ96" s="8" t="b">
        <f t="shared" si="9"/>
        <v>0</v>
      </c>
      <c r="AK96" s="8" t="b">
        <f t="shared" si="9"/>
        <v>0</v>
      </c>
      <c r="AL96" s="8" t="b">
        <f t="shared" si="9"/>
        <v>0</v>
      </c>
      <c r="AM96" s="8" t="b">
        <f t="shared" si="9"/>
        <v>0</v>
      </c>
      <c r="AN96" s="8" t="b">
        <f t="shared" si="9"/>
        <v>0</v>
      </c>
      <c r="AO96" s="8" t="b">
        <f t="shared" si="9"/>
        <v>0</v>
      </c>
      <c r="AP96" s="8" t="b">
        <f t="shared" si="9"/>
        <v>0</v>
      </c>
      <c r="AQ96" s="8" t="b">
        <f t="shared" si="9"/>
        <v>0</v>
      </c>
      <c r="AR96" s="8" t="b">
        <f t="shared" si="9"/>
        <v>0</v>
      </c>
      <c r="AS96" s="8" t="b">
        <f t="shared" si="9"/>
        <v>0</v>
      </c>
      <c r="AT96" s="8" t="b">
        <f t="shared" si="9"/>
        <v>0</v>
      </c>
      <c r="AU96" s="8" t="b">
        <f t="shared" si="9"/>
        <v>0</v>
      </c>
      <c r="AV96" s="8" t="b">
        <f t="shared" si="9"/>
        <v>0</v>
      </c>
      <c r="AW96" s="8">
        <f t="shared" si="8"/>
        <v>0</v>
      </c>
    </row>
    <row r="97" spans="1:49" ht="18" customHeight="1">
      <c r="A97" s="8">
        <v>79</v>
      </c>
      <c r="B97" s="239"/>
      <c r="C97" s="240"/>
      <c r="D97" s="241"/>
      <c r="E97" s="241"/>
      <c r="F97" s="241"/>
      <c r="G97" s="241"/>
      <c r="H97" s="241"/>
      <c r="I97" s="241"/>
      <c r="J97" s="241"/>
      <c r="K97" s="241"/>
      <c r="L97" s="241"/>
      <c r="M97" s="241"/>
      <c r="N97" s="241"/>
      <c r="O97" s="241"/>
      <c r="P97" s="241"/>
      <c r="Q97" s="241"/>
      <c r="R97" s="241"/>
      <c r="S97" s="241"/>
      <c r="T97" s="241"/>
      <c r="U97" s="241"/>
      <c r="V97" s="241"/>
      <c r="W97" s="241"/>
      <c r="X97" s="241"/>
      <c r="Y97" s="241"/>
      <c r="Z97" s="241"/>
      <c r="AA97" s="241"/>
      <c r="AB97" s="241"/>
      <c r="AC97" s="242" t="str">
        <f t="shared" si="7"/>
        <v/>
      </c>
      <c r="AD97" s="7"/>
      <c r="AE97" s="7"/>
      <c r="AF97" s="7"/>
      <c r="AG97" s="223"/>
      <c r="AH97" s="8" t="b">
        <f t="shared" si="9"/>
        <v>0</v>
      </c>
      <c r="AI97" s="8" t="b">
        <f t="shared" si="9"/>
        <v>0</v>
      </c>
      <c r="AJ97" s="8" t="b">
        <f t="shared" si="9"/>
        <v>0</v>
      </c>
      <c r="AK97" s="8" t="b">
        <f t="shared" si="9"/>
        <v>0</v>
      </c>
      <c r="AL97" s="8" t="b">
        <f t="shared" si="9"/>
        <v>0</v>
      </c>
      <c r="AM97" s="8" t="b">
        <f t="shared" si="9"/>
        <v>0</v>
      </c>
      <c r="AN97" s="8" t="b">
        <f t="shared" si="9"/>
        <v>0</v>
      </c>
      <c r="AO97" s="8" t="b">
        <f t="shared" si="9"/>
        <v>0</v>
      </c>
      <c r="AP97" s="8" t="b">
        <f t="shared" si="9"/>
        <v>0</v>
      </c>
      <c r="AQ97" s="8" t="b">
        <f t="shared" si="9"/>
        <v>0</v>
      </c>
      <c r="AR97" s="8" t="b">
        <f t="shared" si="9"/>
        <v>0</v>
      </c>
      <c r="AS97" s="8" t="b">
        <f t="shared" si="9"/>
        <v>0</v>
      </c>
      <c r="AT97" s="8" t="b">
        <f t="shared" si="9"/>
        <v>0</v>
      </c>
      <c r="AU97" s="8" t="b">
        <f t="shared" si="9"/>
        <v>0</v>
      </c>
      <c r="AV97" s="8" t="b">
        <f t="shared" si="9"/>
        <v>0</v>
      </c>
      <c r="AW97" s="8">
        <f t="shared" si="8"/>
        <v>0</v>
      </c>
    </row>
    <row r="98" spans="1:49" ht="18" customHeight="1">
      <c r="A98" s="8">
        <v>80</v>
      </c>
      <c r="B98" s="239"/>
      <c r="C98" s="240"/>
      <c r="D98" s="241"/>
      <c r="E98" s="241"/>
      <c r="F98" s="241"/>
      <c r="G98" s="241"/>
      <c r="H98" s="241"/>
      <c r="I98" s="241"/>
      <c r="J98" s="241"/>
      <c r="K98" s="241"/>
      <c r="L98" s="241"/>
      <c r="M98" s="241"/>
      <c r="N98" s="241"/>
      <c r="O98" s="241"/>
      <c r="P98" s="241"/>
      <c r="Q98" s="241"/>
      <c r="R98" s="241"/>
      <c r="S98" s="241"/>
      <c r="T98" s="241"/>
      <c r="U98" s="241"/>
      <c r="V98" s="241"/>
      <c r="W98" s="241"/>
      <c r="X98" s="241"/>
      <c r="Y98" s="241"/>
      <c r="Z98" s="241"/>
      <c r="AA98" s="241"/>
      <c r="AB98" s="241"/>
      <c r="AC98" s="242" t="str">
        <f t="shared" si="7"/>
        <v/>
      </c>
      <c r="AD98" s="7"/>
      <c r="AE98" s="7"/>
      <c r="AF98" s="7"/>
      <c r="AG98" s="223"/>
      <c r="AH98" s="8" t="b">
        <f t="shared" si="9"/>
        <v>0</v>
      </c>
      <c r="AI98" s="8" t="b">
        <f t="shared" si="9"/>
        <v>0</v>
      </c>
      <c r="AJ98" s="8" t="b">
        <f t="shared" si="9"/>
        <v>0</v>
      </c>
      <c r="AK98" s="8" t="b">
        <f t="shared" si="9"/>
        <v>0</v>
      </c>
      <c r="AL98" s="8" t="b">
        <f t="shared" si="9"/>
        <v>0</v>
      </c>
      <c r="AM98" s="8" t="b">
        <f t="shared" si="9"/>
        <v>0</v>
      </c>
      <c r="AN98" s="8" t="b">
        <f t="shared" si="9"/>
        <v>0</v>
      </c>
      <c r="AO98" s="8" t="b">
        <f t="shared" si="9"/>
        <v>0</v>
      </c>
      <c r="AP98" s="8" t="b">
        <f t="shared" si="9"/>
        <v>0</v>
      </c>
      <c r="AQ98" s="8" t="b">
        <f t="shared" si="9"/>
        <v>0</v>
      </c>
      <c r="AR98" s="8" t="b">
        <f t="shared" si="9"/>
        <v>0</v>
      </c>
      <c r="AS98" s="8" t="b">
        <f t="shared" si="9"/>
        <v>0</v>
      </c>
      <c r="AT98" s="8" t="b">
        <f t="shared" si="9"/>
        <v>0</v>
      </c>
      <c r="AU98" s="8" t="b">
        <f t="shared" si="9"/>
        <v>0</v>
      </c>
      <c r="AV98" s="8" t="b">
        <f t="shared" si="9"/>
        <v>0</v>
      </c>
      <c r="AW98" s="8">
        <f t="shared" si="8"/>
        <v>0</v>
      </c>
    </row>
    <row r="99" spans="1:49" ht="18" customHeight="1">
      <c r="A99" s="8">
        <v>81</v>
      </c>
      <c r="B99" s="239"/>
      <c r="C99" s="240"/>
      <c r="D99" s="241"/>
      <c r="E99" s="241"/>
      <c r="F99" s="241"/>
      <c r="G99" s="241"/>
      <c r="H99" s="241"/>
      <c r="I99" s="241"/>
      <c r="J99" s="241"/>
      <c r="K99" s="241"/>
      <c r="L99" s="241"/>
      <c r="M99" s="241"/>
      <c r="N99" s="241"/>
      <c r="O99" s="241"/>
      <c r="P99" s="241"/>
      <c r="Q99" s="241"/>
      <c r="R99" s="241"/>
      <c r="S99" s="241"/>
      <c r="T99" s="241"/>
      <c r="U99" s="241"/>
      <c r="V99" s="241"/>
      <c r="W99" s="241"/>
      <c r="X99" s="241"/>
      <c r="Y99" s="241"/>
      <c r="Z99" s="241"/>
      <c r="AA99" s="241"/>
      <c r="AB99" s="241"/>
      <c r="AC99" s="242" t="str">
        <f t="shared" si="7"/>
        <v/>
      </c>
      <c r="AD99" s="7"/>
      <c r="AE99" s="7"/>
      <c r="AF99" s="7"/>
      <c r="AG99" s="223"/>
      <c r="AH99" s="8" t="b">
        <f t="shared" si="9"/>
        <v>0</v>
      </c>
      <c r="AI99" s="8" t="b">
        <f t="shared" si="9"/>
        <v>0</v>
      </c>
      <c r="AJ99" s="8" t="b">
        <f t="shared" si="9"/>
        <v>0</v>
      </c>
      <c r="AK99" s="8" t="b">
        <f t="shared" si="9"/>
        <v>0</v>
      </c>
      <c r="AL99" s="8" t="b">
        <f t="shared" si="9"/>
        <v>0</v>
      </c>
      <c r="AM99" s="8" t="b">
        <f t="shared" si="9"/>
        <v>0</v>
      </c>
      <c r="AN99" s="8" t="b">
        <f t="shared" si="9"/>
        <v>0</v>
      </c>
      <c r="AO99" s="8" t="b">
        <f t="shared" si="9"/>
        <v>0</v>
      </c>
      <c r="AP99" s="8" t="b">
        <f t="shared" si="9"/>
        <v>0</v>
      </c>
      <c r="AQ99" s="8" t="b">
        <f t="shared" si="9"/>
        <v>0</v>
      </c>
      <c r="AR99" s="8" t="b">
        <f t="shared" si="9"/>
        <v>0</v>
      </c>
      <c r="AS99" s="8" t="b">
        <f t="shared" si="9"/>
        <v>0</v>
      </c>
      <c r="AT99" s="8" t="b">
        <f t="shared" si="9"/>
        <v>0</v>
      </c>
      <c r="AU99" s="8" t="b">
        <f t="shared" si="9"/>
        <v>0</v>
      </c>
      <c r="AV99" s="8" t="b">
        <f t="shared" si="9"/>
        <v>0</v>
      </c>
      <c r="AW99" s="8">
        <f t="shared" si="8"/>
        <v>0</v>
      </c>
    </row>
    <row r="100" spans="1:49" ht="18" customHeight="1">
      <c r="A100" s="8">
        <v>82</v>
      </c>
      <c r="B100" s="239"/>
      <c r="C100" s="240"/>
      <c r="D100" s="241"/>
      <c r="E100" s="241"/>
      <c r="F100" s="241"/>
      <c r="G100" s="241"/>
      <c r="H100" s="241"/>
      <c r="I100" s="241"/>
      <c r="J100" s="241"/>
      <c r="K100" s="241"/>
      <c r="L100" s="241"/>
      <c r="M100" s="241"/>
      <c r="N100" s="241"/>
      <c r="O100" s="241"/>
      <c r="P100" s="241"/>
      <c r="Q100" s="241"/>
      <c r="R100" s="241"/>
      <c r="S100" s="241"/>
      <c r="T100" s="241"/>
      <c r="U100" s="241"/>
      <c r="V100" s="241"/>
      <c r="W100" s="241"/>
      <c r="X100" s="241"/>
      <c r="Y100" s="241"/>
      <c r="Z100" s="241"/>
      <c r="AA100" s="241"/>
      <c r="AB100" s="241"/>
      <c r="AC100" s="242" t="str">
        <f t="shared" si="7"/>
        <v/>
      </c>
      <c r="AD100" s="7"/>
      <c r="AE100" s="7"/>
      <c r="AF100" s="7"/>
      <c r="AG100" s="223"/>
      <c r="AH100" s="8" t="b">
        <f t="shared" si="9"/>
        <v>0</v>
      </c>
      <c r="AI100" s="8" t="b">
        <f t="shared" si="9"/>
        <v>0</v>
      </c>
      <c r="AJ100" s="8" t="b">
        <f t="shared" si="9"/>
        <v>0</v>
      </c>
      <c r="AK100" s="8" t="b">
        <f t="shared" si="9"/>
        <v>0</v>
      </c>
      <c r="AL100" s="8" t="b">
        <f t="shared" si="9"/>
        <v>0</v>
      </c>
      <c r="AM100" s="8" t="b">
        <f t="shared" si="9"/>
        <v>0</v>
      </c>
      <c r="AN100" s="8" t="b">
        <f t="shared" si="9"/>
        <v>0</v>
      </c>
      <c r="AO100" s="8" t="b">
        <f t="shared" si="9"/>
        <v>0</v>
      </c>
      <c r="AP100" s="8" t="b">
        <f t="shared" si="9"/>
        <v>0</v>
      </c>
      <c r="AQ100" s="8" t="b">
        <f t="shared" si="9"/>
        <v>0</v>
      </c>
      <c r="AR100" s="8" t="b">
        <f t="shared" si="9"/>
        <v>0</v>
      </c>
      <c r="AS100" s="8" t="b">
        <f t="shared" si="9"/>
        <v>0</v>
      </c>
      <c r="AT100" s="8" t="b">
        <f t="shared" si="9"/>
        <v>0</v>
      </c>
      <c r="AU100" s="8" t="b">
        <f t="shared" si="9"/>
        <v>0</v>
      </c>
      <c r="AV100" s="8" t="b">
        <f t="shared" si="9"/>
        <v>0</v>
      </c>
      <c r="AW100" s="8">
        <f t="shared" si="8"/>
        <v>0</v>
      </c>
    </row>
    <row r="101" spans="1:49" ht="18" customHeight="1">
      <c r="A101" s="8">
        <v>83</v>
      </c>
      <c r="B101" s="239"/>
      <c r="C101" s="240"/>
      <c r="D101" s="241"/>
      <c r="E101" s="241"/>
      <c r="F101" s="241"/>
      <c r="G101" s="241"/>
      <c r="H101" s="241"/>
      <c r="I101" s="241"/>
      <c r="J101" s="241"/>
      <c r="K101" s="241"/>
      <c r="L101" s="241"/>
      <c r="M101" s="241"/>
      <c r="N101" s="241"/>
      <c r="O101" s="241"/>
      <c r="P101" s="241"/>
      <c r="Q101" s="241"/>
      <c r="R101" s="241"/>
      <c r="S101" s="241"/>
      <c r="T101" s="241"/>
      <c r="U101" s="241"/>
      <c r="V101" s="241"/>
      <c r="W101" s="241"/>
      <c r="X101" s="241"/>
      <c r="Y101" s="241"/>
      <c r="Z101" s="241"/>
      <c r="AA101" s="241"/>
      <c r="AB101" s="241"/>
      <c r="AC101" s="242" t="str">
        <f t="shared" si="7"/>
        <v/>
      </c>
      <c r="AD101" s="7"/>
      <c r="AE101" s="7"/>
      <c r="AF101" s="7"/>
      <c r="AG101" s="223"/>
      <c r="AH101" s="8" t="b">
        <f t="shared" si="9"/>
        <v>0</v>
      </c>
      <c r="AI101" s="8" t="b">
        <f t="shared" si="9"/>
        <v>0</v>
      </c>
      <c r="AJ101" s="8" t="b">
        <f t="shared" si="9"/>
        <v>0</v>
      </c>
      <c r="AK101" s="8" t="b">
        <f t="shared" si="9"/>
        <v>0</v>
      </c>
      <c r="AL101" s="8" t="b">
        <f t="shared" si="9"/>
        <v>0</v>
      </c>
      <c r="AM101" s="8" t="b">
        <f t="shared" si="9"/>
        <v>0</v>
      </c>
      <c r="AN101" s="8" t="b">
        <f t="shared" si="9"/>
        <v>0</v>
      </c>
      <c r="AO101" s="8" t="b">
        <f t="shared" si="9"/>
        <v>0</v>
      </c>
      <c r="AP101" s="8" t="b">
        <f t="shared" si="9"/>
        <v>0</v>
      </c>
      <c r="AQ101" s="8" t="b">
        <f t="shared" si="9"/>
        <v>0</v>
      </c>
      <c r="AR101" s="8" t="b">
        <f t="shared" si="9"/>
        <v>0</v>
      </c>
      <c r="AS101" s="8" t="b">
        <f t="shared" si="9"/>
        <v>0</v>
      </c>
      <c r="AT101" s="8" t="b">
        <f t="shared" si="9"/>
        <v>0</v>
      </c>
      <c r="AU101" s="8" t="b">
        <f t="shared" si="9"/>
        <v>0</v>
      </c>
      <c r="AV101" s="8" t="b">
        <f t="shared" si="9"/>
        <v>0</v>
      </c>
      <c r="AW101" s="8">
        <f t="shared" si="8"/>
        <v>0</v>
      </c>
    </row>
    <row r="102" spans="1:49" ht="18" customHeight="1">
      <c r="A102" s="8">
        <v>84</v>
      </c>
      <c r="B102" s="239"/>
      <c r="C102" s="240"/>
      <c r="D102" s="241"/>
      <c r="E102" s="241"/>
      <c r="F102" s="241"/>
      <c r="G102" s="241"/>
      <c r="H102" s="241"/>
      <c r="I102" s="241"/>
      <c r="J102" s="241"/>
      <c r="K102" s="241"/>
      <c r="L102" s="241"/>
      <c r="M102" s="241"/>
      <c r="N102" s="241"/>
      <c r="O102" s="241"/>
      <c r="P102" s="241"/>
      <c r="Q102" s="241"/>
      <c r="R102" s="241"/>
      <c r="S102" s="241"/>
      <c r="T102" s="241"/>
      <c r="U102" s="241"/>
      <c r="V102" s="241"/>
      <c r="W102" s="241"/>
      <c r="X102" s="241"/>
      <c r="Y102" s="241"/>
      <c r="Z102" s="241"/>
      <c r="AA102" s="241"/>
      <c r="AB102" s="241"/>
      <c r="AC102" s="242" t="str">
        <f t="shared" si="7"/>
        <v/>
      </c>
      <c r="AD102" s="7"/>
      <c r="AE102" s="7"/>
      <c r="AF102" s="7"/>
      <c r="AG102" s="223"/>
      <c r="AH102" s="8" t="b">
        <f t="shared" ref="AH102:AV118" si="10">ISTEXT(N102)</f>
        <v>0</v>
      </c>
      <c r="AI102" s="8" t="b">
        <f t="shared" si="10"/>
        <v>0</v>
      </c>
      <c r="AJ102" s="8" t="b">
        <f t="shared" si="10"/>
        <v>0</v>
      </c>
      <c r="AK102" s="8" t="b">
        <f t="shared" si="10"/>
        <v>0</v>
      </c>
      <c r="AL102" s="8" t="b">
        <f t="shared" si="10"/>
        <v>0</v>
      </c>
      <c r="AM102" s="8" t="b">
        <f t="shared" si="10"/>
        <v>0</v>
      </c>
      <c r="AN102" s="8" t="b">
        <f t="shared" si="10"/>
        <v>0</v>
      </c>
      <c r="AO102" s="8" t="b">
        <f t="shared" si="10"/>
        <v>0</v>
      </c>
      <c r="AP102" s="8" t="b">
        <f t="shared" si="10"/>
        <v>0</v>
      </c>
      <c r="AQ102" s="8" t="b">
        <f t="shared" si="10"/>
        <v>0</v>
      </c>
      <c r="AR102" s="8" t="b">
        <f t="shared" si="10"/>
        <v>0</v>
      </c>
      <c r="AS102" s="8" t="b">
        <f t="shared" si="10"/>
        <v>0</v>
      </c>
      <c r="AT102" s="8" t="b">
        <f t="shared" si="10"/>
        <v>0</v>
      </c>
      <c r="AU102" s="8" t="b">
        <f t="shared" si="10"/>
        <v>0</v>
      </c>
      <c r="AV102" s="8" t="b">
        <f t="shared" si="10"/>
        <v>0</v>
      </c>
      <c r="AW102" s="8">
        <f t="shared" si="8"/>
        <v>0</v>
      </c>
    </row>
    <row r="103" spans="1:49" ht="18" customHeight="1">
      <c r="A103" s="8">
        <v>85</v>
      </c>
      <c r="B103" s="239"/>
      <c r="C103" s="240"/>
      <c r="D103" s="241"/>
      <c r="E103" s="241"/>
      <c r="F103" s="241"/>
      <c r="G103" s="241"/>
      <c r="H103" s="241"/>
      <c r="I103" s="241"/>
      <c r="J103" s="241"/>
      <c r="K103" s="241"/>
      <c r="L103" s="241"/>
      <c r="M103" s="241"/>
      <c r="N103" s="241"/>
      <c r="O103" s="241"/>
      <c r="P103" s="241"/>
      <c r="Q103" s="241"/>
      <c r="R103" s="241"/>
      <c r="S103" s="241"/>
      <c r="T103" s="241"/>
      <c r="U103" s="241"/>
      <c r="V103" s="241"/>
      <c r="W103" s="241"/>
      <c r="X103" s="241"/>
      <c r="Y103" s="241"/>
      <c r="Z103" s="241"/>
      <c r="AA103" s="241"/>
      <c r="AB103" s="241"/>
      <c r="AC103" s="242" t="str">
        <f t="shared" si="7"/>
        <v/>
      </c>
      <c r="AD103" s="7"/>
      <c r="AE103" s="7"/>
      <c r="AF103" s="7"/>
      <c r="AG103" s="223"/>
      <c r="AH103" s="8" t="b">
        <f t="shared" si="10"/>
        <v>0</v>
      </c>
      <c r="AI103" s="8" t="b">
        <f t="shared" si="10"/>
        <v>0</v>
      </c>
      <c r="AJ103" s="8" t="b">
        <f t="shared" si="10"/>
        <v>0</v>
      </c>
      <c r="AK103" s="8" t="b">
        <f t="shared" si="10"/>
        <v>0</v>
      </c>
      <c r="AL103" s="8" t="b">
        <f t="shared" si="10"/>
        <v>0</v>
      </c>
      <c r="AM103" s="8" t="b">
        <f t="shared" si="10"/>
        <v>0</v>
      </c>
      <c r="AN103" s="8" t="b">
        <f t="shared" si="10"/>
        <v>0</v>
      </c>
      <c r="AO103" s="8" t="b">
        <f t="shared" si="10"/>
        <v>0</v>
      </c>
      <c r="AP103" s="8" t="b">
        <f t="shared" si="10"/>
        <v>0</v>
      </c>
      <c r="AQ103" s="8" t="b">
        <f t="shared" si="10"/>
        <v>0</v>
      </c>
      <c r="AR103" s="8" t="b">
        <f t="shared" si="10"/>
        <v>0</v>
      </c>
      <c r="AS103" s="8" t="b">
        <f t="shared" si="10"/>
        <v>0</v>
      </c>
      <c r="AT103" s="8" t="b">
        <f t="shared" si="10"/>
        <v>0</v>
      </c>
      <c r="AU103" s="8" t="b">
        <f t="shared" si="10"/>
        <v>0</v>
      </c>
      <c r="AV103" s="8" t="b">
        <f t="shared" si="10"/>
        <v>0</v>
      </c>
      <c r="AW103" s="8">
        <f t="shared" si="8"/>
        <v>0</v>
      </c>
    </row>
    <row r="104" spans="1:49" ht="18" customHeight="1">
      <c r="A104" s="8">
        <v>86</v>
      </c>
      <c r="B104" s="239"/>
      <c r="C104" s="240"/>
      <c r="D104" s="241"/>
      <c r="E104" s="241"/>
      <c r="F104" s="241"/>
      <c r="G104" s="241"/>
      <c r="H104" s="241"/>
      <c r="I104" s="241"/>
      <c r="J104" s="241"/>
      <c r="K104" s="241"/>
      <c r="L104" s="241"/>
      <c r="M104" s="241"/>
      <c r="N104" s="241"/>
      <c r="O104" s="241"/>
      <c r="P104" s="241"/>
      <c r="Q104" s="241"/>
      <c r="R104" s="241"/>
      <c r="S104" s="241"/>
      <c r="T104" s="241"/>
      <c r="U104" s="241"/>
      <c r="V104" s="241"/>
      <c r="W104" s="241"/>
      <c r="X104" s="241"/>
      <c r="Y104" s="241"/>
      <c r="Z104" s="241"/>
      <c r="AA104" s="241"/>
      <c r="AB104" s="241"/>
      <c r="AC104" s="242" t="str">
        <f t="shared" si="7"/>
        <v/>
      </c>
      <c r="AD104" s="7"/>
      <c r="AE104" s="7"/>
      <c r="AF104" s="7"/>
      <c r="AG104" s="223"/>
      <c r="AH104" s="8" t="b">
        <f t="shared" si="10"/>
        <v>0</v>
      </c>
      <c r="AI104" s="8" t="b">
        <f t="shared" si="10"/>
        <v>0</v>
      </c>
      <c r="AJ104" s="8" t="b">
        <f t="shared" si="10"/>
        <v>0</v>
      </c>
      <c r="AK104" s="8" t="b">
        <f t="shared" si="10"/>
        <v>0</v>
      </c>
      <c r="AL104" s="8" t="b">
        <f t="shared" si="10"/>
        <v>0</v>
      </c>
      <c r="AM104" s="8" t="b">
        <f t="shared" si="10"/>
        <v>0</v>
      </c>
      <c r="AN104" s="8" t="b">
        <f t="shared" si="10"/>
        <v>0</v>
      </c>
      <c r="AO104" s="8" t="b">
        <f t="shared" si="10"/>
        <v>0</v>
      </c>
      <c r="AP104" s="8" t="b">
        <f t="shared" si="10"/>
        <v>0</v>
      </c>
      <c r="AQ104" s="8" t="b">
        <f t="shared" si="10"/>
        <v>0</v>
      </c>
      <c r="AR104" s="8" t="b">
        <f t="shared" si="10"/>
        <v>0</v>
      </c>
      <c r="AS104" s="8" t="b">
        <f t="shared" si="10"/>
        <v>0</v>
      </c>
      <c r="AT104" s="8" t="b">
        <f t="shared" si="10"/>
        <v>0</v>
      </c>
      <c r="AU104" s="8" t="b">
        <f t="shared" si="10"/>
        <v>0</v>
      </c>
      <c r="AV104" s="8" t="b">
        <f t="shared" si="10"/>
        <v>0</v>
      </c>
      <c r="AW104" s="8">
        <f t="shared" si="8"/>
        <v>0</v>
      </c>
    </row>
    <row r="105" spans="1:49" ht="18" customHeight="1">
      <c r="A105" s="8">
        <v>87</v>
      </c>
      <c r="B105" s="239"/>
      <c r="C105" s="240"/>
      <c r="D105" s="241"/>
      <c r="E105" s="241"/>
      <c r="F105" s="241"/>
      <c r="G105" s="241"/>
      <c r="H105" s="241"/>
      <c r="I105" s="241"/>
      <c r="J105" s="241"/>
      <c r="K105" s="241"/>
      <c r="L105" s="241"/>
      <c r="M105" s="241"/>
      <c r="N105" s="241"/>
      <c r="O105" s="241"/>
      <c r="P105" s="241"/>
      <c r="Q105" s="241"/>
      <c r="R105" s="241"/>
      <c r="S105" s="241"/>
      <c r="T105" s="241"/>
      <c r="U105" s="241"/>
      <c r="V105" s="241"/>
      <c r="W105" s="241"/>
      <c r="X105" s="241"/>
      <c r="Y105" s="241"/>
      <c r="Z105" s="241"/>
      <c r="AA105" s="241"/>
      <c r="AB105" s="241"/>
      <c r="AC105" s="242" t="str">
        <f t="shared" si="7"/>
        <v/>
      </c>
      <c r="AD105" s="7"/>
      <c r="AE105" s="7"/>
      <c r="AF105" s="7"/>
      <c r="AG105" s="223"/>
      <c r="AH105" s="8" t="b">
        <f t="shared" si="10"/>
        <v>0</v>
      </c>
      <c r="AI105" s="8" t="b">
        <f t="shared" si="10"/>
        <v>0</v>
      </c>
      <c r="AJ105" s="8" t="b">
        <f t="shared" si="10"/>
        <v>0</v>
      </c>
      <c r="AK105" s="8" t="b">
        <f t="shared" si="10"/>
        <v>0</v>
      </c>
      <c r="AL105" s="8" t="b">
        <f t="shared" si="10"/>
        <v>0</v>
      </c>
      <c r="AM105" s="8" t="b">
        <f t="shared" si="10"/>
        <v>0</v>
      </c>
      <c r="AN105" s="8" t="b">
        <f t="shared" si="10"/>
        <v>0</v>
      </c>
      <c r="AO105" s="8" t="b">
        <f t="shared" si="10"/>
        <v>0</v>
      </c>
      <c r="AP105" s="8" t="b">
        <f t="shared" si="10"/>
        <v>0</v>
      </c>
      <c r="AQ105" s="8" t="b">
        <f t="shared" si="10"/>
        <v>0</v>
      </c>
      <c r="AR105" s="8" t="b">
        <f t="shared" si="10"/>
        <v>0</v>
      </c>
      <c r="AS105" s="8" t="b">
        <f t="shared" si="10"/>
        <v>0</v>
      </c>
      <c r="AT105" s="8" t="b">
        <f t="shared" si="10"/>
        <v>0</v>
      </c>
      <c r="AU105" s="8" t="b">
        <f t="shared" si="10"/>
        <v>0</v>
      </c>
      <c r="AV105" s="8" t="b">
        <f t="shared" si="10"/>
        <v>0</v>
      </c>
      <c r="AW105" s="8">
        <f t="shared" si="8"/>
        <v>0</v>
      </c>
    </row>
    <row r="106" spans="1:49" ht="18" customHeight="1">
      <c r="A106" s="8">
        <v>88</v>
      </c>
      <c r="B106" s="239"/>
      <c r="C106" s="240"/>
      <c r="D106" s="241"/>
      <c r="E106" s="241"/>
      <c r="F106" s="241"/>
      <c r="G106" s="241"/>
      <c r="H106" s="241"/>
      <c r="I106" s="241"/>
      <c r="J106" s="241"/>
      <c r="K106" s="241"/>
      <c r="L106" s="241"/>
      <c r="M106" s="241"/>
      <c r="N106" s="241"/>
      <c r="O106" s="241"/>
      <c r="P106" s="241"/>
      <c r="Q106" s="241"/>
      <c r="R106" s="241"/>
      <c r="S106" s="241"/>
      <c r="T106" s="241"/>
      <c r="U106" s="241"/>
      <c r="V106" s="241"/>
      <c r="W106" s="241"/>
      <c r="X106" s="241"/>
      <c r="Y106" s="241"/>
      <c r="Z106" s="241"/>
      <c r="AA106" s="241"/>
      <c r="AB106" s="241"/>
      <c r="AC106" s="242" t="str">
        <f t="shared" si="7"/>
        <v/>
      </c>
      <c r="AD106" s="7"/>
      <c r="AE106" s="7"/>
      <c r="AF106" s="7"/>
      <c r="AG106" s="223"/>
      <c r="AH106" s="8" t="b">
        <f t="shared" si="10"/>
        <v>0</v>
      </c>
      <c r="AI106" s="8" t="b">
        <f t="shared" si="10"/>
        <v>0</v>
      </c>
      <c r="AJ106" s="8" t="b">
        <f t="shared" si="10"/>
        <v>0</v>
      </c>
      <c r="AK106" s="8" t="b">
        <f t="shared" si="10"/>
        <v>0</v>
      </c>
      <c r="AL106" s="8" t="b">
        <f t="shared" si="10"/>
        <v>0</v>
      </c>
      <c r="AM106" s="8" t="b">
        <f t="shared" si="10"/>
        <v>0</v>
      </c>
      <c r="AN106" s="8" t="b">
        <f t="shared" si="10"/>
        <v>0</v>
      </c>
      <c r="AO106" s="8" t="b">
        <f t="shared" si="10"/>
        <v>0</v>
      </c>
      <c r="AP106" s="8" t="b">
        <f t="shared" si="10"/>
        <v>0</v>
      </c>
      <c r="AQ106" s="8" t="b">
        <f t="shared" si="10"/>
        <v>0</v>
      </c>
      <c r="AR106" s="8" t="b">
        <f t="shared" si="10"/>
        <v>0</v>
      </c>
      <c r="AS106" s="8" t="b">
        <f t="shared" si="10"/>
        <v>0</v>
      </c>
      <c r="AT106" s="8" t="b">
        <f t="shared" si="10"/>
        <v>0</v>
      </c>
      <c r="AU106" s="8" t="b">
        <f t="shared" si="10"/>
        <v>0</v>
      </c>
      <c r="AV106" s="8" t="b">
        <f t="shared" si="10"/>
        <v>0</v>
      </c>
      <c r="AW106" s="8">
        <f t="shared" si="8"/>
        <v>0</v>
      </c>
    </row>
    <row r="107" spans="1:49" ht="18" customHeight="1">
      <c r="A107" s="8">
        <v>89</v>
      </c>
      <c r="B107" s="239"/>
      <c r="C107" s="240"/>
      <c r="D107" s="241"/>
      <c r="E107" s="241"/>
      <c r="F107" s="241"/>
      <c r="G107" s="241"/>
      <c r="H107" s="241"/>
      <c r="I107" s="241"/>
      <c r="J107" s="241"/>
      <c r="K107" s="241"/>
      <c r="L107" s="241"/>
      <c r="M107" s="241"/>
      <c r="N107" s="241"/>
      <c r="O107" s="241"/>
      <c r="P107" s="241"/>
      <c r="Q107" s="241"/>
      <c r="R107" s="241"/>
      <c r="S107" s="241"/>
      <c r="T107" s="241"/>
      <c r="U107" s="241"/>
      <c r="V107" s="241"/>
      <c r="W107" s="241"/>
      <c r="X107" s="241"/>
      <c r="Y107" s="241"/>
      <c r="Z107" s="241"/>
      <c r="AA107" s="241"/>
      <c r="AB107" s="241"/>
      <c r="AC107" s="242" t="str">
        <f t="shared" si="7"/>
        <v/>
      </c>
      <c r="AD107" s="7"/>
      <c r="AE107" s="7"/>
      <c r="AF107" s="7"/>
      <c r="AG107" s="223"/>
      <c r="AH107" s="8" t="b">
        <f t="shared" si="10"/>
        <v>0</v>
      </c>
      <c r="AI107" s="8" t="b">
        <f t="shared" si="10"/>
        <v>0</v>
      </c>
      <c r="AJ107" s="8" t="b">
        <f t="shared" si="10"/>
        <v>0</v>
      </c>
      <c r="AK107" s="8" t="b">
        <f t="shared" si="10"/>
        <v>0</v>
      </c>
      <c r="AL107" s="8" t="b">
        <f t="shared" si="10"/>
        <v>0</v>
      </c>
      <c r="AM107" s="8" t="b">
        <f t="shared" si="10"/>
        <v>0</v>
      </c>
      <c r="AN107" s="8" t="b">
        <f t="shared" si="10"/>
        <v>0</v>
      </c>
      <c r="AO107" s="8" t="b">
        <f t="shared" si="10"/>
        <v>0</v>
      </c>
      <c r="AP107" s="8" t="b">
        <f t="shared" si="10"/>
        <v>0</v>
      </c>
      <c r="AQ107" s="8" t="b">
        <f t="shared" si="10"/>
        <v>0</v>
      </c>
      <c r="AR107" s="8" t="b">
        <f t="shared" si="10"/>
        <v>0</v>
      </c>
      <c r="AS107" s="8" t="b">
        <f t="shared" si="10"/>
        <v>0</v>
      </c>
      <c r="AT107" s="8" t="b">
        <f t="shared" si="10"/>
        <v>0</v>
      </c>
      <c r="AU107" s="8" t="b">
        <f t="shared" si="10"/>
        <v>0</v>
      </c>
      <c r="AV107" s="8" t="b">
        <f t="shared" si="10"/>
        <v>0</v>
      </c>
      <c r="AW107" s="8">
        <f t="shared" si="8"/>
        <v>0</v>
      </c>
    </row>
    <row r="108" spans="1:49">
      <c r="A108" s="8">
        <v>90</v>
      </c>
      <c r="B108" s="239"/>
      <c r="C108" s="240"/>
      <c r="D108" s="241"/>
      <c r="E108" s="241"/>
      <c r="F108" s="241"/>
      <c r="G108" s="241"/>
      <c r="H108" s="241"/>
      <c r="I108" s="241"/>
      <c r="J108" s="241"/>
      <c r="K108" s="241"/>
      <c r="L108" s="241"/>
      <c r="M108" s="241"/>
      <c r="N108" s="241"/>
      <c r="O108" s="241"/>
      <c r="P108" s="241"/>
      <c r="Q108" s="241"/>
      <c r="R108" s="241"/>
      <c r="S108" s="241"/>
      <c r="T108" s="241"/>
      <c r="U108" s="241"/>
      <c r="V108" s="241"/>
      <c r="W108" s="241"/>
      <c r="X108" s="241"/>
      <c r="Y108" s="241"/>
      <c r="Z108" s="241"/>
      <c r="AA108" s="241"/>
      <c r="AB108" s="241"/>
      <c r="AC108" s="242" t="str">
        <f t="shared" si="7"/>
        <v/>
      </c>
      <c r="AD108" s="7"/>
      <c r="AE108" s="7"/>
      <c r="AF108" s="7"/>
      <c r="AG108" s="223"/>
      <c r="AH108" s="8" t="b">
        <f t="shared" si="10"/>
        <v>0</v>
      </c>
      <c r="AI108" s="8" t="b">
        <f t="shared" si="10"/>
        <v>0</v>
      </c>
      <c r="AJ108" s="8" t="b">
        <f t="shared" si="10"/>
        <v>0</v>
      </c>
      <c r="AK108" s="8" t="b">
        <f t="shared" si="10"/>
        <v>0</v>
      </c>
      <c r="AL108" s="8" t="b">
        <f t="shared" si="10"/>
        <v>0</v>
      </c>
      <c r="AM108" s="8" t="b">
        <f t="shared" si="10"/>
        <v>0</v>
      </c>
      <c r="AN108" s="8" t="b">
        <f t="shared" si="10"/>
        <v>0</v>
      </c>
      <c r="AO108" s="8" t="b">
        <f t="shared" si="10"/>
        <v>0</v>
      </c>
      <c r="AP108" s="8" t="b">
        <f t="shared" si="10"/>
        <v>0</v>
      </c>
      <c r="AQ108" s="8" t="b">
        <f t="shared" si="10"/>
        <v>0</v>
      </c>
      <c r="AR108" s="8" t="b">
        <f t="shared" si="10"/>
        <v>0</v>
      </c>
      <c r="AS108" s="8" t="b">
        <f t="shared" si="10"/>
        <v>0</v>
      </c>
      <c r="AT108" s="8" t="b">
        <f t="shared" si="10"/>
        <v>0</v>
      </c>
      <c r="AU108" s="8" t="b">
        <f t="shared" si="10"/>
        <v>0</v>
      </c>
      <c r="AV108" s="8" t="b">
        <f t="shared" si="10"/>
        <v>0</v>
      </c>
      <c r="AW108" s="8">
        <f t="shared" si="8"/>
        <v>0</v>
      </c>
    </row>
    <row r="109" spans="1:49" ht="18" customHeight="1">
      <c r="A109" s="8">
        <v>91</v>
      </c>
      <c r="B109" s="239"/>
      <c r="C109" s="240"/>
      <c r="D109" s="241"/>
      <c r="E109" s="241"/>
      <c r="F109" s="241"/>
      <c r="G109" s="241"/>
      <c r="H109" s="241"/>
      <c r="I109" s="241"/>
      <c r="J109" s="241"/>
      <c r="K109" s="241"/>
      <c r="L109" s="241"/>
      <c r="M109" s="241"/>
      <c r="N109" s="241"/>
      <c r="O109" s="241"/>
      <c r="P109" s="241"/>
      <c r="Q109" s="241"/>
      <c r="R109" s="241"/>
      <c r="S109" s="241"/>
      <c r="T109" s="241"/>
      <c r="U109" s="241"/>
      <c r="V109" s="241"/>
      <c r="W109" s="241"/>
      <c r="X109" s="241"/>
      <c r="Y109" s="241"/>
      <c r="Z109" s="241"/>
      <c r="AA109" s="241"/>
      <c r="AB109" s="241"/>
      <c r="AC109" s="242" t="str">
        <f t="shared" si="7"/>
        <v/>
      </c>
      <c r="AD109" s="7"/>
      <c r="AE109" s="7"/>
      <c r="AF109" s="7"/>
      <c r="AG109" s="223"/>
      <c r="AH109" s="8" t="b">
        <f t="shared" si="10"/>
        <v>0</v>
      </c>
      <c r="AI109" s="8" t="b">
        <f t="shared" si="10"/>
        <v>0</v>
      </c>
      <c r="AJ109" s="8" t="b">
        <f t="shared" si="10"/>
        <v>0</v>
      </c>
      <c r="AK109" s="8" t="b">
        <f t="shared" si="10"/>
        <v>0</v>
      </c>
      <c r="AL109" s="8" t="b">
        <f t="shared" si="10"/>
        <v>0</v>
      </c>
      <c r="AM109" s="8" t="b">
        <f t="shared" si="10"/>
        <v>0</v>
      </c>
      <c r="AN109" s="8" t="b">
        <f t="shared" si="10"/>
        <v>0</v>
      </c>
      <c r="AO109" s="8" t="b">
        <f t="shared" si="10"/>
        <v>0</v>
      </c>
      <c r="AP109" s="8" t="b">
        <f t="shared" si="10"/>
        <v>0</v>
      </c>
      <c r="AQ109" s="8" t="b">
        <f t="shared" si="10"/>
        <v>0</v>
      </c>
      <c r="AR109" s="8" t="b">
        <f t="shared" si="10"/>
        <v>0</v>
      </c>
      <c r="AS109" s="8" t="b">
        <f t="shared" si="10"/>
        <v>0</v>
      </c>
      <c r="AT109" s="8" t="b">
        <f t="shared" si="10"/>
        <v>0</v>
      </c>
      <c r="AU109" s="8" t="b">
        <f t="shared" si="10"/>
        <v>0</v>
      </c>
      <c r="AV109" s="8" t="b">
        <f t="shared" si="10"/>
        <v>0</v>
      </c>
      <c r="AW109" s="8">
        <f t="shared" si="8"/>
        <v>0</v>
      </c>
    </row>
    <row r="110" spans="1:49" ht="18" customHeight="1">
      <c r="A110" s="8">
        <v>92</v>
      </c>
      <c r="B110" s="239"/>
      <c r="C110" s="240"/>
      <c r="D110" s="241"/>
      <c r="E110" s="241"/>
      <c r="F110" s="241"/>
      <c r="G110" s="241"/>
      <c r="H110" s="241"/>
      <c r="I110" s="241"/>
      <c r="J110" s="241"/>
      <c r="K110" s="241"/>
      <c r="L110" s="241"/>
      <c r="M110" s="241"/>
      <c r="N110" s="241"/>
      <c r="O110" s="241"/>
      <c r="P110" s="241"/>
      <c r="Q110" s="241"/>
      <c r="R110" s="241"/>
      <c r="S110" s="241"/>
      <c r="T110" s="241"/>
      <c r="U110" s="241"/>
      <c r="V110" s="241"/>
      <c r="W110" s="241"/>
      <c r="X110" s="241"/>
      <c r="Y110" s="241"/>
      <c r="Z110" s="241"/>
      <c r="AA110" s="241"/>
      <c r="AB110" s="241"/>
      <c r="AC110" s="242" t="str">
        <f t="shared" si="7"/>
        <v/>
      </c>
      <c r="AD110" s="7"/>
      <c r="AE110" s="7"/>
      <c r="AF110" s="7"/>
      <c r="AG110" s="223"/>
      <c r="AH110" s="8" t="b">
        <f t="shared" si="10"/>
        <v>0</v>
      </c>
      <c r="AI110" s="8" t="b">
        <f t="shared" si="10"/>
        <v>0</v>
      </c>
      <c r="AJ110" s="8" t="b">
        <f t="shared" si="10"/>
        <v>0</v>
      </c>
      <c r="AK110" s="8" t="b">
        <f t="shared" si="10"/>
        <v>0</v>
      </c>
      <c r="AL110" s="8" t="b">
        <f t="shared" si="10"/>
        <v>0</v>
      </c>
      <c r="AM110" s="8" t="b">
        <f t="shared" si="10"/>
        <v>0</v>
      </c>
      <c r="AN110" s="8" t="b">
        <f t="shared" si="10"/>
        <v>0</v>
      </c>
      <c r="AO110" s="8" t="b">
        <f t="shared" si="10"/>
        <v>0</v>
      </c>
      <c r="AP110" s="8" t="b">
        <f t="shared" si="10"/>
        <v>0</v>
      </c>
      <c r="AQ110" s="8" t="b">
        <f t="shared" si="10"/>
        <v>0</v>
      </c>
      <c r="AR110" s="8" t="b">
        <f t="shared" si="10"/>
        <v>0</v>
      </c>
      <c r="AS110" s="8" t="b">
        <f t="shared" si="10"/>
        <v>0</v>
      </c>
      <c r="AT110" s="8" t="b">
        <f t="shared" si="10"/>
        <v>0</v>
      </c>
      <c r="AU110" s="8" t="b">
        <f t="shared" si="10"/>
        <v>0</v>
      </c>
      <c r="AV110" s="8" t="b">
        <f t="shared" si="10"/>
        <v>0</v>
      </c>
      <c r="AW110" s="8">
        <f t="shared" si="8"/>
        <v>0</v>
      </c>
    </row>
    <row r="111" spans="1:49" ht="18" customHeight="1">
      <c r="A111" s="8">
        <v>93</v>
      </c>
      <c r="B111" s="239"/>
      <c r="C111" s="240"/>
      <c r="D111" s="241"/>
      <c r="E111" s="241"/>
      <c r="F111" s="241"/>
      <c r="G111" s="241"/>
      <c r="H111" s="241"/>
      <c r="I111" s="241"/>
      <c r="J111" s="241"/>
      <c r="K111" s="241"/>
      <c r="L111" s="241"/>
      <c r="M111" s="241"/>
      <c r="N111" s="241"/>
      <c r="O111" s="241"/>
      <c r="P111" s="241"/>
      <c r="Q111" s="241"/>
      <c r="R111" s="241"/>
      <c r="S111" s="241"/>
      <c r="T111" s="241"/>
      <c r="U111" s="241"/>
      <c r="V111" s="241"/>
      <c r="W111" s="241"/>
      <c r="X111" s="241"/>
      <c r="Y111" s="241"/>
      <c r="Z111" s="241"/>
      <c r="AA111" s="241"/>
      <c r="AB111" s="241"/>
      <c r="AC111" s="242" t="str">
        <f t="shared" si="7"/>
        <v/>
      </c>
      <c r="AD111" s="7"/>
      <c r="AE111" s="7"/>
      <c r="AF111" s="7"/>
      <c r="AG111" s="223"/>
      <c r="AH111" s="8" t="b">
        <f t="shared" si="10"/>
        <v>0</v>
      </c>
      <c r="AI111" s="8" t="b">
        <f t="shared" si="10"/>
        <v>0</v>
      </c>
      <c r="AJ111" s="8" t="b">
        <f t="shared" si="10"/>
        <v>0</v>
      </c>
      <c r="AK111" s="8" t="b">
        <f t="shared" si="10"/>
        <v>0</v>
      </c>
      <c r="AL111" s="8" t="b">
        <f t="shared" si="10"/>
        <v>0</v>
      </c>
      <c r="AM111" s="8" t="b">
        <f t="shared" si="10"/>
        <v>0</v>
      </c>
      <c r="AN111" s="8" t="b">
        <f t="shared" si="10"/>
        <v>0</v>
      </c>
      <c r="AO111" s="8" t="b">
        <f t="shared" si="10"/>
        <v>0</v>
      </c>
      <c r="AP111" s="8" t="b">
        <f t="shared" si="10"/>
        <v>0</v>
      </c>
      <c r="AQ111" s="8" t="b">
        <f t="shared" si="10"/>
        <v>0</v>
      </c>
      <c r="AR111" s="8" t="b">
        <f t="shared" si="10"/>
        <v>0</v>
      </c>
      <c r="AS111" s="8" t="b">
        <f t="shared" si="10"/>
        <v>0</v>
      </c>
      <c r="AT111" s="8" t="b">
        <f t="shared" si="10"/>
        <v>0</v>
      </c>
      <c r="AU111" s="8" t="b">
        <f t="shared" si="10"/>
        <v>0</v>
      </c>
      <c r="AV111" s="8" t="b">
        <f t="shared" si="10"/>
        <v>0</v>
      </c>
      <c r="AW111" s="8">
        <f t="shared" si="8"/>
        <v>0</v>
      </c>
    </row>
    <row r="112" spans="1:49" ht="18" customHeight="1">
      <c r="A112" s="8">
        <v>94</v>
      </c>
      <c r="B112" s="239"/>
      <c r="C112" s="240"/>
      <c r="D112" s="241"/>
      <c r="E112" s="241"/>
      <c r="F112" s="241"/>
      <c r="G112" s="241"/>
      <c r="H112" s="241"/>
      <c r="I112" s="241"/>
      <c r="J112" s="241"/>
      <c r="K112" s="241"/>
      <c r="L112" s="241"/>
      <c r="M112" s="241"/>
      <c r="N112" s="241"/>
      <c r="O112" s="241"/>
      <c r="P112" s="241"/>
      <c r="Q112" s="241"/>
      <c r="R112" s="241"/>
      <c r="S112" s="241"/>
      <c r="T112" s="241"/>
      <c r="U112" s="241"/>
      <c r="V112" s="241"/>
      <c r="W112" s="241"/>
      <c r="X112" s="241"/>
      <c r="Y112" s="241"/>
      <c r="Z112" s="241"/>
      <c r="AA112" s="241"/>
      <c r="AB112" s="241"/>
      <c r="AC112" s="242" t="str">
        <f t="shared" si="7"/>
        <v/>
      </c>
      <c r="AD112" s="7"/>
      <c r="AE112" s="7"/>
      <c r="AF112" s="7"/>
      <c r="AG112" s="223"/>
      <c r="AH112" s="8" t="b">
        <f t="shared" si="10"/>
        <v>0</v>
      </c>
      <c r="AI112" s="8" t="b">
        <f t="shared" si="10"/>
        <v>0</v>
      </c>
      <c r="AJ112" s="8" t="b">
        <f t="shared" si="10"/>
        <v>0</v>
      </c>
      <c r="AK112" s="8" t="b">
        <f t="shared" si="10"/>
        <v>0</v>
      </c>
      <c r="AL112" s="8" t="b">
        <f t="shared" si="10"/>
        <v>0</v>
      </c>
      <c r="AM112" s="8" t="b">
        <f t="shared" si="10"/>
        <v>0</v>
      </c>
      <c r="AN112" s="8" t="b">
        <f t="shared" si="10"/>
        <v>0</v>
      </c>
      <c r="AO112" s="8" t="b">
        <f t="shared" si="10"/>
        <v>0</v>
      </c>
      <c r="AP112" s="8" t="b">
        <f t="shared" si="10"/>
        <v>0</v>
      </c>
      <c r="AQ112" s="8" t="b">
        <f t="shared" si="10"/>
        <v>0</v>
      </c>
      <c r="AR112" s="8" t="b">
        <f t="shared" si="10"/>
        <v>0</v>
      </c>
      <c r="AS112" s="8" t="b">
        <f t="shared" si="10"/>
        <v>0</v>
      </c>
      <c r="AT112" s="8" t="b">
        <f t="shared" si="10"/>
        <v>0</v>
      </c>
      <c r="AU112" s="8" t="b">
        <f t="shared" si="10"/>
        <v>0</v>
      </c>
      <c r="AV112" s="8" t="b">
        <f t="shared" si="10"/>
        <v>0</v>
      </c>
      <c r="AW112" s="8">
        <f t="shared" si="8"/>
        <v>0</v>
      </c>
    </row>
    <row r="113" spans="1:49" ht="18" customHeight="1">
      <c r="A113" s="8">
        <v>95</v>
      </c>
      <c r="B113" s="239"/>
      <c r="C113" s="240"/>
      <c r="D113" s="241"/>
      <c r="E113" s="241"/>
      <c r="F113" s="241"/>
      <c r="G113" s="241"/>
      <c r="H113" s="241"/>
      <c r="I113" s="241"/>
      <c r="J113" s="241"/>
      <c r="K113" s="241"/>
      <c r="L113" s="241"/>
      <c r="M113" s="241"/>
      <c r="N113" s="241"/>
      <c r="O113" s="241"/>
      <c r="P113" s="241"/>
      <c r="Q113" s="241"/>
      <c r="R113" s="241"/>
      <c r="S113" s="241"/>
      <c r="T113" s="241"/>
      <c r="U113" s="241"/>
      <c r="V113" s="241"/>
      <c r="W113" s="241"/>
      <c r="X113" s="241"/>
      <c r="Y113" s="241"/>
      <c r="Z113" s="241"/>
      <c r="AA113" s="241"/>
      <c r="AB113" s="241"/>
      <c r="AC113" s="242" t="str">
        <f t="shared" si="7"/>
        <v/>
      </c>
      <c r="AD113" s="7"/>
      <c r="AE113" s="7"/>
      <c r="AF113" s="7"/>
      <c r="AG113" s="223"/>
      <c r="AH113" s="8" t="b">
        <f t="shared" si="10"/>
        <v>0</v>
      </c>
      <c r="AI113" s="8" t="b">
        <f t="shared" si="10"/>
        <v>0</v>
      </c>
      <c r="AJ113" s="8" t="b">
        <f t="shared" si="10"/>
        <v>0</v>
      </c>
      <c r="AK113" s="8" t="b">
        <f t="shared" si="10"/>
        <v>0</v>
      </c>
      <c r="AL113" s="8" t="b">
        <f t="shared" si="10"/>
        <v>0</v>
      </c>
      <c r="AM113" s="8" t="b">
        <f t="shared" si="10"/>
        <v>0</v>
      </c>
      <c r="AN113" s="8" t="b">
        <f t="shared" si="10"/>
        <v>0</v>
      </c>
      <c r="AO113" s="8" t="b">
        <f t="shared" si="10"/>
        <v>0</v>
      </c>
      <c r="AP113" s="8" t="b">
        <f t="shared" si="10"/>
        <v>0</v>
      </c>
      <c r="AQ113" s="8" t="b">
        <f t="shared" si="10"/>
        <v>0</v>
      </c>
      <c r="AR113" s="8" t="b">
        <f t="shared" si="10"/>
        <v>0</v>
      </c>
      <c r="AS113" s="8" t="b">
        <f t="shared" si="10"/>
        <v>0</v>
      </c>
      <c r="AT113" s="8" t="b">
        <f t="shared" si="10"/>
        <v>0</v>
      </c>
      <c r="AU113" s="8" t="b">
        <f t="shared" si="10"/>
        <v>0</v>
      </c>
      <c r="AV113" s="8" t="b">
        <f t="shared" si="10"/>
        <v>0</v>
      </c>
      <c r="AW113" s="8">
        <f t="shared" si="8"/>
        <v>0</v>
      </c>
    </row>
    <row r="114" spans="1:49" ht="18" customHeight="1">
      <c r="A114" s="8">
        <v>96</v>
      </c>
      <c r="B114" s="239"/>
      <c r="C114" s="240"/>
      <c r="D114" s="241"/>
      <c r="E114" s="241"/>
      <c r="F114" s="241"/>
      <c r="G114" s="241"/>
      <c r="H114" s="241"/>
      <c r="I114" s="241"/>
      <c r="J114" s="241"/>
      <c r="K114" s="241"/>
      <c r="L114" s="241"/>
      <c r="M114" s="241"/>
      <c r="N114" s="241"/>
      <c r="O114" s="241"/>
      <c r="P114" s="241"/>
      <c r="Q114" s="241"/>
      <c r="R114" s="241"/>
      <c r="S114" s="241"/>
      <c r="T114" s="241"/>
      <c r="U114" s="241"/>
      <c r="V114" s="241"/>
      <c r="W114" s="241"/>
      <c r="X114" s="241"/>
      <c r="Y114" s="241"/>
      <c r="Z114" s="241"/>
      <c r="AA114" s="241"/>
      <c r="AB114" s="241"/>
      <c r="AC114" s="242" t="str">
        <f t="shared" si="7"/>
        <v/>
      </c>
      <c r="AD114" s="7"/>
      <c r="AE114" s="7"/>
      <c r="AF114" s="7"/>
      <c r="AG114" s="223"/>
      <c r="AH114" s="8" t="b">
        <f t="shared" si="10"/>
        <v>0</v>
      </c>
      <c r="AI114" s="8" t="b">
        <f t="shared" si="10"/>
        <v>0</v>
      </c>
      <c r="AJ114" s="8" t="b">
        <f t="shared" si="10"/>
        <v>0</v>
      </c>
      <c r="AK114" s="8" t="b">
        <f t="shared" si="10"/>
        <v>0</v>
      </c>
      <c r="AL114" s="8" t="b">
        <f t="shared" si="10"/>
        <v>0</v>
      </c>
      <c r="AM114" s="8" t="b">
        <f t="shared" si="10"/>
        <v>0</v>
      </c>
      <c r="AN114" s="8" t="b">
        <f t="shared" si="10"/>
        <v>0</v>
      </c>
      <c r="AO114" s="8" t="b">
        <f t="shared" si="10"/>
        <v>0</v>
      </c>
      <c r="AP114" s="8" t="b">
        <f t="shared" si="10"/>
        <v>0</v>
      </c>
      <c r="AQ114" s="8" t="b">
        <f t="shared" si="10"/>
        <v>0</v>
      </c>
      <c r="AR114" s="8" t="b">
        <f t="shared" si="10"/>
        <v>0</v>
      </c>
      <c r="AS114" s="8" t="b">
        <f t="shared" si="10"/>
        <v>0</v>
      </c>
      <c r="AT114" s="8" t="b">
        <f t="shared" si="10"/>
        <v>0</v>
      </c>
      <c r="AU114" s="8" t="b">
        <f t="shared" si="10"/>
        <v>0</v>
      </c>
      <c r="AV114" s="8" t="b">
        <f t="shared" si="10"/>
        <v>0</v>
      </c>
      <c r="AW114" s="8">
        <f t="shared" si="8"/>
        <v>0</v>
      </c>
    </row>
    <row r="115" spans="1:49" ht="18" customHeight="1">
      <c r="A115" s="8">
        <v>97</v>
      </c>
      <c r="B115" s="239"/>
      <c r="C115" s="240"/>
      <c r="D115" s="241"/>
      <c r="E115" s="241"/>
      <c r="F115" s="241"/>
      <c r="G115" s="241"/>
      <c r="H115" s="241"/>
      <c r="I115" s="241"/>
      <c r="J115" s="241"/>
      <c r="K115" s="241"/>
      <c r="L115" s="241"/>
      <c r="M115" s="241"/>
      <c r="N115" s="241"/>
      <c r="O115" s="241"/>
      <c r="P115" s="241"/>
      <c r="Q115" s="241"/>
      <c r="R115" s="241"/>
      <c r="S115" s="241"/>
      <c r="T115" s="241"/>
      <c r="U115" s="241"/>
      <c r="V115" s="241"/>
      <c r="W115" s="241"/>
      <c r="X115" s="241"/>
      <c r="Y115" s="241"/>
      <c r="Z115" s="241"/>
      <c r="AA115" s="241"/>
      <c r="AB115" s="241"/>
      <c r="AC115" s="242" t="str">
        <f t="shared" si="7"/>
        <v/>
      </c>
      <c r="AD115" s="7"/>
      <c r="AE115" s="7"/>
      <c r="AF115" s="7"/>
      <c r="AG115" s="223"/>
      <c r="AH115" s="8" t="b">
        <f t="shared" si="10"/>
        <v>0</v>
      </c>
      <c r="AI115" s="8" t="b">
        <f t="shared" si="10"/>
        <v>0</v>
      </c>
      <c r="AJ115" s="8" t="b">
        <f t="shared" si="10"/>
        <v>0</v>
      </c>
      <c r="AK115" s="8" t="b">
        <f t="shared" si="10"/>
        <v>0</v>
      </c>
      <c r="AL115" s="8" t="b">
        <f t="shared" si="10"/>
        <v>0</v>
      </c>
      <c r="AM115" s="8" t="b">
        <f t="shared" si="10"/>
        <v>0</v>
      </c>
      <c r="AN115" s="8" t="b">
        <f t="shared" si="10"/>
        <v>0</v>
      </c>
      <c r="AO115" s="8" t="b">
        <f t="shared" si="10"/>
        <v>0</v>
      </c>
      <c r="AP115" s="8" t="b">
        <f t="shared" si="10"/>
        <v>0</v>
      </c>
      <c r="AQ115" s="8" t="b">
        <f t="shared" si="10"/>
        <v>0</v>
      </c>
      <c r="AR115" s="8" t="b">
        <f t="shared" si="10"/>
        <v>0</v>
      </c>
      <c r="AS115" s="8" t="b">
        <f t="shared" si="10"/>
        <v>0</v>
      </c>
      <c r="AT115" s="8" t="b">
        <f t="shared" si="10"/>
        <v>0</v>
      </c>
      <c r="AU115" s="8" t="b">
        <f t="shared" si="10"/>
        <v>0</v>
      </c>
      <c r="AV115" s="8" t="b">
        <f t="shared" si="10"/>
        <v>0</v>
      </c>
      <c r="AW115" s="8">
        <f t="shared" si="8"/>
        <v>0</v>
      </c>
    </row>
    <row r="116" spans="1:49" ht="18" customHeight="1">
      <c r="A116" s="8">
        <v>98</v>
      </c>
      <c r="B116" s="239"/>
      <c r="C116" s="240"/>
      <c r="D116" s="241"/>
      <c r="E116" s="241"/>
      <c r="F116" s="241"/>
      <c r="G116" s="241"/>
      <c r="H116" s="241"/>
      <c r="I116" s="241"/>
      <c r="J116" s="241"/>
      <c r="K116" s="241"/>
      <c r="L116" s="241"/>
      <c r="M116" s="241"/>
      <c r="N116" s="241"/>
      <c r="O116" s="241"/>
      <c r="P116" s="241"/>
      <c r="Q116" s="241"/>
      <c r="R116" s="241"/>
      <c r="S116" s="241"/>
      <c r="T116" s="241"/>
      <c r="U116" s="241"/>
      <c r="V116" s="241"/>
      <c r="W116" s="241"/>
      <c r="X116" s="241"/>
      <c r="Y116" s="241"/>
      <c r="Z116" s="241"/>
      <c r="AA116" s="241"/>
      <c r="AB116" s="241"/>
      <c r="AC116" s="242" t="str">
        <f t="shared" si="7"/>
        <v/>
      </c>
      <c r="AD116" s="7"/>
      <c r="AE116" s="7"/>
      <c r="AF116" s="7"/>
      <c r="AG116" s="223"/>
      <c r="AH116" s="8" t="b">
        <f t="shared" si="10"/>
        <v>0</v>
      </c>
      <c r="AI116" s="8" t="b">
        <f t="shared" si="10"/>
        <v>0</v>
      </c>
      <c r="AJ116" s="8" t="b">
        <f t="shared" si="10"/>
        <v>0</v>
      </c>
      <c r="AK116" s="8" t="b">
        <f t="shared" si="10"/>
        <v>0</v>
      </c>
      <c r="AL116" s="8" t="b">
        <f t="shared" si="10"/>
        <v>0</v>
      </c>
      <c r="AM116" s="8" t="b">
        <f t="shared" si="10"/>
        <v>0</v>
      </c>
      <c r="AN116" s="8" t="b">
        <f t="shared" si="10"/>
        <v>0</v>
      </c>
      <c r="AO116" s="8" t="b">
        <f t="shared" si="10"/>
        <v>0</v>
      </c>
      <c r="AP116" s="8" t="b">
        <f t="shared" si="10"/>
        <v>0</v>
      </c>
      <c r="AQ116" s="8" t="b">
        <f t="shared" si="10"/>
        <v>0</v>
      </c>
      <c r="AR116" s="8" t="b">
        <f t="shared" si="10"/>
        <v>0</v>
      </c>
      <c r="AS116" s="8" t="b">
        <f t="shared" si="10"/>
        <v>0</v>
      </c>
      <c r="AT116" s="8" t="b">
        <f t="shared" si="10"/>
        <v>0</v>
      </c>
      <c r="AU116" s="8" t="b">
        <f t="shared" si="10"/>
        <v>0</v>
      </c>
      <c r="AV116" s="8" t="b">
        <f t="shared" si="10"/>
        <v>0</v>
      </c>
      <c r="AW116" s="8">
        <f t="shared" si="8"/>
        <v>0</v>
      </c>
    </row>
    <row r="117" spans="1:49" ht="18" customHeight="1">
      <c r="A117" s="8">
        <v>99</v>
      </c>
      <c r="B117" s="239"/>
      <c r="C117" s="240"/>
      <c r="D117" s="241"/>
      <c r="E117" s="241"/>
      <c r="F117" s="241"/>
      <c r="G117" s="241"/>
      <c r="H117" s="241"/>
      <c r="I117" s="241"/>
      <c r="J117" s="241"/>
      <c r="K117" s="241"/>
      <c r="L117" s="241"/>
      <c r="M117" s="241"/>
      <c r="N117" s="241"/>
      <c r="O117" s="241"/>
      <c r="P117" s="241"/>
      <c r="Q117" s="241"/>
      <c r="R117" s="241"/>
      <c r="S117" s="241"/>
      <c r="T117" s="241"/>
      <c r="U117" s="241"/>
      <c r="V117" s="241"/>
      <c r="W117" s="241"/>
      <c r="X117" s="241"/>
      <c r="Y117" s="241"/>
      <c r="Z117" s="241"/>
      <c r="AA117" s="241"/>
      <c r="AB117" s="241"/>
      <c r="AC117" s="242" t="str">
        <f t="shared" si="7"/>
        <v/>
      </c>
      <c r="AD117" s="7"/>
      <c r="AE117" s="7"/>
      <c r="AF117" s="7"/>
      <c r="AG117" s="223"/>
      <c r="AH117" s="8" t="b">
        <f t="shared" si="10"/>
        <v>0</v>
      </c>
      <c r="AI117" s="8" t="b">
        <f t="shared" si="10"/>
        <v>0</v>
      </c>
      <c r="AJ117" s="8" t="b">
        <f t="shared" si="10"/>
        <v>0</v>
      </c>
      <c r="AK117" s="8" t="b">
        <f t="shared" si="10"/>
        <v>0</v>
      </c>
      <c r="AL117" s="8" t="b">
        <f t="shared" si="10"/>
        <v>0</v>
      </c>
      <c r="AM117" s="8" t="b">
        <f t="shared" si="10"/>
        <v>0</v>
      </c>
      <c r="AN117" s="8" t="b">
        <f t="shared" si="10"/>
        <v>0</v>
      </c>
      <c r="AO117" s="8" t="b">
        <f t="shared" si="10"/>
        <v>0</v>
      </c>
      <c r="AP117" s="8" t="b">
        <f t="shared" si="10"/>
        <v>0</v>
      </c>
      <c r="AQ117" s="8" t="b">
        <f t="shared" si="10"/>
        <v>0</v>
      </c>
      <c r="AR117" s="8" t="b">
        <f t="shared" si="10"/>
        <v>0</v>
      </c>
      <c r="AS117" s="8" t="b">
        <f t="shared" si="10"/>
        <v>0</v>
      </c>
      <c r="AT117" s="8" t="b">
        <f t="shared" si="10"/>
        <v>0</v>
      </c>
      <c r="AU117" s="8" t="b">
        <f t="shared" si="10"/>
        <v>0</v>
      </c>
      <c r="AV117" s="8" t="b">
        <f t="shared" si="10"/>
        <v>0</v>
      </c>
      <c r="AW117" s="8">
        <f t="shared" si="8"/>
        <v>0</v>
      </c>
    </row>
    <row r="118" spans="1:49" ht="18" customHeight="1">
      <c r="A118" s="8">
        <v>100</v>
      </c>
      <c r="B118" s="239"/>
      <c r="C118" s="240"/>
      <c r="D118" s="241"/>
      <c r="E118" s="241"/>
      <c r="F118" s="241"/>
      <c r="G118" s="241"/>
      <c r="H118" s="241"/>
      <c r="I118" s="241"/>
      <c r="J118" s="241"/>
      <c r="K118" s="241"/>
      <c r="L118" s="241"/>
      <c r="M118" s="241"/>
      <c r="N118" s="241"/>
      <c r="O118" s="241"/>
      <c r="P118" s="241"/>
      <c r="Q118" s="241"/>
      <c r="R118" s="241"/>
      <c r="S118" s="241"/>
      <c r="T118" s="241"/>
      <c r="U118" s="241"/>
      <c r="V118" s="241"/>
      <c r="W118" s="241"/>
      <c r="X118" s="241"/>
      <c r="Y118" s="241"/>
      <c r="Z118" s="241"/>
      <c r="AA118" s="241"/>
      <c r="AB118" s="241"/>
      <c r="AC118" s="242" t="str">
        <f t="shared" si="7"/>
        <v/>
      </c>
      <c r="AD118" s="7"/>
      <c r="AE118" s="7"/>
      <c r="AF118" s="7"/>
      <c r="AG118" s="223"/>
      <c r="AH118" s="8" t="b">
        <f t="shared" si="10"/>
        <v>0</v>
      </c>
      <c r="AI118" s="8" t="b">
        <f t="shared" si="10"/>
        <v>0</v>
      </c>
      <c r="AJ118" s="8" t="b">
        <f t="shared" si="10"/>
        <v>0</v>
      </c>
      <c r="AK118" s="8" t="b">
        <f t="shared" si="10"/>
        <v>0</v>
      </c>
      <c r="AL118" s="8" t="b">
        <f t="shared" si="10"/>
        <v>0</v>
      </c>
      <c r="AM118" s="8" t="b">
        <f t="shared" si="10"/>
        <v>0</v>
      </c>
      <c r="AN118" s="8" t="b">
        <f t="shared" si="10"/>
        <v>0</v>
      </c>
      <c r="AO118" s="8" t="b">
        <f t="shared" si="10"/>
        <v>0</v>
      </c>
      <c r="AP118" s="8" t="b">
        <f t="shared" si="10"/>
        <v>0</v>
      </c>
      <c r="AQ118" s="8" t="b">
        <f t="shared" si="10"/>
        <v>0</v>
      </c>
      <c r="AR118" s="8" t="b">
        <f t="shared" si="10"/>
        <v>0</v>
      </c>
      <c r="AS118" s="8" t="b">
        <f t="shared" si="10"/>
        <v>0</v>
      </c>
      <c r="AT118" s="8" t="b">
        <f t="shared" si="10"/>
        <v>0</v>
      </c>
      <c r="AU118" s="8" t="b">
        <f t="shared" si="10"/>
        <v>0</v>
      </c>
      <c r="AV118" s="8" t="b">
        <f t="shared" si="10"/>
        <v>0</v>
      </c>
      <c r="AW118" s="8">
        <f t="shared" si="8"/>
        <v>0</v>
      </c>
    </row>
    <row r="119" spans="1:49" ht="18" customHeight="1">
      <c r="A119" s="8">
        <v>101</v>
      </c>
      <c r="B119" s="239"/>
      <c r="C119" s="240"/>
      <c r="D119" s="241"/>
      <c r="E119" s="241"/>
      <c r="F119" s="241"/>
      <c r="G119" s="241"/>
      <c r="H119" s="241"/>
      <c r="I119" s="241"/>
      <c r="J119" s="241"/>
      <c r="K119" s="241"/>
      <c r="L119" s="241"/>
      <c r="M119" s="241"/>
      <c r="N119" s="241"/>
      <c r="O119" s="241"/>
      <c r="P119" s="241"/>
      <c r="Q119" s="241"/>
      <c r="R119" s="241"/>
      <c r="S119" s="241"/>
      <c r="T119" s="241"/>
      <c r="U119" s="241"/>
      <c r="V119" s="241"/>
      <c r="W119" s="241"/>
      <c r="X119" s="241"/>
      <c r="Y119" s="241"/>
      <c r="Z119" s="241"/>
      <c r="AA119" s="241"/>
      <c r="AB119" s="241"/>
      <c r="AC119" s="242" t="str">
        <f t="shared" si="7"/>
        <v/>
      </c>
      <c r="AD119" s="7"/>
      <c r="AE119" s="7"/>
      <c r="AF119" s="7"/>
      <c r="AG119" s="223"/>
      <c r="AH119" s="8" t="b">
        <f t="shared" ref="AH119:AV135" si="11">ISTEXT(N119)</f>
        <v>0</v>
      </c>
      <c r="AI119" s="8" t="b">
        <f t="shared" si="11"/>
        <v>0</v>
      </c>
      <c r="AJ119" s="8" t="b">
        <f t="shared" si="11"/>
        <v>0</v>
      </c>
      <c r="AK119" s="8" t="b">
        <f t="shared" si="11"/>
        <v>0</v>
      </c>
      <c r="AL119" s="8" t="b">
        <f t="shared" si="11"/>
        <v>0</v>
      </c>
      <c r="AM119" s="8" t="b">
        <f t="shared" si="11"/>
        <v>0</v>
      </c>
      <c r="AN119" s="8" t="b">
        <f t="shared" si="11"/>
        <v>0</v>
      </c>
      <c r="AO119" s="8" t="b">
        <f t="shared" si="11"/>
        <v>0</v>
      </c>
      <c r="AP119" s="8" t="b">
        <f t="shared" si="11"/>
        <v>0</v>
      </c>
      <c r="AQ119" s="8" t="b">
        <f t="shared" si="11"/>
        <v>0</v>
      </c>
      <c r="AR119" s="8" t="b">
        <f t="shared" si="11"/>
        <v>0</v>
      </c>
      <c r="AS119" s="8" t="b">
        <f t="shared" si="11"/>
        <v>0</v>
      </c>
      <c r="AT119" s="8" t="b">
        <f t="shared" si="11"/>
        <v>0</v>
      </c>
      <c r="AU119" s="8" t="b">
        <f t="shared" si="11"/>
        <v>0</v>
      </c>
      <c r="AV119" s="8" t="b">
        <f t="shared" si="11"/>
        <v>0</v>
      </c>
      <c r="AW119" s="8">
        <f t="shared" si="8"/>
        <v>0</v>
      </c>
    </row>
    <row r="120" spans="1:49" ht="18" customHeight="1">
      <c r="A120" s="8">
        <v>102</v>
      </c>
      <c r="B120" s="239"/>
      <c r="C120" s="240"/>
      <c r="D120" s="241"/>
      <c r="E120" s="241"/>
      <c r="F120" s="241"/>
      <c r="G120" s="241"/>
      <c r="H120" s="241"/>
      <c r="I120" s="241"/>
      <c r="J120" s="241"/>
      <c r="K120" s="241"/>
      <c r="L120" s="241"/>
      <c r="M120" s="241"/>
      <c r="N120" s="241"/>
      <c r="O120" s="241"/>
      <c r="P120" s="241"/>
      <c r="Q120" s="241"/>
      <c r="R120" s="241"/>
      <c r="S120" s="241"/>
      <c r="T120" s="241"/>
      <c r="U120" s="241"/>
      <c r="V120" s="241"/>
      <c r="W120" s="241"/>
      <c r="X120" s="241"/>
      <c r="Y120" s="241"/>
      <c r="Z120" s="241"/>
      <c r="AA120" s="241"/>
      <c r="AB120" s="241"/>
      <c r="AC120" s="242" t="str">
        <f t="shared" si="7"/>
        <v/>
      </c>
      <c r="AD120" s="7"/>
      <c r="AE120" s="7"/>
      <c r="AF120" s="7"/>
      <c r="AG120" s="223"/>
      <c r="AH120" s="8" t="b">
        <f t="shared" si="11"/>
        <v>0</v>
      </c>
      <c r="AI120" s="8" t="b">
        <f t="shared" si="11"/>
        <v>0</v>
      </c>
      <c r="AJ120" s="8" t="b">
        <f t="shared" si="11"/>
        <v>0</v>
      </c>
      <c r="AK120" s="8" t="b">
        <f t="shared" si="11"/>
        <v>0</v>
      </c>
      <c r="AL120" s="8" t="b">
        <f t="shared" si="11"/>
        <v>0</v>
      </c>
      <c r="AM120" s="8" t="b">
        <f t="shared" si="11"/>
        <v>0</v>
      </c>
      <c r="AN120" s="8" t="b">
        <f t="shared" si="11"/>
        <v>0</v>
      </c>
      <c r="AO120" s="8" t="b">
        <f t="shared" si="11"/>
        <v>0</v>
      </c>
      <c r="AP120" s="8" t="b">
        <f t="shared" si="11"/>
        <v>0</v>
      </c>
      <c r="AQ120" s="8" t="b">
        <f t="shared" si="11"/>
        <v>0</v>
      </c>
      <c r="AR120" s="8" t="b">
        <f t="shared" si="11"/>
        <v>0</v>
      </c>
      <c r="AS120" s="8" t="b">
        <f t="shared" si="11"/>
        <v>0</v>
      </c>
      <c r="AT120" s="8" t="b">
        <f t="shared" si="11"/>
        <v>0</v>
      </c>
      <c r="AU120" s="8" t="b">
        <f t="shared" si="11"/>
        <v>0</v>
      </c>
      <c r="AV120" s="8" t="b">
        <f t="shared" si="11"/>
        <v>0</v>
      </c>
      <c r="AW120" s="8">
        <f t="shared" si="8"/>
        <v>0</v>
      </c>
    </row>
    <row r="121" spans="1:49" ht="18" customHeight="1">
      <c r="A121" s="8">
        <v>103</v>
      </c>
      <c r="B121" s="239"/>
      <c r="C121" s="240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  <c r="O121" s="241"/>
      <c r="P121" s="241"/>
      <c r="Q121" s="241"/>
      <c r="R121" s="241"/>
      <c r="S121" s="241"/>
      <c r="T121" s="241"/>
      <c r="U121" s="241"/>
      <c r="V121" s="241"/>
      <c r="W121" s="241"/>
      <c r="X121" s="241"/>
      <c r="Y121" s="241"/>
      <c r="Z121" s="241"/>
      <c r="AA121" s="241"/>
      <c r="AB121" s="241"/>
      <c r="AC121" s="242" t="str">
        <f t="shared" si="7"/>
        <v/>
      </c>
      <c r="AD121" s="7"/>
      <c r="AE121" s="7"/>
      <c r="AF121" s="7"/>
      <c r="AG121" s="223"/>
      <c r="AH121" s="8" t="b">
        <f t="shared" si="11"/>
        <v>0</v>
      </c>
      <c r="AI121" s="8" t="b">
        <f t="shared" si="11"/>
        <v>0</v>
      </c>
      <c r="AJ121" s="8" t="b">
        <f t="shared" si="11"/>
        <v>0</v>
      </c>
      <c r="AK121" s="8" t="b">
        <f t="shared" si="11"/>
        <v>0</v>
      </c>
      <c r="AL121" s="8" t="b">
        <f t="shared" si="11"/>
        <v>0</v>
      </c>
      <c r="AM121" s="8" t="b">
        <f t="shared" si="11"/>
        <v>0</v>
      </c>
      <c r="AN121" s="8" t="b">
        <f t="shared" si="11"/>
        <v>0</v>
      </c>
      <c r="AO121" s="8" t="b">
        <f t="shared" si="11"/>
        <v>0</v>
      </c>
      <c r="AP121" s="8" t="b">
        <f t="shared" si="11"/>
        <v>0</v>
      </c>
      <c r="AQ121" s="8" t="b">
        <f t="shared" si="11"/>
        <v>0</v>
      </c>
      <c r="AR121" s="8" t="b">
        <f t="shared" si="11"/>
        <v>0</v>
      </c>
      <c r="AS121" s="8" t="b">
        <f t="shared" si="11"/>
        <v>0</v>
      </c>
      <c r="AT121" s="8" t="b">
        <f t="shared" si="11"/>
        <v>0</v>
      </c>
      <c r="AU121" s="8" t="b">
        <f t="shared" si="11"/>
        <v>0</v>
      </c>
      <c r="AV121" s="8" t="b">
        <f t="shared" si="11"/>
        <v>0</v>
      </c>
      <c r="AW121" s="8">
        <f t="shared" si="8"/>
        <v>0</v>
      </c>
    </row>
    <row r="122" spans="1:49" ht="18" customHeight="1">
      <c r="A122" s="8">
        <v>104</v>
      </c>
      <c r="B122" s="239"/>
      <c r="C122" s="240"/>
      <c r="D122" s="241"/>
      <c r="E122" s="241"/>
      <c r="F122" s="241"/>
      <c r="G122" s="241"/>
      <c r="H122" s="241"/>
      <c r="I122" s="241"/>
      <c r="J122" s="241"/>
      <c r="K122" s="241"/>
      <c r="L122" s="241"/>
      <c r="M122" s="241"/>
      <c r="N122" s="241"/>
      <c r="O122" s="241"/>
      <c r="P122" s="241"/>
      <c r="Q122" s="241"/>
      <c r="R122" s="241"/>
      <c r="S122" s="241"/>
      <c r="T122" s="241"/>
      <c r="U122" s="241"/>
      <c r="V122" s="241"/>
      <c r="W122" s="241"/>
      <c r="X122" s="241"/>
      <c r="Y122" s="241"/>
      <c r="Z122" s="241"/>
      <c r="AA122" s="241"/>
      <c r="AB122" s="241"/>
      <c r="AC122" s="242" t="str">
        <f t="shared" si="7"/>
        <v/>
      </c>
      <c r="AD122" s="7"/>
      <c r="AE122" s="7"/>
      <c r="AF122" s="7"/>
      <c r="AG122" s="223"/>
      <c r="AH122" s="8" t="b">
        <f t="shared" si="11"/>
        <v>0</v>
      </c>
      <c r="AI122" s="8" t="b">
        <f t="shared" si="11"/>
        <v>0</v>
      </c>
      <c r="AJ122" s="8" t="b">
        <f t="shared" si="11"/>
        <v>0</v>
      </c>
      <c r="AK122" s="8" t="b">
        <f t="shared" si="11"/>
        <v>0</v>
      </c>
      <c r="AL122" s="8" t="b">
        <f t="shared" si="11"/>
        <v>0</v>
      </c>
      <c r="AM122" s="8" t="b">
        <f t="shared" si="11"/>
        <v>0</v>
      </c>
      <c r="AN122" s="8" t="b">
        <f t="shared" si="11"/>
        <v>0</v>
      </c>
      <c r="AO122" s="8" t="b">
        <f t="shared" si="11"/>
        <v>0</v>
      </c>
      <c r="AP122" s="8" t="b">
        <f t="shared" si="11"/>
        <v>0</v>
      </c>
      <c r="AQ122" s="8" t="b">
        <f t="shared" si="11"/>
        <v>0</v>
      </c>
      <c r="AR122" s="8" t="b">
        <f t="shared" si="11"/>
        <v>0</v>
      </c>
      <c r="AS122" s="8" t="b">
        <f t="shared" si="11"/>
        <v>0</v>
      </c>
      <c r="AT122" s="8" t="b">
        <f t="shared" si="11"/>
        <v>0</v>
      </c>
      <c r="AU122" s="8" t="b">
        <f t="shared" si="11"/>
        <v>0</v>
      </c>
      <c r="AV122" s="8" t="b">
        <f t="shared" si="11"/>
        <v>0</v>
      </c>
      <c r="AW122" s="8">
        <f t="shared" si="8"/>
        <v>0</v>
      </c>
    </row>
    <row r="123" spans="1:49">
      <c r="A123" s="8">
        <v>105</v>
      </c>
      <c r="B123" s="234"/>
      <c r="C123" s="235"/>
      <c r="D123" s="236"/>
      <c r="E123" s="236"/>
      <c r="F123" s="236"/>
      <c r="G123" s="236"/>
      <c r="H123" s="236"/>
      <c r="I123" s="236"/>
      <c r="J123" s="236"/>
      <c r="K123" s="236"/>
      <c r="L123" s="236"/>
      <c r="M123" s="236"/>
      <c r="N123" s="237"/>
      <c r="O123" s="237"/>
      <c r="P123" s="237"/>
      <c r="Q123" s="237"/>
      <c r="R123" s="237"/>
      <c r="S123" s="237"/>
      <c r="T123" s="237"/>
      <c r="U123" s="237"/>
      <c r="V123" s="237"/>
      <c r="W123" s="237"/>
      <c r="X123" s="237"/>
      <c r="Y123" s="237"/>
      <c r="Z123" s="237"/>
      <c r="AA123" s="237"/>
      <c r="AB123" s="237"/>
      <c r="AC123" s="238" t="str">
        <f t="shared" si="7"/>
        <v/>
      </c>
      <c r="AD123" s="7"/>
      <c r="AE123" s="7"/>
      <c r="AF123" s="7"/>
      <c r="AG123" s="223"/>
      <c r="AH123" s="8" t="b">
        <f t="shared" si="11"/>
        <v>0</v>
      </c>
      <c r="AI123" s="8" t="b">
        <f t="shared" si="11"/>
        <v>0</v>
      </c>
      <c r="AJ123" s="8" t="b">
        <f t="shared" si="11"/>
        <v>0</v>
      </c>
      <c r="AK123" s="8" t="b">
        <f t="shared" si="11"/>
        <v>0</v>
      </c>
      <c r="AL123" s="8" t="b">
        <f t="shared" si="11"/>
        <v>0</v>
      </c>
      <c r="AM123" s="8" t="b">
        <f t="shared" si="11"/>
        <v>0</v>
      </c>
      <c r="AN123" s="8" t="b">
        <f t="shared" si="11"/>
        <v>0</v>
      </c>
      <c r="AO123" s="8" t="b">
        <f t="shared" si="11"/>
        <v>0</v>
      </c>
      <c r="AP123" s="8" t="b">
        <f t="shared" si="11"/>
        <v>0</v>
      </c>
      <c r="AQ123" s="8" t="b">
        <f t="shared" si="11"/>
        <v>0</v>
      </c>
      <c r="AR123" s="8" t="b">
        <f t="shared" si="11"/>
        <v>0</v>
      </c>
      <c r="AS123" s="8" t="b">
        <f t="shared" si="11"/>
        <v>0</v>
      </c>
      <c r="AT123" s="8" t="b">
        <f t="shared" si="11"/>
        <v>0</v>
      </c>
      <c r="AU123" s="8" t="b">
        <f t="shared" si="11"/>
        <v>0</v>
      </c>
      <c r="AV123" s="8" t="b">
        <f t="shared" si="11"/>
        <v>0</v>
      </c>
      <c r="AW123" s="8">
        <f t="shared" si="8"/>
        <v>0</v>
      </c>
    </row>
    <row r="124" spans="1:49" ht="18" customHeight="1">
      <c r="A124" s="8">
        <v>106</v>
      </c>
      <c r="B124" s="43"/>
      <c r="C124" s="81"/>
      <c r="D124" s="78"/>
      <c r="E124" s="78"/>
      <c r="F124" s="78"/>
      <c r="G124" s="78"/>
      <c r="H124" s="78"/>
      <c r="I124" s="78"/>
      <c r="J124" s="78"/>
      <c r="K124" s="78"/>
      <c r="L124" s="78"/>
      <c r="M124" s="78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63" t="str">
        <f t="shared" si="7"/>
        <v/>
      </c>
      <c r="AD124" s="7"/>
      <c r="AE124" s="7"/>
      <c r="AF124" s="7"/>
      <c r="AG124" s="223"/>
      <c r="AH124" s="8" t="b">
        <f t="shared" si="11"/>
        <v>0</v>
      </c>
      <c r="AI124" s="8" t="b">
        <f t="shared" si="11"/>
        <v>0</v>
      </c>
      <c r="AJ124" s="8" t="b">
        <f t="shared" si="11"/>
        <v>0</v>
      </c>
      <c r="AK124" s="8" t="b">
        <f t="shared" si="11"/>
        <v>0</v>
      </c>
      <c r="AL124" s="8" t="b">
        <f t="shared" si="11"/>
        <v>0</v>
      </c>
      <c r="AM124" s="8" t="b">
        <f t="shared" si="11"/>
        <v>0</v>
      </c>
      <c r="AN124" s="8" t="b">
        <f t="shared" si="11"/>
        <v>0</v>
      </c>
      <c r="AO124" s="8" t="b">
        <f t="shared" si="11"/>
        <v>0</v>
      </c>
      <c r="AP124" s="8" t="b">
        <f t="shared" si="11"/>
        <v>0</v>
      </c>
      <c r="AQ124" s="8" t="b">
        <f t="shared" si="11"/>
        <v>0</v>
      </c>
      <c r="AR124" s="8" t="b">
        <f t="shared" si="11"/>
        <v>0</v>
      </c>
      <c r="AS124" s="8" t="b">
        <f t="shared" si="11"/>
        <v>0</v>
      </c>
      <c r="AT124" s="8" t="b">
        <f t="shared" si="11"/>
        <v>0</v>
      </c>
      <c r="AU124" s="8" t="b">
        <f t="shared" si="11"/>
        <v>0</v>
      </c>
      <c r="AV124" s="8" t="b">
        <f t="shared" si="11"/>
        <v>0</v>
      </c>
      <c r="AW124" s="8">
        <f t="shared" si="8"/>
        <v>0</v>
      </c>
    </row>
    <row r="125" spans="1:49" ht="18" customHeight="1">
      <c r="A125" s="8">
        <v>107</v>
      </c>
      <c r="B125" s="43"/>
      <c r="C125" s="81"/>
      <c r="D125" s="78"/>
      <c r="E125" s="78"/>
      <c r="F125" s="78"/>
      <c r="G125" s="78"/>
      <c r="H125" s="78"/>
      <c r="I125" s="78"/>
      <c r="J125" s="78"/>
      <c r="K125" s="78"/>
      <c r="L125" s="78"/>
      <c r="M125" s="78"/>
      <c r="N125" s="79"/>
      <c r="O125" s="79"/>
      <c r="P125" s="79"/>
      <c r="Q125" s="79"/>
      <c r="R125" s="79"/>
      <c r="S125" s="79"/>
      <c r="T125" s="79"/>
      <c r="U125" s="79"/>
      <c r="V125" s="79"/>
      <c r="W125" s="79"/>
      <c r="X125" s="79"/>
      <c r="Y125" s="79"/>
      <c r="Z125" s="79"/>
      <c r="AA125" s="79"/>
      <c r="AB125" s="79"/>
      <c r="AC125" s="63" t="str">
        <f t="shared" si="7"/>
        <v/>
      </c>
      <c r="AD125" s="7"/>
      <c r="AE125" s="7"/>
      <c r="AF125" s="7"/>
      <c r="AG125" s="223"/>
      <c r="AH125" s="8" t="b">
        <f t="shared" si="11"/>
        <v>0</v>
      </c>
      <c r="AI125" s="8" t="b">
        <f t="shared" si="11"/>
        <v>0</v>
      </c>
      <c r="AJ125" s="8" t="b">
        <f t="shared" si="11"/>
        <v>0</v>
      </c>
      <c r="AK125" s="8" t="b">
        <f t="shared" si="11"/>
        <v>0</v>
      </c>
      <c r="AL125" s="8" t="b">
        <f t="shared" si="11"/>
        <v>0</v>
      </c>
      <c r="AM125" s="8" t="b">
        <f t="shared" si="11"/>
        <v>0</v>
      </c>
      <c r="AN125" s="8" t="b">
        <f t="shared" si="11"/>
        <v>0</v>
      </c>
      <c r="AO125" s="8" t="b">
        <f t="shared" si="11"/>
        <v>0</v>
      </c>
      <c r="AP125" s="8" t="b">
        <f t="shared" si="11"/>
        <v>0</v>
      </c>
      <c r="AQ125" s="8" t="b">
        <f t="shared" si="11"/>
        <v>0</v>
      </c>
      <c r="AR125" s="8" t="b">
        <f t="shared" si="11"/>
        <v>0</v>
      </c>
      <c r="AS125" s="8" t="b">
        <f t="shared" si="11"/>
        <v>0</v>
      </c>
      <c r="AT125" s="8" t="b">
        <f t="shared" si="11"/>
        <v>0</v>
      </c>
      <c r="AU125" s="8" t="b">
        <f t="shared" si="11"/>
        <v>0</v>
      </c>
      <c r="AV125" s="8" t="b">
        <f t="shared" si="11"/>
        <v>0</v>
      </c>
      <c r="AW125" s="8">
        <f t="shared" si="8"/>
        <v>0</v>
      </c>
    </row>
    <row r="126" spans="1:49" ht="18" customHeight="1">
      <c r="A126" s="8">
        <v>108</v>
      </c>
      <c r="B126" s="43"/>
      <c r="C126" s="81"/>
      <c r="D126" s="78"/>
      <c r="E126" s="78"/>
      <c r="F126" s="78"/>
      <c r="G126" s="78"/>
      <c r="H126" s="78"/>
      <c r="I126" s="78"/>
      <c r="J126" s="78"/>
      <c r="K126" s="78"/>
      <c r="L126" s="78"/>
      <c r="M126" s="78"/>
      <c r="N126" s="79"/>
      <c r="O126" s="79"/>
      <c r="P126" s="79"/>
      <c r="Q126" s="79"/>
      <c r="R126" s="79"/>
      <c r="S126" s="79"/>
      <c r="T126" s="79"/>
      <c r="U126" s="79"/>
      <c r="V126" s="79"/>
      <c r="W126" s="79"/>
      <c r="X126" s="79"/>
      <c r="Y126" s="79"/>
      <c r="Z126" s="79"/>
      <c r="AA126" s="79"/>
      <c r="AB126" s="79"/>
      <c r="AC126" s="63" t="str">
        <f t="shared" si="7"/>
        <v/>
      </c>
      <c r="AD126" s="7"/>
      <c r="AE126" s="7"/>
      <c r="AF126" s="7"/>
      <c r="AG126" s="223"/>
      <c r="AH126" s="8" t="b">
        <f t="shared" si="11"/>
        <v>0</v>
      </c>
      <c r="AI126" s="8" t="b">
        <f t="shared" si="11"/>
        <v>0</v>
      </c>
      <c r="AJ126" s="8" t="b">
        <f t="shared" si="11"/>
        <v>0</v>
      </c>
      <c r="AK126" s="8" t="b">
        <f t="shared" si="11"/>
        <v>0</v>
      </c>
      <c r="AL126" s="8" t="b">
        <f t="shared" si="11"/>
        <v>0</v>
      </c>
      <c r="AM126" s="8" t="b">
        <f t="shared" si="11"/>
        <v>0</v>
      </c>
      <c r="AN126" s="8" t="b">
        <f t="shared" si="11"/>
        <v>0</v>
      </c>
      <c r="AO126" s="8" t="b">
        <f t="shared" si="11"/>
        <v>0</v>
      </c>
      <c r="AP126" s="8" t="b">
        <f t="shared" si="11"/>
        <v>0</v>
      </c>
      <c r="AQ126" s="8" t="b">
        <f t="shared" si="11"/>
        <v>0</v>
      </c>
      <c r="AR126" s="8" t="b">
        <f t="shared" si="11"/>
        <v>0</v>
      </c>
      <c r="AS126" s="8" t="b">
        <f t="shared" si="11"/>
        <v>0</v>
      </c>
      <c r="AT126" s="8" t="b">
        <f t="shared" si="11"/>
        <v>0</v>
      </c>
      <c r="AU126" s="8" t="b">
        <f t="shared" si="11"/>
        <v>0</v>
      </c>
      <c r="AV126" s="8" t="b">
        <f t="shared" si="11"/>
        <v>0</v>
      </c>
      <c r="AW126" s="8">
        <f t="shared" si="8"/>
        <v>0</v>
      </c>
    </row>
    <row r="127" spans="1:49" ht="18" customHeight="1">
      <c r="A127" s="8">
        <v>109</v>
      </c>
      <c r="B127" s="43"/>
      <c r="C127" s="81"/>
      <c r="D127" s="78"/>
      <c r="E127" s="78"/>
      <c r="F127" s="78"/>
      <c r="G127" s="78"/>
      <c r="H127" s="78"/>
      <c r="I127" s="78"/>
      <c r="J127" s="78"/>
      <c r="K127" s="78"/>
      <c r="L127" s="78"/>
      <c r="M127" s="78"/>
      <c r="N127" s="79"/>
      <c r="O127" s="79"/>
      <c r="P127" s="79"/>
      <c r="Q127" s="79"/>
      <c r="R127" s="79"/>
      <c r="S127" s="79"/>
      <c r="T127" s="79"/>
      <c r="U127" s="79"/>
      <c r="V127" s="79"/>
      <c r="W127" s="79"/>
      <c r="X127" s="79"/>
      <c r="Y127" s="79"/>
      <c r="Z127" s="79"/>
      <c r="AA127" s="79"/>
      <c r="AB127" s="79"/>
      <c r="AC127" s="63" t="str">
        <f t="shared" si="7"/>
        <v/>
      </c>
      <c r="AD127" s="7"/>
      <c r="AE127" s="7"/>
      <c r="AF127" s="7"/>
      <c r="AG127" s="223"/>
      <c r="AH127" s="8" t="b">
        <f t="shared" si="11"/>
        <v>0</v>
      </c>
      <c r="AI127" s="8" t="b">
        <f t="shared" si="11"/>
        <v>0</v>
      </c>
      <c r="AJ127" s="8" t="b">
        <f t="shared" si="11"/>
        <v>0</v>
      </c>
      <c r="AK127" s="8" t="b">
        <f t="shared" si="11"/>
        <v>0</v>
      </c>
      <c r="AL127" s="8" t="b">
        <f t="shared" si="11"/>
        <v>0</v>
      </c>
      <c r="AM127" s="8" t="b">
        <f t="shared" si="11"/>
        <v>0</v>
      </c>
      <c r="AN127" s="8" t="b">
        <f t="shared" si="11"/>
        <v>0</v>
      </c>
      <c r="AO127" s="8" t="b">
        <f t="shared" si="11"/>
        <v>0</v>
      </c>
      <c r="AP127" s="8" t="b">
        <f t="shared" si="11"/>
        <v>0</v>
      </c>
      <c r="AQ127" s="8" t="b">
        <f t="shared" si="11"/>
        <v>0</v>
      </c>
      <c r="AR127" s="8" t="b">
        <f t="shared" si="11"/>
        <v>0</v>
      </c>
      <c r="AS127" s="8" t="b">
        <f t="shared" si="11"/>
        <v>0</v>
      </c>
      <c r="AT127" s="8" t="b">
        <f t="shared" si="11"/>
        <v>0</v>
      </c>
      <c r="AU127" s="8" t="b">
        <f t="shared" si="11"/>
        <v>0</v>
      </c>
      <c r="AV127" s="8" t="b">
        <f t="shared" si="11"/>
        <v>0</v>
      </c>
      <c r="AW127" s="8">
        <f t="shared" si="8"/>
        <v>0</v>
      </c>
    </row>
    <row r="128" spans="1:49" ht="18" customHeight="1">
      <c r="A128" s="8">
        <v>110</v>
      </c>
      <c r="B128" s="43"/>
      <c r="C128" s="81"/>
      <c r="D128" s="78"/>
      <c r="E128" s="78"/>
      <c r="F128" s="78"/>
      <c r="G128" s="78"/>
      <c r="H128" s="78"/>
      <c r="I128" s="78"/>
      <c r="J128" s="78"/>
      <c r="K128" s="78"/>
      <c r="L128" s="78"/>
      <c r="M128" s="78"/>
      <c r="N128" s="79"/>
      <c r="O128" s="79"/>
      <c r="P128" s="79"/>
      <c r="Q128" s="79"/>
      <c r="R128" s="79"/>
      <c r="S128" s="79"/>
      <c r="T128" s="79"/>
      <c r="U128" s="79"/>
      <c r="V128" s="79"/>
      <c r="W128" s="79"/>
      <c r="X128" s="79"/>
      <c r="Y128" s="79"/>
      <c r="Z128" s="79"/>
      <c r="AA128" s="79"/>
      <c r="AB128" s="79"/>
      <c r="AC128" s="63" t="str">
        <f t="shared" si="7"/>
        <v/>
      </c>
      <c r="AD128" s="7"/>
      <c r="AE128" s="7"/>
      <c r="AF128" s="7"/>
      <c r="AG128" s="223"/>
      <c r="AH128" s="8" t="b">
        <f t="shared" si="11"/>
        <v>0</v>
      </c>
      <c r="AI128" s="8" t="b">
        <f t="shared" si="11"/>
        <v>0</v>
      </c>
      <c r="AJ128" s="8" t="b">
        <f t="shared" si="11"/>
        <v>0</v>
      </c>
      <c r="AK128" s="8" t="b">
        <f t="shared" si="11"/>
        <v>0</v>
      </c>
      <c r="AL128" s="8" t="b">
        <f t="shared" si="11"/>
        <v>0</v>
      </c>
      <c r="AM128" s="8" t="b">
        <f t="shared" si="11"/>
        <v>0</v>
      </c>
      <c r="AN128" s="8" t="b">
        <f t="shared" si="11"/>
        <v>0</v>
      </c>
      <c r="AO128" s="8" t="b">
        <f t="shared" si="11"/>
        <v>0</v>
      </c>
      <c r="AP128" s="8" t="b">
        <f t="shared" si="11"/>
        <v>0</v>
      </c>
      <c r="AQ128" s="8" t="b">
        <f t="shared" si="11"/>
        <v>0</v>
      </c>
      <c r="AR128" s="8" t="b">
        <f t="shared" si="11"/>
        <v>0</v>
      </c>
      <c r="AS128" s="8" t="b">
        <f t="shared" si="11"/>
        <v>0</v>
      </c>
      <c r="AT128" s="8" t="b">
        <f t="shared" si="11"/>
        <v>0</v>
      </c>
      <c r="AU128" s="8" t="b">
        <f t="shared" si="11"/>
        <v>0</v>
      </c>
      <c r="AV128" s="8" t="b">
        <f t="shared" si="11"/>
        <v>0</v>
      </c>
      <c r="AW128" s="8">
        <f t="shared" si="8"/>
        <v>0</v>
      </c>
    </row>
    <row r="129" spans="1:49" ht="18" customHeight="1">
      <c r="A129" s="8">
        <v>111</v>
      </c>
      <c r="B129" s="43"/>
      <c r="C129" s="81"/>
      <c r="D129" s="78"/>
      <c r="E129" s="78"/>
      <c r="F129" s="78"/>
      <c r="G129" s="78"/>
      <c r="H129" s="78"/>
      <c r="I129" s="78"/>
      <c r="J129" s="78"/>
      <c r="K129" s="78"/>
      <c r="L129" s="78"/>
      <c r="M129" s="78"/>
      <c r="N129" s="79"/>
      <c r="O129" s="79"/>
      <c r="P129" s="79"/>
      <c r="Q129" s="79"/>
      <c r="R129" s="79"/>
      <c r="S129" s="79"/>
      <c r="T129" s="79"/>
      <c r="U129" s="79"/>
      <c r="V129" s="79"/>
      <c r="W129" s="79"/>
      <c r="X129" s="79"/>
      <c r="Y129" s="79"/>
      <c r="Z129" s="79"/>
      <c r="AA129" s="79"/>
      <c r="AB129" s="79"/>
      <c r="AC129" s="63" t="str">
        <f t="shared" si="7"/>
        <v/>
      </c>
      <c r="AD129" s="7"/>
      <c r="AE129" s="7"/>
      <c r="AF129" s="7"/>
      <c r="AG129" s="223"/>
      <c r="AH129" s="8" t="b">
        <f t="shared" si="11"/>
        <v>0</v>
      </c>
      <c r="AI129" s="8" t="b">
        <f t="shared" si="11"/>
        <v>0</v>
      </c>
      <c r="AJ129" s="8" t="b">
        <f t="shared" si="11"/>
        <v>0</v>
      </c>
      <c r="AK129" s="8" t="b">
        <f t="shared" si="11"/>
        <v>0</v>
      </c>
      <c r="AL129" s="8" t="b">
        <f t="shared" si="11"/>
        <v>0</v>
      </c>
      <c r="AM129" s="8" t="b">
        <f t="shared" si="11"/>
        <v>0</v>
      </c>
      <c r="AN129" s="8" t="b">
        <f t="shared" si="11"/>
        <v>0</v>
      </c>
      <c r="AO129" s="8" t="b">
        <f t="shared" si="11"/>
        <v>0</v>
      </c>
      <c r="AP129" s="8" t="b">
        <f t="shared" si="11"/>
        <v>0</v>
      </c>
      <c r="AQ129" s="8" t="b">
        <f t="shared" si="11"/>
        <v>0</v>
      </c>
      <c r="AR129" s="8" t="b">
        <f t="shared" si="11"/>
        <v>0</v>
      </c>
      <c r="AS129" s="8" t="b">
        <f t="shared" si="11"/>
        <v>0</v>
      </c>
      <c r="AT129" s="8" t="b">
        <f t="shared" si="11"/>
        <v>0</v>
      </c>
      <c r="AU129" s="8" t="b">
        <f t="shared" si="11"/>
        <v>0</v>
      </c>
      <c r="AV129" s="8" t="b">
        <f t="shared" si="11"/>
        <v>0</v>
      </c>
      <c r="AW129" s="8">
        <f t="shared" si="8"/>
        <v>0</v>
      </c>
    </row>
    <row r="130" spans="1:49" ht="18" customHeight="1">
      <c r="A130" s="8">
        <v>112</v>
      </c>
      <c r="B130" s="43"/>
      <c r="C130" s="81"/>
      <c r="D130" s="78"/>
      <c r="E130" s="78"/>
      <c r="F130" s="78"/>
      <c r="G130" s="78"/>
      <c r="H130" s="78"/>
      <c r="I130" s="78"/>
      <c r="J130" s="78"/>
      <c r="K130" s="78"/>
      <c r="L130" s="78"/>
      <c r="M130" s="78"/>
      <c r="N130" s="79"/>
      <c r="O130" s="79"/>
      <c r="P130" s="79"/>
      <c r="Q130" s="79"/>
      <c r="R130" s="79"/>
      <c r="S130" s="79"/>
      <c r="T130" s="79"/>
      <c r="U130" s="79"/>
      <c r="V130" s="79"/>
      <c r="W130" s="79"/>
      <c r="X130" s="79"/>
      <c r="Y130" s="79"/>
      <c r="Z130" s="79"/>
      <c r="AA130" s="79"/>
      <c r="AB130" s="79"/>
      <c r="AC130" s="63" t="str">
        <f t="shared" si="7"/>
        <v/>
      </c>
      <c r="AD130" s="7"/>
      <c r="AE130" s="7"/>
      <c r="AF130" s="7"/>
      <c r="AG130" s="223"/>
      <c r="AH130" s="8" t="b">
        <f t="shared" si="11"/>
        <v>0</v>
      </c>
      <c r="AI130" s="8" t="b">
        <f t="shared" si="11"/>
        <v>0</v>
      </c>
      <c r="AJ130" s="8" t="b">
        <f t="shared" si="11"/>
        <v>0</v>
      </c>
      <c r="AK130" s="8" t="b">
        <f t="shared" si="11"/>
        <v>0</v>
      </c>
      <c r="AL130" s="8" t="b">
        <f t="shared" si="11"/>
        <v>0</v>
      </c>
      <c r="AM130" s="8" t="b">
        <f t="shared" si="11"/>
        <v>0</v>
      </c>
      <c r="AN130" s="8" t="b">
        <f t="shared" si="11"/>
        <v>0</v>
      </c>
      <c r="AO130" s="8" t="b">
        <f t="shared" si="11"/>
        <v>0</v>
      </c>
      <c r="AP130" s="8" t="b">
        <f t="shared" si="11"/>
        <v>0</v>
      </c>
      <c r="AQ130" s="8" t="b">
        <f t="shared" si="11"/>
        <v>0</v>
      </c>
      <c r="AR130" s="8" t="b">
        <f t="shared" si="11"/>
        <v>0</v>
      </c>
      <c r="AS130" s="8" t="b">
        <f t="shared" si="11"/>
        <v>0</v>
      </c>
      <c r="AT130" s="8" t="b">
        <f t="shared" si="11"/>
        <v>0</v>
      </c>
      <c r="AU130" s="8" t="b">
        <f t="shared" si="11"/>
        <v>0</v>
      </c>
      <c r="AV130" s="8" t="b">
        <f t="shared" si="11"/>
        <v>0</v>
      </c>
      <c r="AW130" s="8">
        <f t="shared" si="8"/>
        <v>0</v>
      </c>
    </row>
    <row r="131" spans="1:49" ht="18" customHeight="1">
      <c r="A131" s="8">
        <v>113</v>
      </c>
      <c r="B131" s="43"/>
      <c r="C131" s="81"/>
      <c r="D131" s="78"/>
      <c r="E131" s="78"/>
      <c r="F131" s="78"/>
      <c r="G131" s="78"/>
      <c r="H131" s="78"/>
      <c r="I131" s="78"/>
      <c r="J131" s="78"/>
      <c r="K131" s="78"/>
      <c r="L131" s="78"/>
      <c r="M131" s="78"/>
      <c r="N131" s="79"/>
      <c r="O131" s="79"/>
      <c r="P131" s="79"/>
      <c r="Q131" s="79"/>
      <c r="R131" s="79"/>
      <c r="S131" s="79"/>
      <c r="T131" s="79"/>
      <c r="U131" s="79"/>
      <c r="V131" s="79"/>
      <c r="W131" s="79"/>
      <c r="X131" s="79"/>
      <c r="Y131" s="79"/>
      <c r="Z131" s="79"/>
      <c r="AA131" s="79"/>
      <c r="AB131" s="79"/>
      <c r="AC131" s="63" t="str">
        <f t="shared" si="7"/>
        <v/>
      </c>
      <c r="AD131" s="7"/>
      <c r="AE131" s="7"/>
      <c r="AF131" s="7"/>
      <c r="AG131" s="223"/>
      <c r="AH131" s="8" t="b">
        <f t="shared" si="11"/>
        <v>0</v>
      </c>
      <c r="AI131" s="8" t="b">
        <f t="shared" si="11"/>
        <v>0</v>
      </c>
      <c r="AJ131" s="8" t="b">
        <f t="shared" si="11"/>
        <v>0</v>
      </c>
      <c r="AK131" s="8" t="b">
        <f t="shared" si="11"/>
        <v>0</v>
      </c>
      <c r="AL131" s="8" t="b">
        <f t="shared" si="11"/>
        <v>0</v>
      </c>
      <c r="AM131" s="8" t="b">
        <f t="shared" si="11"/>
        <v>0</v>
      </c>
      <c r="AN131" s="8" t="b">
        <f t="shared" si="11"/>
        <v>0</v>
      </c>
      <c r="AO131" s="8" t="b">
        <f t="shared" si="11"/>
        <v>0</v>
      </c>
      <c r="AP131" s="8" t="b">
        <f t="shared" si="11"/>
        <v>0</v>
      </c>
      <c r="AQ131" s="8" t="b">
        <f t="shared" si="11"/>
        <v>0</v>
      </c>
      <c r="AR131" s="8" t="b">
        <f t="shared" si="11"/>
        <v>0</v>
      </c>
      <c r="AS131" s="8" t="b">
        <f t="shared" si="11"/>
        <v>0</v>
      </c>
      <c r="AT131" s="8" t="b">
        <f t="shared" si="11"/>
        <v>0</v>
      </c>
      <c r="AU131" s="8" t="b">
        <f t="shared" si="11"/>
        <v>0</v>
      </c>
      <c r="AV131" s="8" t="b">
        <f t="shared" si="11"/>
        <v>0</v>
      </c>
      <c r="AW131" s="8">
        <f t="shared" si="8"/>
        <v>0</v>
      </c>
    </row>
    <row r="132" spans="1:49" ht="18" customHeight="1">
      <c r="A132" s="8">
        <v>114</v>
      </c>
      <c r="B132" s="43"/>
      <c r="C132" s="81"/>
      <c r="D132" s="78"/>
      <c r="E132" s="78"/>
      <c r="F132" s="78"/>
      <c r="G132" s="78"/>
      <c r="H132" s="78"/>
      <c r="I132" s="78"/>
      <c r="J132" s="78"/>
      <c r="K132" s="78"/>
      <c r="L132" s="78"/>
      <c r="M132" s="78"/>
      <c r="N132" s="79"/>
      <c r="O132" s="79"/>
      <c r="P132" s="79"/>
      <c r="Q132" s="79"/>
      <c r="R132" s="79"/>
      <c r="S132" s="79"/>
      <c r="T132" s="79"/>
      <c r="U132" s="79"/>
      <c r="V132" s="79"/>
      <c r="W132" s="79"/>
      <c r="X132" s="79"/>
      <c r="Y132" s="79"/>
      <c r="Z132" s="79"/>
      <c r="AA132" s="79"/>
      <c r="AB132" s="79"/>
      <c r="AC132" s="63" t="str">
        <f t="shared" si="7"/>
        <v/>
      </c>
      <c r="AD132" s="7"/>
      <c r="AE132" s="7"/>
      <c r="AF132" s="7"/>
      <c r="AG132" s="223"/>
      <c r="AH132" s="8" t="b">
        <f t="shared" si="11"/>
        <v>0</v>
      </c>
      <c r="AI132" s="8" t="b">
        <f t="shared" si="11"/>
        <v>0</v>
      </c>
      <c r="AJ132" s="8" t="b">
        <f t="shared" si="11"/>
        <v>0</v>
      </c>
      <c r="AK132" s="8" t="b">
        <f t="shared" si="11"/>
        <v>0</v>
      </c>
      <c r="AL132" s="8" t="b">
        <f t="shared" si="11"/>
        <v>0</v>
      </c>
      <c r="AM132" s="8" t="b">
        <f t="shared" si="11"/>
        <v>0</v>
      </c>
      <c r="AN132" s="8" t="b">
        <f t="shared" si="11"/>
        <v>0</v>
      </c>
      <c r="AO132" s="8" t="b">
        <f t="shared" si="11"/>
        <v>0</v>
      </c>
      <c r="AP132" s="8" t="b">
        <f t="shared" si="11"/>
        <v>0</v>
      </c>
      <c r="AQ132" s="8" t="b">
        <f t="shared" si="11"/>
        <v>0</v>
      </c>
      <c r="AR132" s="8" t="b">
        <f t="shared" si="11"/>
        <v>0</v>
      </c>
      <c r="AS132" s="8" t="b">
        <f t="shared" si="11"/>
        <v>0</v>
      </c>
      <c r="AT132" s="8" t="b">
        <f t="shared" si="11"/>
        <v>0</v>
      </c>
      <c r="AU132" s="8" t="b">
        <f t="shared" si="11"/>
        <v>0</v>
      </c>
      <c r="AV132" s="8" t="b">
        <f t="shared" si="11"/>
        <v>0</v>
      </c>
      <c r="AW132" s="8">
        <f t="shared" si="8"/>
        <v>0</v>
      </c>
    </row>
    <row r="133" spans="1:49" ht="18" customHeight="1">
      <c r="A133" s="8">
        <v>115</v>
      </c>
      <c r="B133" s="43"/>
      <c r="C133" s="81"/>
      <c r="D133" s="78"/>
      <c r="E133" s="78"/>
      <c r="F133" s="78"/>
      <c r="G133" s="78"/>
      <c r="H133" s="78"/>
      <c r="I133" s="78"/>
      <c r="J133" s="78"/>
      <c r="K133" s="78"/>
      <c r="L133" s="78"/>
      <c r="M133" s="78"/>
      <c r="N133" s="79"/>
      <c r="O133" s="79"/>
      <c r="P133" s="79"/>
      <c r="Q133" s="79"/>
      <c r="R133" s="79"/>
      <c r="S133" s="79"/>
      <c r="T133" s="79"/>
      <c r="U133" s="79"/>
      <c r="V133" s="79"/>
      <c r="W133" s="79"/>
      <c r="X133" s="79"/>
      <c r="Y133" s="79"/>
      <c r="Z133" s="79"/>
      <c r="AA133" s="79"/>
      <c r="AB133" s="79"/>
      <c r="AC133" s="63" t="str">
        <f t="shared" si="7"/>
        <v/>
      </c>
      <c r="AD133" s="7"/>
      <c r="AE133" s="7"/>
      <c r="AF133" s="7"/>
      <c r="AG133" s="223"/>
      <c r="AH133" s="8" t="b">
        <f t="shared" si="11"/>
        <v>0</v>
      </c>
      <c r="AI133" s="8" t="b">
        <f t="shared" si="11"/>
        <v>0</v>
      </c>
      <c r="AJ133" s="8" t="b">
        <f t="shared" si="11"/>
        <v>0</v>
      </c>
      <c r="AK133" s="8" t="b">
        <f t="shared" si="11"/>
        <v>0</v>
      </c>
      <c r="AL133" s="8" t="b">
        <f t="shared" si="11"/>
        <v>0</v>
      </c>
      <c r="AM133" s="8" t="b">
        <f t="shared" si="11"/>
        <v>0</v>
      </c>
      <c r="AN133" s="8" t="b">
        <f t="shared" si="11"/>
        <v>0</v>
      </c>
      <c r="AO133" s="8" t="b">
        <f t="shared" si="11"/>
        <v>0</v>
      </c>
      <c r="AP133" s="8" t="b">
        <f t="shared" si="11"/>
        <v>0</v>
      </c>
      <c r="AQ133" s="8" t="b">
        <f t="shared" si="11"/>
        <v>0</v>
      </c>
      <c r="AR133" s="8" t="b">
        <f t="shared" si="11"/>
        <v>0</v>
      </c>
      <c r="AS133" s="8" t="b">
        <f t="shared" si="11"/>
        <v>0</v>
      </c>
      <c r="AT133" s="8" t="b">
        <f t="shared" si="11"/>
        <v>0</v>
      </c>
      <c r="AU133" s="8" t="b">
        <f t="shared" si="11"/>
        <v>0</v>
      </c>
      <c r="AV133" s="8" t="b">
        <f t="shared" si="11"/>
        <v>0</v>
      </c>
      <c r="AW133" s="8">
        <f t="shared" si="8"/>
        <v>0</v>
      </c>
    </row>
    <row r="134" spans="1:49" ht="18" customHeight="1">
      <c r="A134" s="8">
        <v>116</v>
      </c>
      <c r="B134" s="43"/>
      <c r="C134" s="81"/>
      <c r="D134" s="78"/>
      <c r="E134" s="78"/>
      <c r="F134" s="78"/>
      <c r="G134" s="78"/>
      <c r="H134" s="78"/>
      <c r="I134" s="78"/>
      <c r="J134" s="78"/>
      <c r="K134" s="78"/>
      <c r="L134" s="78"/>
      <c r="M134" s="78"/>
      <c r="N134" s="79"/>
      <c r="O134" s="79"/>
      <c r="P134" s="79"/>
      <c r="Q134" s="79"/>
      <c r="R134" s="79"/>
      <c r="S134" s="79"/>
      <c r="T134" s="79"/>
      <c r="U134" s="79"/>
      <c r="V134" s="79"/>
      <c r="W134" s="79"/>
      <c r="X134" s="79"/>
      <c r="Y134" s="79"/>
      <c r="Z134" s="79"/>
      <c r="AA134" s="79"/>
      <c r="AB134" s="79"/>
      <c r="AC134" s="63" t="str">
        <f t="shared" si="7"/>
        <v/>
      </c>
      <c r="AD134" s="7"/>
      <c r="AE134" s="7"/>
      <c r="AF134" s="7"/>
      <c r="AG134" s="223"/>
      <c r="AH134" s="8" t="b">
        <f t="shared" si="11"/>
        <v>0</v>
      </c>
      <c r="AI134" s="8" t="b">
        <f t="shared" si="11"/>
        <v>0</v>
      </c>
      <c r="AJ134" s="8" t="b">
        <f t="shared" si="11"/>
        <v>0</v>
      </c>
      <c r="AK134" s="8" t="b">
        <f t="shared" si="11"/>
        <v>0</v>
      </c>
      <c r="AL134" s="8" t="b">
        <f t="shared" si="11"/>
        <v>0</v>
      </c>
      <c r="AM134" s="8" t="b">
        <f t="shared" si="11"/>
        <v>0</v>
      </c>
      <c r="AN134" s="8" t="b">
        <f t="shared" si="11"/>
        <v>0</v>
      </c>
      <c r="AO134" s="8" t="b">
        <f t="shared" si="11"/>
        <v>0</v>
      </c>
      <c r="AP134" s="8" t="b">
        <f t="shared" si="11"/>
        <v>0</v>
      </c>
      <c r="AQ134" s="8" t="b">
        <f t="shared" si="11"/>
        <v>0</v>
      </c>
      <c r="AR134" s="8" t="b">
        <f t="shared" si="11"/>
        <v>0</v>
      </c>
      <c r="AS134" s="8" t="b">
        <f t="shared" si="11"/>
        <v>0</v>
      </c>
      <c r="AT134" s="8" t="b">
        <f t="shared" si="11"/>
        <v>0</v>
      </c>
      <c r="AU134" s="8" t="b">
        <f t="shared" si="11"/>
        <v>0</v>
      </c>
      <c r="AV134" s="8" t="b">
        <f t="shared" si="11"/>
        <v>0</v>
      </c>
      <c r="AW134" s="8">
        <f t="shared" si="8"/>
        <v>0</v>
      </c>
    </row>
    <row r="135" spans="1:49" ht="18" customHeight="1">
      <c r="A135" s="8">
        <v>117</v>
      </c>
      <c r="B135" s="43"/>
      <c r="C135" s="81"/>
      <c r="D135" s="78"/>
      <c r="E135" s="78"/>
      <c r="F135" s="78"/>
      <c r="G135" s="78"/>
      <c r="H135" s="78"/>
      <c r="I135" s="78"/>
      <c r="J135" s="78"/>
      <c r="K135" s="78"/>
      <c r="L135" s="78"/>
      <c r="M135" s="78"/>
      <c r="N135" s="79"/>
      <c r="O135" s="79"/>
      <c r="P135" s="79"/>
      <c r="Q135" s="79"/>
      <c r="R135" s="79"/>
      <c r="S135" s="79"/>
      <c r="T135" s="79"/>
      <c r="U135" s="79"/>
      <c r="V135" s="79"/>
      <c r="W135" s="79"/>
      <c r="X135" s="79"/>
      <c r="Y135" s="79"/>
      <c r="Z135" s="79"/>
      <c r="AA135" s="79"/>
      <c r="AB135" s="79"/>
      <c r="AC135" s="63" t="str">
        <f t="shared" si="7"/>
        <v/>
      </c>
      <c r="AD135" s="7"/>
      <c r="AE135" s="7"/>
      <c r="AF135" s="7"/>
      <c r="AG135" s="223"/>
      <c r="AH135" s="8" t="b">
        <f t="shared" si="11"/>
        <v>0</v>
      </c>
      <c r="AI135" s="8" t="b">
        <f t="shared" si="11"/>
        <v>0</v>
      </c>
      <c r="AJ135" s="8" t="b">
        <f t="shared" si="11"/>
        <v>0</v>
      </c>
      <c r="AK135" s="8" t="b">
        <f t="shared" si="11"/>
        <v>0</v>
      </c>
      <c r="AL135" s="8" t="b">
        <f t="shared" si="11"/>
        <v>0</v>
      </c>
      <c r="AM135" s="8" t="b">
        <f t="shared" si="11"/>
        <v>0</v>
      </c>
      <c r="AN135" s="8" t="b">
        <f t="shared" si="11"/>
        <v>0</v>
      </c>
      <c r="AO135" s="8" t="b">
        <f t="shared" si="11"/>
        <v>0</v>
      </c>
      <c r="AP135" s="8" t="b">
        <f t="shared" si="11"/>
        <v>0</v>
      </c>
      <c r="AQ135" s="8" t="b">
        <f t="shared" si="11"/>
        <v>0</v>
      </c>
      <c r="AR135" s="8" t="b">
        <f t="shared" si="11"/>
        <v>0</v>
      </c>
      <c r="AS135" s="8" t="b">
        <f t="shared" si="11"/>
        <v>0</v>
      </c>
      <c r="AT135" s="8" t="b">
        <f t="shared" si="11"/>
        <v>0</v>
      </c>
      <c r="AU135" s="8" t="b">
        <f t="shared" si="11"/>
        <v>0</v>
      </c>
      <c r="AV135" s="8" t="b">
        <f t="shared" si="11"/>
        <v>0</v>
      </c>
      <c r="AW135" s="8">
        <f t="shared" si="8"/>
        <v>0</v>
      </c>
    </row>
    <row r="136" spans="1:49" ht="18" customHeight="1">
      <c r="A136" s="8">
        <v>118</v>
      </c>
      <c r="B136" s="43"/>
      <c r="C136" s="81"/>
      <c r="D136" s="78"/>
      <c r="E136" s="78"/>
      <c r="F136" s="78"/>
      <c r="G136" s="78"/>
      <c r="H136" s="78"/>
      <c r="I136" s="78"/>
      <c r="J136" s="78"/>
      <c r="K136" s="78"/>
      <c r="L136" s="78"/>
      <c r="M136" s="78"/>
      <c r="N136" s="79"/>
      <c r="O136" s="79"/>
      <c r="P136" s="79"/>
      <c r="Q136" s="79"/>
      <c r="R136" s="79"/>
      <c r="S136" s="79"/>
      <c r="T136" s="79"/>
      <c r="U136" s="79"/>
      <c r="V136" s="79"/>
      <c r="W136" s="79"/>
      <c r="X136" s="79"/>
      <c r="Y136" s="79"/>
      <c r="Z136" s="79"/>
      <c r="AA136" s="79"/>
      <c r="AB136" s="79"/>
      <c r="AC136" s="63" t="str">
        <f t="shared" si="7"/>
        <v/>
      </c>
      <c r="AD136" s="7"/>
      <c r="AE136" s="7"/>
      <c r="AF136" s="7"/>
      <c r="AG136" s="223"/>
      <c r="AH136" s="8" t="b">
        <f t="shared" ref="AH136:AV152" si="12">ISTEXT(N136)</f>
        <v>0</v>
      </c>
      <c r="AI136" s="8" t="b">
        <f t="shared" si="12"/>
        <v>0</v>
      </c>
      <c r="AJ136" s="8" t="b">
        <f t="shared" si="12"/>
        <v>0</v>
      </c>
      <c r="AK136" s="8" t="b">
        <f t="shared" si="12"/>
        <v>0</v>
      </c>
      <c r="AL136" s="8" t="b">
        <f t="shared" si="12"/>
        <v>0</v>
      </c>
      <c r="AM136" s="8" t="b">
        <f t="shared" si="12"/>
        <v>0</v>
      </c>
      <c r="AN136" s="8" t="b">
        <f t="shared" si="12"/>
        <v>0</v>
      </c>
      <c r="AO136" s="8" t="b">
        <f t="shared" si="12"/>
        <v>0</v>
      </c>
      <c r="AP136" s="8" t="b">
        <f t="shared" si="12"/>
        <v>0</v>
      </c>
      <c r="AQ136" s="8" t="b">
        <f t="shared" si="12"/>
        <v>0</v>
      </c>
      <c r="AR136" s="8" t="b">
        <f t="shared" si="12"/>
        <v>0</v>
      </c>
      <c r="AS136" s="8" t="b">
        <f t="shared" si="12"/>
        <v>0</v>
      </c>
      <c r="AT136" s="8" t="b">
        <f t="shared" si="12"/>
        <v>0</v>
      </c>
      <c r="AU136" s="8" t="b">
        <f t="shared" si="12"/>
        <v>0</v>
      </c>
      <c r="AV136" s="8" t="b">
        <f t="shared" si="12"/>
        <v>0</v>
      </c>
      <c r="AW136" s="8">
        <f t="shared" si="8"/>
        <v>0</v>
      </c>
    </row>
    <row r="137" spans="1:49" ht="18" customHeight="1">
      <c r="A137" s="8">
        <v>119</v>
      </c>
      <c r="B137" s="43"/>
      <c r="C137" s="81"/>
      <c r="D137" s="78"/>
      <c r="E137" s="78"/>
      <c r="F137" s="78"/>
      <c r="G137" s="78"/>
      <c r="H137" s="78"/>
      <c r="I137" s="78"/>
      <c r="J137" s="78"/>
      <c r="K137" s="78"/>
      <c r="L137" s="78"/>
      <c r="M137" s="78"/>
      <c r="N137" s="79"/>
      <c r="O137" s="79"/>
      <c r="P137" s="79"/>
      <c r="Q137" s="79"/>
      <c r="R137" s="79"/>
      <c r="S137" s="79"/>
      <c r="T137" s="79"/>
      <c r="U137" s="79"/>
      <c r="V137" s="79"/>
      <c r="W137" s="79"/>
      <c r="X137" s="79"/>
      <c r="Y137" s="79"/>
      <c r="Z137" s="79"/>
      <c r="AA137" s="79"/>
      <c r="AB137" s="79"/>
      <c r="AC137" s="63" t="str">
        <f t="shared" si="7"/>
        <v/>
      </c>
      <c r="AD137" s="7"/>
      <c r="AE137" s="7"/>
      <c r="AF137" s="7"/>
      <c r="AG137" s="223"/>
      <c r="AH137" s="8" t="b">
        <f t="shared" si="12"/>
        <v>0</v>
      </c>
      <c r="AI137" s="8" t="b">
        <f t="shared" si="12"/>
        <v>0</v>
      </c>
      <c r="AJ137" s="8" t="b">
        <f t="shared" si="12"/>
        <v>0</v>
      </c>
      <c r="AK137" s="8" t="b">
        <f t="shared" si="12"/>
        <v>0</v>
      </c>
      <c r="AL137" s="8" t="b">
        <f t="shared" si="12"/>
        <v>0</v>
      </c>
      <c r="AM137" s="8" t="b">
        <f t="shared" si="12"/>
        <v>0</v>
      </c>
      <c r="AN137" s="8" t="b">
        <f t="shared" si="12"/>
        <v>0</v>
      </c>
      <c r="AO137" s="8" t="b">
        <f t="shared" si="12"/>
        <v>0</v>
      </c>
      <c r="AP137" s="8" t="b">
        <f t="shared" si="12"/>
        <v>0</v>
      </c>
      <c r="AQ137" s="8" t="b">
        <f t="shared" si="12"/>
        <v>0</v>
      </c>
      <c r="AR137" s="8" t="b">
        <f t="shared" si="12"/>
        <v>0</v>
      </c>
      <c r="AS137" s="8" t="b">
        <f t="shared" si="12"/>
        <v>0</v>
      </c>
      <c r="AT137" s="8" t="b">
        <f t="shared" si="12"/>
        <v>0</v>
      </c>
      <c r="AU137" s="8" t="b">
        <f t="shared" si="12"/>
        <v>0</v>
      </c>
      <c r="AV137" s="8" t="b">
        <f t="shared" si="12"/>
        <v>0</v>
      </c>
      <c r="AW137" s="8">
        <f t="shared" si="8"/>
        <v>0</v>
      </c>
    </row>
    <row r="138" spans="1:49">
      <c r="A138" s="8">
        <v>120</v>
      </c>
      <c r="B138" s="43"/>
      <c r="C138" s="81"/>
      <c r="D138" s="78"/>
      <c r="E138" s="78"/>
      <c r="F138" s="78"/>
      <c r="G138" s="78"/>
      <c r="H138" s="78"/>
      <c r="I138" s="78"/>
      <c r="J138" s="78"/>
      <c r="K138" s="78"/>
      <c r="L138" s="78"/>
      <c r="M138" s="78"/>
      <c r="N138" s="79"/>
      <c r="O138" s="79"/>
      <c r="P138" s="79"/>
      <c r="Q138" s="79"/>
      <c r="R138" s="79"/>
      <c r="S138" s="79"/>
      <c r="T138" s="79"/>
      <c r="U138" s="79"/>
      <c r="V138" s="79"/>
      <c r="W138" s="79"/>
      <c r="X138" s="79"/>
      <c r="Y138" s="79"/>
      <c r="Z138" s="79"/>
      <c r="AA138" s="79"/>
      <c r="AB138" s="79"/>
      <c r="AC138" s="63" t="str">
        <f t="shared" si="7"/>
        <v/>
      </c>
      <c r="AD138" s="7"/>
      <c r="AE138" s="7"/>
      <c r="AF138" s="7"/>
      <c r="AG138" s="223"/>
      <c r="AH138" s="8" t="b">
        <f t="shared" si="12"/>
        <v>0</v>
      </c>
      <c r="AI138" s="8" t="b">
        <f t="shared" si="12"/>
        <v>0</v>
      </c>
      <c r="AJ138" s="8" t="b">
        <f t="shared" si="12"/>
        <v>0</v>
      </c>
      <c r="AK138" s="8" t="b">
        <f t="shared" si="12"/>
        <v>0</v>
      </c>
      <c r="AL138" s="8" t="b">
        <f t="shared" si="12"/>
        <v>0</v>
      </c>
      <c r="AM138" s="8" t="b">
        <f t="shared" si="12"/>
        <v>0</v>
      </c>
      <c r="AN138" s="8" t="b">
        <f t="shared" si="12"/>
        <v>0</v>
      </c>
      <c r="AO138" s="8" t="b">
        <f t="shared" si="12"/>
        <v>0</v>
      </c>
      <c r="AP138" s="8" t="b">
        <f t="shared" si="12"/>
        <v>0</v>
      </c>
      <c r="AQ138" s="8" t="b">
        <f t="shared" si="12"/>
        <v>0</v>
      </c>
      <c r="AR138" s="8" t="b">
        <f t="shared" si="12"/>
        <v>0</v>
      </c>
      <c r="AS138" s="8" t="b">
        <f t="shared" si="12"/>
        <v>0</v>
      </c>
      <c r="AT138" s="8" t="b">
        <f t="shared" si="12"/>
        <v>0</v>
      </c>
      <c r="AU138" s="8" t="b">
        <f t="shared" si="12"/>
        <v>0</v>
      </c>
      <c r="AV138" s="8" t="b">
        <f t="shared" si="12"/>
        <v>0</v>
      </c>
      <c r="AW138" s="8">
        <f t="shared" si="8"/>
        <v>0</v>
      </c>
    </row>
    <row r="139" spans="1:49" ht="18" customHeight="1">
      <c r="A139" s="8">
        <v>121</v>
      </c>
      <c r="B139" s="43"/>
      <c r="C139" s="81"/>
      <c r="D139" s="78"/>
      <c r="E139" s="78"/>
      <c r="F139" s="78"/>
      <c r="G139" s="78"/>
      <c r="H139" s="78"/>
      <c r="I139" s="78"/>
      <c r="J139" s="78"/>
      <c r="K139" s="78"/>
      <c r="L139" s="78"/>
      <c r="M139" s="78"/>
      <c r="N139" s="79"/>
      <c r="O139" s="79"/>
      <c r="P139" s="79"/>
      <c r="Q139" s="79"/>
      <c r="R139" s="79"/>
      <c r="S139" s="79"/>
      <c r="T139" s="79"/>
      <c r="U139" s="79"/>
      <c r="V139" s="79"/>
      <c r="W139" s="79"/>
      <c r="X139" s="79"/>
      <c r="Y139" s="79"/>
      <c r="Z139" s="79"/>
      <c r="AA139" s="79"/>
      <c r="AB139" s="79"/>
      <c r="AC139" s="63" t="str">
        <f t="shared" si="7"/>
        <v/>
      </c>
      <c r="AD139" s="7"/>
      <c r="AE139" s="7"/>
      <c r="AF139" s="7"/>
      <c r="AG139" s="223"/>
      <c r="AH139" s="8" t="b">
        <f t="shared" si="12"/>
        <v>0</v>
      </c>
      <c r="AI139" s="8" t="b">
        <f t="shared" si="12"/>
        <v>0</v>
      </c>
      <c r="AJ139" s="8" t="b">
        <f t="shared" si="12"/>
        <v>0</v>
      </c>
      <c r="AK139" s="8" t="b">
        <f t="shared" si="12"/>
        <v>0</v>
      </c>
      <c r="AL139" s="8" t="b">
        <f t="shared" si="12"/>
        <v>0</v>
      </c>
      <c r="AM139" s="8" t="b">
        <f t="shared" si="12"/>
        <v>0</v>
      </c>
      <c r="AN139" s="8" t="b">
        <f t="shared" si="12"/>
        <v>0</v>
      </c>
      <c r="AO139" s="8" t="b">
        <f t="shared" si="12"/>
        <v>0</v>
      </c>
      <c r="AP139" s="8" t="b">
        <f t="shared" si="12"/>
        <v>0</v>
      </c>
      <c r="AQ139" s="8" t="b">
        <f t="shared" si="12"/>
        <v>0</v>
      </c>
      <c r="AR139" s="8" t="b">
        <f t="shared" si="12"/>
        <v>0</v>
      </c>
      <c r="AS139" s="8" t="b">
        <f t="shared" si="12"/>
        <v>0</v>
      </c>
      <c r="AT139" s="8" t="b">
        <f t="shared" si="12"/>
        <v>0</v>
      </c>
      <c r="AU139" s="8" t="b">
        <f t="shared" si="12"/>
        <v>0</v>
      </c>
      <c r="AV139" s="8" t="b">
        <f t="shared" si="12"/>
        <v>0</v>
      </c>
      <c r="AW139" s="8">
        <f t="shared" si="8"/>
        <v>0</v>
      </c>
    </row>
    <row r="140" spans="1:49" ht="18" customHeight="1">
      <c r="A140" s="8">
        <v>122</v>
      </c>
      <c r="B140" s="43"/>
      <c r="C140" s="81"/>
      <c r="D140" s="78"/>
      <c r="E140" s="78"/>
      <c r="F140" s="78"/>
      <c r="G140" s="78"/>
      <c r="H140" s="78"/>
      <c r="I140" s="78"/>
      <c r="J140" s="78"/>
      <c r="K140" s="78"/>
      <c r="L140" s="78"/>
      <c r="M140" s="78"/>
      <c r="N140" s="79"/>
      <c r="O140" s="79"/>
      <c r="P140" s="79"/>
      <c r="Q140" s="79"/>
      <c r="R140" s="79"/>
      <c r="S140" s="79"/>
      <c r="T140" s="79"/>
      <c r="U140" s="79"/>
      <c r="V140" s="79"/>
      <c r="W140" s="79"/>
      <c r="X140" s="79"/>
      <c r="Y140" s="79"/>
      <c r="Z140" s="79"/>
      <c r="AA140" s="79"/>
      <c r="AB140" s="79"/>
      <c r="AC140" s="63" t="str">
        <f t="shared" si="7"/>
        <v/>
      </c>
      <c r="AD140" s="7"/>
      <c r="AE140" s="7"/>
      <c r="AF140" s="7"/>
      <c r="AG140" s="223"/>
      <c r="AH140" s="8" t="b">
        <f t="shared" si="12"/>
        <v>0</v>
      </c>
      <c r="AI140" s="8" t="b">
        <f t="shared" si="12"/>
        <v>0</v>
      </c>
      <c r="AJ140" s="8" t="b">
        <f t="shared" si="12"/>
        <v>0</v>
      </c>
      <c r="AK140" s="8" t="b">
        <f t="shared" si="12"/>
        <v>0</v>
      </c>
      <c r="AL140" s="8" t="b">
        <f t="shared" si="12"/>
        <v>0</v>
      </c>
      <c r="AM140" s="8" t="b">
        <f t="shared" si="12"/>
        <v>0</v>
      </c>
      <c r="AN140" s="8" t="b">
        <f t="shared" si="12"/>
        <v>0</v>
      </c>
      <c r="AO140" s="8" t="b">
        <f t="shared" si="12"/>
        <v>0</v>
      </c>
      <c r="AP140" s="8" t="b">
        <f t="shared" si="12"/>
        <v>0</v>
      </c>
      <c r="AQ140" s="8" t="b">
        <f t="shared" si="12"/>
        <v>0</v>
      </c>
      <c r="AR140" s="8" t="b">
        <f t="shared" si="12"/>
        <v>0</v>
      </c>
      <c r="AS140" s="8" t="b">
        <f t="shared" si="12"/>
        <v>0</v>
      </c>
      <c r="AT140" s="8" t="b">
        <f t="shared" si="12"/>
        <v>0</v>
      </c>
      <c r="AU140" s="8" t="b">
        <f t="shared" si="12"/>
        <v>0</v>
      </c>
      <c r="AV140" s="8" t="b">
        <f t="shared" si="12"/>
        <v>0</v>
      </c>
      <c r="AW140" s="8">
        <f t="shared" si="8"/>
        <v>0</v>
      </c>
    </row>
    <row r="141" spans="1:49" ht="18" customHeight="1">
      <c r="A141" s="8">
        <v>123</v>
      </c>
      <c r="B141" s="43"/>
      <c r="C141" s="81"/>
      <c r="D141" s="78"/>
      <c r="E141" s="78"/>
      <c r="F141" s="78"/>
      <c r="G141" s="78"/>
      <c r="H141" s="78"/>
      <c r="I141" s="78"/>
      <c r="J141" s="78"/>
      <c r="K141" s="78"/>
      <c r="L141" s="78"/>
      <c r="M141" s="78"/>
      <c r="N141" s="79"/>
      <c r="O141" s="79"/>
      <c r="P141" s="79"/>
      <c r="Q141" s="79"/>
      <c r="R141" s="79"/>
      <c r="S141" s="79"/>
      <c r="T141" s="79"/>
      <c r="U141" s="79"/>
      <c r="V141" s="79"/>
      <c r="W141" s="79"/>
      <c r="X141" s="79"/>
      <c r="Y141" s="79"/>
      <c r="Z141" s="79"/>
      <c r="AA141" s="79"/>
      <c r="AB141" s="79"/>
      <c r="AC141" s="63" t="str">
        <f t="shared" si="7"/>
        <v/>
      </c>
      <c r="AD141" s="7"/>
      <c r="AE141" s="7"/>
      <c r="AF141" s="7"/>
      <c r="AG141" s="223"/>
      <c r="AH141" s="8" t="b">
        <f t="shared" si="12"/>
        <v>0</v>
      </c>
      <c r="AI141" s="8" t="b">
        <f t="shared" si="12"/>
        <v>0</v>
      </c>
      <c r="AJ141" s="8" t="b">
        <f t="shared" si="12"/>
        <v>0</v>
      </c>
      <c r="AK141" s="8" t="b">
        <f t="shared" si="12"/>
        <v>0</v>
      </c>
      <c r="AL141" s="8" t="b">
        <f t="shared" si="12"/>
        <v>0</v>
      </c>
      <c r="AM141" s="8" t="b">
        <f t="shared" si="12"/>
        <v>0</v>
      </c>
      <c r="AN141" s="8" t="b">
        <f t="shared" si="12"/>
        <v>0</v>
      </c>
      <c r="AO141" s="8" t="b">
        <f t="shared" si="12"/>
        <v>0</v>
      </c>
      <c r="AP141" s="8" t="b">
        <f t="shared" si="12"/>
        <v>0</v>
      </c>
      <c r="AQ141" s="8" t="b">
        <f t="shared" si="12"/>
        <v>0</v>
      </c>
      <c r="AR141" s="8" t="b">
        <f t="shared" si="12"/>
        <v>0</v>
      </c>
      <c r="AS141" s="8" t="b">
        <f t="shared" si="12"/>
        <v>0</v>
      </c>
      <c r="AT141" s="8" t="b">
        <f t="shared" si="12"/>
        <v>0</v>
      </c>
      <c r="AU141" s="8" t="b">
        <f t="shared" si="12"/>
        <v>0</v>
      </c>
      <c r="AV141" s="8" t="b">
        <f t="shared" si="12"/>
        <v>0</v>
      </c>
      <c r="AW141" s="8">
        <f t="shared" si="8"/>
        <v>0</v>
      </c>
    </row>
    <row r="142" spans="1:49" ht="18" customHeight="1">
      <c r="A142" s="8">
        <v>124</v>
      </c>
      <c r="B142" s="43"/>
      <c r="C142" s="81"/>
      <c r="D142" s="78"/>
      <c r="E142" s="78"/>
      <c r="F142" s="78"/>
      <c r="G142" s="78"/>
      <c r="H142" s="78"/>
      <c r="I142" s="78"/>
      <c r="J142" s="78"/>
      <c r="K142" s="78"/>
      <c r="L142" s="78"/>
      <c r="M142" s="78"/>
      <c r="N142" s="79"/>
      <c r="O142" s="79"/>
      <c r="P142" s="79"/>
      <c r="Q142" s="79"/>
      <c r="R142" s="79"/>
      <c r="S142" s="79"/>
      <c r="T142" s="79"/>
      <c r="U142" s="79"/>
      <c r="V142" s="79"/>
      <c r="W142" s="79"/>
      <c r="X142" s="79"/>
      <c r="Y142" s="79"/>
      <c r="Z142" s="79"/>
      <c r="AA142" s="79"/>
      <c r="AB142" s="79"/>
      <c r="AC142" s="63" t="str">
        <f t="shared" si="7"/>
        <v/>
      </c>
      <c r="AD142" s="7"/>
      <c r="AE142" s="7"/>
      <c r="AF142" s="7"/>
      <c r="AG142" s="223"/>
      <c r="AH142" s="8" t="b">
        <f t="shared" si="12"/>
        <v>0</v>
      </c>
      <c r="AI142" s="8" t="b">
        <f t="shared" si="12"/>
        <v>0</v>
      </c>
      <c r="AJ142" s="8" t="b">
        <f t="shared" si="12"/>
        <v>0</v>
      </c>
      <c r="AK142" s="8" t="b">
        <f t="shared" si="12"/>
        <v>0</v>
      </c>
      <c r="AL142" s="8" t="b">
        <f t="shared" si="12"/>
        <v>0</v>
      </c>
      <c r="AM142" s="8" t="b">
        <f t="shared" si="12"/>
        <v>0</v>
      </c>
      <c r="AN142" s="8" t="b">
        <f t="shared" si="12"/>
        <v>0</v>
      </c>
      <c r="AO142" s="8" t="b">
        <f t="shared" si="12"/>
        <v>0</v>
      </c>
      <c r="AP142" s="8" t="b">
        <f t="shared" si="12"/>
        <v>0</v>
      </c>
      <c r="AQ142" s="8" t="b">
        <f t="shared" si="12"/>
        <v>0</v>
      </c>
      <c r="AR142" s="8" t="b">
        <f t="shared" si="12"/>
        <v>0</v>
      </c>
      <c r="AS142" s="8" t="b">
        <f t="shared" si="12"/>
        <v>0</v>
      </c>
      <c r="AT142" s="8" t="b">
        <f t="shared" si="12"/>
        <v>0</v>
      </c>
      <c r="AU142" s="8" t="b">
        <f t="shared" si="12"/>
        <v>0</v>
      </c>
      <c r="AV142" s="8" t="b">
        <f t="shared" si="12"/>
        <v>0</v>
      </c>
      <c r="AW142" s="8">
        <f t="shared" si="8"/>
        <v>0</v>
      </c>
    </row>
    <row r="143" spans="1:49" ht="18" customHeight="1">
      <c r="A143" s="8">
        <v>125</v>
      </c>
      <c r="B143" s="43"/>
      <c r="C143" s="81"/>
      <c r="D143" s="78"/>
      <c r="E143" s="78"/>
      <c r="F143" s="78"/>
      <c r="G143" s="78"/>
      <c r="H143" s="78"/>
      <c r="I143" s="78"/>
      <c r="J143" s="78"/>
      <c r="K143" s="78"/>
      <c r="L143" s="78"/>
      <c r="M143" s="78"/>
      <c r="N143" s="79"/>
      <c r="O143" s="79"/>
      <c r="P143" s="79"/>
      <c r="Q143" s="79"/>
      <c r="R143" s="79"/>
      <c r="S143" s="79"/>
      <c r="T143" s="79"/>
      <c r="U143" s="79"/>
      <c r="V143" s="79"/>
      <c r="W143" s="79"/>
      <c r="X143" s="79"/>
      <c r="Y143" s="79"/>
      <c r="Z143" s="79"/>
      <c r="AA143" s="79"/>
      <c r="AB143" s="79"/>
      <c r="AC143" s="63" t="str">
        <f t="shared" si="7"/>
        <v/>
      </c>
      <c r="AD143" s="7"/>
      <c r="AE143" s="7"/>
      <c r="AF143" s="7"/>
      <c r="AG143" s="223"/>
      <c r="AH143" s="8" t="b">
        <f t="shared" si="12"/>
        <v>0</v>
      </c>
      <c r="AI143" s="8" t="b">
        <f t="shared" si="12"/>
        <v>0</v>
      </c>
      <c r="AJ143" s="8" t="b">
        <f t="shared" si="12"/>
        <v>0</v>
      </c>
      <c r="AK143" s="8" t="b">
        <f t="shared" si="12"/>
        <v>0</v>
      </c>
      <c r="AL143" s="8" t="b">
        <f t="shared" si="12"/>
        <v>0</v>
      </c>
      <c r="AM143" s="8" t="b">
        <f t="shared" si="12"/>
        <v>0</v>
      </c>
      <c r="AN143" s="8" t="b">
        <f t="shared" si="12"/>
        <v>0</v>
      </c>
      <c r="AO143" s="8" t="b">
        <f t="shared" si="12"/>
        <v>0</v>
      </c>
      <c r="AP143" s="8" t="b">
        <f t="shared" si="12"/>
        <v>0</v>
      </c>
      <c r="AQ143" s="8" t="b">
        <f t="shared" si="12"/>
        <v>0</v>
      </c>
      <c r="AR143" s="8" t="b">
        <f t="shared" si="12"/>
        <v>0</v>
      </c>
      <c r="AS143" s="8" t="b">
        <f t="shared" si="12"/>
        <v>0</v>
      </c>
      <c r="AT143" s="8" t="b">
        <f t="shared" si="12"/>
        <v>0</v>
      </c>
      <c r="AU143" s="8" t="b">
        <f t="shared" si="12"/>
        <v>0</v>
      </c>
      <c r="AV143" s="8" t="b">
        <f t="shared" si="12"/>
        <v>0</v>
      </c>
      <c r="AW143" s="8">
        <f t="shared" si="8"/>
        <v>0</v>
      </c>
    </row>
    <row r="144" spans="1:49" ht="18" customHeight="1">
      <c r="A144" s="8">
        <v>126</v>
      </c>
      <c r="B144" s="43"/>
      <c r="C144" s="81"/>
      <c r="D144" s="78"/>
      <c r="E144" s="78"/>
      <c r="F144" s="78"/>
      <c r="G144" s="78"/>
      <c r="H144" s="78"/>
      <c r="I144" s="78"/>
      <c r="J144" s="78"/>
      <c r="K144" s="78"/>
      <c r="L144" s="78"/>
      <c r="M144" s="78"/>
      <c r="N144" s="79"/>
      <c r="O144" s="79"/>
      <c r="P144" s="79"/>
      <c r="Q144" s="79"/>
      <c r="R144" s="79"/>
      <c r="S144" s="79"/>
      <c r="T144" s="79"/>
      <c r="U144" s="79"/>
      <c r="V144" s="79"/>
      <c r="W144" s="79"/>
      <c r="X144" s="79"/>
      <c r="Y144" s="79"/>
      <c r="Z144" s="79"/>
      <c r="AA144" s="79"/>
      <c r="AB144" s="79"/>
      <c r="AC144" s="63" t="str">
        <f t="shared" si="7"/>
        <v/>
      </c>
      <c r="AD144" s="7"/>
      <c r="AE144" s="7"/>
      <c r="AF144" s="7"/>
      <c r="AG144" s="223"/>
      <c r="AH144" s="8" t="b">
        <f t="shared" si="12"/>
        <v>0</v>
      </c>
      <c r="AI144" s="8" t="b">
        <f t="shared" si="12"/>
        <v>0</v>
      </c>
      <c r="AJ144" s="8" t="b">
        <f t="shared" si="12"/>
        <v>0</v>
      </c>
      <c r="AK144" s="8" t="b">
        <f t="shared" si="12"/>
        <v>0</v>
      </c>
      <c r="AL144" s="8" t="b">
        <f t="shared" si="12"/>
        <v>0</v>
      </c>
      <c r="AM144" s="8" t="b">
        <f t="shared" si="12"/>
        <v>0</v>
      </c>
      <c r="AN144" s="8" t="b">
        <f t="shared" si="12"/>
        <v>0</v>
      </c>
      <c r="AO144" s="8" t="b">
        <f t="shared" si="12"/>
        <v>0</v>
      </c>
      <c r="AP144" s="8" t="b">
        <f t="shared" si="12"/>
        <v>0</v>
      </c>
      <c r="AQ144" s="8" t="b">
        <f t="shared" si="12"/>
        <v>0</v>
      </c>
      <c r="AR144" s="8" t="b">
        <f t="shared" si="12"/>
        <v>0</v>
      </c>
      <c r="AS144" s="8" t="b">
        <f t="shared" si="12"/>
        <v>0</v>
      </c>
      <c r="AT144" s="8" t="b">
        <f t="shared" si="12"/>
        <v>0</v>
      </c>
      <c r="AU144" s="8" t="b">
        <f t="shared" si="12"/>
        <v>0</v>
      </c>
      <c r="AV144" s="8" t="b">
        <f t="shared" si="12"/>
        <v>0</v>
      </c>
      <c r="AW144" s="8">
        <f t="shared" si="8"/>
        <v>0</v>
      </c>
    </row>
    <row r="145" spans="1:49" ht="18" customHeight="1">
      <c r="A145" s="8">
        <v>127</v>
      </c>
      <c r="B145" s="43"/>
      <c r="C145" s="81"/>
      <c r="D145" s="78"/>
      <c r="E145" s="78"/>
      <c r="F145" s="78"/>
      <c r="G145" s="78"/>
      <c r="H145" s="78"/>
      <c r="I145" s="78"/>
      <c r="J145" s="78"/>
      <c r="K145" s="78"/>
      <c r="L145" s="78"/>
      <c r="M145" s="78"/>
      <c r="N145" s="79"/>
      <c r="O145" s="79"/>
      <c r="P145" s="79"/>
      <c r="Q145" s="79"/>
      <c r="R145" s="79"/>
      <c r="S145" s="79"/>
      <c r="T145" s="79"/>
      <c r="U145" s="79"/>
      <c r="V145" s="79"/>
      <c r="W145" s="79"/>
      <c r="X145" s="79"/>
      <c r="Y145" s="79"/>
      <c r="Z145" s="79"/>
      <c r="AA145" s="79"/>
      <c r="AB145" s="79"/>
      <c r="AC145" s="63" t="str">
        <f t="shared" si="7"/>
        <v/>
      </c>
      <c r="AD145" s="7"/>
      <c r="AE145" s="7"/>
      <c r="AF145" s="7"/>
      <c r="AG145" s="223"/>
      <c r="AH145" s="8" t="b">
        <f t="shared" si="12"/>
        <v>0</v>
      </c>
      <c r="AI145" s="8" t="b">
        <f t="shared" si="12"/>
        <v>0</v>
      </c>
      <c r="AJ145" s="8" t="b">
        <f t="shared" si="12"/>
        <v>0</v>
      </c>
      <c r="AK145" s="8" t="b">
        <f t="shared" si="12"/>
        <v>0</v>
      </c>
      <c r="AL145" s="8" t="b">
        <f t="shared" si="12"/>
        <v>0</v>
      </c>
      <c r="AM145" s="8" t="b">
        <f t="shared" si="12"/>
        <v>0</v>
      </c>
      <c r="AN145" s="8" t="b">
        <f t="shared" si="12"/>
        <v>0</v>
      </c>
      <c r="AO145" s="8" t="b">
        <f t="shared" si="12"/>
        <v>0</v>
      </c>
      <c r="AP145" s="8" t="b">
        <f t="shared" si="12"/>
        <v>0</v>
      </c>
      <c r="AQ145" s="8" t="b">
        <f t="shared" si="12"/>
        <v>0</v>
      </c>
      <c r="AR145" s="8" t="b">
        <f t="shared" si="12"/>
        <v>0</v>
      </c>
      <c r="AS145" s="8" t="b">
        <f t="shared" si="12"/>
        <v>0</v>
      </c>
      <c r="AT145" s="8" t="b">
        <f t="shared" si="12"/>
        <v>0</v>
      </c>
      <c r="AU145" s="8" t="b">
        <f t="shared" si="12"/>
        <v>0</v>
      </c>
      <c r="AV145" s="8" t="b">
        <f t="shared" si="12"/>
        <v>0</v>
      </c>
      <c r="AW145" s="8">
        <f t="shared" si="8"/>
        <v>0</v>
      </c>
    </row>
    <row r="146" spans="1:49" ht="18" customHeight="1">
      <c r="A146" s="8">
        <v>128</v>
      </c>
      <c r="B146" s="43"/>
      <c r="C146" s="81"/>
      <c r="D146" s="78"/>
      <c r="E146" s="78"/>
      <c r="F146" s="78"/>
      <c r="G146" s="78"/>
      <c r="H146" s="78"/>
      <c r="I146" s="78"/>
      <c r="J146" s="78"/>
      <c r="K146" s="78"/>
      <c r="L146" s="78"/>
      <c r="M146" s="78"/>
      <c r="N146" s="79"/>
      <c r="O146" s="79"/>
      <c r="P146" s="79"/>
      <c r="Q146" s="79"/>
      <c r="R146" s="79"/>
      <c r="S146" s="79"/>
      <c r="T146" s="79"/>
      <c r="U146" s="79"/>
      <c r="V146" s="79"/>
      <c r="W146" s="79"/>
      <c r="X146" s="79"/>
      <c r="Y146" s="79"/>
      <c r="Z146" s="79"/>
      <c r="AA146" s="79"/>
      <c r="AB146" s="79"/>
      <c r="AC146" s="63" t="str">
        <f t="shared" si="7"/>
        <v/>
      </c>
      <c r="AD146" s="7"/>
      <c r="AE146" s="7"/>
      <c r="AF146" s="7"/>
      <c r="AG146" s="223"/>
      <c r="AH146" s="8" t="b">
        <f t="shared" si="12"/>
        <v>0</v>
      </c>
      <c r="AI146" s="8" t="b">
        <f t="shared" si="12"/>
        <v>0</v>
      </c>
      <c r="AJ146" s="8" t="b">
        <f t="shared" si="12"/>
        <v>0</v>
      </c>
      <c r="AK146" s="8" t="b">
        <f t="shared" si="12"/>
        <v>0</v>
      </c>
      <c r="AL146" s="8" t="b">
        <f t="shared" si="12"/>
        <v>0</v>
      </c>
      <c r="AM146" s="8" t="b">
        <f t="shared" si="12"/>
        <v>0</v>
      </c>
      <c r="AN146" s="8" t="b">
        <f t="shared" si="12"/>
        <v>0</v>
      </c>
      <c r="AO146" s="8" t="b">
        <f t="shared" si="12"/>
        <v>0</v>
      </c>
      <c r="AP146" s="8" t="b">
        <f t="shared" si="12"/>
        <v>0</v>
      </c>
      <c r="AQ146" s="8" t="b">
        <f t="shared" si="12"/>
        <v>0</v>
      </c>
      <c r="AR146" s="8" t="b">
        <f t="shared" si="12"/>
        <v>0</v>
      </c>
      <c r="AS146" s="8" t="b">
        <f t="shared" si="12"/>
        <v>0</v>
      </c>
      <c r="AT146" s="8" t="b">
        <f t="shared" si="12"/>
        <v>0</v>
      </c>
      <c r="AU146" s="8" t="b">
        <f t="shared" si="12"/>
        <v>0</v>
      </c>
      <c r="AV146" s="8" t="b">
        <f t="shared" si="12"/>
        <v>0</v>
      </c>
      <c r="AW146" s="8">
        <f t="shared" si="8"/>
        <v>0</v>
      </c>
    </row>
    <row r="147" spans="1:49" ht="18" customHeight="1">
      <c r="A147" s="8">
        <v>129</v>
      </c>
      <c r="B147" s="43"/>
      <c r="C147" s="81"/>
      <c r="D147" s="78"/>
      <c r="E147" s="78"/>
      <c r="F147" s="78"/>
      <c r="G147" s="78"/>
      <c r="H147" s="78"/>
      <c r="I147" s="78"/>
      <c r="J147" s="78"/>
      <c r="K147" s="78"/>
      <c r="L147" s="78"/>
      <c r="M147" s="78"/>
      <c r="N147" s="79"/>
      <c r="O147" s="79"/>
      <c r="P147" s="79"/>
      <c r="Q147" s="79"/>
      <c r="R147" s="79"/>
      <c r="S147" s="79"/>
      <c r="T147" s="79"/>
      <c r="U147" s="79"/>
      <c r="V147" s="79"/>
      <c r="W147" s="79"/>
      <c r="X147" s="79"/>
      <c r="Y147" s="79"/>
      <c r="Z147" s="79"/>
      <c r="AA147" s="79"/>
      <c r="AB147" s="79"/>
      <c r="AC147" s="63" t="str">
        <f t="shared" ref="AC147:AC169" si="13">IF(AND(A147&lt;=$K$211,AW147=5),SUM(D147:AB147),"")</f>
        <v/>
      </c>
      <c r="AD147" s="7"/>
      <c r="AE147" s="7"/>
      <c r="AF147" s="7"/>
      <c r="AG147" s="223"/>
      <c r="AH147" s="8" t="b">
        <f t="shared" si="12"/>
        <v>0</v>
      </c>
      <c r="AI147" s="8" t="b">
        <f t="shared" si="12"/>
        <v>0</v>
      </c>
      <c r="AJ147" s="8" t="b">
        <f t="shared" si="12"/>
        <v>0</v>
      </c>
      <c r="AK147" s="8" t="b">
        <f t="shared" si="12"/>
        <v>0</v>
      </c>
      <c r="AL147" s="8" t="b">
        <f t="shared" si="12"/>
        <v>0</v>
      </c>
      <c r="AM147" s="8" t="b">
        <f t="shared" si="12"/>
        <v>0</v>
      </c>
      <c r="AN147" s="8" t="b">
        <f t="shared" si="12"/>
        <v>0</v>
      </c>
      <c r="AO147" s="8" t="b">
        <f t="shared" si="12"/>
        <v>0</v>
      </c>
      <c r="AP147" s="8" t="b">
        <f t="shared" si="12"/>
        <v>0</v>
      </c>
      <c r="AQ147" s="8" t="b">
        <f t="shared" si="12"/>
        <v>0</v>
      </c>
      <c r="AR147" s="8" t="b">
        <f t="shared" si="12"/>
        <v>0</v>
      </c>
      <c r="AS147" s="8" t="b">
        <f t="shared" si="12"/>
        <v>0</v>
      </c>
      <c r="AT147" s="8" t="b">
        <f t="shared" si="12"/>
        <v>0</v>
      </c>
      <c r="AU147" s="8" t="b">
        <f t="shared" si="12"/>
        <v>0</v>
      </c>
      <c r="AV147" s="8" t="b">
        <f t="shared" si="12"/>
        <v>0</v>
      </c>
      <c r="AW147" s="8">
        <f t="shared" si="8"/>
        <v>0</v>
      </c>
    </row>
    <row r="148" spans="1:49" ht="18" customHeight="1">
      <c r="A148" s="8">
        <v>130</v>
      </c>
      <c r="B148" s="43"/>
      <c r="C148" s="81"/>
      <c r="D148" s="78"/>
      <c r="E148" s="78"/>
      <c r="F148" s="78"/>
      <c r="G148" s="78"/>
      <c r="H148" s="78"/>
      <c r="I148" s="78"/>
      <c r="J148" s="78"/>
      <c r="K148" s="78"/>
      <c r="L148" s="78"/>
      <c r="M148" s="78"/>
      <c r="N148" s="79"/>
      <c r="O148" s="79"/>
      <c r="P148" s="79"/>
      <c r="Q148" s="79"/>
      <c r="R148" s="79"/>
      <c r="S148" s="79"/>
      <c r="T148" s="79"/>
      <c r="U148" s="79"/>
      <c r="V148" s="79"/>
      <c r="W148" s="79"/>
      <c r="X148" s="79"/>
      <c r="Y148" s="79"/>
      <c r="Z148" s="79"/>
      <c r="AA148" s="79"/>
      <c r="AB148" s="79"/>
      <c r="AC148" s="63" t="str">
        <f t="shared" si="13"/>
        <v/>
      </c>
      <c r="AD148" s="7"/>
      <c r="AE148" s="7"/>
      <c r="AF148" s="7"/>
      <c r="AG148" s="223"/>
      <c r="AH148" s="8" t="b">
        <f t="shared" si="12"/>
        <v>0</v>
      </c>
      <c r="AI148" s="8" t="b">
        <f t="shared" si="12"/>
        <v>0</v>
      </c>
      <c r="AJ148" s="8" t="b">
        <f t="shared" si="12"/>
        <v>0</v>
      </c>
      <c r="AK148" s="8" t="b">
        <f t="shared" si="12"/>
        <v>0</v>
      </c>
      <c r="AL148" s="8" t="b">
        <f t="shared" si="12"/>
        <v>0</v>
      </c>
      <c r="AM148" s="8" t="b">
        <f t="shared" si="12"/>
        <v>0</v>
      </c>
      <c r="AN148" s="8" t="b">
        <f t="shared" si="12"/>
        <v>0</v>
      </c>
      <c r="AO148" s="8" t="b">
        <f t="shared" si="12"/>
        <v>0</v>
      </c>
      <c r="AP148" s="8" t="b">
        <f t="shared" si="12"/>
        <v>0</v>
      </c>
      <c r="AQ148" s="8" t="b">
        <f t="shared" si="12"/>
        <v>0</v>
      </c>
      <c r="AR148" s="8" t="b">
        <f t="shared" si="12"/>
        <v>0</v>
      </c>
      <c r="AS148" s="8" t="b">
        <f t="shared" si="12"/>
        <v>0</v>
      </c>
      <c r="AT148" s="8" t="b">
        <f t="shared" si="12"/>
        <v>0</v>
      </c>
      <c r="AU148" s="8" t="b">
        <f t="shared" si="12"/>
        <v>0</v>
      </c>
      <c r="AV148" s="8" t="b">
        <f t="shared" si="12"/>
        <v>0</v>
      </c>
      <c r="AW148" s="8">
        <f t="shared" ref="AW148:AW168" si="14">COUNTIF(AH148:AV148,"TRUE")</f>
        <v>0</v>
      </c>
    </row>
    <row r="149" spans="1:49" ht="18" customHeight="1">
      <c r="A149" s="8">
        <v>131</v>
      </c>
      <c r="B149" s="43"/>
      <c r="C149" s="81"/>
      <c r="D149" s="78"/>
      <c r="E149" s="78"/>
      <c r="F149" s="78"/>
      <c r="G149" s="78"/>
      <c r="H149" s="78"/>
      <c r="I149" s="78"/>
      <c r="J149" s="78"/>
      <c r="K149" s="78"/>
      <c r="L149" s="78"/>
      <c r="M149" s="78"/>
      <c r="N149" s="79"/>
      <c r="O149" s="79"/>
      <c r="P149" s="79"/>
      <c r="Q149" s="79"/>
      <c r="R149" s="79"/>
      <c r="S149" s="79"/>
      <c r="T149" s="79"/>
      <c r="U149" s="79"/>
      <c r="V149" s="79"/>
      <c r="W149" s="79"/>
      <c r="X149" s="79"/>
      <c r="Y149" s="79"/>
      <c r="Z149" s="79"/>
      <c r="AA149" s="79"/>
      <c r="AB149" s="79"/>
      <c r="AC149" s="63" t="str">
        <f t="shared" si="13"/>
        <v/>
      </c>
      <c r="AD149" s="7"/>
      <c r="AE149" s="7"/>
      <c r="AF149" s="7"/>
      <c r="AG149" s="223"/>
      <c r="AH149" s="8" t="b">
        <f t="shared" si="12"/>
        <v>0</v>
      </c>
      <c r="AI149" s="8" t="b">
        <f t="shared" si="12"/>
        <v>0</v>
      </c>
      <c r="AJ149" s="8" t="b">
        <f t="shared" si="12"/>
        <v>0</v>
      </c>
      <c r="AK149" s="8" t="b">
        <f t="shared" si="12"/>
        <v>0</v>
      </c>
      <c r="AL149" s="8" t="b">
        <f t="shared" si="12"/>
        <v>0</v>
      </c>
      <c r="AM149" s="8" t="b">
        <f t="shared" si="12"/>
        <v>0</v>
      </c>
      <c r="AN149" s="8" t="b">
        <f t="shared" si="12"/>
        <v>0</v>
      </c>
      <c r="AO149" s="8" t="b">
        <f t="shared" si="12"/>
        <v>0</v>
      </c>
      <c r="AP149" s="8" t="b">
        <f t="shared" si="12"/>
        <v>0</v>
      </c>
      <c r="AQ149" s="8" t="b">
        <f t="shared" si="12"/>
        <v>0</v>
      </c>
      <c r="AR149" s="8" t="b">
        <f t="shared" si="12"/>
        <v>0</v>
      </c>
      <c r="AS149" s="8" t="b">
        <f t="shared" si="12"/>
        <v>0</v>
      </c>
      <c r="AT149" s="8" t="b">
        <f t="shared" si="12"/>
        <v>0</v>
      </c>
      <c r="AU149" s="8" t="b">
        <f t="shared" si="12"/>
        <v>0</v>
      </c>
      <c r="AV149" s="8" t="b">
        <f t="shared" si="12"/>
        <v>0</v>
      </c>
      <c r="AW149" s="8">
        <f t="shared" si="14"/>
        <v>0</v>
      </c>
    </row>
    <row r="150" spans="1:49" ht="18" customHeight="1">
      <c r="A150" s="8">
        <v>132</v>
      </c>
      <c r="B150" s="43"/>
      <c r="C150" s="81"/>
      <c r="D150" s="78"/>
      <c r="E150" s="78"/>
      <c r="F150" s="78"/>
      <c r="G150" s="78"/>
      <c r="H150" s="78"/>
      <c r="I150" s="78"/>
      <c r="J150" s="78"/>
      <c r="K150" s="78"/>
      <c r="L150" s="78"/>
      <c r="M150" s="78"/>
      <c r="N150" s="79"/>
      <c r="O150" s="79"/>
      <c r="P150" s="79"/>
      <c r="Q150" s="79"/>
      <c r="R150" s="79"/>
      <c r="S150" s="79"/>
      <c r="T150" s="79"/>
      <c r="U150" s="79"/>
      <c r="V150" s="79"/>
      <c r="W150" s="79"/>
      <c r="X150" s="79"/>
      <c r="Y150" s="79"/>
      <c r="Z150" s="79"/>
      <c r="AA150" s="79"/>
      <c r="AB150" s="79"/>
      <c r="AC150" s="63" t="str">
        <f t="shared" si="13"/>
        <v/>
      </c>
      <c r="AD150" s="7"/>
      <c r="AE150" s="7"/>
      <c r="AF150" s="7"/>
      <c r="AG150" s="223"/>
      <c r="AH150" s="8" t="b">
        <f t="shared" si="12"/>
        <v>0</v>
      </c>
      <c r="AI150" s="8" t="b">
        <f t="shared" si="12"/>
        <v>0</v>
      </c>
      <c r="AJ150" s="8" t="b">
        <f t="shared" si="12"/>
        <v>0</v>
      </c>
      <c r="AK150" s="8" t="b">
        <f t="shared" si="12"/>
        <v>0</v>
      </c>
      <c r="AL150" s="8" t="b">
        <f t="shared" si="12"/>
        <v>0</v>
      </c>
      <c r="AM150" s="8" t="b">
        <f t="shared" si="12"/>
        <v>0</v>
      </c>
      <c r="AN150" s="8" t="b">
        <f t="shared" si="12"/>
        <v>0</v>
      </c>
      <c r="AO150" s="8" t="b">
        <f t="shared" si="12"/>
        <v>0</v>
      </c>
      <c r="AP150" s="8" t="b">
        <f t="shared" si="12"/>
        <v>0</v>
      </c>
      <c r="AQ150" s="8" t="b">
        <f t="shared" si="12"/>
        <v>0</v>
      </c>
      <c r="AR150" s="8" t="b">
        <f t="shared" si="12"/>
        <v>0</v>
      </c>
      <c r="AS150" s="8" t="b">
        <f t="shared" si="12"/>
        <v>0</v>
      </c>
      <c r="AT150" s="8" t="b">
        <f t="shared" si="12"/>
        <v>0</v>
      </c>
      <c r="AU150" s="8" t="b">
        <f t="shared" si="12"/>
        <v>0</v>
      </c>
      <c r="AV150" s="8" t="b">
        <f t="shared" si="12"/>
        <v>0</v>
      </c>
      <c r="AW150" s="8">
        <f t="shared" si="14"/>
        <v>0</v>
      </c>
    </row>
    <row r="151" spans="1:49" ht="18" customHeight="1">
      <c r="A151" s="8">
        <v>133</v>
      </c>
      <c r="B151" s="43"/>
      <c r="C151" s="81"/>
      <c r="D151" s="78"/>
      <c r="E151" s="78"/>
      <c r="F151" s="78"/>
      <c r="G151" s="78"/>
      <c r="H151" s="78"/>
      <c r="I151" s="78"/>
      <c r="J151" s="78"/>
      <c r="K151" s="78"/>
      <c r="L151" s="78"/>
      <c r="M151" s="78"/>
      <c r="N151" s="79"/>
      <c r="O151" s="79"/>
      <c r="P151" s="79"/>
      <c r="Q151" s="79"/>
      <c r="R151" s="79"/>
      <c r="S151" s="79"/>
      <c r="T151" s="79"/>
      <c r="U151" s="79"/>
      <c r="V151" s="79"/>
      <c r="W151" s="79"/>
      <c r="X151" s="79"/>
      <c r="Y151" s="79"/>
      <c r="Z151" s="79"/>
      <c r="AA151" s="79"/>
      <c r="AB151" s="79"/>
      <c r="AC151" s="63" t="str">
        <f t="shared" si="13"/>
        <v/>
      </c>
      <c r="AD151" s="7"/>
      <c r="AE151" s="7"/>
      <c r="AF151" s="7"/>
      <c r="AG151" s="223"/>
      <c r="AH151" s="8" t="b">
        <f t="shared" si="12"/>
        <v>0</v>
      </c>
      <c r="AI151" s="8" t="b">
        <f t="shared" si="12"/>
        <v>0</v>
      </c>
      <c r="AJ151" s="8" t="b">
        <f t="shared" si="12"/>
        <v>0</v>
      </c>
      <c r="AK151" s="8" t="b">
        <f t="shared" si="12"/>
        <v>0</v>
      </c>
      <c r="AL151" s="8" t="b">
        <f t="shared" si="12"/>
        <v>0</v>
      </c>
      <c r="AM151" s="8" t="b">
        <f t="shared" si="12"/>
        <v>0</v>
      </c>
      <c r="AN151" s="8" t="b">
        <f t="shared" si="12"/>
        <v>0</v>
      </c>
      <c r="AO151" s="8" t="b">
        <f t="shared" si="12"/>
        <v>0</v>
      </c>
      <c r="AP151" s="8" t="b">
        <f t="shared" si="12"/>
        <v>0</v>
      </c>
      <c r="AQ151" s="8" t="b">
        <f t="shared" si="12"/>
        <v>0</v>
      </c>
      <c r="AR151" s="8" t="b">
        <f t="shared" si="12"/>
        <v>0</v>
      </c>
      <c r="AS151" s="8" t="b">
        <f t="shared" si="12"/>
        <v>0</v>
      </c>
      <c r="AT151" s="8" t="b">
        <f t="shared" si="12"/>
        <v>0</v>
      </c>
      <c r="AU151" s="8" t="b">
        <f t="shared" si="12"/>
        <v>0</v>
      </c>
      <c r="AV151" s="8" t="b">
        <f t="shared" si="12"/>
        <v>0</v>
      </c>
      <c r="AW151" s="8">
        <f t="shared" si="14"/>
        <v>0</v>
      </c>
    </row>
    <row r="152" spans="1:49" ht="18" customHeight="1">
      <c r="A152" s="8">
        <v>134</v>
      </c>
      <c r="B152" s="43"/>
      <c r="C152" s="81"/>
      <c r="D152" s="78"/>
      <c r="E152" s="78"/>
      <c r="F152" s="78"/>
      <c r="G152" s="78"/>
      <c r="H152" s="78"/>
      <c r="I152" s="78"/>
      <c r="J152" s="78"/>
      <c r="K152" s="78"/>
      <c r="L152" s="78"/>
      <c r="M152" s="78"/>
      <c r="N152" s="79"/>
      <c r="O152" s="79"/>
      <c r="P152" s="79"/>
      <c r="Q152" s="79"/>
      <c r="R152" s="79"/>
      <c r="S152" s="79"/>
      <c r="T152" s="79"/>
      <c r="U152" s="79"/>
      <c r="V152" s="79"/>
      <c r="W152" s="79"/>
      <c r="X152" s="79"/>
      <c r="Y152" s="79"/>
      <c r="Z152" s="79"/>
      <c r="AA152" s="79"/>
      <c r="AB152" s="79"/>
      <c r="AC152" s="63" t="str">
        <f t="shared" si="13"/>
        <v/>
      </c>
      <c r="AD152" s="7"/>
      <c r="AE152" s="7"/>
      <c r="AF152" s="7"/>
      <c r="AG152" s="223"/>
      <c r="AH152" s="8" t="b">
        <f t="shared" si="12"/>
        <v>0</v>
      </c>
      <c r="AI152" s="8" t="b">
        <f t="shared" si="12"/>
        <v>0</v>
      </c>
      <c r="AJ152" s="8" t="b">
        <f t="shared" si="12"/>
        <v>0</v>
      </c>
      <c r="AK152" s="8" t="b">
        <f t="shared" si="12"/>
        <v>0</v>
      </c>
      <c r="AL152" s="8" t="b">
        <f t="shared" si="12"/>
        <v>0</v>
      </c>
      <c r="AM152" s="8" t="b">
        <f t="shared" si="12"/>
        <v>0</v>
      </c>
      <c r="AN152" s="8" t="b">
        <f t="shared" si="12"/>
        <v>0</v>
      </c>
      <c r="AO152" s="8" t="b">
        <f t="shared" si="12"/>
        <v>0</v>
      </c>
      <c r="AP152" s="8" t="b">
        <f t="shared" si="12"/>
        <v>0</v>
      </c>
      <c r="AQ152" s="8" t="b">
        <f t="shared" si="12"/>
        <v>0</v>
      </c>
      <c r="AR152" s="8" t="b">
        <f t="shared" si="12"/>
        <v>0</v>
      </c>
      <c r="AS152" s="8" t="b">
        <f t="shared" si="12"/>
        <v>0</v>
      </c>
      <c r="AT152" s="8" t="b">
        <f t="shared" si="12"/>
        <v>0</v>
      </c>
      <c r="AU152" s="8" t="b">
        <f t="shared" si="12"/>
        <v>0</v>
      </c>
      <c r="AV152" s="8" t="b">
        <f t="shared" si="12"/>
        <v>0</v>
      </c>
      <c r="AW152" s="8">
        <f t="shared" si="14"/>
        <v>0</v>
      </c>
    </row>
    <row r="153" spans="1:49">
      <c r="A153" s="8">
        <v>135</v>
      </c>
      <c r="B153" s="43"/>
      <c r="C153" s="81"/>
      <c r="D153" s="78"/>
      <c r="E153" s="78"/>
      <c r="F153" s="78"/>
      <c r="G153" s="78"/>
      <c r="H153" s="78"/>
      <c r="I153" s="78"/>
      <c r="J153" s="78"/>
      <c r="K153" s="78"/>
      <c r="L153" s="78"/>
      <c r="M153" s="78"/>
      <c r="N153" s="79"/>
      <c r="O153" s="79"/>
      <c r="P153" s="79"/>
      <c r="Q153" s="79"/>
      <c r="R153" s="79"/>
      <c r="S153" s="79"/>
      <c r="T153" s="79"/>
      <c r="U153" s="79"/>
      <c r="V153" s="79"/>
      <c r="W153" s="79"/>
      <c r="X153" s="79"/>
      <c r="Y153" s="79"/>
      <c r="Z153" s="79"/>
      <c r="AA153" s="79"/>
      <c r="AB153" s="79"/>
      <c r="AC153" s="63" t="str">
        <f t="shared" si="13"/>
        <v/>
      </c>
      <c r="AD153" s="7"/>
      <c r="AE153" s="7"/>
      <c r="AF153" s="7"/>
      <c r="AG153" s="223"/>
      <c r="AH153" s="8" t="b">
        <f t="shared" ref="AH153:AV168" si="15">ISTEXT(N153)</f>
        <v>0</v>
      </c>
      <c r="AI153" s="8" t="b">
        <f t="shared" si="15"/>
        <v>0</v>
      </c>
      <c r="AJ153" s="8" t="b">
        <f t="shared" si="15"/>
        <v>0</v>
      </c>
      <c r="AK153" s="8" t="b">
        <f t="shared" si="15"/>
        <v>0</v>
      </c>
      <c r="AL153" s="8" t="b">
        <f t="shared" si="15"/>
        <v>0</v>
      </c>
      <c r="AM153" s="8" t="b">
        <f t="shared" si="15"/>
        <v>0</v>
      </c>
      <c r="AN153" s="8" t="b">
        <f t="shared" si="15"/>
        <v>0</v>
      </c>
      <c r="AO153" s="8" t="b">
        <f t="shared" si="15"/>
        <v>0</v>
      </c>
      <c r="AP153" s="8" t="b">
        <f t="shared" si="15"/>
        <v>0</v>
      </c>
      <c r="AQ153" s="8" t="b">
        <f t="shared" si="15"/>
        <v>0</v>
      </c>
      <c r="AR153" s="8" t="b">
        <f t="shared" si="15"/>
        <v>0</v>
      </c>
      <c r="AS153" s="8" t="b">
        <f t="shared" si="15"/>
        <v>0</v>
      </c>
      <c r="AT153" s="8" t="b">
        <f t="shared" si="15"/>
        <v>0</v>
      </c>
      <c r="AU153" s="8" t="b">
        <f t="shared" si="15"/>
        <v>0</v>
      </c>
      <c r="AV153" s="8" t="b">
        <f t="shared" si="15"/>
        <v>0</v>
      </c>
      <c r="AW153" s="8">
        <f t="shared" si="14"/>
        <v>0</v>
      </c>
    </row>
    <row r="154" spans="1:49" ht="18" customHeight="1">
      <c r="A154" s="8">
        <v>136</v>
      </c>
      <c r="B154" s="43"/>
      <c r="C154" s="81"/>
      <c r="D154" s="78"/>
      <c r="E154" s="78"/>
      <c r="F154" s="78"/>
      <c r="G154" s="78"/>
      <c r="H154" s="78"/>
      <c r="I154" s="78"/>
      <c r="J154" s="78"/>
      <c r="K154" s="78"/>
      <c r="L154" s="78"/>
      <c r="M154" s="78"/>
      <c r="N154" s="79"/>
      <c r="O154" s="79"/>
      <c r="P154" s="79"/>
      <c r="Q154" s="79"/>
      <c r="R154" s="79"/>
      <c r="S154" s="79"/>
      <c r="T154" s="79"/>
      <c r="U154" s="79"/>
      <c r="V154" s="79"/>
      <c r="W154" s="79"/>
      <c r="X154" s="79"/>
      <c r="Y154" s="79"/>
      <c r="Z154" s="79"/>
      <c r="AA154" s="79"/>
      <c r="AB154" s="79"/>
      <c r="AC154" s="63" t="str">
        <f t="shared" si="13"/>
        <v/>
      </c>
      <c r="AD154" s="7"/>
      <c r="AE154" s="7"/>
      <c r="AF154" s="7"/>
      <c r="AG154" s="223"/>
      <c r="AH154" s="8" t="b">
        <f t="shared" si="15"/>
        <v>0</v>
      </c>
      <c r="AI154" s="8" t="b">
        <f t="shared" si="15"/>
        <v>0</v>
      </c>
      <c r="AJ154" s="8" t="b">
        <f t="shared" si="15"/>
        <v>0</v>
      </c>
      <c r="AK154" s="8" t="b">
        <f t="shared" si="15"/>
        <v>0</v>
      </c>
      <c r="AL154" s="8" t="b">
        <f t="shared" si="15"/>
        <v>0</v>
      </c>
      <c r="AM154" s="8" t="b">
        <f t="shared" si="15"/>
        <v>0</v>
      </c>
      <c r="AN154" s="8" t="b">
        <f t="shared" si="15"/>
        <v>0</v>
      </c>
      <c r="AO154" s="8" t="b">
        <f t="shared" si="15"/>
        <v>0</v>
      </c>
      <c r="AP154" s="8" t="b">
        <f t="shared" si="15"/>
        <v>0</v>
      </c>
      <c r="AQ154" s="8" t="b">
        <f t="shared" si="15"/>
        <v>0</v>
      </c>
      <c r="AR154" s="8" t="b">
        <f t="shared" si="15"/>
        <v>0</v>
      </c>
      <c r="AS154" s="8" t="b">
        <f t="shared" si="15"/>
        <v>0</v>
      </c>
      <c r="AT154" s="8" t="b">
        <f t="shared" si="15"/>
        <v>0</v>
      </c>
      <c r="AU154" s="8" t="b">
        <f t="shared" si="15"/>
        <v>0</v>
      </c>
      <c r="AV154" s="8" t="b">
        <f t="shared" si="15"/>
        <v>0</v>
      </c>
      <c r="AW154" s="8">
        <f t="shared" si="14"/>
        <v>0</v>
      </c>
    </row>
    <row r="155" spans="1:49" ht="18" customHeight="1">
      <c r="A155" s="8">
        <v>137</v>
      </c>
      <c r="B155" s="43"/>
      <c r="C155" s="81"/>
      <c r="D155" s="78"/>
      <c r="E155" s="78"/>
      <c r="F155" s="78"/>
      <c r="G155" s="78"/>
      <c r="H155" s="78"/>
      <c r="I155" s="78"/>
      <c r="J155" s="78"/>
      <c r="K155" s="78"/>
      <c r="L155" s="78"/>
      <c r="M155" s="78"/>
      <c r="N155" s="79"/>
      <c r="O155" s="79"/>
      <c r="P155" s="79"/>
      <c r="Q155" s="79"/>
      <c r="R155" s="79"/>
      <c r="S155" s="79"/>
      <c r="T155" s="79"/>
      <c r="U155" s="79"/>
      <c r="V155" s="79"/>
      <c r="W155" s="79"/>
      <c r="X155" s="79"/>
      <c r="Y155" s="79"/>
      <c r="Z155" s="79"/>
      <c r="AA155" s="79"/>
      <c r="AB155" s="79"/>
      <c r="AC155" s="63" t="str">
        <f t="shared" si="13"/>
        <v/>
      </c>
      <c r="AD155" s="7"/>
      <c r="AE155" s="7"/>
      <c r="AF155" s="7"/>
      <c r="AG155" s="223"/>
      <c r="AH155" s="8" t="b">
        <f t="shared" si="15"/>
        <v>0</v>
      </c>
      <c r="AI155" s="8" t="b">
        <f t="shared" si="15"/>
        <v>0</v>
      </c>
      <c r="AJ155" s="8" t="b">
        <f t="shared" si="15"/>
        <v>0</v>
      </c>
      <c r="AK155" s="8" t="b">
        <f t="shared" si="15"/>
        <v>0</v>
      </c>
      <c r="AL155" s="8" t="b">
        <f t="shared" si="15"/>
        <v>0</v>
      </c>
      <c r="AM155" s="8" t="b">
        <f t="shared" si="15"/>
        <v>0</v>
      </c>
      <c r="AN155" s="8" t="b">
        <f t="shared" si="15"/>
        <v>0</v>
      </c>
      <c r="AO155" s="8" t="b">
        <f t="shared" si="15"/>
        <v>0</v>
      </c>
      <c r="AP155" s="8" t="b">
        <f t="shared" si="15"/>
        <v>0</v>
      </c>
      <c r="AQ155" s="8" t="b">
        <f t="shared" si="15"/>
        <v>0</v>
      </c>
      <c r="AR155" s="8" t="b">
        <f t="shared" si="15"/>
        <v>0</v>
      </c>
      <c r="AS155" s="8" t="b">
        <f t="shared" si="15"/>
        <v>0</v>
      </c>
      <c r="AT155" s="8" t="b">
        <f t="shared" si="15"/>
        <v>0</v>
      </c>
      <c r="AU155" s="8" t="b">
        <f t="shared" si="15"/>
        <v>0</v>
      </c>
      <c r="AV155" s="8" t="b">
        <f t="shared" si="15"/>
        <v>0</v>
      </c>
      <c r="AW155" s="8">
        <f t="shared" si="14"/>
        <v>0</v>
      </c>
    </row>
    <row r="156" spans="1:49" ht="18" customHeight="1">
      <c r="A156" s="8">
        <v>138</v>
      </c>
      <c r="B156" s="43"/>
      <c r="C156" s="81"/>
      <c r="D156" s="78"/>
      <c r="E156" s="78"/>
      <c r="F156" s="78"/>
      <c r="G156" s="78"/>
      <c r="H156" s="78"/>
      <c r="I156" s="78"/>
      <c r="J156" s="78"/>
      <c r="K156" s="78"/>
      <c r="L156" s="78"/>
      <c r="M156" s="78"/>
      <c r="N156" s="79"/>
      <c r="O156" s="79"/>
      <c r="P156" s="79"/>
      <c r="Q156" s="79"/>
      <c r="R156" s="79"/>
      <c r="S156" s="79"/>
      <c r="T156" s="79"/>
      <c r="U156" s="79"/>
      <c r="V156" s="79"/>
      <c r="W156" s="79"/>
      <c r="X156" s="79"/>
      <c r="Y156" s="79"/>
      <c r="Z156" s="79"/>
      <c r="AA156" s="79"/>
      <c r="AB156" s="79"/>
      <c r="AC156" s="63" t="str">
        <f t="shared" si="13"/>
        <v/>
      </c>
      <c r="AD156" s="7"/>
      <c r="AE156" s="7"/>
      <c r="AF156" s="7"/>
      <c r="AG156" s="223"/>
      <c r="AH156" s="8" t="b">
        <f t="shared" si="15"/>
        <v>0</v>
      </c>
      <c r="AI156" s="8" t="b">
        <f t="shared" si="15"/>
        <v>0</v>
      </c>
      <c r="AJ156" s="8" t="b">
        <f t="shared" si="15"/>
        <v>0</v>
      </c>
      <c r="AK156" s="8" t="b">
        <f t="shared" si="15"/>
        <v>0</v>
      </c>
      <c r="AL156" s="8" t="b">
        <f t="shared" si="15"/>
        <v>0</v>
      </c>
      <c r="AM156" s="8" t="b">
        <f t="shared" si="15"/>
        <v>0</v>
      </c>
      <c r="AN156" s="8" t="b">
        <f t="shared" si="15"/>
        <v>0</v>
      </c>
      <c r="AO156" s="8" t="b">
        <f t="shared" si="15"/>
        <v>0</v>
      </c>
      <c r="AP156" s="8" t="b">
        <f t="shared" si="15"/>
        <v>0</v>
      </c>
      <c r="AQ156" s="8" t="b">
        <f t="shared" si="15"/>
        <v>0</v>
      </c>
      <c r="AR156" s="8" t="b">
        <f t="shared" si="15"/>
        <v>0</v>
      </c>
      <c r="AS156" s="8" t="b">
        <f t="shared" si="15"/>
        <v>0</v>
      </c>
      <c r="AT156" s="8" t="b">
        <f t="shared" si="15"/>
        <v>0</v>
      </c>
      <c r="AU156" s="8" t="b">
        <f t="shared" si="15"/>
        <v>0</v>
      </c>
      <c r="AV156" s="8" t="b">
        <f t="shared" si="15"/>
        <v>0</v>
      </c>
      <c r="AW156" s="8">
        <f t="shared" si="14"/>
        <v>0</v>
      </c>
    </row>
    <row r="157" spans="1:49" ht="18" customHeight="1">
      <c r="A157" s="8">
        <v>139</v>
      </c>
      <c r="B157" s="43"/>
      <c r="C157" s="81"/>
      <c r="D157" s="78"/>
      <c r="E157" s="78"/>
      <c r="F157" s="78"/>
      <c r="G157" s="78"/>
      <c r="H157" s="78"/>
      <c r="I157" s="78"/>
      <c r="J157" s="78"/>
      <c r="K157" s="78"/>
      <c r="L157" s="78"/>
      <c r="M157" s="78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Z157" s="79"/>
      <c r="AA157" s="79"/>
      <c r="AB157" s="79"/>
      <c r="AC157" s="63" t="str">
        <f t="shared" si="13"/>
        <v/>
      </c>
      <c r="AD157" s="7"/>
      <c r="AE157" s="7"/>
      <c r="AF157" s="7"/>
      <c r="AG157" s="223"/>
      <c r="AH157" s="8" t="b">
        <f t="shared" si="15"/>
        <v>0</v>
      </c>
      <c r="AI157" s="8" t="b">
        <f t="shared" si="15"/>
        <v>0</v>
      </c>
      <c r="AJ157" s="8" t="b">
        <f t="shared" si="15"/>
        <v>0</v>
      </c>
      <c r="AK157" s="8" t="b">
        <f t="shared" si="15"/>
        <v>0</v>
      </c>
      <c r="AL157" s="8" t="b">
        <f t="shared" si="15"/>
        <v>0</v>
      </c>
      <c r="AM157" s="8" t="b">
        <f t="shared" si="15"/>
        <v>0</v>
      </c>
      <c r="AN157" s="8" t="b">
        <f t="shared" si="15"/>
        <v>0</v>
      </c>
      <c r="AO157" s="8" t="b">
        <f t="shared" si="15"/>
        <v>0</v>
      </c>
      <c r="AP157" s="8" t="b">
        <f t="shared" si="15"/>
        <v>0</v>
      </c>
      <c r="AQ157" s="8" t="b">
        <f t="shared" si="15"/>
        <v>0</v>
      </c>
      <c r="AR157" s="8" t="b">
        <f t="shared" si="15"/>
        <v>0</v>
      </c>
      <c r="AS157" s="8" t="b">
        <f t="shared" si="15"/>
        <v>0</v>
      </c>
      <c r="AT157" s="8" t="b">
        <f t="shared" si="15"/>
        <v>0</v>
      </c>
      <c r="AU157" s="8" t="b">
        <f t="shared" si="15"/>
        <v>0</v>
      </c>
      <c r="AV157" s="8" t="b">
        <f t="shared" si="15"/>
        <v>0</v>
      </c>
      <c r="AW157" s="8">
        <f t="shared" si="14"/>
        <v>0</v>
      </c>
    </row>
    <row r="158" spans="1:49" ht="18" customHeight="1">
      <c r="A158" s="8">
        <v>140</v>
      </c>
      <c r="B158" s="43"/>
      <c r="C158" s="81"/>
      <c r="D158" s="78"/>
      <c r="E158" s="78"/>
      <c r="F158" s="78"/>
      <c r="G158" s="78"/>
      <c r="H158" s="78"/>
      <c r="I158" s="78"/>
      <c r="J158" s="78"/>
      <c r="K158" s="78"/>
      <c r="L158" s="78"/>
      <c r="M158" s="78"/>
      <c r="N158" s="79"/>
      <c r="O158" s="79"/>
      <c r="P158" s="79"/>
      <c r="Q158" s="79"/>
      <c r="R158" s="79"/>
      <c r="S158" s="79"/>
      <c r="T158" s="79"/>
      <c r="U158" s="79"/>
      <c r="V158" s="79"/>
      <c r="W158" s="79"/>
      <c r="X158" s="79"/>
      <c r="Y158" s="79"/>
      <c r="Z158" s="79"/>
      <c r="AA158" s="79"/>
      <c r="AB158" s="79"/>
      <c r="AC158" s="63" t="str">
        <f t="shared" si="13"/>
        <v/>
      </c>
      <c r="AD158" s="7"/>
      <c r="AE158" s="7"/>
      <c r="AF158" s="7"/>
      <c r="AG158" s="223"/>
      <c r="AH158" s="8" t="b">
        <f t="shared" si="15"/>
        <v>0</v>
      </c>
      <c r="AI158" s="8" t="b">
        <f t="shared" si="15"/>
        <v>0</v>
      </c>
      <c r="AJ158" s="8" t="b">
        <f t="shared" si="15"/>
        <v>0</v>
      </c>
      <c r="AK158" s="8" t="b">
        <f t="shared" si="15"/>
        <v>0</v>
      </c>
      <c r="AL158" s="8" t="b">
        <f t="shared" si="15"/>
        <v>0</v>
      </c>
      <c r="AM158" s="8" t="b">
        <f t="shared" si="15"/>
        <v>0</v>
      </c>
      <c r="AN158" s="8" t="b">
        <f t="shared" si="15"/>
        <v>0</v>
      </c>
      <c r="AO158" s="8" t="b">
        <f t="shared" si="15"/>
        <v>0</v>
      </c>
      <c r="AP158" s="8" t="b">
        <f t="shared" si="15"/>
        <v>0</v>
      </c>
      <c r="AQ158" s="8" t="b">
        <f t="shared" si="15"/>
        <v>0</v>
      </c>
      <c r="AR158" s="8" t="b">
        <f t="shared" si="15"/>
        <v>0</v>
      </c>
      <c r="AS158" s="8" t="b">
        <f t="shared" si="15"/>
        <v>0</v>
      </c>
      <c r="AT158" s="8" t="b">
        <f t="shared" si="15"/>
        <v>0</v>
      </c>
      <c r="AU158" s="8" t="b">
        <f t="shared" si="15"/>
        <v>0</v>
      </c>
      <c r="AV158" s="8" t="b">
        <f t="shared" si="15"/>
        <v>0</v>
      </c>
      <c r="AW158" s="8">
        <f t="shared" si="14"/>
        <v>0</v>
      </c>
    </row>
    <row r="159" spans="1:49" ht="18" customHeight="1">
      <c r="A159" s="8">
        <v>141</v>
      </c>
      <c r="B159" s="43"/>
      <c r="C159" s="81"/>
      <c r="D159" s="78"/>
      <c r="E159" s="78"/>
      <c r="F159" s="78"/>
      <c r="G159" s="78"/>
      <c r="H159" s="78"/>
      <c r="I159" s="78"/>
      <c r="J159" s="78"/>
      <c r="K159" s="78"/>
      <c r="L159" s="78"/>
      <c r="M159" s="78"/>
      <c r="N159" s="79"/>
      <c r="O159" s="79"/>
      <c r="P159" s="79"/>
      <c r="Q159" s="79"/>
      <c r="R159" s="79"/>
      <c r="S159" s="79"/>
      <c r="T159" s="79"/>
      <c r="U159" s="79"/>
      <c r="V159" s="79"/>
      <c r="W159" s="79"/>
      <c r="X159" s="79"/>
      <c r="Y159" s="79"/>
      <c r="Z159" s="79"/>
      <c r="AA159" s="79"/>
      <c r="AB159" s="79"/>
      <c r="AC159" s="63" t="str">
        <f t="shared" si="13"/>
        <v/>
      </c>
      <c r="AD159" s="7"/>
      <c r="AE159" s="7"/>
      <c r="AF159" s="7"/>
      <c r="AG159" s="223"/>
      <c r="AH159" s="8" t="b">
        <f t="shared" si="15"/>
        <v>0</v>
      </c>
      <c r="AI159" s="8" t="b">
        <f t="shared" si="15"/>
        <v>0</v>
      </c>
      <c r="AJ159" s="8" t="b">
        <f t="shared" si="15"/>
        <v>0</v>
      </c>
      <c r="AK159" s="8" t="b">
        <f t="shared" si="15"/>
        <v>0</v>
      </c>
      <c r="AL159" s="8" t="b">
        <f t="shared" si="15"/>
        <v>0</v>
      </c>
      <c r="AM159" s="8" t="b">
        <f t="shared" si="15"/>
        <v>0</v>
      </c>
      <c r="AN159" s="8" t="b">
        <f t="shared" si="15"/>
        <v>0</v>
      </c>
      <c r="AO159" s="8" t="b">
        <f t="shared" si="15"/>
        <v>0</v>
      </c>
      <c r="AP159" s="8" t="b">
        <f t="shared" si="15"/>
        <v>0</v>
      </c>
      <c r="AQ159" s="8" t="b">
        <f t="shared" si="15"/>
        <v>0</v>
      </c>
      <c r="AR159" s="8" t="b">
        <f t="shared" si="15"/>
        <v>0</v>
      </c>
      <c r="AS159" s="8" t="b">
        <f t="shared" si="15"/>
        <v>0</v>
      </c>
      <c r="AT159" s="8" t="b">
        <f t="shared" si="15"/>
        <v>0</v>
      </c>
      <c r="AU159" s="8" t="b">
        <f t="shared" si="15"/>
        <v>0</v>
      </c>
      <c r="AV159" s="8" t="b">
        <f t="shared" si="15"/>
        <v>0</v>
      </c>
      <c r="AW159" s="8">
        <f t="shared" si="14"/>
        <v>0</v>
      </c>
    </row>
    <row r="160" spans="1:49" ht="18" customHeight="1">
      <c r="A160" s="8">
        <v>142</v>
      </c>
      <c r="B160" s="43"/>
      <c r="C160" s="81"/>
      <c r="D160" s="78"/>
      <c r="E160" s="78"/>
      <c r="F160" s="78"/>
      <c r="G160" s="78"/>
      <c r="H160" s="78"/>
      <c r="I160" s="78"/>
      <c r="J160" s="78"/>
      <c r="K160" s="78"/>
      <c r="L160" s="78"/>
      <c r="M160" s="78"/>
      <c r="N160" s="79"/>
      <c r="O160" s="79"/>
      <c r="P160" s="79"/>
      <c r="Q160" s="79"/>
      <c r="R160" s="79"/>
      <c r="S160" s="79"/>
      <c r="T160" s="79"/>
      <c r="U160" s="79"/>
      <c r="V160" s="79"/>
      <c r="W160" s="79"/>
      <c r="X160" s="79"/>
      <c r="Y160" s="79"/>
      <c r="Z160" s="79"/>
      <c r="AA160" s="79"/>
      <c r="AB160" s="79"/>
      <c r="AC160" s="63" t="str">
        <f t="shared" si="13"/>
        <v/>
      </c>
      <c r="AD160" s="7"/>
      <c r="AE160" s="7"/>
      <c r="AF160" s="7"/>
      <c r="AG160" s="223"/>
      <c r="AH160" s="8" t="b">
        <f t="shared" si="15"/>
        <v>0</v>
      </c>
      <c r="AI160" s="8" t="b">
        <f t="shared" si="15"/>
        <v>0</v>
      </c>
      <c r="AJ160" s="8" t="b">
        <f t="shared" si="15"/>
        <v>0</v>
      </c>
      <c r="AK160" s="8" t="b">
        <f t="shared" si="15"/>
        <v>0</v>
      </c>
      <c r="AL160" s="8" t="b">
        <f t="shared" si="15"/>
        <v>0</v>
      </c>
      <c r="AM160" s="8" t="b">
        <f t="shared" si="15"/>
        <v>0</v>
      </c>
      <c r="AN160" s="8" t="b">
        <f t="shared" si="15"/>
        <v>0</v>
      </c>
      <c r="AO160" s="8" t="b">
        <f t="shared" si="15"/>
        <v>0</v>
      </c>
      <c r="AP160" s="8" t="b">
        <f t="shared" si="15"/>
        <v>0</v>
      </c>
      <c r="AQ160" s="8" t="b">
        <f t="shared" si="15"/>
        <v>0</v>
      </c>
      <c r="AR160" s="8" t="b">
        <f t="shared" si="15"/>
        <v>0</v>
      </c>
      <c r="AS160" s="8" t="b">
        <f t="shared" si="15"/>
        <v>0</v>
      </c>
      <c r="AT160" s="8" t="b">
        <f t="shared" si="15"/>
        <v>0</v>
      </c>
      <c r="AU160" s="8" t="b">
        <f t="shared" si="15"/>
        <v>0</v>
      </c>
      <c r="AV160" s="8" t="b">
        <f t="shared" si="15"/>
        <v>0</v>
      </c>
      <c r="AW160" s="8">
        <f t="shared" si="14"/>
        <v>0</v>
      </c>
    </row>
    <row r="161" spans="1:49" ht="18" customHeight="1">
      <c r="A161" s="8">
        <v>143</v>
      </c>
      <c r="B161" s="43"/>
      <c r="C161" s="47"/>
      <c r="D161" s="78"/>
      <c r="E161" s="78"/>
      <c r="F161" s="78"/>
      <c r="G161" s="78"/>
      <c r="H161" s="78"/>
      <c r="I161" s="78"/>
      <c r="J161" s="78"/>
      <c r="K161" s="78"/>
      <c r="L161" s="78"/>
      <c r="M161" s="78"/>
      <c r="N161" s="79"/>
      <c r="O161" s="79"/>
      <c r="P161" s="79"/>
      <c r="Q161" s="79"/>
      <c r="R161" s="79"/>
      <c r="S161" s="79"/>
      <c r="T161" s="79"/>
      <c r="U161" s="79"/>
      <c r="V161" s="79"/>
      <c r="W161" s="79"/>
      <c r="X161" s="79"/>
      <c r="Y161" s="79"/>
      <c r="Z161" s="79"/>
      <c r="AA161" s="79"/>
      <c r="AB161" s="79"/>
      <c r="AC161" s="63" t="str">
        <f t="shared" si="13"/>
        <v/>
      </c>
      <c r="AD161" s="7"/>
      <c r="AE161" s="7"/>
      <c r="AF161" s="7"/>
      <c r="AG161" s="223"/>
      <c r="AH161" s="8" t="b">
        <f t="shared" si="15"/>
        <v>0</v>
      </c>
      <c r="AI161" s="8" t="b">
        <f t="shared" si="15"/>
        <v>0</v>
      </c>
      <c r="AJ161" s="8" t="b">
        <f t="shared" si="15"/>
        <v>0</v>
      </c>
      <c r="AK161" s="8" t="b">
        <f t="shared" si="15"/>
        <v>0</v>
      </c>
      <c r="AL161" s="8" t="b">
        <f t="shared" si="15"/>
        <v>0</v>
      </c>
      <c r="AM161" s="8" t="b">
        <f t="shared" si="15"/>
        <v>0</v>
      </c>
      <c r="AN161" s="8" t="b">
        <f t="shared" si="15"/>
        <v>0</v>
      </c>
      <c r="AO161" s="8" t="b">
        <f t="shared" si="15"/>
        <v>0</v>
      </c>
      <c r="AP161" s="8" t="b">
        <f t="shared" si="15"/>
        <v>0</v>
      </c>
      <c r="AQ161" s="8" t="b">
        <f t="shared" si="15"/>
        <v>0</v>
      </c>
      <c r="AR161" s="8" t="b">
        <f t="shared" si="15"/>
        <v>0</v>
      </c>
      <c r="AS161" s="8" t="b">
        <f t="shared" si="15"/>
        <v>0</v>
      </c>
      <c r="AT161" s="8" t="b">
        <f t="shared" si="15"/>
        <v>0</v>
      </c>
      <c r="AU161" s="8" t="b">
        <f t="shared" si="15"/>
        <v>0</v>
      </c>
      <c r="AV161" s="8" t="b">
        <f t="shared" si="15"/>
        <v>0</v>
      </c>
      <c r="AW161" s="8">
        <f t="shared" si="14"/>
        <v>0</v>
      </c>
    </row>
    <row r="162" spans="1:49" ht="18" customHeight="1">
      <c r="A162" s="8">
        <v>144</v>
      </c>
      <c r="B162" s="43"/>
      <c r="C162" s="41"/>
      <c r="D162" s="78"/>
      <c r="E162" s="78"/>
      <c r="F162" s="78"/>
      <c r="G162" s="78"/>
      <c r="H162" s="78"/>
      <c r="I162" s="78"/>
      <c r="J162" s="78"/>
      <c r="K162" s="78"/>
      <c r="L162" s="78"/>
      <c r="M162" s="78"/>
      <c r="N162" s="79"/>
      <c r="O162" s="79"/>
      <c r="P162" s="79"/>
      <c r="Q162" s="79"/>
      <c r="R162" s="79"/>
      <c r="S162" s="79"/>
      <c r="T162" s="79"/>
      <c r="U162" s="79"/>
      <c r="V162" s="79"/>
      <c r="W162" s="79"/>
      <c r="X162" s="79"/>
      <c r="Y162" s="79"/>
      <c r="Z162" s="79"/>
      <c r="AA162" s="79"/>
      <c r="AB162" s="79"/>
      <c r="AC162" s="63" t="str">
        <f t="shared" si="13"/>
        <v/>
      </c>
      <c r="AD162" s="7"/>
      <c r="AE162" s="7"/>
      <c r="AF162" s="7"/>
      <c r="AG162" s="223"/>
      <c r="AH162" s="8" t="b">
        <f t="shared" si="15"/>
        <v>0</v>
      </c>
      <c r="AI162" s="8" t="b">
        <f t="shared" si="15"/>
        <v>0</v>
      </c>
      <c r="AJ162" s="8" t="b">
        <f t="shared" si="15"/>
        <v>0</v>
      </c>
      <c r="AK162" s="8" t="b">
        <f t="shared" si="15"/>
        <v>0</v>
      </c>
      <c r="AL162" s="8" t="b">
        <f t="shared" si="15"/>
        <v>0</v>
      </c>
      <c r="AM162" s="8" t="b">
        <f t="shared" si="15"/>
        <v>0</v>
      </c>
      <c r="AN162" s="8" t="b">
        <f t="shared" si="15"/>
        <v>0</v>
      </c>
      <c r="AO162" s="8" t="b">
        <f t="shared" si="15"/>
        <v>0</v>
      </c>
      <c r="AP162" s="8" t="b">
        <f t="shared" si="15"/>
        <v>0</v>
      </c>
      <c r="AQ162" s="8" t="b">
        <f t="shared" si="15"/>
        <v>0</v>
      </c>
      <c r="AR162" s="8" t="b">
        <f t="shared" si="15"/>
        <v>0</v>
      </c>
      <c r="AS162" s="8" t="b">
        <f t="shared" si="15"/>
        <v>0</v>
      </c>
      <c r="AT162" s="8" t="b">
        <f t="shared" si="15"/>
        <v>0</v>
      </c>
      <c r="AU162" s="8" t="b">
        <f t="shared" si="15"/>
        <v>0</v>
      </c>
      <c r="AV162" s="8" t="b">
        <f t="shared" si="15"/>
        <v>0</v>
      </c>
      <c r="AW162" s="8">
        <f t="shared" si="14"/>
        <v>0</v>
      </c>
    </row>
    <row r="163" spans="1:49" ht="18" customHeight="1">
      <c r="A163" s="8">
        <v>145</v>
      </c>
      <c r="B163" s="43"/>
      <c r="C163" s="42"/>
      <c r="D163" s="78"/>
      <c r="E163" s="78"/>
      <c r="F163" s="78"/>
      <c r="G163" s="78"/>
      <c r="H163" s="78"/>
      <c r="I163" s="78"/>
      <c r="J163" s="78"/>
      <c r="K163" s="78"/>
      <c r="L163" s="78"/>
      <c r="M163" s="78"/>
      <c r="N163" s="79"/>
      <c r="O163" s="79"/>
      <c r="P163" s="79"/>
      <c r="Q163" s="79"/>
      <c r="R163" s="79"/>
      <c r="S163" s="79"/>
      <c r="T163" s="79"/>
      <c r="U163" s="79"/>
      <c r="V163" s="79"/>
      <c r="W163" s="79"/>
      <c r="X163" s="79"/>
      <c r="Y163" s="79"/>
      <c r="Z163" s="79"/>
      <c r="AA163" s="79"/>
      <c r="AB163" s="79"/>
      <c r="AC163" s="63" t="str">
        <f t="shared" si="13"/>
        <v/>
      </c>
      <c r="AD163" s="7"/>
      <c r="AE163" s="7"/>
      <c r="AF163" s="7"/>
      <c r="AG163" s="223"/>
      <c r="AH163" s="8" t="b">
        <f t="shared" si="15"/>
        <v>0</v>
      </c>
      <c r="AI163" s="8" t="b">
        <f t="shared" si="15"/>
        <v>0</v>
      </c>
      <c r="AJ163" s="8" t="b">
        <f t="shared" si="15"/>
        <v>0</v>
      </c>
      <c r="AK163" s="8" t="b">
        <f t="shared" si="15"/>
        <v>0</v>
      </c>
      <c r="AL163" s="8" t="b">
        <f t="shared" si="15"/>
        <v>0</v>
      </c>
      <c r="AM163" s="8" t="b">
        <f t="shared" si="15"/>
        <v>0</v>
      </c>
      <c r="AN163" s="8" t="b">
        <f t="shared" si="15"/>
        <v>0</v>
      </c>
      <c r="AO163" s="8" t="b">
        <f t="shared" si="15"/>
        <v>0</v>
      </c>
      <c r="AP163" s="8" t="b">
        <f t="shared" si="15"/>
        <v>0</v>
      </c>
      <c r="AQ163" s="8" t="b">
        <f t="shared" si="15"/>
        <v>0</v>
      </c>
      <c r="AR163" s="8" t="b">
        <f t="shared" si="15"/>
        <v>0</v>
      </c>
      <c r="AS163" s="8" t="b">
        <f t="shared" si="15"/>
        <v>0</v>
      </c>
      <c r="AT163" s="8" t="b">
        <f t="shared" si="15"/>
        <v>0</v>
      </c>
      <c r="AU163" s="8" t="b">
        <f t="shared" si="15"/>
        <v>0</v>
      </c>
      <c r="AV163" s="8" t="b">
        <f t="shared" si="15"/>
        <v>0</v>
      </c>
      <c r="AW163" s="8">
        <f t="shared" si="14"/>
        <v>0</v>
      </c>
    </row>
    <row r="164" spans="1:49">
      <c r="A164" s="8">
        <v>146</v>
      </c>
      <c r="B164" s="43"/>
      <c r="C164" s="41"/>
      <c r="D164" s="78"/>
      <c r="E164" s="78"/>
      <c r="F164" s="78"/>
      <c r="G164" s="78"/>
      <c r="H164" s="78"/>
      <c r="I164" s="78"/>
      <c r="J164" s="78"/>
      <c r="K164" s="78"/>
      <c r="L164" s="78"/>
      <c r="M164" s="78"/>
      <c r="N164" s="79"/>
      <c r="O164" s="79"/>
      <c r="P164" s="79"/>
      <c r="Q164" s="79"/>
      <c r="R164" s="79"/>
      <c r="S164" s="79"/>
      <c r="T164" s="79"/>
      <c r="U164" s="79"/>
      <c r="V164" s="79"/>
      <c r="W164" s="79"/>
      <c r="X164" s="79"/>
      <c r="Y164" s="79"/>
      <c r="Z164" s="79"/>
      <c r="AA164" s="79"/>
      <c r="AB164" s="79"/>
      <c r="AC164" s="63" t="str">
        <f t="shared" si="13"/>
        <v/>
      </c>
      <c r="AD164" s="7"/>
      <c r="AE164" s="7"/>
      <c r="AF164" s="7"/>
      <c r="AG164" s="223"/>
      <c r="AH164" s="8" t="b">
        <f t="shared" si="15"/>
        <v>0</v>
      </c>
      <c r="AI164" s="8" t="b">
        <f t="shared" si="15"/>
        <v>0</v>
      </c>
      <c r="AJ164" s="8" t="b">
        <f t="shared" si="15"/>
        <v>0</v>
      </c>
      <c r="AK164" s="8" t="b">
        <f t="shared" si="15"/>
        <v>0</v>
      </c>
      <c r="AL164" s="8" t="b">
        <f t="shared" si="15"/>
        <v>0</v>
      </c>
      <c r="AM164" s="8" t="b">
        <f t="shared" si="15"/>
        <v>0</v>
      </c>
      <c r="AN164" s="8" t="b">
        <f t="shared" si="15"/>
        <v>0</v>
      </c>
      <c r="AO164" s="8" t="b">
        <f t="shared" si="15"/>
        <v>0</v>
      </c>
      <c r="AP164" s="8" t="b">
        <f t="shared" si="15"/>
        <v>0</v>
      </c>
      <c r="AQ164" s="8" t="b">
        <f t="shared" si="15"/>
        <v>0</v>
      </c>
      <c r="AR164" s="8" t="b">
        <f t="shared" si="15"/>
        <v>0</v>
      </c>
      <c r="AS164" s="8" t="b">
        <f t="shared" si="15"/>
        <v>0</v>
      </c>
      <c r="AT164" s="8" t="b">
        <f t="shared" si="15"/>
        <v>0</v>
      </c>
      <c r="AU164" s="8" t="b">
        <f t="shared" si="15"/>
        <v>0</v>
      </c>
      <c r="AV164" s="8" t="b">
        <f t="shared" si="15"/>
        <v>0</v>
      </c>
      <c r="AW164" s="8">
        <f t="shared" si="14"/>
        <v>0</v>
      </c>
    </row>
    <row r="165" spans="1:49" ht="18" customHeight="1">
      <c r="A165" s="8">
        <v>147</v>
      </c>
      <c r="B165" s="43"/>
      <c r="C165" s="47"/>
      <c r="D165" s="78"/>
      <c r="E165" s="78"/>
      <c r="F165" s="78"/>
      <c r="G165" s="78"/>
      <c r="H165" s="78"/>
      <c r="I165" s="78"/>
      <c r="J165" s="78"/>
      <c r="K165" s="78"/>
      <c r="L165" s="78"/>
      <c r="M165" s="78"/>
      <c r="N165" s="79"/>
      <c r="O165" s="79"/>
      <c r="P165" s="79"/>
      <c r="Q165" s="79"/>
      <c r="R165" s="79"/>
      <c r="S165" s="79"/>
      <c r="T165" s="79"/>
      <c r="U165" s="79"/>
      <c r="V165" s="79"/>
      <c r="W165" s="79"/>
      <c r="X165" s="79"/>
      <c r="Y165" s="79"/>
      <c r="Z165" s="79"/>
      <c r="AA165" s="79"/>
      <c r="AB165" s="79"/>
      <c r="AC165" s="63" t="str">
        <f t="shared" si="13"/>
        <v/>
      </c>
      <c r="AD165" s="7"/>
      <c r="AE165" s="7"/>
      <c r="AF165" s="7"/>
      <c r="AG165" s="223"/>
      <c r="AH165" s="8" t="b">
        <f t="shared" si="15"/>
        <v>0</v>
      </c>
      <c r="AI165" s="8" t="b">
        <f t="shared" si="15"/>
        <v>0</v>
      </c>
      <c r="AJ165" s="8" t="b">
        <f t="shared" si="15"/>
        <v>0</v>
      </c>
      <c r="AK165" s="8" t="b">
        <f t="shared" si="15"/>
        <v>0</v>
      </c>
      <c r="AL165" s="8" t="b">
        <f t="shared" si="15"/>
        <v>0</v>
      </c>
      <c r="AM165" s="8" t="b">
        <f t="shared" si="15"/>
        <v>0</v>
      </c>
      <c r="AN165" s="8" t="b">
        <f t="shared" si="15"/>
        <v>0</v>
      </c>
      <c r="AO165" s="8" t="b">
        <f t="shared" si="15"/>
        <v>0</v>
      </c>
      <c r="AP165" s="8" t="b">
        <f t="shared" si="15"/>
        <v>0</v>
      </c>
      <c r="AQ165" s="8" t="b">
        <f t="shared" si="15"/>
        <v>0</v>
      </c>
      <c r="AR165" s="8" t="b">
        <f t="shared" si="15"/>
        <v>0</v>
      </c>
      <c r="AS165" s="8" t="b">
        <f t="shared" si="15"/>
        <v>0</v>
      </c>
      <c r="AT165" s="8" t="b">
        <f t="shared" si="15"/>
        <v>0</v>
      </c>
      <c r="AU165" s="8" t="b">
        <f t="shared" si="15"/>
        <v>0</v>
      </c>
      <c r="AV165" s="8" t="b">
        <f t="shared" si="15"/>
        <v>0</v>
      </c>
      <c r="AW165" s="8">
        <f t="shared" si="14"/>
        <v>0</v>
      </c>
    </row>
    <row r="166" spans="1:49" ht="18" customHeight="1">
      <c r="A166" s="8">
        <v>148</v>
      </c>
      <c r="B166" s="43"/>
      <c r="C166" s="41"/>
      <c r="D166" s="78"/>
      <c r="E166" s="78"/>
      <c r="F166" s="78"/>
      <c r="G166" s="78"/>
      <c r="H166" s="78"/>
      <c r="I166" s="78"/>
      <c r="J166" s="78"/>
      <c r="K166" s="78"/>
      <c r="L166" s="78"/>
      <c r="M166" s="78"/>
      <c r="N166" s="79"/>
      <c r="O166" s="79"/>
      <c r="P166" s="79"/>
      <c r="Q166" s="79"/>
      <c r="R166" s="79"/>
      <c r="S166" s="79"/>
      <c r="T166" s="79"/>
      <c r="U166" s="79"/>
      <c r="V166" s="79"/>
      <c r="W166" s="79"/>
      <c r="X166" s="79"/>
      <c r="Y166" s="79"/>
      <c r="Z166" s="79"/>
      <c r="AA166" s="79"/>
      <c r="AB166" s="79"/>
      <c r="AC166" s="63" t="str">
        <f t="shared" si="13"/>
        <v/>
      </c>
      <c r="AD166" s="7"/>
      <c r="AE166" s="7"/>
      <c r="AF166" s="7"/>
      <c r="AG166" s="223"/>
      <c r="AH166" s="8" t="b">
        <f t="shared" si="15"/>
        <v>0</v>
      </c>
      <c r="AI166" s="8" t="b">
        <f t="shared" si="15"/>
        <v>0</v>
      </c>
      <c r="AJ166" s="8" t="b">
        <f t="shared" si="15"/>
        <v>0</v>
      </c>
      <c r="AK166" s="8" t="b">
        <f t="shared" si="15"/>
        <v>0</v>
      </c>
      <c r="AL166" s="8" t="b">
        <f t="shared" si="15"/>
        <v>0</v>
      </c>
      <c r="AM166" s="8" t="b">
        <f t="shared" si="15"/>
        <v>0</v>
      </c>
      <c r="AN166" s="8" t="b">
        <f t="shared" si="15"/>
        <v>0</v>
      </c>
      <c r="AO166" s="8" t="b">
        <f t="shared" si="15"/>
        <v>0</v>
      </c>
      <c r="AP166" s="8" t="b">
        <f t="shared" si="15"/>
        <v>0</v>
      </c>
      <c r="AQ166" s="8" t="b">
        <f t="shared" si="15"/>
        <v>0</v>
      </c>
      <c r="AR166" s="8" t="b">
        <f t="shared" si="15"/>
        <v>0</v>
      </c>
      <c r="AS166" s="8" t="b">
        <f t="shared" si="15"/>
        <v>0</v>
      </c>
      <c r="AT166" s="8" t="b">
        <f t="shared" si="15"/>
        <v>0</v>
      </c>
      <c r="AU166" s="8" t="b">
        <f t="shared" si="15"/>
        <v>0</v>
      </c>
      <c r="AV166" s="8" t="b">
        <f t="shared" si="15"/>
        <v>0</v>
      </c>
      <c r="AW166" s="8">
        <f t="shared" si="14"/>
        <v>0</v>
      </c>
    </row>
    <row r="167" spans="1:49" ht="18" customHeight="1">
      <c r="A167" s="8">
        <v>149</v>
      </c>
      <c r="B167" s="43"/>
      <c r="C167" s="42"/>
      <c r="D167" s="78"/>
      <c r="E167" s="78"/>
      <c r="F167" s="78"/>
      <c r="G167" s="78"/>
      <c r="H167" s="78"/>
      <c r="I167" s="78"/>
      <c r="J167" s="78"/>
      <c r="K167" s="78"/>
      <c r="L167" s="78"/>
      <c r="M167" s="78"/>
      <c r="N167" s="79"/>
      <c r="O167" s="79"/>
      <c r="P167" s="79"/>
      <c r="Q167" s="79"/>
      <c r="R167" s="79"/>
      <c r="S167" s="79"/>
      <c r="T167" s="79"/>
      <c r="U167" s="79"/>
      <c r="V167" s="79"/>
      <c r="W167" s="79"/>
      <c r="X167" s="79"/>
      <c r="Y167" s="79"/>
      <c r="Z167" s="79"/>
      <c r="AA167" s="79"/>
      <c r="AB167" s="79"/>
      <c r="AC167" s="63" t="str">
        <f t="shared" si="13"/>
        <v/>
      </c>
      <c r="AD167" s="7"/>
      <c r="AE167" s="7"/>
      <c r="AF167" s="7"/>
      <c r="AG167" s="223"/>
      <c r="AH167" s="8" t="b">
        <f t="shared" si="15"/>
        <v>0</v>
      </c>
      <c r="AI167" s="8" t="b">
        <f t="shared" si="15"/>
        <v>0</v>
      </c>
      <c r="AJ167" s="8" t="b">
        <f t="shared" si="15"/>
        <v>0</v>
      </c>
      <c r="AK167" s="8" t="b">
        <f t="shared" si="15"/>
        <v>0</v>
      </c>
      <c r="AL167" s="8" t="b">
        <f t="shared" si="15"/>
        <v>0</v>
      </c>
      <c r="AM167" s="8" t="b">
        <f t="shared" si="15"/>
        <v>0</v>
      </c>
      <c r="AN167" s="8" t="b">
        <f t="shared" si="15"/>
        <v>0</v>
      </c>
      <c r="AO167" s="8" t="b">
        <f t="shared" si="15"/>
        <v>0</v>
      </c>
      <c r="AP167" s="8" t="b">
        <f t="shared" si="15"/>
        <v>0</v>
      </c>
      <c r="AQ167" s="8" t="b">
        <f t="shared" si="15"/>
        <v>0</v>
      </c>
      <c r="AR167" s="8" t="b">
        <f t="shared" si="15"/>
        <v>0</v>
      </c>
      <c r="AS167" s="8" t="b">
        <f t="shared" si="15"/>
        <v>0</v>
      </c>
      <c r="AT167" s="8" t="b">
        <f t="shared" si="15"/>
        <v>0</v>
      </c>
      <c r="AU167" s="8" t="b">
        <f t="shared" si="15"/>
        <v>0</v>
      </c>
      <c r="AV167" s="8" t="b">
        <f t="shared" si="15"/>
        <v>0</v>
      </c>
      <c r="AW167" s="8">
        <f t="shared" si="14"/>
        <v>0</v>
      </c>
    </row>
    <row r="168" spans="1:49">
      <c r="A168" s="8">
        <v>150</v>
      </c>
      <c r="B168" s="43"/>
      <c r="C168" s="41"/>
      <c r="D168" s="78"/>
      <c r="E168" s="78"/>
      <c r="F168" s="78"/>
      <c r="G168" s="78"/>
      <c r="H168" s="78"/>
      <c r="I168" s="78"/>
      <c r="J168" s="78"/>
      <c r="K168" s="78"/>
      <c r="L168" s="78"/>
      <c r="M168" s="78"/>
      <c r="N168" s="79"/>
      <c r="O168" s="79"/>
      <c r="P168" s="79"/>
      <c r="Q168" s="79"/>
      <c r="R168" s="79"/>
      <c r="S168" s="79"/>
      <c r="T168" s="79"/>
      <c r="U168" s="79"/>
      <c r="V168" s="79"/>
      <c r="W168" s="79"/>
      <c r="X168" s="79"/>
      <c r="Y168" s="79"/>
      <c r="Z168" s="79"/>
      <c r="AA168" s="79"/>
      <c r="AB168" s="79"/>
      <c r="AC168" s="63" t="str">
        <f t="shared" si="13"/>
        <v/>
      </c>
      <c r="AD168" s="7"/>
      <c r="AE168" s="7"/>
      <c r="AF168" s="7"/>
      <c r="AG168" s="223"/>
      <c r="AH168" s="8" t="b">
        <f t="shared" si="15"/>
        <v>0</v>
      </c>
      <c r="AI168" s="8" t="b">
        <f t="shared" si="15"/>
        <v>0</v>
      </c>
      <c r="AJ168" s="8" t="b">
        <f t="shared" si="15"/>
        <v>0</v>
      </c>
      <c r="AK168" s="8" t="b">
        <f t="shared" si="15"/>
        <v>0</v>
      </c>
      <c r="AL168" s="8" t="b">
        <f t="shared" si="15"/>
        <v>0</v>
      </c>
      <c r="AM168" s="8" t="b">
        <f t="shared" si="15"/>
        <v>0</v>
      </c>
      <c r="AN168" s="8" t="b">
        <f t="shared" si="15"/>
        <v>0</v>
      </c>
      <c r="AO168" s="8" t="b">
        <f t="shared" si="15"/>
        <v>0</v>
      </c>
      <c r="AP168" s="8" t="b">
        <f t="shared" si="15"/>
        <v>0</v>
      </c>
      <c r="AQ168" s="8" t="b">
        <f t="shared" si="15"/>
        <v>0</v>
      </c>
      <c r="AR168" s="8" t="b">
        <f t="shared" si="15"/>
        <v>0</v>
      </c>
      <c r="AS168" s="8" t="b">
        <f t="shared" si="15"/>
        <v>0</v>
      </c>
      <c r="AT168" s="8" t="b">
        <f t="shared" si="15"/>
        <v>0</v>
      </c>
      <c r="AU168" s="8" t="b">
        <f t="shared" si="15"/>
        <v>0</v>
      </c>
      <c r="AV168" s="8" t="b">
        <f t="shared" si="15"/>
        <v>0</v>
      </c>
      <c r="AW168" s="8">
        <f t="shared" si="14"/>
        <v>0</v>
      </c>
    </row>
    <row r="169" spans="1:49">
      <c r="A169" s="8">
        <v>151</v>
      </c>
      <c r="B169" s="43"/>
      <c r="C169" s="41"/>
      <c r="D169" s="78"/>
      <c r="E169" s="78"/>
      <c r="F169" s="78"/>
      <c r="G169" s="78"/>
      <c r="H169" s="78"/>
      <c r="I169" s="78"/>
      <c r="J169" s="78"/>
      <c r="K169" s="78"/>
      <c r="L169" s="78"/>
      <c r="M169" s="78"/>
      <c r="N169" s="79"/>
      <c r="O169" s="79"/>
      <c r="P169" s="79"/>
      <c r="Q169" s="79"/>
      <c r="R169" s="79"/>
      <c r="S169" s="79"/>
      <c r="T169" s="79"/>
      <c r="U169" s="79"/>
      <c r="V169" s="79"/>
      <c r="W169" s="79"/>
      <c r="X169" s="79"/>
      <c r="Y169" s="79"/>
      <c r="Z169" s="79"/>
      <c r="AA169" s="79"/>
      <c r="AB169" s="79"/>
      <c r="AC169" s="63" t="str">
        <f t="shared" si="13"/>
        <v/>
      </c>
      <c r="AD169" s="7"/>
      <c r="AE169" s="7"/>
      <c r="AF169" s="7"/>
      <c r="AG169" s="223"/>
    </row>
    <row r="170" spans="1:49">
      <c r="B170" s="11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4"/>
      <c r="AD170" s="5"/>
      <c r="AE170" s="5"/>
      <c r="AF170" s="5"/>
      <c r="AG170" s="5"/>
    </row>
    <row r="171" spans="1:49">
      <c r="B171" s="11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4"/>
      <c r="AD171" s="5"/>
      <c r="AE171" s="5"/>
      <c r="AF171" s="5"/>
      <c r="AG171" s="5"/>
    </row>
    <row r="172" spans="1:49" ht="15" customHeight="1">
      <c r="B172" s="283" t="str">
        <f>"No of Students &gt;= " &amp;A17 &amp;"% marks"</f>
        <v>No of Students &gt;= 60% marks</v>
      </c>
      <c r="C172" s="284"/>
      <c r="D172" s="16">
        <f>IF(D17&gt;0, COUNTIF(D19:D170,"&gt;="&amp;D17), 0)</f>
        <v>38</v>
      </c>
      <c r="E172" s="16">
        <f t="shared" ref="E172:AB172" si="16">IF(E17&gt;0, COUNTIF(E19:E170,"&gt;="&amp;E17), 0)</f>
        <v>35</v>
      </c>
      <c r="F172" s="16">
        <f t="shared" si="16"/>
        <v>49</v>
      </c>
      <c r="G172" s="16">
        <f t="shared" si="16"/>
        <v>45</v>
      </c>
      <c r="H172" s="16">
        <f t="shared" si="16"/>
        <v>68</v>
      </c>
      <c r="I172" s="16">
        <f t="shared" si="16"/>
        <v>12</v>
      </c>
      <c r="J172" s="58">
        <f t="shared" si="16"/>
        <v>26</v>
      </c>
      <c r="K172" s="16">
        <f t="shared" si="16"/>
        <v>28</v>
      </c>
      <c r="L172" s="16">
        <f t="shared" si="16"/>
        <v>35</v>
      </c>
      <c r="M172" s="16">
        <f t="shared" si="16"/>
        <v>62</v>
      </c>
      <c r="N172" s="16">
        <f t="shared" si="16"/>
        <v>67</v>
      </c>
      <c r="O172" s="16">
        <f t="shared" si="16"/>
        <v>40</v>
      </c>
      <c r="P172" s="16">
        <f t="shared" si="16"/>
        <v>58</v>
      </c>
      <c r="Q172" s="16">
        <f t="shared" si="16"/>
        <v>39</v>
      </c>
      <c r="R172" s="16">
        <f t="shared" si="16"/>
        <v>20</v>
      </c>
      <c r="S172" s="16">
        <f t="shared" si="16"/>
        <v>15</v>
      </c>
      <c r="T172" s="16">
        <f t="shared" si="16"/>
        <v>53</v>
      </c>
      <c r="U172" s="16">
        <f t="shared" si="16"/>
        <v>44</v>
      </c>
      <c r="V172" s="16">
        <f t="shared" si="16"/>
        <v>24</v>
      </c>
      <c r="W172" s="16">
        <f t="shared" si="16"/>
        <v>15</v>
      </c>
      <c r="X172" s="16">
        <f t="shared" si="16"/>
        <v>39</v>
      </c>
      <c r="Y172" s="16">
        <f t="shared" si="16"/>
        <v>21</v>
      </c>
      <c r="Z172" s="16">
        <f t="shared" si="16"/>
        <v>27</v>
      </c>
      <c r="AA172" s="16">
        <f t="shared" si="16"/>
        <v>22</v>
      </c>
      <c r="AB172" s="16">
        <f t="shared" si="16"/>
        <v>13</v>
      </c>
      <c r="AC172" s="223"/>
      <c r="AD172" s="7"/>
      <c r="AE172" s="7"/>
      <c r="AF172" s="7"/>
      <c r="AG172" s="223"/>
    </row>
    <row r="173" spans="1:49" ht="15" customHeight="1">
      <c r="B173" s="283" t="str">
        <f>"% of students &gt;= "&amp;A17 &amp;"%"</f>
        <v>% of students &gt;= 60%</v>
      </c>
      <c r="C173" s="284"/>
      <c r="D173" s="248">
        <f t="shared" ref="D173:H173" si="17">D172/$K$211*100</f>
        <v>52.054794520547944</v>
      </c>
      <c r="E173" s="248">
        <f t="shared" si="17"/>
        <v>47.945205479452049</v>
      </c>
      <c r="F173" s="248">
        <f t="shared" si="17"/>
        <v>67.123287671232873</v>
      </c>
      <c r="G173" s="248">
        <f t="shared" si="17"/>
        <v>61.643835616438359</v>
      </c>
      <c r="H173" s="248">
        <f t="shared" si="17"/>
        <v>93.150684931506845</v>
      </c>
      <c r="I173" s="248">
        <f>I172/$K$211*100</f>
        <v>16.43835616438356</v>
      </c>
      <c r="J173" s="248">
        <f t="shared" ref="J173:M173" si="18">J172/$K$211*100</f>
        <v>35.61643835616438</v>
      </c>
      <c r="K173" s="248">
        <f t="shared" si="18"/>
        <v>38.356164383561641</v>
      </c>
      <c r="L173" s="248">
        <f t="shared" si="18"/>
        <v>47.945205479452049</v>
      </c>
      <c r="M173" s="248">
        <f t="shared" si="18"/>
        <v>84.93150684931507</v>
      </c>
      <c r="N173" s="16">
        <f>IFERROR(N172/COUNT(N19:N171)*100,0)</f>
        <v>95.714285714285722</v>
      </c>
      <c r="O173" s="16">
        <f t="shared" ref="O173:AB173" si="19">IFERROR(O172/COUNT(O19:O171)*100,0)</f>
        <v>57.142857142857139</v>
      </c>
      <c r="P173" s="16">
        <f t="shared" si="19"/>
        <v>87.878787878787875</v>
      </c>
      <c r="Q173" s="16">
        <f t="shared" si="19"/>
        <v>59.090909090909093</v>
      </c>
      <c r="R173" s="16">
        <f t="shared" si="19"/>
        <v>74.074074074074076</v>
      </c>
      <c r="S173" s="16">
        <f t="shared" si="19"/>
        <v>55.555555555555557</v>
      </c>
      <c r="T173" s="16">
        <f t="shared" si="19"/>
        <v>77.941176470588232</v>
      </c>
      <c r="U173" s="16">
        <f t="shared" si="19"/>
        <v>64.705882352941174</v>
      </c>
      <c r="V173" s="16">
        <f t="shared" si="19"/>
        <v>92.307692307692307</v>
      </c>
      <c r="W173" s="16">
        <f t="shared" si="19"/>
        <v>57.692307692307686</v>
      </c>
      <c r="X173" s="16">
        <f t="shared" si="19"/>
        <v>68.421052631578945</v>
      </c>
      <c r="Y173" s="16">
        <f t="shared" si="19"/>
        <v>36.84210526315789</v>
      </c>
      <c r="Z173" s="16">
        <f t="shared" si="19"/>
        <v>61.363636363636367</v>
      </c>
      <c r="AA173" s="16">
        <f t="shared" si="19"/>
        <v>62.857142857142854</v>
      </c>
      <c r="AB173" s="16">
        <f t="shared" si="19"/>
        <v>56.521739130434781</v>
      </c>
      <c r="AC173" s="223"/>
      <c r="AD173" s="7"/>
      <c r="AE173" s="7"/>
      <c r="AF173" s="7"/>
      <c r="AG173" s="223"/>
    </row>
    <row r="174" spans="1:49" ht="15" customHeight="1"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223"/>
    </row>
    <row r="175" spans="1:49">
      <c r="B175" s="7"/>
      <c r="C175" s="5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23"/>
      <c r="S175" s="223"/>
      <c r="T175" s="223"/>
      <c r="U175" s="223"/>
      <c r="V175" s="223"/>
      <c r="W175" s="223"/>
      <c r="X175" s="223"/>
      <c r="Y175" s="223"/>
      <c r="Z175" s="223"/>
      <c r="AA175" s="223"/>
      <c r="AB175" s="223"/>
      <c r="AC175" s="223"/>
      <c r="AD175" s="7"/>
      <c r="AE175" s="7"/>
      <c r="AF175" s="7"/>
      <c r="AG175" s="223"/>
    </row>
    <row r="176" spans="1:49">
      <c r="B176" s="7"/>
      <c r="C176" s="6" t="s">
        <v>20</v>
      </c>
      <c r="D176" s="62">
        <f>IFERROR(IF(D15=$C$176,D173,""),0)</f>
        <v>52.054794520547944</v>
      </c>
      <c r="E176" s="62">
        <f t="shared" ref="E176:M176" si="20">IFERROR(IF(E15=$C$176,E173,""),0)</f>
        <v>47.945205479452049</v>
      </c>
      <c r="F176" s="62" t="str">
        <f t="shared" si="20"/>
        <v/>
      </c>
      <c r="G176" s="62" t="str">
        <f t="shared" si="20"/>
        <v/>
      </c>
      <c r="H176" s="62" t="str">
        <f t="shared" si="20"/>
        <v/>
      </c>
      <c r="I176" s="62" t="str">
        <f t="shared" si="20"/>
        <v/>
      </c>
      <c r="J176" s="62" t="str">
        <f t="shared" si="20"/>
        <v/>
      </c>
      <c r="K176" s="62" t="str">
        <f t="shared" si="20"/>
        <v/>
      </c>
      <c r="L176" s="62" t="str">
        <f t="shared" si="20"/>
        <v/>
      </c>
      <c r="M176" s="62" t="str">
        <f t="shared" si="20"/>
        <v/>
      </c>
      <c r="N176" s="62">
        <f t="shared" ref="N176" si="21">IF(N15=$C$176,N173,"")</f>
        <v>95.714285714285722</v>
      </c>
      <c r="O176" s="62">
        <f>IF(O15=$C$176,O173,"")</f>
        <v>57.142857142857139</v>
      </c>
      <c r="P176" s="62" t="str">
        <f t="shared" ref="P176:AB176" si="22">IF(P15=$C$176,P173,"")</f>
        <v/>
      </c>
      <c r="Q176" s="62" t="str">
        <f t="shared" si="22"/>
        <v/>
      </c>
      <c r="R176" s="62" t="str">
        <f t="shared" si="22"/>
        <v/>
      </c>
      <c r="S176" s="62" t="str">
        <f t="shared" si="22"/>
        <v/>
      </c>
      <c r="T176" s="62" t="str">
        <f t="shared" si="22"/>
        <v/>
      </c>
      <c r="U176" s="62" t="str">
        <f t="shared" si="22"/>
        <v/>
      </c>
      <c r="V176" s="62" t="str">
        <f t="shared" si="22"/>
        <v/>
      </c>
      <c r="W176" s="62" t="str">
        <f t="shared" si="22"/>
        <v/>
      </c>
      <c r="X176" s="62">
        <f t="shared" si="22"/>
        <v>68.421052631578945</v>
      </c>
      <c r="Y176" s="62" t="str">
        <f t="shared" si="22"/>
        <v/>
      </c>
      <c r="Z176" s="62" t="str">
        <f t="shared" si="22"/>
        <v/>
      </c>
      <c r="AA176" s="62" t="str">
        <f t="shared" si="22"/>
        <v/>
      </c>
      <c r="AB176" s="62" t="str">
        <f t="shared" si="22"/>
        <v/>
      </c>
      <c r="AC176" s="223"/>
      <c r="AD176" s="7"/>
      <c r="AE176" s="7"/>
      <c r="AF176" s="7"/>
      <c r="AG176" s="223"/>
    </row>
    <row r="177" spans="2:16384">
      <c r="B177" s="7"/>
      <c r="C177" s="66" t="s">
        <v>28</v>
      </c>
      <c r="D177" s="67" t="str">
        <f>IFERROR(IF(D15=$C$177,D173,""),0)</f>
        <v/>
      </c>
      <c r="E177" s="67" t="str">
        <f t="shared" ref="E177:M177" si="23">IFERROR(IF(E15=$C$177,E173,""),0)</f>
        <v/>
      </c>
      <c r="F177" s="67">
        <f t="shared" si="23"/>
        <v>67.123287671232873</v>
      </c>
      <c r="G177" s="67">
        <f t="shared" si="23"/>
        <v>61.643835616438359</v>
      </c>
      <c r="H177" s="67" t="str">
        <f t="shared" si="23"/>
        <v/>
      </c>
      <c r="I177" s="67" t="str">
        <f t="shared" si="23"/>
        <v/>
      </c>
      <c r="J177" s="67" t="str">
        <f t="shared" si="23"/>
        <v/>
      </c>
      <c r="K177" s="67" t="str">
        <f t="shared" si="23"/>
        <v/>
      </c>
      <c r="L177" s="67" t="str">
        <f t="shared" si="23"/>
        <v/>
      </c>
      <c r="M177" s="67" t="str">
        <f t="shared" si="23"/>
        <v/>
      </c>
      <c r="N177" s="67" t="str">
        <f t="shared" ref="N177:AB177" si="24">IF(N15=$C$177,N173,"")</f>
        <v/>
      </c>
      <c r="O177" s="67" t="str">
        <f t="shared" si="24"/>
        <v/>
      </c>
      <c r="P177" s="67">
        <f>IF(P15=$C$177,P173,"")</f>
        <v>87.878787878787875</v>
      </c>
      <c r="Q177" s="67">
        <f t="shared" si="24"/>
        <v>59.090909090909093</v>
      </c>
      <c r="R177" s="67" t="str">
        <f t="shared" si="24"/>
        <v/>
      </c>
      <c r="S177" s="67" t="str">
        <f t="shared" si="24"/>
        <v/>
      </c>
      <c r="T177" s="67" t="str">
        <f t="shared" si="24"/>
        <v/>
      </c>
      <c r="U177" s="67" t="str">
        <f t="shared" si="24"/>
        <v/>
      </c>
      <c r="V177" s="67" t="str">
        <f t="shared" si="24"/>
        <v/>
      </c>
      <c r="W177" s="67" t="str">
        <f t="shared" si="24"/>
        <v/>
      </c>
      <c r="X177" s="67" t="str">
        <f t="shared" si="24"/>
        <v/>
      </c>
      <c r="Y177" s="67">
        <f t="shared" si="24"/>
        <v>36.84210526315789</v>
      </c>
      <c r="Z177" s="67" t="str">
        <f t="shared" si="24"/>
        <v/>
      </c>
      <c r="AA177" s="67" t="str">
        <f t="shared" si="24"/>
        <v/>
      </c>
      <c r="AB177" s="67" t="str">
        <f t="shared" si="24"/>
        <v/>
      </c>
      <c r="AC177" s="223"/>
      <c r="AD177" s="7"/>
      <c r="AE177" s="7"/>
      <c r="AF177" s="7"/>
      <c r="AG177" s="223"/>
    </row>
    <row r="178" spans="2:16384">
      <c r="B178" s="7"/>
      <c r="C178" s="17" t="s">
        <v>34</v>
      </c>
      <c r="D178" s="54" t="str">
        <f>IFERROR(IF(D15=$C$178,D173,""),0)</f>
        <v/>
      </c>
      <c r="E178" s="54" t="str">
        <f t="shared" ref="E178:M178" si="25">IFERROR(IF(E15=$C$178,E173,""),0)</f>
        <v/>
      </c>
      <c r="F178" s="54" t="str">
        <f t="shared" si="25"/>
        <v/>
      </c>
      <c r="G178" s="54" t="str">
        <f t="shared" si="25"/>
        <v/>
      </c>
      <c r="H178" s="54">
        <f t="shared" si="25"/>
        <v>93.150684931506845</v>
      </c>
      <c r="I178" s="54">
        <f t="shared" si="25"/>
        <v>16.43835616438356</v>
      </c>
      <c r="J178" s="54" t="str">
        <f t="shared" si="25"/>
        <v/>
      </c>
      <c r="K178" s="54" t="str">
        <f t="shared" si="25"/>
        <v/>
      </c>
      <c r="L178" s="54" t="str">
        <f t="shared" si="25"/>
        <v/>
      </c>
      <c r="M178" s="54" t="str">
        <f t="shared" si="25"/>
        <v/>
      </c>
      <c r="N178" s="54" t="str">
        <f t="shared" ref="N178:AB178" si="26">IF(N15=$C$178,N173,"")</f>
        <v/>
      </c>
      <c r="O178" s="54" t="str">
        <f t="shared" si="26"/>
        <v/>
      </c>
      <c r="P178" s="54" t="str">
        <f t="shared" si="26"/>
        <v/>
      </c>
      <c r="Q178" s="54" t="str">
        <f t="shared" si="26"/>
        <v/>
      </c>
      <c r="R178" s="54">
        <f t="shared" si="26"/>
        <v>74.074074074074076</v>
      </c>
      <c r="S178" s="54">
        <f t="shared" si="26"/>
        <v>55.555555555555557</v>
      </c>
      <c r="T178" s="54" t="str">
        <f t="shared" si="26"/>
        <v/>
      </c>
      <c r="U178" s="54" t="str">
        <f t="shared" si="26"/>
        <v/>
      </c>
      <c r="V178" s="54" t="str">
        <f t="shared" si="26"/>
        <v/>
      </c>
      <c r="W178" s="54" t="str">
        <f t="shared" si="26"/>
        <v/>
      </c>
      <c r="X178" s="54" t="str">
        <f t="shared" si="26"/>
        <v/>
      </c>
      <c r="Y178" s="54" t="str">
        <f t="shared" si="26"/>
        <v/>
      </c>
      <c r="Z178" s="54">
        <f t="shared" si="26"/>
        <v>61.363636363636367</v>
      </c>
      <c r="AA178" s="54" t="str">
        <f t="shared" si="26"/>
        <v/>
      </c>
      <c r="AB178" s="54" t="str">
        <f t="shared" si="26"/>
        <v/>
      </c>
      <c r="AC178" s="223"/>
      <c r="AD178" s="7"/>
      <c r="AE178" s="7"/>
      <c r="AF178" s="7"/>
      <c r="AG178" s="223"/>
    </row>
    <row r="179" spans="2:16384">
      <c r="B179" s="7"/>
      <c r="C179" s="17" t="s">
        <v>41</v>
      </c>
      <c r="D179" s="54" t="str">
        <f>IFERROR(IF(D15=$C$179,D173,""),0)</f>
        <v/>
      </c>
      <c r="E179" s="54" t="str">
        <f t="shared" ref="E179:M179" si="27">IFERROR(IF(E15=$C$179,E173,""),0)</f>
        <v/>
      </c>
      <c r="F179" s="54" t="str">
        <f t="shared" si="27"/>
        <v/>
      </c>
      <c r="G179" s="54" t="str">
        <f t="shared" si="27"/>
        <v/>
      </c>
      <c r="H179" s="54" t="str">
        <f t="shared" si="27"/>
        <v/>
      </c>
      <c r="I179" s="54" t="str">
        <f t="shared" si="27"/>
        <v/>
      </c>
      <c r="J179" s="54">
        <f t="shared" si="27"/>
        <v>35.61643835616438</v>
      </c>
      <c r="K179" s="54">
        <f t="shared" si="27"/>
        <v>38.356164383561641</v>
      </c>
      <c r="L179" s="54" t="str">
        <f t="shared" si="27"/>
        <v/>
      </c>
      <c r="M179" s="54" t="str">
        <f t="shared" si="27"/>
        <v/>
      </c>
      <c r="N179" s="54" t="str">
        <f t="shared" ref="N179:AB179" si="28">IF(N15=$C$179,N173,"")</f>
        <v/>
      </c>
      <c r="O179" s="54" t="str">
        <f t="shared" si="28"/>
        <v/>
      </c>
      <c r="P179" s="54" t="str">
        <f t="shared" si="28"/>
        <v/>
      </c>
      <c r="Q179" s="54" t="str">
        <f t="shared" si="28"/>
        <v/>
      </c>
      <c r="R179" s="54" t="str">
        <f t="shared" si="28"/>
        <v/>
      </c>
      <c r="S179" s="54" t="str">
        <f t="shared" si="28"/>
        <v/>
      </c>
      <c r="T179" s="54">
        <f t="shared" si="28"/>
        <v>77.941176470588232</v>
      </c>
      <c r="U179" s="54">
        <f t="shared" si="28"/>
        <v>64.705882352941174</v>
      </c>
      <c r="V179" s="54" t="str">
        <f t="shared" si="28"/>
        <v/>
      </c>
      <c r="W179" s="54" t="str">
        <f t="shared" si="28"/>
        <v/>
      </c>
      <c r="X179" s="54" t="str">
        <f t="shared" si="28"/>
        <v/>
      </c>
      <c r="Y179" s="54" t="str">
        <f t="shared" si="28"/>
        <v/>
      </c>
      <c r="Z179" s="54" t="str">
        <f t="shared" si="28"/>
        <v/>
      </c>
      <c r="AA179" s="54">
        <f t="shared" si="28"/>
        <v>62.857142857142854</v>
      </c>
      <c r="AB179" s="54" t="str">
        <f t="shared" si="28"/>
        <v/>
      </c>
      <c r="AC179" s="223"/>
      <c r="AD179" s="7"/>
      <c r="AE179" s="7"/>
      <c r="AF179" s="7"/>
      <c r="AG179" s="223"/>
    </row>
    <row r="180" spans="2:16384">
      <c r="B180" s="7"/>
      <c r="C180" s="17" t="s">
        <v>50</v>
      </c>
      <c r="D180" s="54" t="str">
        <f>IFERROR(IF(D15=$C$180,D173,""),0)</f>
        <v/>
      </c>
      <c r="E180" s="54" t="str">
        <f t="shared" ref="E180:M180" si="29">IFERROR(IF(E15=$C$180,E173,""),0)</f>
        <v/>
      </c>
      <c r="F180" s="54" t="str">
        <f t="shared" si="29"/>
        <v/>
      </c>
      <c r="G180" s="54" t="str">
        <f t="shared" si="29"/>
        <v/>
      </c>
      <c r="H180" s="54" t="str">
        <f t="shared" si="29"/>
        <v/>
      </c>
      <c r="I180" s="54" t="str">
        <f t="shared" si="29"/>
        <v/>
      </c>
      <c r="J180" s="54" t="str">
        <f t="shared" si="29"/>
        <v/>
      </c>
      <c r="K180" s="54" t="str">
        <f t="shared" si="29"/>
        <v/>
      </c>
      <c r="L180" s="54">
        <f t="shared" si="29"/>
        <v>47.945205479452049</v>
      </c>
      <c r="M180" s="54">
        <f t="shared" si="29"/>
        <v>84.93150684931507</v>
      </c>
      <c r="N180" s="54" t="str">
        <f t="shared" ref="N180:AB180" si="30">IF(N15=$C$180,N173,"")</f>
        <v/>
      </c>
      <c r="O180" s="54" t="str">
        <f t="shared" si="30"/>
        <v/>
      </c>
      <c r="P180" s="54" t="str">
        <f t="shared" si="30"/>
        <v/>
      </c>
      <c r="Q180" s="54" t="str">
        <f t="shared" si="30"/>
        <v/>
      </c>
      <c r="R180" s="54" t="str">
        <f t="shared" si="30"/>
        <v/>
      </c>
      <c r="S180" s="54" t="str">
        <f t="shared" si="30"/>
        <v/>
      </c>
      <c r="T180" s="54" t="str">
        <f t="shared" si="30"/>
        <v/>
      </c>
      <c r="U180" s="54" t="str">
        <f t="shared" si="30"/>
        <v/>
      </c>
      <c r="V180" s="54">
        <f t="shared" si="30"/>
        <v>92.307692307692307</v>
      </c>
      <c r="W180" s="54">
        <f t="shared" si="30"/>
        <v>57.692307692307686</v>
      </c>
      <c r="X180" s="54" t="str">
        <f t="shared" si="30"/>
        <v/>
      </c>
      <c r="Y180" s="54" t="str">
        <f t="shared" si="30"/>
        <v/>
      </c>
      <c r="Z180" s="54" t="str">
        <f t="shared" si="30"/>
        <v/>
      </c>
      <c r="AA180" s="54" t="str">
        <f t="shared" si="30"/>
        <v/>
      </c>
      <c r="AB180" s="54">
        <f t="shared" si="30"/>
        <v>56.521739130434781</v>
      </c>
      <c r="AC180" s="223"/>
      <c r="AD180" s="7"/>
      <c r="AE180" s="7"/>
      <c r="AF180" s="7"/>
      <c r="AG180" s="223"/>
    </row>
    <row r="181" spans="2:16384">
      <c r="B181" s="5"/>
      <c r="C181" s="17" t="s">
        <v>57</v>
      </c>
      <c r="D181" s="54" t="str">
        <f>IFERROR(IF(D15=$C$181,D173,""),0)</f>
        <v/>
      </c>
      <c r="E181" s="54" t="str">
        <f t="shared" ref="E181:M181" si="31">IFERROR(IF(E15=$C$181,E173,""),0)</f>
        <v/>
      </c>
      <c r="F181" s="54" t="str">
        <f t="shared" si="31"/>
        <v/>
      </c>
      <c r="G181" s="54" t="str">
        <f t="shared" si="31"/>
        <v/>
      </c>
      <c r="H181" s="54" t="str">
        <f t="shared" si="31"/>
        <v/>
      </c>
      <c r="I181" s="54" t="str">
        <f t="shared" si="31"/>
        <v/>
      </c>
      <c r="J181" s="54" t="str">
        <f t="shared" si="31"/>
        <v/>
      </c>
      <c r="K181" s="54" t="str">
        <f t="shared" si="31"/>
        <v/>
      </c>
      <c r="L181" s="54" t="str">
        <f t="shared" si="31"/>
        <v/>
      </c>
      <c r="M181" s="54" t="str">
        <f t="shared" si="31"/>
        <v/>
      </c>
      <c r="N181" s="54" t="str">
        <f t="shared" ref="N181:AB181" si="32">IF(N15=$C$181,N173,"")</f>
        <v/>
      </c>
      <c r="O181" s="54" t="str">
        <f t="shared" si="32"/>
        <v/>
      </c>
      <c r="P181" s="54" t="str">
        <f t="shared" si="32"/>
        <v/>
      </c>
      <c r="Q181" s="54" t="str">
        <f t="shared" si="32"/>
        <v/>
      </c>
      <c r="R181" s="54" t="str">
        <f t="shared" si="32"/>
        <v/>
      </c>
      <c r="S181" s="54" t="str">
        <f t="shared" si="32"/>
        <v/>
      </c>
      <c r="T181" s="54" t="str">
        <f t="shared" si="32"/>
        <v/>
      </c>
      <c r="U181" s="54" t="str">
        <f t="shared" si="32"/>
        <v/>
      </c>
      <c r="V181" s="54" t="str">
        <f t="shared" si="32"/>
        <v/>
      </c>
      <c r="W181" s="54" t="str">
        <f t="shared" si="32"/>
        <v/>
      </c>
      <c r="X181" s="54" t="str">
        <f t="shared" si="32"/>
        <v/>
      </c>
      <c r="Y181" s="54" t="str">
        <f t="shared" si="32"/>
        <v/>
      </c>
      <c r="Z181" s="54" t="str">
        <f t="shared" si="32"/>
        <v/>
      </c>
      <c r="AA181" s="54" t="str">
        <f t="shared" si="32"/>
        <v/>
      </c>
      <c r="AB181" s="54" t="str">
        <f t="shared" si="32"/>
        <v/>
      </c>
      <c r="AC181" s="5"/>
      <c r="AD181" s="5"/>
      <c r="AE181" s="5"/>
      <c r="AF181" s="5"/>
      <c r="AG181" s="5"/>
    </row>
    <row r="182" spans="2:16384" ht="15" customHeight="1">
      <c r="B182" s="83"/>
      <c r="C182" s="83"/>
      <c r="D182" s="83"/>
      <c r="E182" s="328" t="s">
        <v>246</v>
      </c>
      <c r="F182" s="329"/>
      <c r="G182" s="328" t="str">
        <f>"% of Students scoring &gt;= " &amp;E5 &amp;"% marks"</f>
        <v>% of Students scoring &gt;= 60% marks</v>
      </c>
      <c r="H182" s="329"/>
      <c r="I182" s="327" t="s">
        <v>254</v>
      </c>
      <c r="J182" s="327"/>
      <c r="L182" s="332" t="s">
        <v>297</v>
      </c>
      <c r="M182" s="333" t="str">
        <f>IF($C$3=H219,   IF($H$3=I219,(""&amp;J219&amp;"% of External + " &amp;K219&amp; "% of Internal + " &amp;L219&amp; "% of Assignment + "&amp;M219&amp; "% of Quiz"),   IF($H$3=I220,(""&amp;J220&amp;"% of External + " &amp;K220&amp; "% of Internal + " &amp;L220&amp; "% of Assignment + "&amp;M220&amp; "% of Quiz"),   IF($H$3=I221,(""&amp;J221&amp;"% of External + " &amp;K221&amp; "% of Internal + " &amp;L221&amp; "% of Assignment + "&amp;M221&amp; "% of Quiz"),   IF($H$3=I222,(""&amp;J222&amp;"% of External + " &amp;K222&amp; "% of Internal + " &amp;L222&amp; "% of Assignment + "&amp;M222&amp; "% of Quiz"),0)))), IF($C$3=H226,   IF($H$3=I226,(""&amp;J226&amp;"% of External + " &amp;K226&amp; "% of Internal + " &amp;L226&amp; "% of Assignment + "&amp;M226&amp; "% of Quiz"),   IF($H$3=I227,(""&amp;J227&amp;"% of External + " &amp;K227&amp; "% of Internal + " &amp;L227&amp; "% of Assignment + "&amp;M227&amp; "% of Quiz"),   IF($H$3=I228,(""&amp;J228&amp;"% of External + " &amp;K228&amp; "% of Internal + " &amp;L228&amp; "% of Assignment + "&amp;M228&amp; "% of Quiz"),   IF($H$3=I229,(""&amp;J229&amp;"% of External + " &amp;K229&amp; "% of Internal + " &amp;L229&amp; "% of Assignment + "&amp;M229&amp; "% of Quiz"),0)))), IF($C$3=H233,   IF($H$3=I233,(""&amp;J233&amp;"% of External + " &amp;K233&amp; "% of Internal + " &amp;L233&amp; "% of Assignment + "&amp;M233&amp; "% of Quiz"),   IF($H$3=I234,(""&amp;J234&amp;"% of External + " &amp;K234&amp; "% of Internal + " &amp;L234&amp; "% of Assignment + "&amp;M234&amp; "% of Quiz"),   IF($H$3=I235,(""&amp;J235&amp;"% of External + " &amp;K235&amp; "% of Internal + " &amp;L235&amp; "% of Assignment + "&amp;M235&amp; "% of Quiz"),   IF($H$3=I236,(""&amp;J236&amp;"% of External + " &amp;K236&amp; "% of Internal + " &amp;L236&amp; "% of Assignment + "&amp;M236&amp; "% of Quiz"),0)))), IF($C$3=H240,   IF($H$3=I240,(""&amp;J240&amp;"% of External + " &amp;K240&amp; "% of Internal + " &amp;L240&amp; "% of Assignment + "&amp;M240&amp; "% of Quiz"),   IF($H$3=I241,(""&amp;J241&amp;"% of External + " &amp;K241&amp; "% of Internal + " &amp;L241&amp; "% of Assignment + "&amp;M241&amp; "% of Quiz"),   IF($H$3=I242,(""&amp;J242&amp;"% of External + " &amp;K242&amp; "% of Internal + " &amp;L242&amp; "% of Assignment + "&amp;M242&amp; "% of Quiz"),   IF($H$3=I243,(""&amp;J243&amp;"% of External + " &amp;K243&amp; "% of Internal + " &amp;L243&amp; "% of Assignment + "&amp;M243&amp; "% of Quiz"),0))))))))</f>
        <v>70% of External + 20% of Internal + 5% of Assignment + 5% of Quiz</v>
      </c>
      <c r="N182" s="334"/>
      <c r="O182" s="334"/>
      <c r="P182" s="334"/>
      <c r="Q182" s="82"/>
      <c r="W182" s="82"/>
      <c r="X182" s="82"/>
      <c r="Y182" s="82"/>
      <c r="Z182" s="82"/>
      <c r="AA182" s="82"/>
      <c r="AB182" s="82"/>
      <c r="AC182" s="82"/>
      <c r="AD182" s="82"/>
      <c r="AE182" s="82"/>
      <c r="AF182" s="82"/>
      <c r="AG182" s="82"/>
      <c r="AH182" s="82"/>
      <c r="AI182" s="82"/>
      <c r="AJ182" s="82"/>
      <c r="AK182" s="82"/>
      <c r="AL182" s="82"/>
      <c r="AM182" s="82"/>
      <c r="AN182" s="82"/>
      <c r="AO182" s="82"/>
      <c r="AP182" s="82"/>
      <c r="AQ182" s="82"/>
      <c r="AR182" s="82"/>
      <c r="AS182" s="82"/>
      <c r="AT182" s="82"/>
      <c r="AU182" s="82"/>
      <c r="AV182" s="82"/>
      <c r="AW182" s="82"/>
      <c r="AX182" s="82"/>
      <c r="AY182" s="82"/>
      <c r="AZ182" s="82"/>
      <c r="BA182" s="82"/>
      <c r="BB182" s="82"/>
      <c r="BC182" s="82"/>
      <c r="BD182" s="82"/>
      <c r="BE182" s="82"/>
      <c r="BF182" s="82"/>
      <c r="BG182" s="82"/>
      <c r="BH182" s="82"/>
      <c r="BI182" s="82"/>
      <c r="BJ182" s="82"/>
      <c r="BK182" s="82"/>
      <c r="BL182" s="82"/>
      <c r="BM182" s="82"/>
      <c r="BN182" s="82"/>
      <c r="BO182" s="82"/>
      <c r="BP182" s="82"/>
      <c r="BQ182" s="82"/>
      <c r="BR182" s="82"/>
      <c r="BS182" s="82"/>
      <c r="BT182" s="82"/>
      <c r="BU182" s="82"/>
      <c r="BV182" s="82"/>
      <c r="BW182" s="82"/>
      <c r="BX182" s="82"/>
      <c r="BY182" s="82"/>
      <c r="BZ182" s="82"/>
      <c r="CA182" s="82"/>
      <c r="CB182" s="82"/>
      <c r="CC182" s="82"/>
      <c r="CD182" s="82"/>
      <c r="CE182" s="82"/>
      <c r="CF182" s="82"/>
      <c r="CG182" s="82"/>
      <c r="CH182" s="82"/>
      <c r="CI182" s="82"/>
      <c r="CJ182" s="82"/>
      <c r="CK182" s="82"/>
      <c r="CL182" s="82"/>
      <c r="CM182" s="82"/>
      <c r="CN182" s="82"/>
      <c r="CO182" s="82"/>
      <c r="CP182" s="82"/>
      <c r="CQ182" s="82"/>
      <c r="CR182" s="82"/>
      <c r="CS182" s="82"/>
      <c r="CT182" s="82"/>
      <c r="CU182" s="82"/>
      <c r="CV182" s="82"/>
      <c r="CW182" s="82"/>
      <c r="CX182" s="82"/>
      <c r="CY182" s="82"/>
      <c r="CZ182" s="82"/>
      <c r="DA182" s="82"/>
      <c r="DB182" s="82"/>
      <c r="DC182" s="82"/>
      <c r="DD182" s="82"/>
      <c r="DE182" s="82"/>
      <c r="DF182" s="82"/>
      <c r="DG182" s="82"/>
      <c r="DH182" s="82"/>
      <c r="DI182" s="82"/>
      <c r="DJ182" s="82"/>
      <c r="DK182" s="82"/>
      <c r="DL182" s="82"/>
      <c r="DM182" s="82"/>
      <c r="DN182" s="82"/>
      <c r="DO182" s="82"/>
      <c r="DP182" s="82"/>
      <c r="DQ182" s="82"/>
      <c r="DR182" s="82"/>
      <c r="DS182" s="82"/>
      <c r="DT182" s="82"/>
      <c r="DU182" s="82"/>
      <c r="DV182" s="82"/>
      <c r="DW182" s="82"/>
      <c r="DX182" s="82"/>
      <c r="DY182" s="82"/>
      <c r="DZ182" s="82"/>
      <c r="EA182" s="82"/>
      <c r="EB182" s="82"/>
      <c r="EC182" s="82"/>
      <c r="ED182" s="82"/>
      <c r="EE182" s="82"/>
      <c r="EF182" s="82"/>
      <c r="EG182" s="82"/>
      <c r="EH182" s="82"/>
      <c r="EI182" s="82"/>
      <c r="EJ182" s="82"/>
      <c r="EK182" s="82"/>
      <c r="EL182" s="82"/>
      <c r="EM182" s="82"/>
      <c r="EN182" s="82"/>
      <c r="EO182" s="82"/>
      <c r="EP182" s="82"/>
      <c r="EQ182" s="82"/>
      <c r="ER182" s="82"/>
      <c r="ES182" s="82"/>
      <c r="ET182" s="82"/>
      <c r="EU182" s="82"/>
      <c r="EV182" s="82"/>
      <c r="EW182" s="82"/>
      <c r="EX182" s="82"/>
      <c r="EY182" s="82"/>
      <c r="EZ182" s="82"/>
      <c r="FA182" s="82"/>
      <c r="FB182" s="82"/>
      <c r="FC182" s="82"/>
      <c r="FD182" s="82"/>
      <c r="FE182" s="82"/>
      <c r="FF182" s="82"/>
      <c r="FG182" s="82"/>
      <c r="FH182" s="82"/>
      <c r="FI182" s="82"/>
      <c r="FJ182" s="82"/>
      <c r="FK182" s="82"/>
      <c r="FL182" s="82"/>
      <c r="FM182" s="82"/>
      <c r="FN182" s="82"/>
      <c r="FO182" s="82"/>
      <c r="FP182" s="82"/>
      <c r="FQ182" s="82"/>
      <c r="FR182" s="82"/>
      <c r="FS182" s="82"/>
      <c r="FT182" s="82"/>
      <c r="FU182" s="82"/>
      <c r="FV182" s="82"/>
      <c r="FW182" s="82"/>
      <c r="FX182" s="82"/>
      <c r="FY182" s="82"/>
      <c r="FZ182" s="82"/>
      <c r="GA182" s="82"/>
      <c r="GB182" s="82"/>
      <c r="GC182" s="82"/>
      <c r="GD182" s="82"/>
      <c r="GE182" s="82"/>
      <c r="GF182" s="82"/>
      <c r="GG182" s="82"/>
      <c r="GH182" s="82"/>
      <c r="GI182" s="82"/>
      <c r="GJ182" s="82"/>
      <c r="GK182" s="82"/>
      <c r="GL182" s="82"/>
      <c r="GM182" s="82"/>
      <c r="GN182" s="82"/>
      <c r="GO182" s="82"/>
      <c r="GP182" s="82"/>
      <c r="GQ182" s="82"/>
      <c r="GR182" s="82"/>
      <c r="GS182" s="82"/>
      <c r="GT182" s="82"/>
      <c r="GU182" s="82"/>
      <c r="GV182" s="82"/>
      <c r="GW182" s="82"/>
      <c r="GX182" s="82"/>
      <c r="GY182" s="82"/>
      <c r="GZ182" s="82"/>
      <c r="HA182" s="82"/>
      <c r="HB182" s="82"/>
      <c r="HC182" s="82"/>
      <c r="HD182" s="82"/>
      <c r="HE182" s="82"/>
      <c r="HF182" s="82"/>
      <c r="HG182" s="82"/>
      <c r="HH182" s="82"/>
      <c r="HI182" s="82"/>
      <c r="HJ182" s="82"/>
      <c r="HK182" s="82"/>
      <c r="HL182" s="82"/>
      <c r="HM182" s="82"/>
      <c r="HN182" s="82"/>
      <c r="HO182" s="82"/>
      <c r="HP182" s="82"/>
      <c r="HQ182" s="82"/>
      <c r="HR182" s="82"/>
      <c r="HS182" s="82"/>
      <c r="HT182" s="82"/>
      <c r="HU182" s="82"/>
      <c r="HV182" s="82"/>
      <c r="HW182" s="82"/>
      <c r="HX182" s="82"/>
      <c r="HY182" s="82"/>
      <c r="HZ182" s="82"/>
      <c r="IA182" s="82"/>
      <c r="IB182" s="82"/>
      <c r="IC182" s="82"/>
      <c r="ID182" s="82"/>
      <c r="IE182" s="82"/>
      <c r="IF182" s="82"/>
      <c r="IG182" s="82"/>
      <c r="IH182" s="82"/>
      <c r="II182" s="82"/>
      <c r="IJ182" s="82"/>
      <c r="IK182" s="82"/>
      <c r="IL182" s="82"/>
      <c r="IM182" s="82"/>
      <c r="IN182" s="82"/>
      <c r="IO182" s="82"/>
      <c r="IP182" s="82"/>
      <c r="IQ182" s="82"/>
      <c r="IR182" s="82"/>
      <c r="IS182" s="82"/>
      <c r="IT182" s="82"/>
      <c r="IU182" s="82"/>
      <c r="IV182" s="82"/>
      <c r="IW182" s="82"/>
      <c r="IX182" s="82"/>
      <c r="IY182" s="82"/>
      <c r="IZ182" s="82"/>
      <c r="JA182" s="82"/>
      <c r="JB182" s="82"/>
      <c r="JC182" s="82"/>
      <c r="JD182" s="82"/>
      <c r="JE182" s="82"/>
      <c r="JF182" s="82"/>
      <c r="JG182" s="82"/>
      <c r="JH182" s="82"/>
      <c r="JI182" s="82"/>
      <c r="JJ182" s="82"/>
      <c r="JK182" s="82"/>
      <c r="JL182" s="82"/>
      <c r="JM182" s="82"/>
      <c r="JN182" s="82"/>
      <c r="JO182" s="82"/>
      <c r="JP182" s="82"/>
      <c r="JQ182" s="82"/>
      <c r="JR182" s="82"/>
      <c r="JS182" s="82"/>
      <c r="JT182" s="82"/>
      <c r="JU182" s="82"/>
      <c r="JV182" s="82"/>
      <c r="JW182" s="82"/>
      <c r="JX182" s="82"/>
      <c r="JY182" s="82"/>
      <c r="JZ182" s="82"/>
      <c r="KA182" s="82"/>
      <c r="KB182" s="82"/>
      <c r="KC182" s="82"/>
      <c r="KD182" s="82"/>
      <c r="KE182" s="82"/>
      <c r="KF182" s="82"/>
      <c r="KG182" s="82"/>
      <c r="KH182" s="82"/>
      <c r="KI182" s="82"/>
      <c r="KJ182" s="82"/>
      <c r="KK182" s="82"/>
      <c r="KL182" s="82"/>
      <c r="KM182" s="82"/>
      <c r="KN182" s="82"/>
      <c r="KO182" s="82"/>
      <c r="KP182" s="82"/>
      <c r="KQ182" s="82"/>
      <c r="KR182" s="82"/>
      <c r="KS182" s="82"/>
      <c r="KT182" s="82"/>
      <c r="KU182" s="82"/>
      <c r="KV182" s="82"/>
      <c r="KW182" s="82"/>
      <c r="KX182" s="82"/>
      <c r="KY182" s="82"/>
      <c r="KZ182" s="82"/>
      <c r="LA182" s="82"/>
      <c r="LB182" s="82"/>
      <c r="LC182" s="82"/>
      <c r="LD182" s="82"/>
      <c r="LE182" s="82"/>
      <c r="LF182" s="82"/>
      <c r="LG182" s="82"/>
      <c r="LH182" s="82"/>
      <c r="LI182" s="82"/>
      <c r="LJ182" s="82"/>
      <c r="LK182" s="82"/>
      <c r="LL182" s="82"/>
      <c r="LM182" s="82"/>
      <c r="LN182" s="82"/>
      <c r="LO182" s="82"/>
      <c r="LP182" s="82"/>
      <c r="LQ182" s="82"/>
      <c r="LR182" s="82"/>
      <c r="LS182" s="82"/>
      <c r="LT182" s="82"/>
      <c r="LU182" s="82"/>
      <c r="LV182" s="82"/>
      <c r="LW182" s="82"/>
      <c r="LX182" s="82"/>
      <c r="LY182" s="82"/>
      <c r="LZ182" s="82"/>
      <c r="MA182" s="82"/>
      <c r="MB182" s="82"/>
      <c r="MC182" s="82"/>
      <c r="MD182" s="82"/>
      <c r="ME182" s="82"/>
      <c r="MF182" s="82"/>
      <c r="MG182" s="82"/>
      <c r="MH182" s="82"/>
      <c r="MI182" s="82"/>
      <c r="MJ182" s="82"/>
      <c r="MK182" s="82"/>
      <c r="ML182" s="82"/>
      <c r="MM182" s="82"/>
      <c r="MN182" s="82"/>
      <c r="MO182" s="82"/>
      <c r="MP182" s="82"/>
      <c r="MQ182" s="82"/>
      <c r="MR182" s="82"/>
      <c r="MS182" s="82"/>
      <c r="MT182" s="82"/>
      <c r="MU182" s="82"/>
      <c r="MV182" s="82"/>
      <c r="MW182" s="82"/>
      <c r="MX182" s="82"/>
      <c r="MY182" s="82"/>
      <c r="MZ182" s="82"/>
      <c r="NA182" s="82"/>
      <c r="NB182" s="82"/>
      <c r="NC182" s="82"/>
      <c r="ND182" s="82"/>
      <c r="NE182" s="82"/>
      <c r="NF182" s="82"/>
      <c r="NG182" s="82"/>
      <c r="NH182" s="82"/>
      <c r="NI182" s="82"/>
      <c r="NJ182" s="82"/>
      <c r="NK182" s="82"/>
      <c r="NL182" s="82"/>
      <c r="NM182" s="82"/>
      <c r="NN182" s="82"/>
      <c r="NO182" s="82"/>
      <c r="NP182" s="82"/>
      <c r="NQ182" s="82"/>
      <c r="NR182" s="82"/>
      <c r="NS182" s="82"/>
      <c r="NT182" s="82"/>
      <c r="NU182" s="82"/>
      <c r="NV182" s="82"/>
      <c r="NW182" s="82"/>
      <c r="NX182" s="82"/>
      <c r="NY182" s="82"/>
      <c r="NZ182" s="82"/>
      <c r="OA182" s="82"/>
      <c r="OB182" s="82"/>
      <c r="OC182" s="82"/>
      <c r="OD182" s="82"/>
      <c r="OE182" s="82"/>
      <c r="OF182" s="82"/>
      <c r="OG182" s="82"/>
      <c r="OH182" s="82"/>
      <c r="OI182" s="82"/>
      <c r="OJ182" s="82"/>
      <c r="OK182" s="82"/>
      <c r="OL182" s="82"/>
      <c r="OM182" s="82"/>
      <c r="ON182" s="82"/>
      <c r="OO182" s="82"/>
      <c r="OP182" s="82"/>
      <c r="OQ182" s="82"/>
      <c r="OR182" s="82"/>
      <c r="OS182" s="82"/>
      <c r="OT182" s="82"/>
      <c r="OU182" s="82"/>
      <c r="OV182" s="82"/>
      <c r="OW182" s="82"/>
      <c r="OX182" s="82"/>
      <c r="OY182" s="82"/>
      <c r="OZ182" s="82"/>
      <c r="PA182" s="82"/>
      <c r="PB182" s="82"/>
      <c r="PC182" s="82"/>
      <c r="PD182" s="82"/>
      <c r="PE182" s="82"/>
      <c r="PF182" s="82"/>
      <c r="PG182" s="82"/>
      <c r="PH182" s="82"/>
      <c r="PI182" s="82"/>
      <c r="PJ182" s="82"/>
      <c r="PK182" s="82"/>
      <c r="PL182" s="82"/>
      <c r="PM182" s="82"/>
      <c r="PN182" s="82"/>
      <c r="PO182" s="82"/>
      <c r="PP182" s="82"/>
      <c r="PQ182" s="82"/>
      <c r="PR182" s="82"/>
      <c r="PS182" s="82"/>
      <c r="PT182" s="82"/>
      <c r="PU182" s="82"/>
      <c r="PV182" s="82"/>
      <c r="PW182" s="82"/>
      <c r="PX182" s="82"/>
      <c r="PY182" s="82"/>
      <c r="PZ182" s="82"/>
      <c r="QA182" s="82"/>
      <c r="QB182" s="82"/>
      <c r="QC182" s="82"/>
      <c r="QD182" s="82"/>
      <c r="QE182" s="82"/>
      <c r="QF182" s="82"/>
      <c r="QG182" s="82"/>
      <c r="QH182" s="82"/>
      <c r="QI182" s="82"/>
      <c r="QJ182" s="82"/>
      <c r="QK182" s="82"/>
      <c r="QL182" s="82"/>
      <c r="QM182" s="82"/>
      <c r="QN182" s="82"/>
      <c r="QO182" s="82"/>
      <c r="QP182" s="82"/>
      <c r="QQ182" s="82"/>
      <c r="QR182" s="82"/>
      <c r="QS182" s="82"/>
      <c r="QT182" s="82"/>
      <c r="QU182" s="82"/>
      <c r="QV182" s="82"/>
      <c r="QW182" s="82"/>
      <c r="QX182" s="82"/>
      <c r="QY182" s="82"/>
      <c r="QZ182" s="82"/>
      <c r="RA182" s="82"/>
      <c r="RB182" s="82"/>
      <c r="RC182" s="82"/>
      <c r="RD182" s="82"/>
      <c r="RE182" s="82"/>
      <c r="RF182" s="82"/>
      <c r="RG182" s="82"/>
      <c r="RH182" s="82"/>
      <c r="RI182" s="82"/>
      <c r="RJ182" s="82"/>
      <c r="RK182" s="82"/>
      <c r="RL182" s="82"/>
      <c r="RM182" s="82"/>
      <c r="RN182" s="82"/>
      <c r="RO182" s="82"/>
      <c r="RP182" s="82"/>
      <c r="RQ182" s="82"/>
      <c r="RR182" s="82"/>
      <c r="RS182" s="82"/>
      <c r="RT182" s="82"/>
      <c r="RU182" s="82"/>
      <c r="RV182" s="82"/>
      <c r="RW182" s="82"/>
      <c r="RX182" s="82"/>
      <c r="RY182" s="82"/>
      <c r="RZ182" s="82"/>
      <c r="SA182" s="82"/>
      <c r="SB182" s="82"/>
      <c r="SC182" s="82"/>
      <c r="SD182" s="82"/>
      <c r="SE182" s="82"/>
      <c r="SF182" s="82"/>
      <c r="SG182" s="82"/>
      <c r="SH182" s="82"/>
      <c r="SI182" s="82"/>
      <c r="SJ182" s="82"/>
      <c r="SK182" s="82"/>
      <c r="SL182" s="82"/>
      <c r="SM182" s="82"/>
      <c r="SN182" s="82"/>
      <c r="SO182" s="82"/>
      <c r="SP182" s="82"/>
      <c r="SQ182" s="82"/>
      <c r="SR182" s="82"/>
      <c r="SS182" s="82"/>
      <c r="ST182" s="82"/>
      <c r="SU182" s="82"/>
      <c r="SV182" s="82"/>
      <c r="SW182" s="82"/>
      <c r="SX182" s="82"/>
      <c r="SY182" s="82"/>
      <c r="SZ182" s="82"/>
      <c r="TA182" s="82"/>
      <c r="TB182" s="82"/>
      <c r="TC182" s="82"/>
      <c r="TD182" s="82"/>
      <c r="TE182" s="82"/>
      <c r="TF182" s="82"/>
      <c r="TG182" s="82"/>
      <c r="TH182" s="82"/>
      <c r="TI182" s="82"/>
      <c r="TJ182" s="82"/>
      <c r="TK182" s="82"/>
      <c r="TL182" s="82"/>
      <c r="TM182" s="82"/>
      <c r="TN182" s="82"/>
      <c r="TO182" s="82"/>
      <c r="TP182" s="82"/>
      <c r="TQ182" s="82"/>
      <c r="TR182" s="82"/>
      <c r="TS182" s="82"/>
      <c r="TT182" s="82"/>
      <c r="TU182" s="82"/>
      <c r="TV182" s="82"/>
      <c r="TW182" s="82"/>
      <c r="TX182" s="82"/>
      <c r="TY182" s="82"/>
      <c r="TZ182" s="82"/>
      <c r="UA182" s="82"/>
      <c r="UB182" s="82"/>
      <c r="UC182" s="82"/>
      <c r="UD182" s="82"/>
      <c r="UE182" s="82"/>
      <c r="UF182" s="82"/>
      <c r="UG182" s="82"/>
      <c r="UH182" s="82"/>
      <c r="UI182" s="82"/>
      <c r="UJ182" s="82"/>
      <c r="UK182" s="82"/>
      <c r="UL182" s="82"/>
      <c r="UM182" s="82"/>
      <c r="UN182" s="82"/>
      <c r="UO182" s="82"/>
      <c r="UP182" s="82"/>
      <c r="UQ182" s="82"/>
      <c r="UR182" s="82"/>
      <c r="US182" s="82"/>
      <c r="UT182" s="82"/>
      <c r="UU182" s="82"/>
      <c r="UV182" s="82"/>
      <c r="UW182" s="82"/>
      <c r="UX182" s="82"/>
      <c r="UY182" s="82"/>
      <c r="UZ182" s="82"/>
      <c r="VA182" s="82"/>
      <c r="VB182" s="82"/>
      <c r="VC182" s="82"/>
      <c r="VD182" s="82"/>
      <c r="VE182" s="82"/>
      <c r="VF182" s="82"/>
      <c r="VG182" s="82"/>
      <c r="VH182" s="82"/>
      <c r="VI182" s="82"/>
      <c r="VJ182" s="82"/>
      <c r="VK182" s="82"/>
      <c r="VL182" s="82"/>
      <c r="VM182" s="82"/>
      <c r="VN182" s="82"/>
      <c r="VO182" s="82"/>
      <c r="VP182" s="82"/>
      <c r="VQ182" s="82"/>
      <c r="VR182" s="82"/>
      <c r="VS182" s="82"/>
      <c r="VT182" s="82"/>
      <c r="VU182" s="82"/>
      <c r="VV182" s="82"/>
      <c r="VW182" s="82"/>
      <c r="VX182" s="82"/>
      <c r="VY182" s="82"/>
      <c r="VZ182" s="82"/>
      <c r="WA182" s="82"/>
      <c r="WB182" s="82"/>
      <c r="WC182" s="82"/>
      <c r="WD182" s="82"/>
      <c r="WE182" s="82"/>
      <c r="WF182" s="82"/>
      <c r="WG182" s="82"/>
      <c r="WH182" s="82"/>
      <c r="WI182" s="82"/>
      <c r="WJ182" s="82"/>
      <c r="WK182" s="82"/>
      <c r="WL182" s="82"/>
      <c r="WM182" s="82"/>
      <c r="WN182" s="82"/>
      <c r="WO182" s="82"/>
      <c r="WP182" s="82"/>
      <c r="WQ182" s="82"/>
      <c r="WR182" s="82"/>
      <c r="WS182" s="82"/>
      <c r="WT182" s="82"/>
      <c r="WU182" s="82"/>
      <c r="WV182" s="82"/>
      <c r="WW182" s="82"/>
      <c r="WX182" s="82"/>
      <c r="WY182" s="82"/>
      <c r="WZ182" s="82"/>
      <c r="XA182" s="82"/>
      <c r="XB182" s="82"/>
      <c r="XC182" s="82"/>
      <c r="XD182" s="82"/>
      <c r="XE182" s="82"/>
      <c r="XF182" s="82"/>
      <c r="XG182" s="82"/>
      <c r="XH182" s="82"/>
      <c r="XI182" s="82"/>
      <c r="XJ182" s="82"/>
      <c r="XK182" s="82"/>
      <c r="XL182" s="82"/>
      <c r="XM182" s="82"/>
      <c r="XN182" s="82"/>
      <c r="XO182" s="82"/>
      <c r="XP182" s="82"/>
      <c r="XQ182" s="82"/>
      <c r="XR182" s="82"/>
      <c r="XS182" s="82"/>
      <c r="XT182" s="82"/>
      <c r="XU182" s="82"/>
      <c r="XV182" s="82"/>
      <c r="XW182" s="82"/>
      <c r="XX182" s="82"/>
      <c r="XY182" s="82"/>
      <c r="XZ182" s="82"/>
      <c r="YA182" s="82"/>
      <c r="YB182" s="82"/>
      <c r="YC182" s="82"/>
      <c r="YD182" s="82"/>
      <c r="YE182" s="82"/>
      <c r="YF182" s="82"/>
      <c r="YG182" s="82"/>
      <c r="YH182" s="82"/>
      <c r="YI182" s="82"/>
      <c r="YJ182" s="82"/>
      <c r="YK182" s="82"/>
      <c r="YL182" s="82"/>
      <c r="YM182" s="82"/>
      <c r="YN182" s="82"/>
      <c r="YO182" s="82"/>
      <c r="YP182" s="82"/>
      <c r="YQ182" s="82"/>
      <c r="YR182" s="82"/>
      <c r="YS182" s="82"/>
      <c r="YT182" s="82"/>
      <c r="YU182" s="82"/>
      <c r="YV182" s="82"/>
      <c r="YW182" s="82"/>
      <c r="YX182" s="82"/>
      <c r="YY182" s="82"/>
      <c r="YZ182" s="82"/>
      <c r="ZA182" s="82"/>
      <c r="ZB182" s="82"/>
      <c r="ZC182" s="82"/>
      <c r="ZD182" s="82"/>
      <c r="ZE182" s="82"/>
      <c r="ZF182" s="82"/>
      <c r="ZG182" s="82"/>
      <c r="ZH182" s="82"/>
      <c r="ZI182" s="82"/>
      <c r="ZJ182" s="82"/>
      <c r="ZK182" s="82"/>
      <c r="ZL182" s="82"/>
      <c r="ZM182" s="82"/>
      <c r="ZN182" s="82"/>
      <c r="ZO182" s="82"/>
      <c r="ZP182" s="82"/>
      <c r="ZQ182" s="82"/>
      <c r="ZR182" s="82"/>
      <c r="ZS182" s="82"/>
      <c r="ZT182" s="82"/>
      <c r="ZU182" s="82"/>
      <c r="ZV182" s="82"/>
      <c r="ZW182" s="82"/>
      <c r="ZX182" s="82"/>
      <c r="ZY182" s="82"/>
      <c r="ZZ182" s="82"/>
      <c r="AAA182" s="82"/>
      <c r="AAB182" s="82"/>
      <c r="AAC182" s="82"/>
      <c r="AAD182" s="82"/>
      <c r="AAE182" s="82"/>
      <c r="AAF182" s="82"/>
      <c r="AAG182" s="82"/>
      <c r="AAH182" s="82"/>
      <c r="AAI182" s="82"/>
      <c r="AAJ182" s="82"/>
      <c r="AAK182" s="82"/>
      <c r="AAL182" s="82"/>
      <c r="AAM182" s="82"/>
      <c r="AAN182" s="82"/>
      <c r="AAO182" s="82"/>
      <c r="AAP182" s="82"/>
      <c r="AAQ182" s="82"/>
      <c r="AAR182" s="82"/>
      <c r="AAS182" s="82"/>
      <c r="AAT182" s="82"/>
      <c r="AAU182" s="82"/>
      <c r="AAV182" s="82"/>
      <c r="AAW182" s="82"/>
      <c r="AAX182" s="82"/>
      <c r="AAY182" s="82"/>
      <c r="AAZ182" s="82"/>
      <c r="ABA182" s="82"/>
      <c r="ABB182" s="82"/>
      <c r="ABC182" s="82"/>
      <c r="ABD182" s="82"/>
      <c r="ABE182" s="82"/>
      <c r="ABF182" s="82"/>
      <c r="ABG182" s="82"/>
      <c r="ABH182" s="82"/>
      <c r="ABI182" s="82"/>
      <c r="ABJ182" s="82"/>
      <c r="ABK182" s="82"/>
      <c r="ABL182" s="82"/>
      <c r="ABM182" s="82"/>
      <c r="ABN182" s="82"/>
      <c r="ABO182" s="82"/>
      <c r="ABP182" s="82"/>
      <c r="ABQ182" s="82"/>
      <c r="ABR182" s="82"/>
      <c r="ABS182" s="82"/>
      <c r="ABT182" s="82"/>
      <c r="ABU182" s="82"/>
      <c r="ABV182" s="82"/>
      <c r="ABW182" s="82"/>
      <c r="ABX182" s="82"/>
      <c r="ABY182" s="82"/>
      <c r="ABZ182" s="82"/>
      <c r="ACA182" s="82"/>
      <c r="ACB182" s="82"/>
      <c r="ACC182" s="82"/>
      <c r="ACD182" s="82"/>
      <c r="ACE182" s="82"/>
      <c r="ACF182" s="82"/>
      <c r="ACG182" s="82"/>
      <c r="ACH182" s="82"/>
      <c r="ACI182" s="82"/>
      <c r="ACJ182" s="82"/>
      <c r="ACK182" s="82"/>
      <c r="ACL182" s="82"/>
      <c r="ACM182" s="82"/>
      <c r="ACN182" s="82"/>
      <c r="ACO182" s="82"/>
      <c r="ACP182" s="82"/>
      <c r="ACQ182" s="82"/>
      <c r="ACR182" s="82"/>
      <c r="ACS182" s="82"/>
      <c r="ACT182" s="82"/>
      <c r="ACU182" s="82"/>
      <c r="ACV182" s="82"/>
      <c r="ACW182" s="82"/>
      <c r="ACX182" s="82"/>
      <c r="ACY182" s="82"/>
      <c r="ACZ182" s="82"/>
      <c r="ADA182" s="82"/>
      <c r="ADB182" s="82"/>
      <c r="ADC182" s="82"/>
      <c r="ADD182" s="82"/>
      <c r="ADE182" s="82"/>
      <c r="ADF182" s="82"/>
      <c r="ADG182" s="82"/>
      <c r="ADH182" s="82"/>
      <c r="ADI182" s="82"/>
      <c r="ADJ182" s="82"/>
      <c r="ADK182" s="82"/>
      <c r="ADL182" s="82"/>
      <c r="ADM182" s="82"/>
      <c r="ADN182" s="82"/>
      <c r="ADO182" s="82"/>
      <c r="ADP182" s="82"/>
      <c r="ADQ182" s="82"/>
      <c r="ADR182" s="82"/>
      <c r="ADS182" s="82"/>
      <c r="ADT182" s="82"/>
      <c r="ADU182" s="82"/>
      <c r="ADV182" s="82"/>
      <c r="ADW182" s="82"/>
      <c r="ADX182" s="82"/>
      <c r="ADY182" s="82"/>
      <c r="ADZ182" s="82"/>
      <c r="AEA182" s="82"/>
      <c r="AEB182" s="82"/>
      <c r="AEC182" s="82"/>
      <c r="AED182" s="82"/>
      <c r="AEE182" s="82"/>
      <c r="AEF182" s="82"/>
      <c r="AEG182" s="82"/>
      <c r="AEH182" s="82"/>
      <c r="AEI182" s="82"/>
      <c r="AEJ182" s="82"/>
      <c r="AEK182" s="82"/>
      <c r="AEL182" s="82"/>
      <c r="AEM182" s="82"/>
      <c r="AEN182" s="82"/>
      <c r="AEO182" s="82"/>
      <c r="AEP182" s="82"/>
      <c r="AEQ182" s="82"/>
      <c r="AER182" s="82"/>
      <c r="AES182" s="82"/>
      <c r="AET182" s="82"/>
      <c r="AEU182" s="82"/>
      <c r="AEV182" s="82"/>
      <c r="AEW182" s="82"/>
      <c r="AEX182" s="82"/>
      <c r="AEY182" s="82"/>
      <c r="AEZ182" s="82"/>
      <c r="AFA182" s="82"/>
      <c r="AFB182" s="82"/>
      <c r="AFC182" s="82"/>
      <c r="AFD182" s="82"/>
      <c r="AFE182" s="82"/>
      <c r="AFF182" s="82"/>
      <c r="AFG182" s="82"/>
      <c r="AFH182" s="82"/>
      <c r="AFI182" s="82"/>
      <c r="AFJ182" s="82"/>
      <c r="AFK182" s="82"/>
      <c r="AFL182" s="82"/>
      <c r="AFM182" s="82"/>
      <c r="AFN182" s="82"/>
      <c r="AFO182" s="82"/>
      <c r="AFP182" s="82"/>
      <c r="AFQ182" s="82"/>
      <c r="AFR182" s="82"/>
      <c r="AFS182" s="82"/>
      <c r="AFT182" s="82"/>
      <c r="AFU182" s="82"/>
      <c r="AFV182" s="82"/>
      <c r="AFW182" s="82"/>
      <c r="AFX182" s="82"/>
      <c r="AFY182" s="82"/>
      <c r="AFZ182" s="82"/>
      <c r="AGA182" s="82"/>
      <c r="AGB182" s="82"/>
      <c r="AGC182" s="82"/>
      <c r="AGD182" s="82"/>
      <c r="AGE182" s="82"/>
      <c r="AGF182" s="82"/>
      <c r="AGG182" s="82"/>
      <c r="AGH182" s="82"/>
      <c r="AGI182" s="82"/>
      <c r="AGJ182" s="82"/>
      <c r="AGK182" s="82"/>
      <c r="AGL182" s="82"/>
      <c r="AGM182" s="82"/>
      <c r="AGN182" s="82"/>
      <c r="AGO182" s="82"/>
      <c r="AGP182" s="82"/>
      <c r="AGQ182" s="82"/>
      <c r="AGR182" s="82"/>
      <c r="AGS182" s="82"/>
      <c r="AGT182" s="82"/>
      <c r="AGU182" s="82"/>
      <c r="AGV182" s="82"/>
      <c r="AGW182" s="82"/>
      <c r="AGX182" s="82"/>
      <c r="AGY182" s="82"/>
      <c r="AGZ182" s="82"/>
      <c r="AHA182" s="82"/>
      <c r="AHB182" s="82"/>
      <c r="AHC182" s="82"/>
      <c r="AHD182" s="82"/>
      <c r="AHE182" s="82"/>
      <c r="AHF182" s="82"/>
      <c r="AHG182" s="82"/>
      <c r="AHH182" s="82"/>
      <c r="AHI182" s="82"/>
      <c r="AHJ182" s="82"/>
      <c r="AHK182" s="82"/>
      <c r="AHL182" s="82"/>
      <c r="AHM182" s="82"/>
      <c r="AHN182" s="82"/>
      <c r="AHO182" s="82"/>
      <c r="AHP182" s="82"/>
      <c r="AHQ182" s="82"/>
      <c r="AHR182" s="82"/>
      <c r="AHS182" s="82"/>
      <c r="AHT182" s="82"/>
      <c r="AHU182" s="82"/>
      <c r="AHV182" s="82"/>
      <c r="AHW182" s="82"/>
      <c r="AHX182" s="82"/>
      <c r="AHY182" s="82"/>
      <c r="AHZ182" s="82"/>
      <c r="AIA182" s="82"/>
      <c r="AIB182" s="82"/>
      <c r="AIC182" s="82"/>
      <c r="AID182" s="82"/>
      <c r="AIE182" s="82"/>
      <c r="AIF182" s="82"/>
      <c r="AIG182" s="82"/>
      <c r="AIH182" s="82"/>
      <c r="AII182" s="82"/>
      <c r="AIJ182" s="82"/>
      <c r="AIK182" s="82"/>
      <c r="AIL182" s="82"/>
      <c r="AIM182" s="82"/>
      <c r="AIN182" s="82"/>
      <c r="AIO182" s="82"/>
      <c r="AIP182" s="82"/>
      <c r="AIQ182" s="82"/>
      <c r="AIR182" s="82"/>
      <c r="AIS182" s="82"/>
      <c r="AIT182" s="82"/>
      <c r="AIU182" s="82"/>
      <c r="AIV182" s="82"/>
      <c r="AIW182" s="82"/>
      <c r="AIX182" s="82"/>
      <c r="AIY182" s="82"/>
      <c r="AIZ182" s="82"/>
      <c r="AJA182" s="82"/>
      <c r="AJB182" s="82"/>
      <c r="AJC182" s="82"/>
      <c r="AJD182" s="82"/>
      <c r="AJE182" s="82"/>
      <c r="AJF182" s="82"/>
      <c r="AJG182" s="82"/>
      <c r="AJH182" s="82"/>
      <c r="AJI182" s="82"/>
      <c r="AJJ182" s="82"/>
      <c r="AJK182" s="82"/>
      <c r="AJL182" s="82"/>
      <c r="AJM182" s="82"/>
      <c r="AJN182" s="82"/>
      <c r="AJO182" s="82"/>
      <c r="AJP182" s="82"/>
      <c r="AJQ182" s="82"/>
      <c r="AJR182" s="82"/>
      <c r="AJS182" s="82"/>
      <c r="AJT182" s="82"/>
      <c r="AJU182" s="82"/>
      <c r="AJV182" s="82"/>
      <c r="AJW182" s="82"/>
      <c r="AJX182" s="82"/>
      <c r="AJY182" s="82"/>
      <c r="AJZ182" s="82"/>
      <c r="AKA182" s="82"/>
      <c r="AKB182" s="82"/>
      <c r="AKC182" s="82"/>
      <c r="AKD182" s="82"/>
      <c r="AKE182" s="82"/>
      <c r="AKF182" s="82"/>
      <c r="AKG182" s="82"/>
      <c r="AKH182" s="82"/>
      <c r="AKI182" s="82"/>
      <c r="AKJ182" s="82"/>
      <c r="AKK182" s="82"/>
      <c r="AKL182" s="82"/>
      <c r="AKM182" s="82"/>
      <c r="AKN182" s="82"/>
      <c r="AKO182" s="82"/>
      <c r="AKP182" s="82"/>
      <c r="AKQ182" s="82"/>
      <c r="AKR182" s="82"/>
      <c r="AKS182" s="82"/>
      <c r="AKT182" s="82"/>
      <c r="AKU182" s="82"/>
      <c r="AKV182" s="82"/>
      <c r="AKW182" s="82"/>
      <c r="AKX182" s="82"/>
      <c r="AKY182" s="82"/>
      <c r="AKZ182" s="82"/>
      <c r="ALA182" s="82"/>
      <c r="ALB182" s="82"/>
      <c r="ALC182" s="82"/>
      <c r="ALD182" s="82"/>
      <c r="ALE182" s="82"/>
      <c r="ALF182" s="82"/>
      <c r="ALG182" s="82"/>
      <c r="ALH182" s="82"/>
      <c r="ALI182" s="82"/>
      <c r="ALJ182" s="82"/>
      <c r="ALK182" s="82"/>
      <c r="ALL182" s="82"/>
      <c r="ALM182" s="82"/>
      <c r="ALN182" s="82"/>
      <c r="ALO182" s="82"/>
      <c r="ALP182" s="82"/>
      <c r="ALQ182" s="82"/>
      <c r="ALR182" s="82"/>
      <c r="ALS182" s="82"/>
      <c r="ALT182" s="82"/>
      <c r="ALU182" s="82"/>
      <c r="ALV182" s="82"/>
      <c r="ALW182" s="82"/>
      <c r="ALX182" s="82"/>
      <c r="ALY182" s="82"/>
      <c r="ALZ182" s="82"/>
      <c r="AMA182" s="82"/>
      <c r="AMB182" s="82"/>
      <c r="AMC182" s="82"/>
      <c r="AMD182" s="82"/>
      <c r="AME182" s="82"/>
      <c r="AMF182" s="82"/>
      <c r="AMG182" s="82"/>
      <c r="AMH182" s="82"/>
      <c r="AMI182" s="82"/>
      <c r="AMJ182" s="82"/>
      <c r="AMK182" s="82"/>
      <c r="AML182" s="82"/>
      <c r="AMM182" s="82"/>
      <c r="AMN182" s="82"/>
      <c r="AMO182" s="82"/>
      <c r="AMP182" s="82"/>
      <c r="AMQ182" s="82"/>
      <c r="AMR182" s="82"/>
      <c r="AMS182" s="82"/>
      <c r="AMT182" s="82"/>
      <c r="AMU182" s="82"/>
      <c r="AMV182" s="82"/>
      <c r="AMW182" s="82"/>
      <c r="AMX182" s="82"/>
      <c r="AMY182" s="82"/>
      <c r="AMZ182" s="82"/>
      <c r="ANA182" s="82"/>
      <c r="ANB182" s="82"/>
      <c r="ANC182" s="82"/>
      <c r="AND182" s="82"/>
      <c r="ANE182" s="82"/>
      <c r="ANF182" s="82"/>
      <c r="ANG182" s="82"/>
      <c r="ANH182" s="82"/>
      <c r="ANI182" s="82"/>
      <c r="ANJ182" s="82"/>
      <c r="ANK182" s="82"/>
      <c r="ANL182" s="82"/>
      <c r="ANM182" s="82"/>
      <c r="ANN182" s="82"/>
      <c r="ANO182" s="82"/>
      <c r="ANP182" s="82"/>
      <c r="ANQ182" s="82"/>
      <c r="ANR182" s="82"/>
      <c r="ANS182" s="82"/>
      <c r="ANT182" s="82"/>
      <c r="ANU182" s="82"/>
      <c r="ANV182" s="82"/>
      <c r="ANW182" s="82"/>
      <c r="ANX182" s="82"/>
      <c r="ANY182" s="82"/>
      <c r="ANZ182" s="82"/>
      <c r="AOA182" s="82"/>
      <c r="AOB182" s="82"/>
      <c r="AOC182" s="82"/>
      <c r="AOD182" s="82"/>
      <c r="AOE182" s="82"/>
      <c r="AOF182" s="82"/>
      <c r="AOG182" s="82"/>
      <c r="AOH182" s="82"/>
      <c r="AOI182" s="82"/>
      <c r="AOJ182" s="82"/>
      <c r="AOK182" s="82"/>
      <c r="AOL182" s="82"/>
      <c r="AOM182" s="82"/>
      <c r="AON182" s="82"/>
      <c r="AOO182" s="82"/>
      <c r="AOP182" s="82"/>
      <c r="AOQ182" s="82"/>
      <c r="AOR182" s="82"/>
      <c r="AOS182" s="82"/>
      <c r="AOT182" s="82"/>
      <c r="AOU182" s="82"/>
      <c r="AOV182" s="82"/>
      <c r="AOW182" s="82"/>
      <c r="AOX182" s="82"/>
      <c r="AOY182" s="82"/>
      <c r="AOZ182" s="82"/>
      <c r="APA182" s="82"/>
      <c r="APB182" s="82"/>
      <c r="APC182" s="82"/>
      <c r="APD182" s="82"/>
      <c r="APE182" s="82"/>
      <c r="APF182" s="82"/>
      <c r="APG182" s="82"/>
      <c r="APH182" s="82"/>
      <c r="API182" s="82"/>
      <c r="APJ182" s="82"/>
      <c r="APK182" s="82"/>
      <c r="APL182" s="82"/>
      <c r="APM182" s="82"/>
      <c r="APN182" s="82"/>
      <c r="APO182" s="82"/>
      <c r="APP182" s="82"/>
      <c r="APQ182" s="82"/>
      <c r="APR182" s="82"/>
      <c r="APS182" s="82"/>
      <c r="APT182" s="82"/>
      <c r="APU182" s="82"/>
      <c r="APV182" s="82"/>
      <c r="APW182" s="82"/>
      <c r="APX182" s="82"/>
      <c r="APY182" s="82"/>
      <c r="APZ182" s="82"/>
      <c r="AQA182" s="82"/>
      <c r="AQB182" s="82"/>
      <c r="AQC182" s="82"/>
      <c r="AQD182" s="82"/>
      <c r="AQE182" s="82"/>
      <c r="AQF182" s="82"/>
      <c r="AQG182" s="82"/>
      <c r="AQH182" s="82"/>
      <c r="AQI182" s="82"/>
      <c r="AQJ182" s="82"/>
      <c r="AQK182" s="82"/>
      <c r="AQL182" s="82"/>
      <c r="AQM182" s="82"/>
      <c r="AQN182" s="82"/>
      <c r="AQO182" s="82"/>
      <c r="AQP182" s="82"/>
      <c r="AQQ182" s="82"/>
      <c r="AQR182" s="82"/>
      <c r="AQS182" s="82"/>
      <c r="AQT182" s="82"/>
      <c r="AQU182" s="82"/>
      <c r="AQV182" s="82"/>
      <c r="AQW182" s="82"/>
      <c r="AQX182" s="82"/>
      <c r="AQY182" s="82"/>
      <c r="AQZ182" s="82"/>
      <c r="ARA182" s="82"/>
      <c r="ARB182" s="82"/>
      <c r="ARC182" s="82"/>
      <c r="ARD182" s="82"/>
      <c r="ARE182" s="82"/>
      <c r="ARF182" s="82"/>
      <c r="ARG182" s="82"/>
      <c r="ARH182" s="82"/>
      <c r="ARI182" s="82"/>
      <c r="ARJ182" s="82"/>
      <c r="ARK182" s="82"/>
      <c r="ARL182" s="82"/>
      <c r="ARM182" s="82"/>
      <c r="ARN182" s="82"/>
      <c r="ARO182" s="82"/>
      <c r="ARP182" s="82"/>
      <c r="ARQ182" s="82"/>
      <c r="ARR182" s="82"/>
      <c r="ARS182" s="82"/>
      <c r="ART182" s="82"/>
      <c r="ARU182" s="82"/>
      <c r="ARV182" s="82"/>
      <c r="ARW182" s="82"/>
      <c r="ARX182" s="82"/>
      <c r="ARY182" s="82"/>
      <c r="ARZ182" s="82"/>
      <c r="ASA182" s="82"/>
      <c r="ASB182" s="82"/>
      <c r="ASC182" s="82"/>
      <c r="ASD182" s="82"/>
      <c r="ASE182" s="82"/>
      <c r="ASF182" s="82"/>
      <c r="ASG182" s="82"/>
      <c r="ASH182" s="82"/>
      <c r="ASI182" s="82"/>
      <c r="ASJ182" s="82"/>
      <c r="ASK182" s="82"/>
      <c r="ASL182" s="82"/>
      <c r="ASM182" s="82"/>
      <c r="ASN182" s="82"/>
      <c r="ASO182" s="82"/>
      <c r="ASP182" s="82"/>
      <c r="ASQ182" s="82"/>
      <c r="ASR182" s="82"/>
      <c r="ASS182" s="82"/>
      <c r="AST182" s="82"/>
      <c r="ASU182" s="82"/>
      <c r="ASV182" s="82"/>
      <c r="ASW182" s="82"/>
      <c r="ASX182" s="82"/>
      <c r="ASY182" s="82"/>
      <c r="ASZ182" s="82"/>
      <c r="ATA182" s="82"/>
      <c r="ATB182" s="82"/>
      <c r="ATC182" s="82"/>
      <c r="ATD182" s="82"/>
      <c r="ATE182" s="82"/>
      <c r="ATF182" s="82"/>
      <c r="ATG182" s="82"/>
      <c r="ATH182" s="82"/>
      <c r="ATI182" s="82"/>
      <c r="ATJ182" s="82"/>
      <c r="ATK182" s="82"/>
      <c r="ATL182" s="82"/>
      <c r="ATM182" s="82"/>
      <c r="ATN182" s="82"/>
      <c r="ATO182" s="82"/>
      <c r="ATP182" s="82"/>
      <c r="ATQ182" s="82"/>
      <c r="ATR182" s="82"/>
      <c r="ATS182" s="82"/>
      <c r="ATT182" s="82"/>
      <c r="ATU182" s="82"/>
      <c r="ATV182" s="82"/>
      <c r="ATW182" s="82"/>
      <c r="ATX182" s="82"/>
      <c r="ATY182" s="82"/>
      <c r="ATZ182" s="82"/>
      <c r="AUA182" s="82"/>
      <c r="AUB182" s="82"/>
      <c r="AUC182" s="82"/>
      <c r="AUD182" s="82"/>
      <c r="AUE182" s="82"/>
      <c r="AUF182" s="82"/>
      <c r="AUG182" s="82"/>
      <c r="AUH182" s="82"/>
      <c r="AUI182" s="82"/>
      <c r="AUJ182" s="82"/>
      <c r="AUK182" s="82"/>
      <c r="AUL182" s="82"/>
      <c r="AUM182" s="82"/>
      <c r="AUN182" s="82"/>
      <c r="AUO182" s="82"/>
      <c r="AUP182" s="82"/>
      <c r="AUQ182" s="82"/>
      <c r="AUR182" s="82"/>
      <c r="AUS182" s="82"/>
      <c r="AUT182" s="82"/>
      <c r="AUU182" s="82"/>
      <c r="AUV182" s="82"/>
      <c r="AUW182" s="82"/>
      <c r="AUX182" s="82"/>
      <c r="AUY182" s="82"/>
      <c r="AUZ182" s="82"/>
      <c r="AVA182" s="82"/>
      <c r="AVB182" s="82"/>
      <c r="AVC182" s="82"/>
      <c r="AVD182" s="82"/>
      <c r="AVE182" s="82"/>
      <c r="AVF182" s="82"/>
      <c r="AVG182" s="82"/>
      <c r="AVH182" s="82"/>
      <c r="AVI182" s="82"/>
      <c r="AVJ182" s="82"/>
      <c r="AVK182" s="82"/>
      <c r="AVL182" s="82"/>
      <c r="AVM182" s="82"/>
      <c r="AVN182" s="82"/>
      <c r="AVO182" s="82"/>
      <c r="AVP182" s="82"/>
      <c r="AVQ182" s="82"/>
      <c r="AVR182" s="82"/>
      <c r="AVS182" s="82"/>
      <c r="AVT182" s="82"/>
      <c r="AVU182" s="82"/>
      <c r="AVV182" s="82"/>
      <c r="AVW182" s="82"/>
      <c r="AVX182" s="82"/>
      <c r="AVY182" s="82"/>
      <c r="AVZ182" s="82"/>
      <c r="AWA182" s="82"/>
      <c r="AWB182" s="82"/>
      <c r="AWC182" s="82"/>
      <c r="AWD182" s="82"/>
      <c r="AWE182" s="82"/>
      <c r="AWF182" s="82"/>
      <c r="AWG182" s="82"/>
      <c r="AWH182" s="82"/>
      <c r="AWI182" s="82"/>
      <c r="AWJ182" s="82"/>
      <c r="AWK182" s="82"/>
      <c r="AWL182" s="82"/>
      <c r="AWM182" s="82"/>
      <c r="AWN182" s="82"/>
      <c r="AWO182" s="82"/>
      <c r="AWP182" s="82"/>
      <c r="AWQ182" s="82"/>
      <c r="AWR182" s="82"/>
      <c r="AWS182" s="82"/>
      <c r="AWT182" s="82"/>
      <c r="AWU182" s="82"/>
      <c r="AWV182" s="82"/>
      <c r="AWW182" s="82"/>
      <c r="AWX182" s="82"/>
      <c r="AWY182" s="82"/>
      <c r="AWZ182" s="82"/>
      <c r="AXA182" s="82"/>
      <c r="AXB182" s="82"/>
      <c r="AXC182" s="82"/>
      <c r="AXD182" s="82"/>
      <c r="AXE182" s="82"/>
      <c r="AXF182" s="82"/>
      <c r="AXG182" s="82"/>
      <c r="AXH182" s="82"/>
      <c r="AXI182" s="82"/>
      <c r="AXJ182" s="82"/>
      <c r="AXK182" s="82"/>
      <c r="AXL182" s="82"/>
      <c r="AXM182" s="82"/>
      <c r="AXN182" s="82"/>
      <c r="AXO182" s="82"/>
      <c r="AXP182" s="82"/>
      <c r="AXQ182" s="82"/>
      <c r="AXR182" s="82"/>
      <c r="AXS182" s="82"/>
      <c r="AXT182" s="82"/>
      <c r="AXU182" s="82"/>
      <c r="AXV182" s="82"/>
      <c r="AXW182" s="82"/>
      <c r="AXX182" s="82"/>
      <c r="AXY182" s="82"/>
      <c r="AXZ182" s="82"/>
      <c r="AYA182" s="82"/>
      <c r="AYB182" s="82"/>
      <c r="AYC182" s="82"/>
      <c r="AYD182" s="82"/>
      <c r="AYE182" s="82"/>
      <c r="AYF182" s="82"/>
      <c r="AYG182" s="82"/>
      <c r="AYH182" s="82"/>
      <c r="AYI182" s="82"/>
      <c r="AYJ182" s="82"/>
      <c r="AYK182" s="82"/>
      <c r="AYL182" s="82"/>
      <c r="AYM182" s="82"/>
      <c r="AYN182" s="82"/>
      <c r="AYO182" s="82"/>
      <c r="AYP182" s="82"/>
      <c r="AYQ182" s="82"/>
      <c r="AYR182" s="82"/>
      <c r="AYS182" s="82"/>
      <c r="AYT182" s="82"/>
      <c r="AYU182" s="82"/>
      <c r="AYV182" s="82"/>
      <c r="AYW182" s="82"/>
      <c r="AYX182" s="82"/>
      <c r="AYY182" s="82"/>
      <c r="AYZ182" s="82"/>
      <c r="AZA182" s="82"/>
      <c r="AZB182" s="82"/>
      <c r="AZC182" s="82"/>
      <c r="AZD182" s="82"/>
      <c r="AZE182" s="82"/>
      <c r="AZF182" s="82"/>
      <c r="AZG182" s="82"/>
      <c r="AZH182" s="82"/>
      <c r="AZI182" s="82"/>
      <c r="AZJ182" s="82"/>
      <c r="AZK182" s="82"/>
      <c r="AZL182" s="82"/>
      <c r="AZM182" s="82"/>
      <c r="AZN182" s="82"/>
      <c r="AZO182" s="82"/>
      <c r="AZP182" s="82"/>
      <c r="AZQ182" s="82"/>
      <c r="AZR182" s="82"/>
      <c r="AZS182" s="82"/>
      <c r="AZT182" s="82"/>
      <c r="AZU182" s="82"/>
      <c r="AZV182" s="82"/>
      <c r="AZW182" s="82"/>
      <c r="AZX182" s="82"/>
      <c r="AZY182" s="82"/>
      <c r="AZZ182" s="82"/>
      <c r="BAA182" s="82"/>
      <c r="BAB182" s="82"/>
      <c r="BAC182" s="82"/>
      <c r="BAD182" s="82"/>
      <c r="BAE182" s="82"/>
      <c r="BAF182" s="82"/>
      <c r="BAG182" s="82"/>
      <c r="BAH182" s="82"/>
      <c r="BAI182" s="82"/>
      <c r="BAJ182" s="82"/>
      <c r="BAK182" s="82"/>
      <c r="BAL182" s="82"/>
      <c r="BAM182" s="82"/>
      <c r="BAN182" s="82"/>
      <c r="BAO182" s="82"/>
      <c r="BAP182" s="82"/>
      <c r="BAQ182" s="82"/>
      <c r="BAR182" s="82"/>
      <c r="BAS182" s="82"/>
      <c r="BAT182" s="82"/>
      <c r="BAU182" s="82"/>
      <c r="BAV182" s="82"/>
      <c r="BAW182" s="82"/>
      <c r="BAX182" s="82"/>
      <c r="BAY182" s="82"/>
      <c r="BAZ182" s="82"/>
      <c r="BBA182" s="82"/>
      <c r="BBB182" s="82"/>
      <c r="BBC182" s="82"/>
      <c r="BBD182" s="82"/>
      <c r="BBE182" s="82"/>
      <c r="BBF182" s="82"/>
      <c r="BBG182" s="82"/>
      <c r="BBH182" s="82"/>
      <c r="BBI182" s="82"/>
      <c r="BBJ182" s="82"/>
      <c r="BBK182" s="82"/>
      <c r="BBL182" s="82"/>
      <c r="BBM182" s="82"/>
      <c r="BBN182" s="82"/>
      <c r="BBO182" s="82"/>
      <c r="BBP182" s="82"/>
      <c r="BBQ182" s="82"/>
      <c r="BBR182" s="82"/>
      <c r="BBS182" s="82"/>
      <c r="BBT182" s="82"/>
      <c r="BBU182" s="82"/>
      <c r="BBV182" s="82"/>
      <c r="BBW182" s="82"/>
      <c r="BBX182" s="82"/>
      <c r="BBY182" s="82"/>
      <c r="BBZ182" s="82"/>
      <c r="BCA182" s="82"/>
      <c r="BCB182" s="82"/>
      <c r="BCC182" s="82"/>
      <c r="BCD182" s="82"/>
      <c r="BCE182" s="82"/>
      <c r="BCF182" s="82"/>
      <c r="BCG182" s="82"/>
      <c r="BCH182" s="82"/>
      <c r="BCI182" s="82"/>
      <c r="BCJ182" s="82"/>
      <c r="BCK182" s="82"/>
      <c r="BCL182" s="82"/>
      <c r="BCM182" s="82"/>
      <c r="BCN182" s="82"/>
      <c r="BCO182" s="82"/>
      <c r="BCP182" s="82"/>
      <c r="BCQ182" s="82"/>
      <c r="BCR182" s="82"/>
      <c r="BCS182" s="82"/>
      <c r="BCT182" s="82"/>
      <c r="BCU182" s="82"/>
      <c r="BCV182" s="82"/>
      <c r="BCW182" s="82"/>
      <c r="BCX182" s="82"/>
      <c r="BCY182" s="82"/>
      <c r="BCZ182" s="82"/>
      <c r="BDA182" s="82"/>
      <c r="BDB182" s="82"/>
      <c r="BDC182" s="82"/>
      <c r="BDD182" s="82"/>
      <c r="BDE182" s="82"/>
      <c r="BDF182" s="82"/>
      <c r="BDG182" s="82"/>
      <c r="BDH182" s="82"/>
      <c r="BDI182" s="82"/>
      <c r="BDJ182" s="82"/>
      <c r="BDK182" s="82"/>
      <c r="BDL182" s="82"/>
      <c r="BDM182" s="82"/>
      <c r="BDN182" s="82"/>
      <c r="BDO182" s="82"/>
      <c r="BDP182" s="82"/>
      <c r="BDQ182" s="82"/>
      <c r="BDR182" s="82"/>
      <c r="BDS182" s="82"/>
      <c r="BDT182" s="82"/>
      <c r="BDU182" s="82"/>
      <c r="BDV182" s="82"/>
      <c r="BDW182" s="82"/>
      <c r="BDX182" s="82"/>
      <c r="BDY182" s="82"/>
      <c r="BDZ182" s="82"/>
      <c r="BEA182" s="82"/>
      <c r="BEB182" s="82"/>
      <c r="BEC182" s="82"/>
      <c r="BED182" s="82"/>
      <c r="BEE182" s="82"/>
      <c r="BEF182" s="82"/>
      <c r="BEG182" s="82"/>
      <c r="BEH182" s="82"/>
      <c r="BEI182" s="82"/>
      <c r="BEJ182" s="82"/>
      <c r="BEK182" s="82"/>
      <c r="BEL182" s="82"/>
      <c r="BEM182" s="82"/>
      <c r="BEN182" s="82"/>
      <c r="BEO182" s="82"/>
      <c r="BEP182" s="82"/>
      <c r="BEQ182" s="82"/>
      <c r="BER182" s="82"/>
      <c r="BES182" s="82"/>
      <c r="BET182" s="82"/>
      <c r="BEU182" s="82"/>
      <c r="BEV182" s="82"/>
      <c r="BEW182" s="82"/>
      <c r="BEX182" s="82"/>
      <c r="BEY182" s="82"/>
      <c r="BEZ182" s="82"/>
      <c r="BFA182" s="82"/>
      <c r="BFB182" s="82"/>
      <c r="BFC182" s="82"/>
      <c r="BFD182" s="82"/>
      <c r="BFE182" s="82"/>
      <c r="BFF182" s="82"/>
      <c r="BFG182" s="82"/>
      <c r="BFH182" s="82"/>
      <c r="BFI182" s="82"/>
      <c r="BFJ182" s="82"/>
      <c r="BFK182" s="82"/>
      <c r="BFL182" s="82"/>
      <c r="BFM182" s="82"/>
      <c r="BFN182" s="82"/>
      <c r="BFO182" s="82"/>
      <c r="BFP182" s="82"/>
      <c r="BFQ182" s="82"/>
      <c r="BFR182" s="82"/>
      <c r="BFS182" s="82"/>
      <c r="BFT182" s="82"/>
      <c r="BFU182" s="82"/>
      <c r="BFV182" s="82"/>
      <c r="BFW182" s="82"/>
      <c r="BFX182" s="82"/>
      <c r="BFY182" s="82"/>
      <c r="BFZ182" s="82"/>
      <c r="BGA182" s="82"/>
      <c r="BGB182" s="82"/>
      <c r="BGC182" s="82"/>
      <c r="BGD182" s="82"/>
      <c r="BGE182" s="82"/>
      <c r="BGF182" s="82"/>
      <c r="BGG182" s="82"/>
      <c r="BGH182" s="82"/>
      <c r="BGI182" s="82"/>
      <c r="BGJ182" s="82"/>
      <c r="BGK182" s="82"/>
      <c r="BGL182" s="82"/>
      <c r="BGM182" s="82"/>
      <c r="BGN182" s="82"/>
      <c r="BGO182" s="82"/>
      <c r="BGP182" s="82"/>
      <c r="BGQ182" s="82"/>
      <c r="BGR182" s="82"/>
      <c r="BGS182" s="82"/>
      <c r="BGT182" s="82"/>
      <c r="BGU182" s="82"/>
      <c r="BGV182" s="82"/>
      <c r="BGW182" s="82"/>
      <c r="BGX182" s="82"/>
      <c r="BGY182" s="82"/>
      <c r="BGZ182" s="82"/>
      <c r="BHA182" s="82"/>
      <c r="BHB182" s="82"/>
      <c r="BHC182" s="82"/>
      <c r="BHD182" s="82"/>
      <c r="BHE182" s="82"/>
      <c r="BHF182" s="82"/>
      <c r="BHG182" s="82"/>
      <c r="BHH182" s="82"/>
      <c r="BHI182" s="82"/>
      <c r="BHJ182" s="82"/>
      <c r="BHK182" s="82"/>
      <c r="BHL182" s="82"/>
      <c r="BHM182" s="82"/>
      <c r="BHN182" s="82"/>
      <c r="BHO182" s="82"/>
      <c r="BHP182" s="82"/>
      <c r="BHQ182" s="82"/>
      <c r="BHR182" s="82"/>
      <c r="BHS182" s="82"/>
      <c r="BHT182" s="82"/>
      <c r="BHU182" s="82"/>
      <c r="BHV182" s="82"/>
      <c r="BHW182" s="82"/>
      <c r="BHX182" s="82"/>
      <c r="BHY182" s="82"/>
      <c r="BHZ182" s="82"/>
      <c r="BIA182" s="82"/>
      <c r="BIB182" s="82"/>
      <c r="BIC182" s="82"/>
      <c r="BID182" s="82"/>
      <c r="BIE182" s="82"/>
      <c r="BIF182" s="82"/>
      <c r="BIG182" s="82"/>
      <c r="BIH182" s="82"/>
      <c r="BII182" s="82"/>
      <c r="BIJ182" s="82"/>
      <c r="BIK182" s="82"/>
      <c r="BIL182" s="82"/>
      <c r="BIM182" s="82"/>
      <c r="BIN182" s="82"/>
      <c r="BIO182" s="82"/>
      <c r="BIP182" s="82"/>
      <c r="BIQ182" s="82"/>
      <c r="BIR182" s="82"/>
      <c r="BIS182" s="82"/>
      <c r="BIT182" s="82"/>
      <c r="BIU182" s="82"/>
      <c r="BIV182" s="82"/>
      <c r="BIW182" s="82"/>
      <c r="BIX182" s="82"/>
      <c r="BIY182" s="82"/>
      <c r="BIZ182" s="82"/>
      <c r="BJA182" s="82"/>
      <c r="BJB182" s="82"/>
      <c r="BJC182" s="82"/>
      <c r="BJD182" s="82"/>
      <c r="BJE182" s="82"/>
      <c r="BJF182" s="82"/>
      <c r="BJG182" s="82"/>
      <c r="BJH182" s="82"/>
      <c r="BJI182" s="82"/>
      <c r="BJJ182" s="82"/>
      <c r="BJK182" s="82"/>
      <c r="BJL182" s="82"/>
      <c r="BJM182" s="82"/>
      <c r="BJN182" s="82"/>
      <c r="BJO182" s="82"/>
      <c r="BJP182" s="82"/>
      <c r="BJQ182" s="82"/>
      <c r="BJR182" s="82"/>
      <c r="BJS182" s="82"/>
      <c r="BJT182" s="82"/>
      <c r="BJU182" s="82"/>
      <c r="BJV182" s="82"/>
      <c r="BJW182" s="82"/>
      <c r="BJX182" s="82"/>
      <c r="BJY182" s="82"/>
      <c r="BJZ182" s="82"/>
      <c r="BKA182" s="82"/>
      <c r="BKB182" s="82"/>
      <c r="BKC182" s="82"/>
      <c r="BKD182" s="82"/>
      <c r="BKE182" s="82"/>
      <c r="BKF182" s="82"/>
      <c r="BKG182" s="82"/>
      <c r="BKH182" s="82"/>
      <c r="BKI182" s="82"/>
      <c r="BKJ182" s="82"/>
      <c r="BKK182" s="82"/>
      <c r="BKL182" s="82"/>
      <c r="BKM182" s="82"/>
      <c r="BKN182" s="82"/>
      <c r="BKO182" s="82"/>
      <c r="BKP182" s="82"/>
      <c r="BKQ182" s="82"/>
      <c r="BKR182" s="82"/>
      <c r="BKS182" s="82"/>
      <c r="BKT182" s="82"/>
      <c r="BKU182" s="82"/>
      <c r="BKV182" s="82"/>
      <c r="BKW182" s="82"/>
      <c r="BKX182" s="82"/>
      <c r="BKY182" s="82"/>
      <c r="BKZ182" s="82"/>
      <c r="BLA182" s="82"/>
      <c r="BLB182" s="82"/>
      <c r="BLC182" s="82"/>
      <c r="BLD182" s="82"/>
      <c r="BLE182" s="82"/>
      <c r="BLF182" s="82"/>
      <c r="BLG182" s="82"/>
      <c r="BLH182" s="82"/>
      <c r="BLI182" s="82"/>
      <c r="BLJ182" s="82"/>
      <c r="BLK182" s="82"/>
      <c r="BLL182" s="82"/>
      <c r="BLM182" s="82"/>
      <c r="BLN182" s="82"/>
      <c r="BLO182" s="82"/>
      <c r="BLP182" s="82"/>
      <c r="BLQ182" s="82"/>
      <c r="BLR182" s="82"/>
      <c r="BLS182" s="82"/>
      <c r="BLT182" s="82"/>
      <c r="BLU182" s="82"/>
      <c r="BLV182" s="82"/>
      <c r="BLW182" s="82"/>
      <c r="BLX182" s="82"/>
      <c r="BLY182" s="82"/>
      <c r="BLZ182" s="82"/>
      <c r="BMA182" s="82"/>
      <c r="BMB182" s="82"/>
      <c r="BMC182" s="82"/>
      <c r="BMD182" s="82"/>
      <c r="BME182" s="82"/>
      <c r="BMF182" s="82"/>
      <c r="BMG182" s="82"/>
      <c r="BMH182" s="82"/>
      <c r="BMI182" s="82"/>
      <c r="BMJ182" s="82"/>
      <c r="BMK182" s="82"/>
      <c r="BML182" s="82"/>
      <c r="BMM182" s="82"/>
      <c r="BMN182" s="82"/>
      <c r="BMO182" s="82"/>
      <c r="BMP182" s="82"/>
      <c r="BMQ182" s="82"/>
      <c r="BMR182" s="82"/>
      <c r="BMS182" s="82"/>
      <c r="BMT182" s="82"/>
      <c r="BMU182" s="82"/>
      <c r="BMV182" s="82"/>
      <c r="BMW182" s="82"/>
      <c r="BMX182" s="82"/>
      <c r="BMY182" s="82"/>
      <c r="BMZ182" s="82"/>
      <c r="BNA182" s="82"/>
      <c r="BNB182" s="82"/>
      <c r="BNC182" s="82"/>
      <c r="BND182" s="82"/>
      <c r="BNE182" s="82"/>
      <c r="BNF182" s="82"/>
      <c r="BNG182" s="82"/>
      <c r="BNH182" s="82"/>
      <c r="BNI182" s="82"/>
      <c r="BNJ182" s="82"/>
      <c r="BNK182" s="82"/>
      <c r="BNL182" s="82"/>
      <c r="BNM182" s="82"/>
      <c r="BNN182" s="82"/>
      <c r="BNO182" s="82"/>
      <c r="BNP182" s="82"/>
      <c r="BNQ182" s="82"/>
      <c r="BNR182" s="82"/>
      <c r="BNS182" s="82"/>
      <c r="BNT182" s="82"/>
      <c r="BNU182" s="82"/>
      <c r="BNV182" s="82"/>
      <c r="BNW182" s="82"/>
      <c r="BNX182" s="82"/>
      <c r="BNY182" s="82"/>
      <c r="BNZ182" s="82"/>
      <c r="BOA182" s="82"/>
      <c r="BOB182" s="82"/>
      <c r="BOC182" s="82"/>
      <c r="BOD182" s="82"/>
      <c r="BOE182" s="82"/>
      <c r="BOF182" s="82"/>
      <c r="BOG182" s="82"/>
      <c r="BOH182" s="82"/>
      <c r="BOI182" s="82"/>
      <c r="BOJ182" s="82"/>
      <c r="BOK182" s="82"/>
      <c r="BOL182" s="82"/>
      <c r="BOM182" s="82"/>
      <c r="BON182" s="82"/>
      <c r="BOO182" s="82"/>
      <c r="BOP182" s="82"/>
      <c r="BOQ182" s="82"/>
      <c r="BOR182" s="82"/>
      <c r="BOS182" s="82"/>
      <c r="BOT182" s="82"/>
      <c r="BOU182" s="82"/>
      <c r="BOV182" s="82"/>
      <c r="BOW182" s="82"/>
      <c r="BOX182" s="82"/>
      <c r="BOY182" s="82"/>
      <c r="BOZ182" s="82"/>
      <c r="BPA182" s="82"/>
      <c r="BPB182" s="82"/>
      <c r="BPC182" s="82"/>
      <c r="BPD182" s="82"/>
      <c r="BPE182" s="82"/>
      <c r="BPF182" s="82"/>
      <c r="BPG182" s="82"/>
      <c r="BPH182" s="82"/>
      <c r="BPI182" s="82"/>
      <c r="BPJ182" s="82"/>
      <c r="BPK182" s="82"/>
      <c r="BPL182" s="82"/>
      <c r="BPM182" s="82"/>
      <c r="BPN182" s="82"/>
      <c r="BPO182" s="82"/>
      <c r="BPP182" s="82"/>
      <c r="BPQ182" s="82"/>
      <c r="BPR182" s="82"/>
      <c r="BPS182" s="82"/>
      <c r="BPT182" s="82"/>
      <c r="BPU182" s="82"/>
      <c r="BPV182" s="82"/>
      <c r="BPW182" s="82"/>
      <c r="BPX182" s="82"/>
      <c r="BPY182" s="82"/>
      <c r="BPZ182" s="82"/>
      <c r="BQA182" s="82"/>
      <c r="BQB182" s="82"/>
      <c r="BQC182" s="82"/>
      <c r="BQD182" s="82"/>
      <c r="BQE182" s="82"/>
      <c r="BQF182" s="82"/>
      <c r="BQG182" s="82"/>
      <c r="BQH182" s="82"/>
      <c r="BQI182" s="82"/>
      <c r="BQJ182" s="82"/>
      <c r="BQK182" s="82"/>
      <c r="BQL182" s="82"/>
      <c r="BQM182" s="82"/>
      <c r="BQN182" s="82"/>
      <c r="BQO182" s="82"/>
      <c r="BQP182" s="82"/>
      <c r="BQQ182" s="82"/>
      <c r="BQR182" s="82"/>
      <c r="BQS182" s="82"/>
      <c r="BQT182" s="82"/>
      <c r="BQU182" s="82"/>
      <c r="BQV182" s="82"/>
      <c r="BQW182" s="82"/>
      <c r="BQX182" s="82"/>
      <c r="BQY182" s="82"/>
      <c r="BQZ182" s="82"/>
      <c r="BRA182" s="82"/>
      <c r="BRB182" s="82"/>
      <c r="BRC182" s="82"/>
      <c r="BRD182" s="82"/>
      <c r="BRE182" s="82"/>
      <c r="BRF182" s="82"/>
      <c r="BRG182" s="82"/>
      <c r="BRH182" s="82"/>
      <c r="BRI182" s="82"/>
      <c r="BRJ182" s="82"/>
      <c r="BRK182" s="82"/>
      <c r="BRL182" s="82"/>
      <c r="BRM182" s="82"/>
      <c r="BRN182" s="82"/>
      <c r="BRO182" s="82"/>
      <c r="BRP182" s="82"/>
      <c r="BRQ182" s="82"/>
      <c r="BRR182" s="82"/>
      <c r="BRS182" s="82"/>
      <c r="BRT182" s="82"/>
      <c r="BRU182" s="82"/>
      <c r="BRV182" s="82"/>
      <c r="BRW182" s="82"/>
      <c r="BRX182" s="82"/>
      <c r="BRY182" s="82"/>
      <c r="BRZ182" s="82"/>
      <c r="BSA182" s="82"/>
      <c r="BSB182" s="82"/>
      <c r="BSC182" s="82"/>
      <c r="BSD182" s="82"/>
      <c r="BSE182" s="82"/>
      <c r="BSF182" s="82"/>
      <c r="BSG182" s="82"/>
      <c r="BSH182" s="82"/>
      <c r="BSI182" s="82"/>
      <c r="BSJ182" s="82"/>
      <c r="BSK182" s="82"/>
      <c r="BSL182" s="82"/>
      <c r="BSM182" s="82"/>
      <c r="BSN182" s="82"/>
      <c r="BSO182" s="82"/>
      <c r="BSP182" s="82"/>
      <c r="BSQ182" s="82"/>
      <c r="BSR182" s="82"/>
      <c r="BSS182" s="82"/>
      <c r="BST182" s="82"/>
      <c r="BSU182" s="82"/>
      <c r="BSV182" s="82"/>
      <c r="BSW182" s="82"/>
      <c r="BSX182" s="82"/>
      <c r="BSY182" s="82"/>
      <c r="BSZ182" s="82"/>
      <c r="BTA182" s="82"/>
      <c r="BTB182" s="82"/>
      <c r="BTC182" s="82"/>
      <c r="BTD182" s="82"/>
      <c r="BTE182" s="82"/>
      <c r="BTF182" s="82"/>
      <c r="BTG182" s="82"/>
      <c r="BTH182" s="82"/>
      <c r="BTI182" s="82"/>
      <c r="BTJ182" s="82"/>
      <c r="BTK182" s="82"/>
      <c r="BTL182" s="82"/>
      <c r="BTM182" s="82"/>
      <c r="BTN182" s="82"/>
      <c r="BTO182" s="82"/>
      <c r="BTP182" s="82"/>
      <c r="BTQ182" s="82"/>
      <c r="BTR182" s="82"/>
      <c r="BTS182" s="82"/>
      <c r="BTT182" s="82"/>
      <c r="BTU182" s="82"/>
      <c r="BTV182" s="82"/>
      <c r="BTW182" s="82"/>
      <c r="BTX182" s="82"/>
      <c r="BTY182" s="82"/>
      <c r="BTZ182" s="82"/>
      <c r="BUA182" s="82"/>
      <c r="BUB182" s="82"/>
      <c r="BUC182" s="82"/>
      <c r="BUD182" s="82"/>
      <c r="BUE182" s="82"/>
      <c r="BUF182" s="82"/>
      <c r="BUG182" s="82"/>
      <c r="BUH182" s="82"/>
      <c r="BUI182" s="82"/>
      <c r="BUJ182" s="82"/>
      <c r="BUK182" s="82"/>
      <c r="BUL182" s="82"/>
      <c r="BUM182" s="82"/>
      <c r="BUN182" s="82"/>
      <c r="BUO182" s="82"/>
      <c r="BUP182" s="82"/>
      <c r="BUQ182" s="82"/>
      <c r="BUR182" s="82"/>
      <c r="BUS182" s="82"/>
      <c r="BUT182" s="82"/>
      <c r="BUU182" s="82"/>
      <c r="BUV182" s="82"/>
      <c r="BUW182" s="82"/>
      <c r="BUX182" s="82"/>
      <c r="BUY182" s="82"/>
      <c r="BUZ182" s="82"/>
      <c r="BVA182" s="82"/>
      <c r="BVB182" s="82"/>
      <c r="BVC182" s="82"/>
      <c r="BVD182" s="82"/>
      <c r="BVE182" s="82"/>
      <c r="BVF182" s="82"/>
      <c r="BVG182" s="82"/>
      <c r="BVH182" s="82"/>
      <c r="BVI182" s="82"/>
      <c r="BVJ182" s="82"/>
      <c r="BVK182" s="82"/>
      <c r="BVL182" s="82"/>
      <c r="BVM182" s="82"/>
      <c r="BVN182" s="82"/>
      <c r="BVO182" s="82"/>
      <c r="BVP182" s="82"/>
      <c r="BVQ182" s="82"/>
      <c r="BVR182" s="82"/>
      <c r="BVS182" s="82"/>
      <c r="BVT182" s="82"/>
      <c r="BVU182" s="82"/>
      <c r="BVV182" s="82"/>
      <c r="BVW182" s="82"/>
      <c r="BVX182" s="82"/>
      <c r="BVY182" s="82"/>
      <c r="BVZ182" s="82"/>
      <c r="BWA182" s="82"/>
      <c r="BWB182" s="82"/>
      <c r="BWC182" s="82"/>
      <c r="BWD182" s="82"/>
      <c r="BWE182" s="82"/>
      <c r="BWF182" s="82"/>
      <c r="BWG182" s="82"/>
      <c r="BWH182" s="82"/>
      <c r="BWI182" s="82"/>
      <c r="BWJ182" s="82"/>
      <c r="BWK182" s="82"/>
      <c r="BWL182" s="82"/>
      <c r="BWM182" s="82"/>
      <c r="BWN182" s="82"/>
      <c r="BWO182" s="82"/>
      <c r="BWP182" s="82"/>
      <c r="BWQ182" s="82"/>
      <c r="BWR182" s="82"/>
      <c r="BWS182" s="82"/>
      <c r="BWT182" s="82"/>
      <c r="BWU182" s="82"/>
      <c r="BWV182" s="82"/>
      <c r="BWW182" s="82"/>
      <c r="BWX182" s="82"/>
      <c r="BWY182" s="82"/>
      <c r="BWZ182" s="82"/>
      <c r="BXA182" s="82"/>
      <c r="BXB182" s="82"/>
      <c r="BXC182" s="82"/>
      <c r="BXD182" s="82"/>
      <c r="BXE182" s="82"/>
      <c r="BXF182" s="82"/>
      <c r="BXG182" s="82"/>
      <c r="BXH182" s="82"/>
      <c r="BXI182" s="82"/>
      <c r="BXJ182" s="82"/>
      <c r="BXK182" s="82"/>
      <c r="BXL182" s="82"/>
      <c r="BXM182" s="82"/>
      <c r="BXN182" s="82"/>
      <c r="BXO182" s="82"/>
      <c r="BXP182" s="82"/>
      <c r="BXQ182" s="82"/>
      <c r="BXR182" s="82"/>
      <c r="BXS182" s="82"/>
      <c r="BXT182" s="82"/>
      <c r="BXU182" s="82"/>
      <c r="BXV182" s="82"/>
      <c r="BXW182" s="82"/>
      <c r="BXX182" s="82"/>
      <c r="BXY182" s="82"/>
      <c r="BXZ182" s="82"/>
      <c r="BYA182" s="82"/>
      <c r="BYB182" s="82"/>
      <c r="BYC182" s="82"/>
      <c r="BYD182" s="82"/>
      <c r="BYE182" s="82"/>
      <c r="BYF182" s="82"/>
      <c r="BYG182" s="82"/>
      <c r="BYH182" s="82"/>
      <c r="BYI182" s="82"/>
      <c r="BYJ182" s="82"/>
      <c r="BYK182" s="82"/>
      <c r="BYL182" s="82"/>
      <c r="BYM182" s="82"/>
      <c r="BYN182" s="82"/>
      <c r="BYO182" s="82"/>
      <c r="BYP182" s="82"/>
      <c r="BYQ182" s="82"/>
      <c r="BYR182" s="82"/>
      <c r="BYS182" s="82"/>
      <c r="BYT182" s="82"/>
      <c r="BYU182" s="82"/>
      <c r="BYV182" s="82"/>
      <c r="BYW182" s="82"/>
      <c r="BYX182" s="82"/>
      <c r="BYY182" s="82"/>
      <c r="BYZ182" s="82"/>
      <c r="BZA182" s="82"/>
      <c r="BZB182" s="82"/>
      <c r="BZC182" s="82"/>
      <c r="BZD182" s="82"/>
      <c r="BZE182" s="82"/>
      <c r="BZF182" s="82"/>
      <c r="BZG182" s="82"/>
      <c r="BZH182" s="82"/>
      <c r="BZI182" s="82"/>
      <c r="BZJ182" s="82"/>
      <c r="BZK182" s="82"/>
      <c r="BZL182" s="82"/>
      <c r="BZM182" s="82"/>
      <c r="BZN182" s="82"/>
      <c r="BZO182" s="82"/>
      <c r="BZP182" s="82"/>
      <c r="BZQ182" s="82"/>
      <c r="BZR182" s="82"/>
      <c r="BZS182" s="82"/>
      <c r="BZT182" s="82"/>
      <c r="BZU182" s="82"/>
      <c r="BZV182" s="82"/>
      <c r="BZW182" s="82"/>
      <c r="BZX182" s="82"/>
      <c r="BZY182" s="82"/>
      <c r="BZZ182" s="82"/>
      <c r="CAA182" s="82"/>
      <c r="CAB182" s="82"/>
      <c r="CAC182" s="82"/>
      <c r="CAD182" s="82"/>
      <c r="CAE182" s="82"/>
      <c r="CAF182" s="82"/>
      <c r="CAG182" s="82"/>
      <c r="CAH182" s="82"/>
      <c r="CAI182" s="82"/>
      <c r="CAJ182" s="82"/>
      <c r="CAK182" s="82"/>
      <c r="CAL182" s="82"/>
      <c r="CAM182" s="82"/>
      <c r="CAN182" s="82"/>
      <c r="CAO182" s="82"/>
      <c r="CAP182" s="82"/>
      <c r="CAQ182" s="82"/>
      <c r="CAR182" s="82"/>
      <c r="CAS182" s="82"/>
      <c r="CAT182" s="82"/>
      <c r="CAU182" s="82"/>
      <c r="CAV182" s="82"/>
      <c r="CAW182" s="82"/>
      <c r="CAX182" s="82"/>
      <c r="CAY182" s="82"/>
      <c r="CAZ182" s="82"/>
      <c r="CBA182" s="82"/>
      <c r="CBB182" s="82"/>
      <c r="CBC182" s="82"/>
      <c r="CBD182" s="82"/>
      <c r="CBE182" s="82"/>
      <c r="CBF182" s="82"/>
      <c r="CBG182" s="82"/>
      <c r="CBH182" s="82"/>
      <c r="CBI182" s="82"/>
      <c r="CBJ182" s="82"/>
      <c r="CBK182" s="82"/>
      <c r="CBL182" s="82"/>
      <c r="CBM182" s="82"/>
      <c r="CBN182" s="82"/>
      <c r="CBO182" s="82"/>
      <c r="CBP182" s="82"/>
      <c r="CBQ182" s="82"/>
      <c r="CBR182" s="82"/>
      <c r="CBS182" s="82"/>
      <c r="CBT182" s="82"/>
      <c r="CBU182" s="82"/>
      <c r="CBV182" s="82"/>
      <c r="CBW182" s="82"/>
      <c r="CBX182" s="82"/>
      <c r="CBY182" s="82"/>
      <c r="CBZ182" s="82"/>
      <c r="CCA182" s="82"/>
      <c r="CCB182" s="82"/>
      <c r="CCC182" s="82"/>
      <c r="CCD182" s="82"/>
      <c r="CCE182" s="82"/>
      <c r="CCF182" s="82"/>
      <c r="CCG182" s="82"/>
      <c r="CCH182" s="82"/>
      <c r="CCI182" s="82"/>
      <c r="CCJ182" s="82"/>
      <c r="CCK182" s="82"/>
      <c r="CCL182" s="82"/>
      <c r="CCM182" s="82"/>
      <c r="CCN182" s="82"/>
      <c r="CCO182" s="82"/>
      <c r="CCP182" s="82"/>
      <c r="CCQ182" s="82"/>
      <c r="CCR182" s="82"/>
      <c r="CCS182" s="82"/>
      <c r="CCT182" s="82"/>
      <c r="CCU182" s="82"/>
      <c r="CCV182" s="82"/>
      <c r="CCW182" s="82"/>
      <c r="CCX182" s="82"/>
      <c r="CCY182" s="82"/>
      <c r="CCZ182" s="82"/>
      <c r="CDA182" s="82"/>
      <c r="CDB182" s="82"/>
      <c r="CDC182" s="82"/>
      <c r="CDD182" s="82"/>
      <c r="CDE182" s="82"/>
      <c r="CDF182" s="82"/>
      <c r="CDG182" s="82"/>
      <c r="CDH182" s="82"/>
      <c r="CDI182" s="82"/>
      <c r="CDJ182" s="82"/>
      <c r="CDK182" s="82"/>
      <c r="CDL182" s="82"/>
      <c r="CDM182" s="82"/>
      <c r="CDN182" s="82"/>
      <c r="CDO182" s="82"/>
      <c r="CDP182" s="82"/>
      <c r="CDQ182" s="82"/>
      <c r="CDR182" s="82"/>
      <c r="CDS182" s="82"/>
      <c r="CDT182" s="82"/>
      <c r="CDU182" s="82"/>
      <c r="CDV182" s="82"/>
      <c r="CDW182" s="82"/>
      <c r="CDX182" s="82"/>
      <c r="CDY182" s="82"/>
      <c r="CDZ182" s="82"/>
      <c r="CEA182" s="82"/>
      <c r="CEB182" s="82"/>
      <c r="CEC182" s="82"/>
      <c r="CED182" s="82"/>
      <c r="CEE182" s="82"/>
      <c r="CEF182" s="82"/>
      <c r="CEG182" s="82"/>
      <c r="CEH182" s="82"/>
      <c r="CEI182" s="82"/>
      <c r="CEJ182" s="82"/>
      <c r="CEK182" s="82"/>
      <c r="CEL182" s="82"/>
      <c r="CEM182" s="82"/>
      <c r="CEN182" s="82"/>
      <c r="CEO182" s="82"/>
      <c r="CEP182" s="82"/>
      <c r="CEQ182" s="82"/>
      <c r="CER182" s="82"/>
      <c r="CES182" s="82"/>
      <c r="CET182" s="82"/>
      <c r="CEU182" s="82"/>
      <c r="CEV182" s="82"/>
      <c r="CEW182" s="82"/>
      <c r="CEX182" s="82"/>
      <c r="CEY182" s="82"/>
      <c r="CEZ182" s="82"/>
      <c r="CFA182" s="82"/>
      <c r="CFB182" s="82"/>
      <c r="CFC182" s="82"/>
      <c r="CFD182" s="82"/>
      <c r="CFE182" s="82"/>
      <c r="CFF182" s="82"/>
      <c r="CFG182" s="82"/>
      <c r="CFH182" s="82"/>
      <c r="CFI182" s="82"/>
      <c r="CFJ182" s="82"/>
      <c r="CFK182" s="82"/>
      <c r="CFL182" s="82"/>
      <c r="CFM182" s="82"/>
      <c r="CFN182" s="82"/>
      <c r="CFO182" s="82"/>
      <c r="CFP182" s="82"/>
      <c r="CFQ182" s="82"/>
      <c r="CFR182" s="82"/>
      <c r="CFS182" s="82"/>
      <c r="CFT182" s="82"/>
      <c r="CFU182" s="82"/>
      <c r="CFV182" s="82"/>
      <c r="CFW182" s="82"/>
      <c r="CFX182" s="82"/>
      <c r="CFY182" s="82"/>
      <c r="CFZ182" s="82"/>
      <c r="CGA182" s="82"/>
      <c r="CGB182" s="82"/>
      <c r="CGC182" s="82"/>
      <c r="CGD182" s="82"/>
      <c r="CGE182" s="82"/>
      <c r="CGF182" s="82"/>
      <c r="CGG182" s="82"/>
      <c r="CGH182" s="82"/>
      <c r="CGI182" s="82"/>
      <c r="CGJ182" s="82"/>
      <c r="CGK182" s="82"/>
      <c r="CGL182" s="82"/>
      <c r="CGM182" s="82"/>
      <c r="CGN182" s="82"/>
      <c r="CGO182" s="82"/>
      <c r="CGP182" s="82"/>
      <c r="CGQ182" s="82"/>
      <c r="CGR182" s="82"/>
      <c r="CGS182" s="82"/>
      <c r="CGT182" s="82"/>
      <c r="CGU182" s="82"/>
      <c r="CGV182" s="82"/>
      <c r="CGW182" s="82"/>
      <c r="CGX182" s="82"/>
      <c r="CGY182" s="82"/>
      <c r="CGZ182" s="82"/>
      <c r="CHA182" s="82"/>
      <c r="CHB182" s="82"/>
      <c r="CHC182" s="82"/>
      <c r="CHD182" s="82"/>
      <c r="CHE182" s="82"/>
      <c r="CHF182" s="82"/>
      <c r="CHG182" s="82"/>
      <c r="CHH182" s="82"/>
      <c r="CHI182" s="82"/>
      <c r="CHJ182" s="82"/>
      <c r="CHK182" s="82"/>
      <c r="CHL182" s="82"/>
      <c r="CHM182" s="82"/>
      <c r="CHN182" s="82"/>
      <c r="CHO182" s="82"/>
      <c r="CHP182" s="82"/>
      <c r="CHQ182" s="82"/>
      <c r="CHR182" s="82"/>
      <c r="CHS182" s="82"/>
      <c r="CHT182" s="82"/>
      <c r="CHU182" s="82"/>
      <c r="CHV182" s="82"/>
      <c r="CHW182" s="82"/>
      <c r="CHX182" s="82"/>
      <c r="CHY182" s="82"/>
      <c r="CHZ182" s="82"/>
      <c r="CIA182" s="82"/>
      <c r="CIB182" s="82"/>
      <c r="CIC182" s="82"/>
      <c r="CID182" s="82"/>
      <c r="CIE182" s="82"/>
      <c r="CIF182" s="82"/>
      <c r="CIG182" s="82"/>
      <c r="CIH182" s="82"/>
      <c r="CII182" s="82"/>
      <c r="CIJ182" s="82"/>
      <c r="CIK182" s="82"/>
      <c r="CIL182" s="82"/>
      <c r="CIM182" s="82"/>
      <c r="CIN182" s="82"/>
      <c r="CIO182" s="82"/>
      <c r="CIP182" s="82"/>
      <c r="CIQ182" s="82"/>
      <c r="CIR182" s="82"/>
      <c r="CIS182" s="82"/>
      <c r="CIT182" s="82"/>
      <c r="CIU182" s="82"/>
      <c r="CIV182" s="82"/>
      <c r="CIW182" s="82"/>
      <c r="CIX182" s="82"/>
      <c r="CIY182" s="82"/>
      <c r="CIZ182" s="82"/>
      <c r="CJA182" s="82"/>
      <c r="CJB182" s="82"/>
      <c r="CJC182" s="82"/>
      <c r="CJD182" s="82"/>
      <c r="CJE182" s="82"/>
      <c r="CJF182" s="82"/>
      <c r="CJG182" s="82"/>
      <c r="CJH182" s="82"/>
      <c r="CJI182" s="82"/>
      <c r="CJJ182" s="82"/>
      <c r="CJK182" s="82"/>
      <c r="CJL182" s="82"/>
      <c r="CJM182" s="82"/>
      <c r="CJN182" s="82"/>
      <c r="CJO182" s="82"/>
      <c r="CJP182" s="82"/>
      <c r="CJQ182" s="82"/>
      <c r="CJR182" s="82"/>
      <c r="CJS182" s="82"/>
      <c r="CJT182" s="82"/>
      <c r="CJU182" s="82"/>
      <c r="CJV182" s="82"/>
      <c r="CJW182" s="82"/>
      <c r="CJX182" s="82"/>
      <c r="CJY182" s="82"/>
      <c r="CJZ182" s="82"/>
      <c r="CKA182" s="82"/>
      <c r="CKB182" s="82"/>
      <c r="CKC182" s="82"/>
      <c r="CKD182" s="82"/>
      <c r="CKE182" s="82"/>
      <c r="CKF182" s="82"/>
      <c r="CKG182" s="82"/>
      <c r="CKH182" s="82"/>
      <c r="CKI182" s="82"/>
      <c r="CKJ182" s="82"/>
      <c r="CKK182" s="82"/>
      <c r="CKL182" s="82"/>
      <c r="CKM182" s="82"/>
      <c r="CKN182" s="82"/>
      <c r="CKO182" s="82"/>
      <c r="CKP182" s="82"/>
      <c r="CKQ182" s="82"/>
      <c r="CKR182" s="82"/>
      <c r="CKS182" s="82"/>
      <c r="CKT182" s="82"/>
      <c r="CKU182" s="82"/>
      <c r="CKV182" s="82"/>
      <c r="CKW182" s="82"/>
      <c r="CKX182" s="82"/>
      <c r="CKY182" s="82"/>
      <c r="CKZ182" s="82"/>
      <c r="CLA182" s="82"/>
      <c r="CLB182" s="82"/>
      <c r="CLC182" s="82"/>
      <c r="CLD182" s="82"/>
      <c r="CLE182" s="82"/>
      <c r="CLF182" s="82"/>
      <c r="CLG182" s="82"/>
      <c r="CLH182" s="82"/>
      <c r="CLI182" s="82"/>
      <c r="CLJ182" s="82"/>
      <c r="CLK182" s="82"/>
      <c r="CLL182" s="82"/>
      <c r="CLM182" s="82"/>
      <c r="CLN182" s="82"/>
      <c r="CLO182" s="82"/>
      <c r="CLP182" s="82"/>
      <c r="CLQ182" s="82"/>
      <c r="CLR182" s="82"/>
      <c r="CLS182" s="82"/>
      <c r="CLT182" s="82"/>
      <c r="CLU182" s="82"/>
      <c r="CLV182" s="82"/>
      <c r="CLW182" s="82"/>
      <c r="CLX182" s="82"/>
      <c r="CLY182" s="82"/>
      <c r="CLZ182" s="82"/>
      <c r="CMA182" s="82"/>
      <c r="CMB182" s="82"/>
      <c r="CMC182" s="82"/>
      <c r="CMD182" s="82"/>
      <c r="CME182" s="82"/>
      <c r="CMF182" s="82"/>
      <c r="CMG182" s="82"/>
      <c r="CMH182" s="82"/>
      <c r="CMI182" s="82"/>
      <c r="CMJ182" s="82"/>
      <c r="CMK182" s="82"/>
      <c r="CML182" s="82"/>
      <c r="CMM182" s="82"/>
      <c r="CMN182" s="82"/>
      <c r="CMO182" s="82"/>
      <c r="CMP182" s="82"/>
      <c r="CMQ182" s="82"/>
      <c r="CMR182" s="82"/>
      <c r="CMS182" s="82"/>
      <c r="CMT182" s="82"/>
      <c r="CMU182" s="82"/>
      <c r="CMV182" s="82"/>
      <c r="CMW182" s="82"/>
      <c r="CMX182" s="82"/>
      <c r="CMY182" s="82"/>
      <c r="CMZ182" s="82"/>
      <c r="CNA182" s="82"/>
      <c r="CNB182" s="82"/>
      <c r="CNC182" s="82"/>
      <c r="CND182" s="82"/>
      <c r="CNE182" s="82"/>
      <c r="CNF182" s="82"/>
      <c r="CNG182" s="82"/>
      <c r="CNH182" s="82"/>
      <c r="CNI182" s="82"/>
      <c r="CNJ182" s="82"/>
      <c r="CNK182" s="82"/>
      <c r="CNL182" s="82"/>
      <c r="CNM182" s="82"/>
      <c r="CNN182" s="82"/>
      <c r="CNO182" s="82"/>
      <c r="CNP182" s="82"/>
      <c r="CNQ182" s="82"/>
      <c r="CNR182" s="82"/>
      <c r="CNS182" s="82"/>
      <c r="CNT182" s="82"/>
      <c r="CNU182" s="82"/>
      <c r="CNV182" s="82"/>
      <c r="CNW182" s="82"/>
      <c r="CNX182" s="82"/>
      <c r="CNY182" s="82"/>
      <c r="CNZ182" s="82"/>
      <c r="COA182" s="82"/>
      <c r="COB182" s="82"/>
      <c r="COC182" s="82"/>
      <c r="COD182" s="82"/>
      <c r="COE182" s="82"/>
      <c r="COF182" s="82"/>
      <c r="COG182" s="82"/>
      <c r="COH182" s="82"/>
      <c r="COI182" s="82"/>
      <c r="COJ182" s="82"/>
      <c r="COK182" s="82"/>
      <c r="COL182" s="82"/>
      <c r="COM182" s="82"/>
      <c r="CON182" s="82"/>
      <c r="COO182" s="82"/>
      <c r="COP182" s="82"/>
      <c r="COQ182" s="82"/>
      <c r="COR182" s="82"/>
      <c r="COS182" s="82"/>
      <c r="COT182" s="82"/>
      <c r="COU182" s="82"/>
      <c r="COV182" s="82"/>
      <c r="COW182" s="82"/>
      <c r="COX182" s="82"/>
      <c r="COY182" s="82"/>
      <c r="COZ182" s="82"/>
      <c r="CPA182" s="82"/>
      <c r="CPB182" s="82"/>
      <c r="CPC182" s="82"/>
      <c r="CPD182" s="82"/>
      <c r="CPE182" s="82"/>
      <c r="CPF182" s="82"/>
      <c r="CPG182" s="82"/>
      <c r="CPH182" s="82"/>
      <c r="CPI182" s="82"/>
      <c r="CPJ182" s="82"/>
      <c r="CPK182" s="82"/>
      <c r="CPL182" s="82"/>
      <c r="CPM182" s="82"/>
      <c r="CPN182" s="82"/>
      <c r="CPO182" s="82"/>
      <c r="CPP182" s="82"/>
      <c r="CPQ182" s="82"/>
      <c r="CPR182" s="82"/>
      <c r="CPS182" s="82"/>
      <c r="CPT182" s="82"/>
      <c r="CPU182" s="82"/>
      <c r="CPV182" s="82"/>
      <c r="CPW182" s="82"/>
      <c r="CPX182" s="82"/>
      <c r="CPY182" s="82"/>
      <c r="CPZ182" s="82"/>
      <c r="CQA182" s="82"/>
      <c r="CQB182" s="82"/>
      <c r="CQC182" s="82"/>
      <c r="CQD182" s="82"/>
      <c r="CQE182" s="82"/>
      <c r="CQF182" s="82"/>
      <c r="CQG182" s="82"/>
      <c r="CQH182" s="82"/>
      <c r="CQI182" s="82"/>
      <c r="CQJ182" s="82"/>
      <c r="CQK182" s="82"/>
      <c r="CQL182" s="82"/>
      <c r="CQM182" s="82"/>
      <c r="CQN182" s="82"/>
      <c r="CQO182" s="82"/>
      <c r="CQP182" s="82"/>
      <c r="CQQ182" s="82"/>
      <c r="CQR182" s="82"/>
      <c r="CQS182" s="82"/>
      <c r="CQT182" s="82"/>
      <c r="CQU182" s="82"/>
      <c r="CQV182" s="82"/>
      <c r="CQW182" s="82"/>
      <c r="CQX182" s="82"/>
      <c r="CQY182" s="82"/>
      <c r="CQZ182" s="82"/>
      <c r="CRA182" s="82"/>
      <c r="CRB182" s="82"/>
      <c r="CRC182" s="82"/>
      <c r="CRD182" s="82"/>
      <c r="CRE182" s="82"/>
      <c r="CRF182" s="82"/>
      <c r="CRG182" s="82"/>
      <c r="CRH182" s="82"/>
      <c r="CRI182" s="82"/>
      <c r="CRJ182" s="82"/>
      <c r="CRK182" s="82"/>
      <c r="CRL182" s="82"/>
      <c r="CRM182" s="82"/>
      <c r="CRN182" s="82"/>
      <c r="CRO182" s="82"/>
      <c r="CRP182" s="82"/>
      <c r="CRQ182" s="82"/>
      <c r="CRR182" s="82"/>
      <c r="CRS182" s="82"/>
      <c r="CRT182" s="82"/>
      <c r="CRU182" s="82"/>
      <c r="CRV182" s="82"/>
      <c r="CRW182" s="82"/>
      <c r="CRX182" s="82"/>
      <c r="CRY182" s="82"/>
      <c r="CRZ182" s="82"/>
      <c r="CSA182" s="82"/>
      <c r="CSB182" s="82"/>
      <c r="CSC182" s="82"/>
      <c r="CSD182" s="82"/>
      <c r="CSE182" s="82"/>
      <c r="CSF182" s="82"/>
      <c r="CSG182" s="82"/>
      <c r="CSH182" s="82"/>
      <c r="CSI182" s="82"/>
      <c r="CSJ182" s="82"/>
      <c r="CSK182" s="82"/>
      <c r="CSL182" s="82"/>
      <c r="CSM182" s="82"/>
      <c r="CSN182" s="82"/>
      <c r="CSO182" s="82"/>
      <c r="CSP182" s="82"/>
      <c r="CSQ182" s="82"/>
      <c r="CSR182" s="82"/>
      <c r="CSS182" s="82"/>
      <c r="CST182" s="82"/>
      <c r="CSU182" s="82"/>
      <c r="CSV182" s="82"/>
      <c r="CSW182" s="82"/>
      <c r="CSX182" s="82"/>
      <c r="CSY182" s="82"/>
      <c r="CSZ182" s="82"/>
      <c r="CTA182" s="82"/>
      <c r="CTB182" s="82"/>
      <c r="CTC182" s="82"/>
      <c r="CTD182" s="82"/>
      <c r="CTE182" s="82"/>
      <c r="CTF182" s="82"/>
      <c r="CTG182" s="82"/>
      <c r="CTH182" s="82"/>
      <c r="CTI182" s="82"/>
      <c r="CTJ182" s="82"/>
      <c r="CTK182" s="82"/>
      <c r="CTL182" s="82"/>
      <c r="CTM182" s="82"/>
      <c r="CTN182" s="82"/>
      <c r="CTO182" s="82"/>
      <c r="CTP182" s="82"/>
      <c r="CTQ182" s="82"/>
      <c r="CTR182" s="82"/>
      <c r="CTS182" s="82"/>
      <c r="CTT182" s="82"/>
      <c r="CTU182" s="82"/>
      <c r="CTV182" s="82"/>
      <c r="CTW182" s="82"/>
      <c r="CTX182" s="82"/>
      <c r="CTY182" s="82"/>
      <c r="CTZ182" s="82"/>
      <c r="CUA182" s="82"/>
      <c r="CUB182" s="82"/>
      <c r="CUC182" s="82"/>
      <c r="CUD182" s="82"/>
      <c r="CUE182" s="82"/>
      <c r="CUF182" s="82"/>
      <c r="CUG182" s="82"/>
      <c r="CUH182" s="82"/>
      <c r="CUI182" s="82"/>
      <c r="CUJ182" s="82"/>
      <c r="CUK182" s="82"/>
      <c r="CUL182" s="82"/>
      <c r="CUM182" s="82"/>
      <c r="CUN182" s="82"/>
      <c r="CUO182" s="82"/>
      <c r="CUP182" s="82"/>
      <c r="CUQ182" s="82"/>
      <c r="CUR182" s="82"/>
      <c r="CUS182" s="82"/>
      <c r="CUT182" s="82"/>
      <c r="CUU182" s="82"/>
      <c r="CUV182" s="82"/>
      <c r="CUW182" s="82"/>
      <c r="CUX182" s="82"/>
      <c r="CUY182" s="82"/>
      <c r="CUZ182" s="82"/>
      <c r="CVA182" s="82"/>
      <c r="CVB182" s="82"/>
      <c r="CVC182" s="82"/>
      <c r="CVD182" s="82"/>
      <c r="CVE182" s="82"/>
      <c r="CVF182" s="82"/>
      <c r="CVG182" s="82"/>
      <c r="CVH182" s="82"/>
      <c r="CVI182" s="82"/>
      <c r="CVJ182" s="82"/>
      <c r="CVK182" s="82"/>
      <c r="CVL182" s="82"/>
      <c r="CVM182" s="82"/>
      <c r="CVN182" s="82"/>
      <c r="CVO182" s="82"/>
      <c r="CVP182" s="82"/>
      <c r="CVQ182" s="82"/>
      <c r="CVR182" s="82"/>
      <c r="CVS182" s="82"/>
      <c r="CVT182" s="82"/>
      <c r="CVU182" s="82"/>
      <c r="CVV182" s="82"/>
      <c r="CVW182" s="82"/>
      <c r="CVX182" s="82"/>
      <c r="CVY182" s="82"/>
      <c r="CVZ182" s="82"/>
      <c r="CWA182" s="82"/>
      <c r="CWB182" s="82"/>
      <c r="CWC182" s="82"/>
      <c r="CWD182" s="82"/>
      <c r="CWE182" s="82"/>
      <c r="CWF182" s="82"/>
      <c r="CWG182" s="82"/>
      <c r="CWH182" s="82"/>
      <c r="CWI182" s="82"/>
      <c r="CWJ182" s="82"/>
      <c r="CWK182" s="82"/>
      <c r="CWL182" s="82"/>
      <c r="CWM182" s="82"/>
      <c r="CWN182" s="82"/>
      <c r="CWO182" s="82"/>
      <c r="CWP182" s="82"/>
      <c r="CWQ182" s="82"/>
      <c r="CWR182" s="82"/>
      <c r="CWS182" s="82"/>
      <c r="CWT182" s="82"/>
      <c r="CWU182" s="82"/>
      <c r="CWV182" s="82"/>
      <c r="CWW182" s="82"/>
      <c r="CWX182" s="82"/>
      <c r="CWY182" s="82"/>
      <c r="CWZ182" s="82"/>
      <c r="CXA182" s="82"/>
      <c r="CXB182" s="82"/>
      <c r="CXC182" s="82"/>
      <c r="CXD182" s="82"/>
      <c r="CXE182" s="82"/>
      <c r="CXF182" s="82"/>
      <c r="CXG182" s="82"/>
      <c r="CXH182" s="82"/>
      <c r="CXI182" s="82"/>
      <c r="CXJ182" s="82"/>
      <c r="CXK182" s="82"/>
      <c r="CXL182" s="82"/>
      <c r="CXM182" s="82"/>
      <c r="CXN182" s="82"/>
      <c r="CXO182" s="82"/>
      <c r="CXP182" s="82"/>
      <c r="CXQ182" s="82"/>
      <c r="CXR182" s="82"/>
      <c r="CXS182" s="82"/>
      <c r="CXT182" s="82"/>
      <c r="CXU182" s="82"/>
      <c r="CXV182" s="82"/>
      <c r="CXW182" s="82"/>
      <c r="CXX182" s="82"/>
      <c r="CXY182" s="82"/>
      <c r="CXZ182" s="82"/>
      <c r="CYA182" s="82"/>
      <c r="CYB182" s="82"/>
      <c r="CYC182" s="82"/>
      <c r="CYD182" s="82"/>
      <c r="CYE182" s="82"/>
      <c r="CYF182" s="82"/>
      <c r="CYG182" s="82"/>
      <c r="CYH182" s="82"/>
      <c r="CYI182" s="82"/>
      <c r="CYJ182" s="82"/>
      <c r="CYK182" s="82"/>
      <c r="CYL182" s="82"/>
      <c r="CYM182" s="82"/>
      <c r="CYN182" s="82"/>
      <c r="CYO182" s="82"/>
      <c r="CYP182" s="82"/>
      <c r="CYQ182" s="82"/>
      <c r="CYR182" s="82"/>
      <c r="CYS182" s="82"/>
      <c r="CYT182" s="82"/>
      <c r="CYU182" s="82"/>
      <c r="CYV182" s="82"/>
      <c r="CYW182" s="82"/>
      <c r="CYX182" s="82"/>
      <c r="CYY182" s="82"/>
      <c r="CYZ182" s="82"/>
      <c r="CZA182" s="82"/>
      <c r="CZB182" s="82"/>
      <c r="CZC182" s="82"/>
      <c r="CZD182" s="82"/>
      <c r="CZE182" s="82"/>
      <c r="CZF182" s="82"/>
      <c r="CZG182" s="82"/>
      <c r="CZH182" s="82"/>
      <c r="CZI182" s="82"/>
      <c r="CZJ182" s="82"/>
      <c r="CZK182" s="82"/>
      <c r="CZL182" s="82"/>
      <c r="CZM182" s="82"/>
      <c r="CZN182" s="82"/>
      <c r="CZO182" s="82"/>
      <c r="CZP182" s="82"/>
      <c r="CZQ182" s="82"/>
      <c r="CZR182" s="82"/>
      <c r="CZS182" s="82"/>
      <c r="CZT182" s="82"/>
      <c r="CZU182" s="82"/>
      <c r="CZV182" s="82"/>
      <c r="CZW182" s="82"/>
      <c r="CZX182" s="82"/>
      <c r="CZY182" s="82"/>
      <c r="CZZ182" s="82"/>
      <c r="DAA182" s="82"/>
      <c r="DAB182" s="82"/>
      <c r="DAC182" s="82"/>
      <c r="DAD182" s="82"/>
      <c r="DAE182" s="82"/>
      <c r="DAF182" s="82"/>
      <c r="DAG182" s="82"/>
      <c r="DAH182" s="82"/>
      <c r="DAI182" s="82"/>
      <c r="DAJ182" s="82"/>
      <c r="DAK182" s="82"/>
      <c r="DAL182" s="82"/>
      <c r="DAM182" s="82"/>
      <c r="DAN182" s="82"/>
      <c r="DAO182" s="82"/>
      <c r="DAP182" s="82"/>
      <c r="DAQ182" s="82"/>
      <c r="DAR182" s="82"/>
      <c r="DAS182" s="82"/>
      <c r="DAT182" s="82"/>
      <c r="DAU182" s="82"/>
      <c r="DAV182" s="82"/>
      <c r="DAW182" s="82"/>
      <c r="DAX182" s="82"/>
      <c r="DAY182" s="82"/>
      <c r="DAZ182" s="82"/>
      <c r="DBA182" s="82"/>
      <c r="DBB182" s="82"/>
      <c r="DBC182" s="82"/>
      <c r="DBD182" s="82"/>
      <c r="DBE182" s="82"/>
      <c r="DBF182" s="82"/>
      <c r="DBG182" s="82"/>
      <c r="DBH182" s="82"/>
      <c r="DBI182" s="82"/>
      <c r="DBJ182" s="82"/>
      <c r="DBK182" s="82"/>
      <c r="DBL182" s="82"/>
      <c r="DBM182" s="82"/>
      <c r="DBN182" s="82"/>
      <c r="DBO182" s="82"/>
      <c r="DBP182" s="82"/>
      <c r="DBQ182" s="82"/>
      <c r="DBR182" s="82"/>
      <c r="DBS182" s="82"/>
      <c r="DBT182" s="82"/>
      <c r="DBU182" s="82"/>
      <c r="DBV182" s="82"/>
      <c r="DBW182" s="82"/>
      <c r="DBX182" s="82"/>
      <c r="DBY182" s="82"/>
      <c r="DBZ182" s="82"/>
      <c r="DCA182" s="82"/>
      <c r="DCB182" s="82"/>
      <c r="DCC182" s="82"/>
      <c r="DCD182" s="82"/>
      <c r="DCE182" s="82"/>
      <c r="DCF182" s="82"/>
      <c r="DCG182" s="82"/>
      <c r="DCH182" s="82"/>
      <c r="DCI182" s="82"/>
      <c r="DCJ182" s="82"/>
      <c r="DCK182" s="82"/>
      <c r="DCL182" s="82"/>
      <c r="DCM182" s="82"/>
      <c r="DCN182" s="82"/>
      <c r="DCO182" s="82"/>
      <c r="DCP182" s="82"/>
      <c r="DCQ182" s="82"/>
      <c r="DCR182" s="82"/>
      <c r="DCS182" s="82"/>
      <c r="DCT182" s="82"/>
      <c r="DCU182" s="82"/>
      <c r="DCV182" s="82"/>
      <c r="DCW182" s="82"/>
      <c r="DCX182" s="82"/>
      <c r="DCY182" s="82"/>
      <c r="DCZ182" s="82"/>
      <c r="DDA182" s="82"/>
      <c r="DDB182" s="82"/>
      <c r="DDC182" s="82"/>
      <c r="DDD182" s="82"/>
      <c r="DDE182" s="82"/>
      <c r="DDF182" s="82"/>
      <c r="DDG182" s="82"/>
      <c r="DDH182" s="82"/>
      <c r="DDI182" s="82"/>
      <c r="DDJ182" s="82"/>
      <c r="DDK182" s="82"/>
      <c r="DDL182" s="82"/>
      <c r="DDM182" s="82"/>
      <c r="DDN182" s="82"/>
      <c r="DDO182" s="82"/>
      <c r="DDP182" s="82"/>
      <c r="DDQ182" s="82"/>
      <c r="DDR182" s="82"/>
      <c r="DDS182" s="82"/>
      <c r="DDT182" s="82"/>
      <c r="DDU182" s="82"/>
      <c r="DDV182" s="82"/>
      <c r="DDW182" s="82"/>
      <c r="DDX182" s="82"/>
      <c r="DDY182" s="82"/>
      <c r="DDZ182" s="82"/>
      <c r="DEA182" s="82"/>
      <c r="DEB182" s="82"/>
      <c r="DEC182" s="82"/>
      <c r="DED182" s="82"/>
      <c r="DEE182" s="82"/>
      <c r="DEF182" s="82"/>
      <c r="DEG182" s="82"/>
      <c r="DEH182" s="82"/>
      <c r="DEI182" s="82"/>
      <c r="DEJ182" s="82"/>
      <c r="DEK182" s="82"/>
      <c r="DEL182" s="82"/>
      <c r="DEM182" s="82"/>
      <c r="DEN182" s="82"/>
      <c r="DEO182" s="82"/>
      <c r="DEP182" s="82"/>
      <c r="DEQ182" s="82"/>
      <c r="DER182" s="82"/>
      <c r="DES182" s="82"/>
      <c r="DET182" s="82"/>
      <c r="DEU182" s="82"/>
      <c r="DEV182" s="82"/>
      <c r="DEW182" s="82"/>
      <c r="DEX182" s="82"/>
      <c r="DEY182" s="82"/>
      <c r="DEZ182" s="82"/>
      <c r="DFA182" s="82"/>
      <c r="DFB182" s="82"/>
      <c r="DFC182" s="82"/>
      <c r="DFD182" s="82"/>
      <c r="DFE182" s="82"/>
      <c r="DFF182" s="82"/>
      <c r="DFG182" s="82"/>
      <c r="DFH182" s="82"/>
      <c r="DFI182" s="82"/>
      <c r="DFJ182" s="82"/>
      <c r="DFK182" s="82"/>
      <c r="DFL182" s="82"/>
      <c r="DFM182" s="82"/>
      <c r="DFN182" s="82"/>
      <c r="DFO182" s="82"/>
      <c r="DFP182" s="82"/>
      <c r="DFQ182" s="82"/>
      <c r="DFR182" s="82"/>
      <c r="DFS182" s="82"/>
      <c r="DFT182" s="82"/>
      <c r="DFU182" s="82"/>
      <c r="DFV182" s="82"/>
      <c r="DFW182" s="82"/>
      <c r="DFX182" s="82"/>
      <c r="DFY182" s="82"/>
      <c r="DFZ182" s="82"/>
      <c r="DGA182" s="82"/>
      <c r="DGB182" s="82"/>
      <c r="DGC182" s="82"/>
      <c r="DGD182" s="82"/>
      <c r="DGE182" s="82"/>
      <c r="DGF182" s="82"/>
      <c r="DGG182" s="82"/>
      <c r="DGH182" s="82"/>
      <c r="DGI182" s="82"/>
      <c r="DGJ182" s="82"/>
      <c r="DGK182" s="82"/>
      <c r="DGL182" s="82"/>
      <c r="DGM182" s="82"/>
      <c r="DGN182" s="82"/>
      <c r="DGO182" s="82"/>
      <c r="DGP182" s="82"/>
      <c r="DGQ182" s="82"/>
      <c r="DGR182" s="82"/>
      <c r="DGS182" s="82"/>
      <c r="DGT182" s="82"/>
      <c r="DGU182" s="82"/>
      <c r="DGV182" s="82"/>
      <c r="DGW182" s="82"/>
      <c r="DGX182" s="82"/>
      <c r="DGY182" s="82"/>
      <c r="DGZ182" s="82"/>
      <c r="DHA182" s="82"/>
      <c r="DHB182" s="82"/>
      <c r="DHC182" s="82"/>
      <c r="DHD182" s="82"/>
      <c r="DHE182" s="82"/>
      <c r="DHF182" s="82"/>
      <c r="DHG182" s="82"/>
      <c r="DHH182" s="82"/>
      <c r="DHI182" s="82"/>
      <c r="DHJ182" s="82"/>
      <c r="DHK182" s="82"/>
      <c r="DHL182" s="82"/>
      <c r="DHM182" s="82"/>
      <c r="DHN182" s="82"/>
      <c r="DHO182" s="82"/>
      <c r="DHP182" s="82"/>
      <c r="DHQ182" s="82"/>
      <c r="DHR182" s="82"/>
      <c r="DHS182" s="82"/>
      <c r="DHT182" s="82"/>
      <c r="DHU182" s="82"/>
      <c r="DHV182" s="82"/>
      <c r="DHW182" s="82"/>
      <c r="DHX182" s="82"/>
      <c r="DHY182" s="82"/>
      <c r="DHZ182" s="82"/>
      <c r="DIA182" s="82"/>
      <c r="DIB182" s="82"/>
      <c r="DIC182" s="82"/>
      <c r="DID182" s="82"/>
      <c r="DIE182" s="82"/>
      <c r="DIF182" s="82"/>
      <c r="DIG182" s="82"/>
      <c r="DIH182" s="82"/>
      <c r="DII182" s="82"/>
      <c r="DIJ182" s="82"/>
      <c r="DIK182" s="82"/>
      <c r="DIL182" s="82"/>
      <c r="DIM182" s="82"/>
      <c r="DIN182" s="82"/>
      <c r="DIO182" s="82"/>
      <c r="DIP182" s="82"/>
      <c r="DIQ182" s="82"/>
      <c r="DIR182" s="82"/>
      <c r="DIS182" s="82"/>
      <c r="DIT182" s="82"/>
      <c r="DIU182" s="82"/>
      <c r="DIV182" s="82"/>
      <c r="DIW182" s="82"/>
      <c r="DIX182" s="82"/>
      <c r="DIY182" s="82"/>
      <c r="DIZ182" s="82"/>
      <c r="DJA182" s="82"/>
      <c r="DJB182" s="82"/>
      <c r="DJC182" s="82"/>
      <c r="DJD182" s="82"/>
      <c r="DJE182" s="82"/>
      <c r="DJF182" s="82"/>
      <c r="DJG182" s="82"/>
      <c r="DJH182" s="82"/>
      <c r="DJI182" s="82"/>
      <c r="DJJ182" s="82"/>
      <c r="DJK182" s="82"/>
      <c r="DJL182" s="82"/>
      <c r="DJM182" s="82"/>
      <c r="DJN182" s="82"/>
      <c r="DJO182" s="82"/>
      <c r="DJP182" s="82"/>
      <c r="DJQ182" s="82"/>
      <c r="DJR182" s="82"/>
      <c r="DJS182" s="82"/>
      <c r="DJT182" s="82"/>
      <c r="DJU182" s="82"/>
      <c r="DJV182" s="82"/>
      <c r="DJW182" s="82"/>
      <c r="DJX182" s="82"/>
      <c r="DJY182" s="82"/>
      <c r="DJZ182" s="82"/>
      <c r="DKA182" s="82"/>
      <c r="DKB182" s="82"/>
      <c r="DKC182" s="82"/>
      <c r="DKD182" s="82"/>
      <c r="DKE182" s="82"/>
      <c r="DKF182" s="82"/>
      <c r="DKG182" s="82"/>
      <c r="DKH182" s="82"/>
      <c r="DKI182" s="82"/>
      <c r="DKJ182" s="82"/>
      <c r="DKK182" s="82"/>
      <c r="DKL182" s="82"/>
      <c r="DKM182" s="82"/>
      <c r="DKN182" s="82"/>
      <c r="DKO182" s="82"/>
      <c r="DKP182" s="82"/>
      <c r="DKQ182" s="82"/>
      <c r="DKR182" s="82"/>
      <c r="DKS182" s="82"/>
      <c r="DKT182" s="82"/>
      <c r="DKU182" s="82"/>
      <c r="DKV182" s="82"/>
      <c r="DKW182" s="82"/>
      <c r="DKX182" s="82"/>
      <c r="DKY182" s="82"/>
      <c r="DKZ182" s="82"/>
      <c r="DLA182" s="82"/>
      <c r="DLB182" s="82"/>
      <c r="DLC182" s="82"/>
      <c r="DLD182" s="82"/>
      <c r="DLE182" s="82"/>
      <c r="DLF182" s="82"/>
      <c r="DLG182" s="82"/>
      <c r="DLH182" s="82"/>
      <c r="DLI182" s="82"/>
      <c r="DLJ182" s="82"/>
      <c r="DLK182" s="82"/>
      <c r="DLL182" s="82"/>
      <c r="DLM182" s="82"/>
      <c r="DLN182" s="82"/>
      <c r="DLO182" s="82"/>
      <c r="DLP182" s="82"/>
      <c r="DLQ182" s="82"/>
      <c r="DLR182" s="82"/>
      <c r="DLS182" s="82"/>
      <c r="DLT182" s="82"/>
      <c r="DLU182" s="82"/>
      <c r="DLV182" s="82"/>
      <c r="DLW182" s="82"/>
      <c r="DLX182" s="82"/>
      <c r="DLY182" s="82"/>
      <c r="DLZ182" s="82"/>
      <c r="DMA182" s="82"/>
      <c r="DMB182" s="82"/>
      <c r="DMC182" s="82"/>
      <c r="DMD182" s="82"/>
      <c r="DME182" s="82"/>
      <c r="DMF182" s="82"/>
      <c r="DMG182" s="82"/>
      <c r="DMH182" s="82"/>
      <c r="DMI182" s="82"/>
      <c r="DMJ182" s="82"/>
      <c r="DMK182" s="82"/>
      <c r="DML182" s="82"/>
      <c r="DMM182" s="82"/>
      <c r="DMN182" s="82"/>
      <c r="DMO182" s="82"/>
      <c r="DMP182" s="82"/>
      <c r="DMQ182" s="82"/>
      <c r="DMR182" s="82"/>
      <c r="DMS182" s="82"/>
      <c r="DMT182" s="82"/>
      <c r="DMU182" s="82"/>
      <c r="DMV182" s="82"/>
      <c r="DMW182" s="82"/>
      <c r="DMX182" s="82"/>
      <c r="DMY182" s="82"/>
      <c r="DMZ182" s="82"/>
      <c r="DNA182" s="82"/>
      <c r="DNB182" s="82"/>
      <c r="DNC182" s="82"/>
      <c r="DND182" s="82"/>
      <c r="DNE182" s="82"/>
      <c r="DNF182" s="82"/>
      <c r="DNG182" s="82"/>
      <c r="DNH182" s="82"/>
      <c r="DNI182" s="82"/>
      <c r="DNJ182" s="82"/>
      <c r="DNK182" s="82"/>
      <c r="DNL182" s="82"/>
      <c r="DNM182" s="82"/>
      <c r="DNN182" s="82"/>
      <c r="DNO182" s="82"/>
      <c r="DNP182" s="82"/>
      <c r="DNQ182" s="82"/>
      <c r="DNR182" s="82"/>
      <c r="DNS182" s="82"/>
      <c r="DNT182" s="82"/>
      <c r="DNU182" s="82"/>
      <c r="DNV182" s="82"/>
      <c r="DNW182" s="82"/>
      <c r="DNX182" s="82"/>
      <c r="DNY182" s="82"/>
      <c r="DNZ182" s="82"/>
      <c r="DOA182" s="82"/>
      <c r="DOB182" s="82"/>
      <c r="DOC182" s="82"/>
      <c r="DOD182" s="82"/>
      <c r="DOE182" s="82"/>
      <c r="DOF182" s="82"/>
      <c r="DOG182" s="82"/>
      <c r="DOH182" s="82"/>
      <c r="DOI182" s="82"/>
      <c r="DOJ182" s="82"/>
      <c r="DOK182" s="82"/>
      <c r="DOL182" s="82"/>
      <c r="DOM182" s="82"/>
      <c r="DON182" s="82"/>
      <c r="DOO182" s="82"/>
      <c r="DOP182" s="82"/>
      <c r="DOQ182" s="82"/>
      <c r="DOR182" s="82"/>
      <c r="DOS182" s="82"/>
      <c r="DOT182" s="82"/>
      <c r="DOU182" s="82"/>
      <c r="DOV182" s="82"/>
      <c r="DOW182" s="82"/>
      <c r="DOX182" s="82"/>
      <c r="DOY182" s="82"/>
      <c r="DOZ182" s="82"/>
      <c r="DPA182" s="82"/>
      <c r="DPB182" s="82"/>
      <c r="DPC182" s="82"/>
      <c r="DPD182" s="82"/>
      <c r="DPE182" s="82"/>
      <c r="DPF182" s="82"/>
      <c r="DPG182" s="82"/>
      <c r="DPH182" s="82"/>
      <c r="DPI182" s="82"/>
      <c r="DPJ182" s="82"/>
      <c r="DPK182" s="82"/>
      <c r="DPL182" s="82"/>
      <c r="DPM182" s="82"/>
      <c r="DPN182" s="82"/>
      <c r="DPO182" s="82"/>
      <c r="DPP182" s="82"/>
      <c r="DPQ182" s="82"/>
      <c r="DPR182" s="82"/>
      <c r="DPS182" s="82"/>
      <c r="DPT182" s="82"/>
      <c r="DPU182" s="82"/>
      <c r="DPV182" s="82"/>
      <c r="DPW182" s="82"/>
      <c r="DPX182" s="82"/>
      <c r="DPY182" s="82"/>
      <c r="DPZ182" s="82"/>
      <c r="DQA182" s="82"/>
      <c r="DQB182" s="82"/>
      <c r="DQC182" s="82"/>
      <c r="DQD182" s="82"/>
      <c r="DQE182" s="82"/>
      <c r="DQF182" s="82"/>
      <c r="DQG182" s="82"/>
      <c r="DQH182" s="82"/>
      <c r="DQI182" s="82"/>
      <c r="DQJ182" s="82"/>
      <c r="DQK182" s="82"/>
      <c r="DQL182" s="82"/>
      <c r="DQM182" s="82"/>
      <c r="DQN182" s="82"/>
      <c r="DQO182" s="82"/>
      <c r="DQP182" s="82"/>
      <c r="DQQ182" s="82"/>
      <c r="DQR182" s="82"/>
      <c r="DQS182" s="82"/>
      <c r="DQT182" s="82"/>
      <c r="DQU182" s="82"/>
      <c r="DQV182" s="82"/>
      <c r="DQW182" s="82"/>
      <c r="DQX182" s="82"/>
      <c r="DQY182" s="82"/>
      <c r="DQZ182" s="82"/>
      <c r="DRA182" s="82"/>
      <c r="DRB182" s="82"/>
      <c r="DRC182" s="82"/>
      <c r="DRD182" s="82"/>
      <c r="DRE182" s="82"/>
      <c r="DRF182" s="82"/>
      <c r="DRG182" s="82"/>
      <c r="DRH182" s="82"/>
      <c r="DRI182" s="82"/>
      <c r="DRJ182" s="82"/>
      <c r="DRK182" s="82"/>
      <c r="DRL182" s="82"/>
      <c r="DRM182" s="82"/>
      <c r="DRN182" s="82"/>
      <c r="DRO182" s="82"/>
      <c r="DRP182" s="82"/>
      <c r="DRQ182" s="82"/>
      <c r="DRR182" s="82"/>
      <c r="DRS182" s="82"/>
      <c r="DRT182" s="82"/>
      <c r="DRU182" s="82"/>
      <c r="DRV182" s="82"/>
      <c r="DRW182" s="82"/>
      <c r="DRX182" s="82"/>
      <c r="DRY182" s="82"/>
      <c r="DRZ182" s="82"/>
      <c r="DSA182" s="82"/>
      <c r="DSB182" s="82"/>
      <c r="DSC182" s="82"/>
      <c r="DSD182" s="82"/>
      <c r="DSE182" s="82"/>
      <c r="DSF182" s="82"/>
      <c r="DSG182" s="82"/>
      <c r="DSH182" s="82"/>
      <c r="DSI182" s="82"/>
      <c r="DSJ182" s="82"/>
      <c r="DSK182" s="82"/>
      <c r="DSL182" s="82"/>
      <c r="DSM182" s="82"/>
      <c r="DSN182" s="82"/>
      <c r="DSO182" s="82"/>
      <c r="DSP182" s="82"/>
      <c r="DSQ182" s="82"/>
      <c r="DSR182" s="82"/>
      <c r="DSS182" s="82"/>
      <c r="DST182" s="82"/>
      <c r="DSU182" s="82"/>
      <c r="DSV182" s="82"/>
      <c r="DSW182" s="82"/>
      <c r="DSX182" s="82"/>
      <c r="DSY182" s="82"/>
      <c r="DSZ182" s="82"/>
      <c r="DTA182" s="82"/>
      <c r="DTB182" s="82"/>
      <c r="DTC182" s="82"/>
      <c r="DTD182" s="82"/>
      <c r="DTE182" s="82"/>
      <c r="DTF182" s="82"/>
      <c r="DTG182" s="82"/>
      <c r="DTH182" s="82"/>
      <c r="DTI182" s="82"/>
      <c r="DTJ182" s="82"/>
      <c r="DTK182" s="82"/>
      <c r="DTL182" s="82"/>
      <c r="DTM182" s="82"/>
      <c r="DTN182" s="82"/>
      <c r="DTO182" s="82"/>
      <c r="DTP182" s="82"/>
      <c r="DTQ182" s="82"/>
      <c r="DTR182" s="82"/>
      <c r="DTS182" s="82"/>
      <c r="DTT182" s="82"/>
      <c r="DTU182" s="82"/>
      <c r="DTV182" s="82"/>
      <c r="DTW182" s="82"/>
      <c r="DTX182" s="82"/>
      <c r="DTY182" s="82"/>
      <c r="DTZ182" s="82"/>
      <c r="DUA182" s="82"/>
      <c r="DUB182" s="82"/>
      <c r="DUC182" s="82"/>
      <c r="DUD182" s="82"/>
      <c r="DUE182" s="82"/>
      <c r="DUF182" s="82"/>
      <c r="DUG182" s="82"/>
      <c r="DUH182" s="82"/>
      <c r="DUI182" s="82"/>
      <c r="DUJ182" s="82"/>
      <c r="DUK182" s="82"/>
      <c r="DUL182" s="82"/>
      <c r="DUM182" s="82"/>
      <c r="DUN182" s="82"/>
      <c r="DUO182" s="82"/>
      <c r="DUP182" s="82"/>
      <c r="DUQ182" s="82"/>
      <c r="DUR182" s="82"/>
      <c r="DUS182" s="82"/>
      <c r="DUT182" s="82"/>
      <c r="DUU182" s="82"/>
      <c r="DUV182" s="82"/>
      <c r="DUW182" s="82"/>
      <c r="DUX182" s="82"/>
      <c r="DUY182" s="82"/>
      <c r="DUZ182" s="82"/>
      <c r="DVA182" s="82"/>
      <c r="DVB182" s="82"/>
      <c r="DVC182" s="82"/>
      <c r="DVD182" s="82"/>
      <c r="DVE182" s="82"/>
      <c r="DVF182" s="82"/>
      <c r="DVG182" s="82"/>
      <c r="DVH182" s="82"/>
      <c r="DVI182" s="82"/>
      <c r="DVJ182" s="82"/>
      <c r="DVK182" s="82"/>
      <c r="DVL182" s="82"/>
      <c r="DVM182" s="82"/>
      <c r="DVN182" s="82"/>
      <c r="DVO182" s="82"/>
      <c r="DVP182" s="82"/>
      <c r="DVQ182" s="82"/>
      <c r="DVR182" s="82"/>
      <c r="DVS182" s="82"/>
      <c r="DVT182" s="82"/>
      <c r="DVU182" s="82"/>
      <c r="DVV182" s="82"/>
      <c r="DVW182" s="82"/>
      <c r="DVX182" s="82"/>
      <c r="DVY182" s="82"/>
      <c r="DVZ182" s="82"/>
      <c r="DWA182" s="82"/>
      <c r="DWB182" s="82"/>
      <c r="DWC182" s="82"/>
      <c r="DWD182" s="82"/>
      <c r="DWE182" s="82"/>
      <c r="DWF182" s="82"/>
      <c r="DWG182" s="82"/>
      <c r="DWH182" s="82"/>
      <c r="DWI182" s="82"/>
      <c r="DWJ182" s="82"/>
      <c r="DWK182" s="82"/>
      <c r="DWL182" s="82"/>
      <c r="DWM182" s="82"/>
      <c r="DWN182" s="82"/>
      <c r="DWO182" s="82"/>
      <c r="DWP182" s="82"/>
      <c r="DWQ182" s="82"/>
      <c r="DWR182" s="82"/>
      <c r="DWS182" s="82"/>
      <c r="DWT182" s="82"/>
      <c r="DWU182" s="82"/>
      <c r="DWV182" s="82"/>
      <c r="DWW182" s="82"/>
      <c r="DWX182" s="82"/>
      <c r="DWY182" s="82"/>
      <c r="DWZ182" s="82"/>
      <c r="DXA182" s="82"/>
      <c r="DXB182" s="82"/>
      <c r="DXC182" s="82"/>
      <c r="DXD182" s="82"/>
      <c r="DXE182" s="82"/>
      <c r="DXF182" s="82"/>
      <c r="DXG182" s="82"/>
      <c r="DXH182" s="82"/>
      <c r="DXI182" s="82"/>
      <c r="DXJ182" s="82"/>
      <c r="DXK182" s="82"/>
      <c r="DXL182" s="82"/>
      <c r="DXM182" s="82"/>
      <c r="DXN182" s="82"/>
      <c r="DXO182" s="82"/>
      <c r="DXP182" s="82"/>
      <c r="DXQ182" s="82"/>
      <c r="DXR182" s="82"/>
      <c r="DXS182" s="82"/>
      <c r="DXT182" s="82"/>
      <c r="DXU182" s="82"/>
      <c r="DXV182" s="82"/>
      <c r="DXW182" s="82"/>
      <c r="DXX182" s="82"/>
      <c r="DXY182" s="82"/>
      <c r="DXZ182" s="82"/>
      <c r="DYA182" s="82"/>
      <c r="DYB182" s="82"/>
      <c r="DYC182" s="82"/>
      <c r="DYD182" s="82"/>
      <c r="DYE182" s="82"/>
      <c r="DYF182" s="82"/>
      <c r="DYG182" s="82"/>
      <c r="DYH182" s="82"/>
      <c r="DYI182" s="82"/>
      <c r="DYJ182" s="82"/>
      <c r="DYK182" s="82"/>
      <c r="DYL182" s="82"/>
      <c r="DYM182" s="82"/>
      <c r="DYN182" s="82"/>
      <c r="DYO182" s="82"/>
      <c r="DYP182" s="82"/>
      <c r="DYQ182" s="82"/>
      <c r="DYR182" s="82"/>
      <c r="DYS182" s="82"/>
      <c r="DYT182" s="82"/>
      <c r="DYU182" s="82"/>
      <c r="DYV182" s="82"/>
      <c r="DYW182" s="82"/>
      <c r="DYX182" s="82"/>
      <c r="DYY182" s="82"/>
      <c r="DYZ182" s="82"/>
      <c r="DZA182" s="82"/>
      <c r="DZB182" s="82"/>
      <c r="DZC182" s="82"/>
      <c r="DZD182" s="82"/>
      <c r="DZE182" s="82"/>
      <c r="DZF182" s="82"/>
      <c r="DZG182" s="82"/>
      <c r="DZH182" s="82"/>
      <c r="DZI182" s="82"/>
      <c r="DZJ182" s="82"/>
      <c r="DZK182" s="82"/>
      <c r="DZL182" s="82"/>
      <c r="DZM182" s="82"/>
      <c r="DZN182" s="82"/>
      <c r="DZO182" s="82"/>
      <c r="DZP182" s="82"/>
      <c r="DZQ182" s="82"/>
      <c r="DZR182" s="82"/>
      <c r="DZS182" s="82"/>
      <c r="DZT182" s="82"/>
      <c r="DZU182" s="82"/>
      <c r="DZV182" s="82"/>
      <c r="DZW182" s="82"/>
      <c r="DZX182" s="82"/>
      <c r="DZY182" s="82"/>
      <c r="DZZ182" s="82"/>
      <c r="EAA182" s="82"/>
      <c r="EAB182" s="82"/>
      <c r="EAC182" s="82"/>
      <c r="EAD182" s="82"/>
      <c r="EAE182" s="82"/>
      <c r="EAF182" s="82"/>
      <c r="EAG182" s="82"/>
      <c r="EAH182" s="82"/>
      <c r="EAI182" s="82"/>
      <c r="EAJ182" s="82"/>
      <c r="EAK182" s="82"/>
      <c r="EAL182" s="82"/>
      <c r="EAM182" s="82"/>
      <c r="EAN182" s="82"/>
      <c r="EAO182" s="82"/>
      <c r="EAP182" s="82"/>
      <c r="EAQ182" s="82"/>
      <c r="EAR182" s="82"/>
      <c r="EAS182" s="82"/>
      <c r="EAT182" s="82"/>
      <c r="EAU182" s="82"/>
      <c r="EAV182" s="82"/>
      <c r="EAW182" s="82"/>
      <c r="EAX182" s="82"/>
      <c r="EAY182" s="82"/>
      <c r="EAZ182" s="82"/>
      <c r="EBA182" s="82"/>
      <c r="EBB182" s="82"/>
      <c r="EBC182" s="82"/>
      <c r="EBD182" s="82"/>
      <c r="EBE182" s="82"/>
      <c r="EBF182" s="82"/>
      <c r="EBG182" s="82"/>
      <c r="EBH182" s="82"/>
      <c r="EBI182" s="82"/>
      <c r="EBJ182" s="82"/>
      <c r="EBK182" s="82"/>
      <c r="EBL182" s="82"/>
      <c r="EBM182" s="82"/>
      <c r="EBN182" s="82"/>
      <c r="EBO182" s="82"/>
      <c r="EBP182" s="82"/>
      <c r="EBQ182" s="82"/>
      <c r="EBR182" s="82"/>
      <c r="EBS182" s="82"/>
      <c r="EBT182" s="82"/>
      <c r="EBU182" s="82"/>
      <c r="EBV182" s="82"/>
      <c r="EBW182" s="82"/>
      <c r="EBX182" s="82"/>
      <c r="EBY182" s="82"/>
      <c r="EBZ182" s="82"/>
      <c r="ECA182" s="82"/>
      <c r="ECB182" s="82"/>
      <c r="ECC182" s="82"/>
      <c r="ECD182" s="82"/>
      <c r="ECE182" s="82"/>
      <c r="ECF182" s="82"/>
      <c r="ECG182" s="82"/>
      <c r="ECH182" s="82"/>
      <c r="ECI182" s="82"/>
      <c r="ECJ182" s="82"/>
      <c r="ECK182" s="82"/>
      <c r="ECL182" s="82"/>
      <c r="ECM182" s="82"/>
      <c r="ECN182" s="82"/>
      <c r="ECO182" s="82"/>
      <c r="ECP182" s="82"/>
      <c r="ECQ182" s="82"/>
      <c r="ECR182" s="82"/>
      <c r="ECS182" s="82"/>
      <c r="ECT182" s="82"/>
      <c r="ECU182" s="82"/>
      <c r="ECV182" s="82"/>
      <c r="ECW182" s="82"/>
      <c r="ECX182" s="82"/>
      <c r="ECY182" s="82"/>
      <c r="ECZ182" s="82"/>
      <c r="EDA182" s="82"/>
      <c r="EDB182" s="82"/>
      <c r="EDC182" s="82"/>
      <c r="EDD182" s="82"/>
      <c r="EDE182" s="82"/>
      <c r="EDF182" s="82"/>
      <c r="EDG182" s="82"/>
      <c r="EDH182" s="82"/>
      <c r="EDI182" s="82"/>
      <c r="EDJ182" s="82"/>
      <c r="EDK182" s="82"/>
      <c r="EDL182" s="82"/>
      <c r="EDM182" s="82"/>
      <c r="EDN182" s="82"/>
      <c r="EDO182" s="82"/>
      <c r="EDP182" s="82"/>
      <c r="EDQ182" s="82"/>
      <c r="EDR182" s="82"/>
      <c r="EDS182" s="82"/>
      <c r="EDT182" s="82"/>
      <c r="EDU182" s="82"/>
      <c r="EDV182" s="82"/>
      <c r="EDW182" s="82"/>
      <c r="EDX182" s="82"/>
      <c r="EDY182" s="82"/>
      <c r="EDZ182" s="82"/>
      <c r="EEA182" s="82"/>
      <c r="EEB182" s="82"/>
      <c r="EEC182" s="82"/>
      <c r="EED182" s="82"/>
      <c r="EEE182" s="82"/>
      <c r="EEF182" s="82"/>
      <c r="EEG182" s="82"/>
      <c r="EEH182" s="82"/>
      <c r="EEI182" s="82"/>
      <c r="EEJ182" s="82"/>
      <c r="EEK182" s="82"/>
      <c r="EEL182" s="82"/>
      <c r="EEM182" s="82"/>
      <c r="EEN182" s="82"/>
      <c r="EEO182" s="82"/>
      <c r="EEP182" s="82"/>
      <c r="EEQ182" s="82"/>
      <c r="EER182" s="82"/>
      <c r="EES182" s="82"/>
      <c r="EET182" s="82"/>
      <c r="EEU182" s="82"/>
      <c r="EEV182" s="82"/>
      <c r="EEW182" s="82"/>
      <c r="EEX182" s="82"/>
      <c r="EEY182" s="82"/>
      <c r="EEZ182" s="82"/>
      <c r="EFA182" s="82"/>
      <c r="EFB182" s="82"/>
      <c r="EFC182" s="82"/>
      <c r="EFD182" s="82"/>
      <c r="EFE182" s="82"/>
      <c r="EFF182" s="82"/>
      <c r="EFG182" s="82"/>
      <c r="EFH182" s="82"/>
      <c r="EFI182" s="82"/>
      <c r="EFJ182" s="82"/>
      <c r="EFK182" s="82"/>
      <c r="EFL182" s="82"/>
      <c r="EFM182" s="82"/>
      <c r="EFN182" s="82"/>
      <c r="EFO182" s="82"/>
      <c r="EFP182" s="82"/>
      <c r="EFQ182" s="82"/>
      <c r="EFR182" s="82"/>
      <c r="EFS182" s="82"/>
      <c r="EFT182" s="82"/>
      <c r="EFU182" s="82"/>
      <c r="EFV182" s="82"/>
      <c r="EFW182" s="82"/>
      <c r="EFX182" s="82"/>
      <c r="EFY182" s="82"/>
      <c r="EFZ182" s="82"/>
      <c r="EGA182" s="82"/>
      <c r="EGB182" s="82"/>
      <c r="EGC182" s="82"/>
      <c r="EGD182" s="82"/>
      <c r="EGE182" s="82"/>
      <c r="EGF182" s="82"/>
      <c r="EGG182" s="82"/>
      <c r="EGH182" s="82"/>
      <c r="EGI182" s="82"/>
      <c r="EGJ182" s="82"/>
      <c r="EGK182" s="82"/>
      <c r="EGL182" s="82"/>
      <c r="EGM182" s="82"/>
      <c r="EGN182" s="82"/>
      <c r="EGO182" s="82"/>
      <c r="EGP182" s="82"/>
      <c r="EGQ182" s="82"/>
      <c r="EGR182" s="82"/>
      <c r="EGS182" s="82"/>
      <c r="EGT182" s="82"/>
      <c r="EGU182" s="82"/>
      <c r="EGV182" s="82"/>
      <c r="EGW182" s="82"/>
      <c r="EGX182" s="82"/>
      <c r="EGY182" s="82"/>
      <c r="EGZ182" s="82"/>
      <c r="EHA182" s="82"/>
      <c r="EHB182" s="82"/>
      <c r="EHC182" s="82"/>
      <c r="EHD182" s="82"/>
      <c r="EHE182" s="82"/>
      <c r="EHF182" s="82"/>
      <c r="EHG182" s="82"/>
      <c r="EHH182" s="82"/>
      <c r="EHI182" s="82"/>
      <c r="EHJ182" s="82"/>
      <c r="EHK182" s="82"/>
      <c r="EHL182" s="82"/>
      <c r="EHM182" s="82"/>
      <c r="EHN182" s="82"/>
      <c r="EHO182" s="82"/>
      <c r="EHP182" s="82"/>
      <c r="EHQ182" s="82"/>
      <c r="EHR182" s="82"/>
      <c r="EHS182" s="82"/>
      <c r="EHT182" s="82"/>
      <c r="EHU182" s="82"/>
      <c r="EHV182" s="82"/>
      <c r="EHW182" s="82"/>
      <c r="EHX182" s="82"/>
      <c r="EHY182" s="82"/>
      <c r="EHZ182" s="82"/>
      <c r="EIA182" s="82"/>
      <c r="EIB182" s="82"/>
      <c r="EIC182" s="82"/>
      <c r="EID182" s="82"/>
      <c r="EIE182" s="82"/>
      <c r="EIF182" s="82"/>
      <c r="EIG182" s="82"/>
      <c r="EIH182" s="82"/>
      <c r="EII182" s="82"/>
      <c r="EIJ182" s="82"/>
      <c r="EIK182" s="82"/>
      <c r="EIL182" s="82"/>
      <c r="EIM182" s="82"/>
      <c r="EIN182" s="82"/>
      <c r="EIO182" s="82"/>
      <c r="EIP182" s="82"/>
      <c r="EIQ182" s="82"/>
      <c r="EIR182" s="82"/>
      <c r="EIS182" s="82"/>
      <c r="EIT182" s="82"/>
      <c r="EIU182" s="82"/>
      <c r="EIV182" s="82"/>
      <c r="EIW182" s="82"/>
      <c r="EIX182" s="82"/>
      <c r="EIY182" s="82"/>
      <c r="EIZ182" s="82"/>
      <c r="EJA182" s="82"/>
      <c r="EJB182" s="82"/>
      <c r="EJC182" s="82"/>
      <c r="EJD182" s="82"/>
      <c r="EJE182" s="82"/>
      <c r="EJF182" s="82"/>
      <c r="EJG182" s="82"/>
      <c r="EJH182" s="82"/>
      <c r="EJI182" s="82"/>
      <c r="EJJ182" s="82"/>
      <c r="EJK182" s="82"/>
      <c r="EJL182" s="82"/>
      <c r="EJM182" s="82"/>
      <c r="EJN182" s="82"/>
      <c r="EJO182" s="82"/>
      <c r="EJP182" s="82"/>
      <c r="EJQ182" s="82"/>
      <c r="EJR182" s="82"/>
      <c r="EJS182" s="82"/>
      <c r="EJT182" s="82"/>
      <c r="EJU182" s="82"/>
      <c r="EJV182" s="82"/>
      <c r="EJW182" s="82"/>
      <c r="EJX182" s="82"/>
      <c r="EJY182" s="82"/>
      <c r="EJZ182" s="82"/>
      <c r="EKA182" s="82"/>
      <c r="EKB182" s="82"/>
      <c r="EKC182" s="82"/>
      <c r="EKD182" s="82"/>
      <c r="EKE182" s="82"/>
      <c r="EKF182" s="82"/>
      <c r="EKG182" s="82"/>
      <c r="EKH182" s="82"/>
      <c r="EKI182" s="82"/>
      <c r="EKJ182" s="82"/>
      <c r="EKK182" s="82"/>
      <c r="EKL182" s="82"/>
      <c r="EKM182" s="82"/>
      <c r="EKN182" s="82"/>
      <c r="EKO182" s="82"/>
      <c r="EKP182" s="82"/>
      <c r="EKQ182" s="82"/>
      <c r="EKR182" s="82"/>
      <c r="EKS182" s="82"/>
      <c r="EKT182" s="82"/>
      <c r="EKU182" s="82"/>
      <c r="EKV182" s="82"/>
      <c r="EKW182" s="82"/>
      <c r="EKX182" s="82"/>
      <c r="EKY182" s="82"/>
      <c r="EKZ182" s="82"/>
      <c r="ELA182" s="82"/>
      <c r="ELB182" s="82"/>
      <c r="ELC182" s="82"/>
      <c r="ELD182" s="82"/>
      <c r="ELE182" s="82"/>
      <c r="ELF182" s="82"/>
      <c r="ELG182" s="82"/>
      <c r="ELH182" s="82"/>
      <c r="ELI182" s="82"/>
      <c r="ELJ182" s="82"/>
      <c r="ELK182" s="82"/>
      <c r="ELL182" s="82"/>
      <c r="ELM182" s="82"/>
      <c r="ELN182" s="82"/>
      <c r="ELO182" s="82"/>
      <c r="ELP182" s="82"/>
      <c r="ELQ182" s="82"/>
      <c r="ELR182" s="82"/>
      <c r="ELS182" s="82"/>
      <c r="ELT182" s="82"/>
      <c r="ELU182" s="82"/>
      <c r="ELV182" s="82"/>
      <c r="ELW182" s="82"/>
      <c r="ELX182" s="82"/>
      <c r="ELY182" s="82"/>
      <c r="ELZ182" s="82"/>
      <c r="EMA182" s="82"/>
      <c r="EMB182" s="82"/>
      <c r="EMC182" s="82"/>
      <c r="EMD182" s="82"/>
      <c r="EME182" s="82"/>
      <c r="EMF182" s="82"/>
      <c r="EMG182" s="82"/>
      <c r="EMH182" s="82"/>
      <c r="EMI182" s="82"/>
      <c r="EMJ182" s="82"/>
      <c r="EMK182" s="82"/>
      <c r="EML182" s="82"/>
      <c r="EMM182" s="82"/>
      <c r="EMN182" s="82"/>
      <c r="EMO182" s="82"/>
      <c r="EMP182" s="82"/>
      <c r="EMQ182" s="82"/>
      <c r="EMR182" s="82"/>
      <c r="EMS182" s="82"/>
      <c r="EMT182" s="82"/>
      <c r="EMU182" s="82"/>
      <c r="EMV182" s="82"/>
      <c r="EMW182" s="82"/>
      <c r="EMX182" s="82"/>
      <c r="EMY182" s="82"/>
      <c r="EMZ182" s="82"/>
      <c r="ENA182" s="82"/>
      <c r="ENB182" s="82"/>
      <c r="ENC182" s="82"/>
      <c r="END182" s="82"/>
      <c r="ENE182" s="82"/>
      <c r="ENF182" s="82"/>
      <c r="ENG182" s="82"/>
      <c r="ENH182" s="82"/>
      <c r="ENI182" s="82"/>
      <c r="ENJ182" s="82"/>
      <c r="ENK182" s="82"/>
      <c r="ENL182" s="82"/>
      <c r="ENM182" s="82"/>
      <c r="ENN182" s="82"/>
      <c r="ENO182" s="82"/>
      <c r="ENP182" s="82"/>
      <c r="ENQ182" s="82"/>
      <c r="ENR182" s="82"/>
      <c r="ENS182" s="82"/>
      <c r="ENT182" s="82"/>
      <c r="ENU182" s="82"/>
      <c r="ENV182" s="82"/>
      <c r="ENW182" s="82"/>
      <c r="ENX182" s="82"/>
      <c r="ENY182" s="82"/>
      <c r="ENZ182" s="82"/>
      <c r="EOA182" s="82"/>
      <c r="EOB182" s="82"/>
      <c r="EOC182" s="82"/>
      <c r="EOD182" s="82"/>
      <c r="EOE182" s="82"/>
      <c r="EOF182" s="82"/>
      <c r="EOG182" s="82"/>
      <c r="EOH182" s="82"/>
      <c r="EOI182" s="82"/>
      <c r="EOJ182" s="82"/>
      <c r="EOK182" s="82"/>
      <c r="EOL182" s="82"/>
      <c r="EOM182" s="82"/>
      <c r="EON182" s="82"/>
      <c r="EOO182" s="82"/>
      <c r="EOP182" s="82"/>
      <c r="EOQ182" s="82"/>
      <c r="EOR182" s="82"/>
      <c r="EOS182" s="82"/>
      <c r="EOT182" s="82"/>
      <c r="EOU182" s="82"/>
      <c r="EOV182" s="82"/>
      <c r="EOW182" s="82"/>
      <c r="EOX182" s="82"/>
      <c r="EOY182" s="82"/>
      <c r="EOZ182" s="82"/>
      <c r="EPA182" s="82"/>
      <c r="EPB182" s="82"/>
      <c r="EPC182" s="82"/>
      <c r="EPD182" s="82"/>
      <c r="EPE182" s="82"/>
      <c r="EPF182" s="82"/>
      <c r="EPG182" s="82"/>
      <c r="EPH182" s="82"/>
      <c r="EPI182" s="82"/>
      <c r="EPJ182" s="82"/>
      <c r="EPK182" s="82"/>
      <c r="EPL182" s="82"/>
      <c r="EPM182" s="82"/>
      <c r="EPN182" s="82"/>
      <c r="EPO182" s="82"/>
      <c r="EPP182" s="82"/>
      <c r="EPQ182" s="82"/>
      <c r="EPR182" s="82"/>
      <c r="EPS182" s="82"/>
      <c r="EPT182" s="82"/>
      <c r="EPU182" s="82"/>
      <c r="EPV182" s="82"/>
      <c r="EPW182" s="82"/>
      <c r="EPX182" s="82"/>
      <c r="EPY182" s="82"/>
      <c r="EPZ182" s="82"/>
      <c r="EQA182" s="82"/>
      <c r="EQB182" s="82"/>
      <c r="EQC182" s="82"/>
      <c r="EQD182" s="82"/>
      <c r="EQE182" s="82"/>
      <c r="EQF182" s="82"/>
      <c r="EQG182" s="82"/>
      <c r="EQH182" s="82"/>
      <c r="EQI182" s="82"/>
      <c r="EQJ182" s="82"/>
      <c r="EQK182" s="82"/>
      <c r="EQL182" s="82"/>
      <c r="EQM182" s="82"/>
      <c r="EQN182" s="82"/>
      <c r="EQO182" s="82"/>
      <c r="EQP182" s="82"/>
      <c r="EQQ182" s="82"/>
      <c r="EQR182" s="82"/>
      <c r="EQS182" s="82"/>
      <c r="EQT182" s="82"/>
      <c r="EQU182" s="82"/>
      <c r="EQV182" s="82"/>
      <c r="EQW182" s="82"/>
      <c r="EQX182" s="82"/>
      <c r="EQY182" s="82"/>
      <c r="EQZ182" s="82"/>
      <c r="ERA182" s="82"/>
      <c r="ERB182" s="82"/>
      <c r="ERC182" s="82"/>
      <c r="ERD182" s="82"/>
      <c r="ERE182" s="82"/>
      <c r="ERF182" s="82"/>
      <c r="ERG182" s="82"/>
      <c r="ERH182" s="82"/>
      <c r="ERI182" s="82"/>
      <c r="ERJ182" s="82"/>
      <c r="ERK182" s="82"/>
      <c r="ERL182" s="82"/>
      <c r="ERM182" s="82"/>
      <c r="ERN182" s="82"/>
      <c r="ERO182" s="82"/>
      <c r="ERP182" s="82"/>
      <c r="ERQ182" s="82"/>
      <c r="ERR182" s="82"/>
      <c r="ERS182" s="82"/>
      <c r="ERT182" s="82"/>
      <c r="ERU182" s="82"/>
      <c r="ERV182" s="82"/>
      <c r="ERW182" s="82"/>
      <c r="ERX182" s="82"/>
      <c r="ERY182" s="82"/>
      <c r="ERZ182" s="82"/>
      <c r="ESA182" s="82"/>
      <c r="ESB182" s="82"/>
      <c r="ESC182" s="82"/>
      <c r="ESD182" s="82"/>
      <c r="ESE182" s="82"/>
      <c r="ESF182" s="82"/>
      <c r="ESG182" s="82"/>
      <c r="ESH182" s="82"/>
      <c r="ESI182" s="82"/>
      <c r="ESJ182" s="82"/>
      <c r="ESK182" s="82"/>
      <c r="ESL182" s="82"/>
      <c r="ESM182" s="82"/>
      <c r="ESN182" s="82"/>
      <c r="ESO182" s="82"/>
      <c r="ESP182" s="82"/>
      <c r="ESQ182" s="82"/>
      <c r="ESR182" s="82"/>
      <c r="ESS182" s="82"/>
      <c r="EST182" s="82"/>
      <c r="ESU182" s="82"/>
      <c r="ESV182" s="82"/>
      <c r="ESW182" s="82"/>
      <c r="ESX182" s="82"/>
      <c r="ESY182" s="82"/>
      <c r="ESZ182" s="82"/>
      <c r="ETA182" s="82"/>
      <c r="ETB182" s="82"/>
      <c r="ETC182" s="82"/>
      <c r="ETD182" s="82"/>
      <c r="ETE182" s="82"/>
      <c r="ETF182" s="82"/>
      <c r="ETG182" s="82"/>
      <c r="ETH182" s="82"/>
      <c r="ETI182" s="82"/>
      <c r="ETJ182" s="82"/>
      <c r="ETK182" s="82"/>
      <c r="ETL182" s="82"/>
      <c r="ETM182" s="82"/>
      <c r="ETN182" s="82"/>
      <c r="ETO182" s="82"/>
      <c r="ETP182" s="82"/>
      <c r="ETQ182" s="82"/>
      <c r="ETR182" s="82"/>
      <c r="ETS182" s="82"/>
      <c r="ETT182" s="82"/>
      <c r="ETU182" s="82"/>
      <c r="ETV182" s="82"/>
      <c r="ETW182" s="82"/>
      <c r="ETX182" s="82"/>
      <c r="ETY182" s="82"/>
      <c r="ETZ182" s="82"/>
      <c r="EUA182" s="82"/>
      <c r="EUB182" s="82"/>
      <c r="EUC182" s="82"/>
      <c r="EUD182" s="82"/>
      <c r="EUE182" s="82"/>
      <c r="EUF182" s="82"/>
      <c r="EUG182" s="82"/>
      <c r="EUH182" s="82"/>
      <c r="EUI182" s="82"/>
      <c r="EUJ182" s="82"/>
      <c r="EUK182" s="82"/>
      <c r="EUL182" s="82"/>
      <c r="EUM182" s="82"/>
      <c r="EUN182" s="82"/>
      <c r="EUO182" s="82"/>
      <c r="EUP182" s="82"/>
      <c r="EUQ182" s="82"/>
      <c r="EUR182" s="82"/>
      <c r="EUS182" s="82"/>
      <c r="EUT182" s="82"/>
      <c r="EUU182" s="82"/>
      <c r="EUV182" s="82"/>
      <c r="EUW182" s="82"/>
      <c r="EUX182" s="82"/>
      <c r="EUY182" s="82"/>
      <c r="EUZ182" s="82"/>
      <c r="EVA182" s="82"/>
      <c r="EVB182" s="82"/>
      <c r="EVC182" s="82"/>
      <c r="EVD182" s="82"/>
      <c r="EVE182" s="82"/>
      <c r="EVF182" s="82"/>
      <c r="EVG182" s="82"/>
      <c r="EVH182" s="82"/>
      <c r="EVI182" s="82"/>
      <c r="EVJ182" s="82"/>
      <c r="EVK182" s="82"/>
      <c r="EVL182" s="82"/>
      <c r="EVM182" s="82"/>
      <c r="EVN182" s="82"/>
      <c r="EVO182" s="82"/>
      <c r="EVP182" s="82"/>
      <c r="EVQ182" s="82"/>
      <c r="EVR182" s="82"/>
      <c r="EVS182" s="82"/>
      <c r="EVT182" s="82"/>
      <c r="EVU182" s="82"/>
      <c r="EVV182" s="82"/>
      <c r="EVW182" s="82"/>
      <c r="EVX182" s="82"/>
      <c r="EVY182" s="82"/>
      <c r="EVZ182" s="82"/>
      <c r="EWA182" s="82"/>
      <c r="EWB182" s="82"/>
      <c r="EWC182" s="82"/>
      <c r="EWD182" s="82"/>
      <c r="EWE182" s="82"/>
      <c r="EWF182" s="82"/>
      <c r="EWG182" s="82"/>
      <c r="EWH182" s="82"/>
      <c r="EWI182" s="82"/>
      <c r="EWJ182" s="82"/>
      <c r="EWK182" s="82"/>
      <c r="EWL182" s="82"/>
      <c r="EWM182" s="82"/>
      <c r="EWN182" s="82"/>
      <c r="EWO182" s="82"/>
      <c r="EWP182" s="82"/>
      <c r="EWQ182" s="82"/>
      <c r="EWR182" s="82"/>
      <c r="EWS182" s="82"/>
      <c r="EWT182" s="82"/>
      <c r="EWU182" s="82"/>
      <c r="EWV182" s="82"/>
      <c r="EWW182" s="82"/>
      <c r="EWX182" s="82"/>
      <c r="EWY182" s="82"/>
      <c r="EWZ182" s="82"/>
      <c r="EXA182" s="82"/>
      <c r="EXB182" s="82"/>
      <c r="EXC182" s="82"/>
      <c r="EXD182" s="82"/>
      <c r="EXE182" s="82"/>
      <c r="EXF182" s="82"/>
      <c r="EXG182" s="82"/>
      <c r="EXH182" s="82"/>
      <c r="EXI182" s="82"/>
      <c r="EXJ182" s="82"/>
      <c r="EXK182" s="82"/>
      <c r="EXL182" s="82"/>
      <c r="EXM182" s="82"/>
      <c r="EXN182" s="82"/>
      <c r="EXO182" s="82"/>
      <c r="EXP182" s="82"/>
      <c r="EXQ182" s="82"/>
      <c r="EXR182" s="82"/>
      <c r="EXS182" s="82"/>
      <c r="EXT182" s="82"/>
      <c r="EXU182" s="82"/>
      <c r="EXV182" s="82"/>
      <c r="EXW182" s="82"/>
      <c r="EXX182" s="82"/>
      <c r="EXY182" s="82"/>
      <c r="EXZ182" s="82"/>
      <c r="EYA182" s="82"/>
      <c r="EYB182" s="82"/>
      <c r="EYC182" s="82"/>
      <c r="EYD182" s="82"/>
      <c r="EYE182" s="82"/>
      <c r="EYF182" s="82"/>
      <c r="EYG182" s="82"/>
      <c r="EYH182" s="82"/>
      <c r="EYI182" s="82"/>
      <c r="EYJ182" s="82"/>
      <c r="EYK182" s="82"/>
      <c r="EYL182" s="82"/>
      <c r="EYM182" s="82"/>
      <c r="EYN182" s="82"/>
      <c r="EYO182" s="82"/>
      <c r="EYP182" s="82"/>
      <c r="EYQ182" s="82"/>
      <c r="EYR182" s="82"/>
      <c r="EYS182" s="82"/>
      <c r="EYT182" s="82"/>
      <c r="EYU182" s="82"/>
      <c r="EYV182" s="82"/>
      <c r="EYW182" s="82"/>
      <c r="EYX182" s="82"/>
      <c r="EYY182" s="82"/>
      <c r="EYZ182" s="82"/>
      <c r="EZA182" s="82"/>
      <c r="EZB182" s="82"/>
      <c r="EZC182" s="82"/>
      <c r="EZD182" s="82"/>
      <c r="EZE182" s="82"/>
      <c r="EZF182" s="82"/>
      <c r="EZG182" s="82"/>
      <c r="EZH182" s="82"/>
      <c r="EZI182" s="82"/>
      <c r="EZJ182" s="82"/>
      <c r="EZK182" s="82"/>
      <c r="EZL182" s="82"/>
      <c r="EZM182" s="82"/>
      <c r="EZN182" s="82"/>
      <c r="EZO182" s="82"/>
      <c r="EZP182" s="82"/>
      <c r="EZQ182" s="82"/>
      <c r="EZR182" s="82"/>
      <c r="EZS182" s="82"/>
      <c r="EZT182" s="82"/>
      <c r="EZU182" s="82"/>
      <c r="EZV182" s="82"/>
      <c r="EZW182" s="82"/>
      <c r="EZX182" s="82"/>
      <c r="EZY182" s="82"/>
      <c r="EZZ182" s="82"/>
      <c r="FAA182" s="82"/>
      <c r="FAB182" s="82"/>
      <c r="FAC182" s="82"/>
      <c r="FAD182" s="82"/>
      <c r="FAE182" s="82"/>
      <c r="FAF182" s="82"/>
      <c r="FAG182" s="82"/>
      <c r="FAH182" s="82"/>
      <c r="FAI182" s="82"/>
      <c r="FAJ182" s="82"/>
      <c r="FAK182" s="82"/>
      <c r="FAL182" s="82"/>
      <c r="FAM182" s="82"/>
      <c r="FAN182" s="82"/>
      <c r="FAO182" s="82"/>
      <c r="FAP182" s="82"/>
      <c r="FAQ182" s="82"/>
      <c r="FAR182" s="82"/>
      <c r="FAS182" s="82"/>
      <c r="FAT182" s="82"/>
      <c r="FAU182" s="82"/>
      <c r="FAV182" s="82"/>
      <c r="FAW182" s="82"/>
      <c r="FAX182" s="82"/>
      <c r="FAY182" s="82"/>
      <c r="FAZ182" s="82"/>
      <c r="FBA182" s="82"/>
      <c r="FBB182" s="82"/>
      <c r="FBC182" s="82"/>
      <c r="FBD182" s="82"/>
      <c r="FBE182" s="82"/>
      <c r="FBF182" s="82"/>
      <c r="FBG182" s="82"/>
      <c r="FBH182" s="82"/>
      <c r="FBI182" s="82"/>
      <c r="FBJ182" s="82"/>
      <c r="FBK182" s="82"/>
      <c r="FBL182" s="82"/>
      <c r="FBM182" s="82"/>
      <c r="FBN182" s="82"/>
      <c r="FBO182" s="82"/>
      <c r="FBP182" s="82"/>
      <c r="FBQ182" s="82"/>
      <c r="FBR182" s="82"/>
      <c r="FBS182" s="82"/>
      <c r="FBT182" s="82"/>
      <c r="FBU182" s="82"/>
      <c r="FBV182" s="82"/>
      <c r="FBW182" s="82"/>
      <c r="FBX182" s="82"/>
      <c r="FBY182" s="82"/>
      <c r="FBZ182" s="82"/>
      <c r="FCA182" s="82"/>
      <c r="FCB182" s="82"/>
      <c r="FCC182" s="82"/>
      <c r="FCD182" s="82"/>
      <c r="FCE182" s="82"/>
      <c r="FCF182" s="82"/>
      <c r="FCG182" s="82"/>
      <c r="FCH182" s="82"/>
      <c r="FCI182" s="82"/>
      <c r="FCJ182" s="82"/>
      <c r="FCK182" s="82"/>
      <c r="FCL182" s="82"/>
      <c r="FCM182" s="82"/>
      <c r="FCN182" s="82"/>
      <c r="FCO182" s="82"/>
      <c r="FCP182" s="82"/>
      <c r="FCQ182" s="82"/>
      <c r="FCR182" s="82"/>
      <c r="FCS182" s="82"/>
      <c r="FCT182" s="82"/>
      <c r="FCU182" s="82"/>
      <c r="FCV182" s="82"/>
      <c r="FCW182" s="82"/>
      <c r="FCX182" s="82"/>
      <c r="FCY182" s="82"/>
      <c r="FCZ182" s="82"/>
      <c r="FDA182" s="82"/>
      <c r="FDB182" s="82"/>
      <c r="FDC182" s="82"/>
      <c r="FDD182" s="82"/>
      <c r="FDE182" s="82"/>
      <c r="FDF182" s="82"/>
      <c r="FDG182" s="82"/>
      <c r="FDH182" s="82"/>
      <c r="FDI182" s="82"/>
      <c r="FDJ182" s="82"/>
      <c r="FDK182" s="82"/>
      <c r="FDL182" s="82"/>
      <c r="FDM182" s="82"/>
      <c r="FDN182" s="82"/>
      <c r="FDO182" s="82"/>
      <c r="FDP182" s="82"/>
      <c r="FDQ182" s="82"/>
      <c r="FDR182" s="82"/>
      <c r="FDS182" s="82"/>
      <c r="FDT182" s="82"/>
      <c r="FDU182" s="82"/>
      <c r="FDV182" s="82"/>
      <c r="FDW182" s="82"/>
      <c r="FDX182" s="82"/>
      <c r="FDY182" s="82"/>
      <c r="FDZ182" s="82"/>
      <c r="FEA182" s="82"/>
      <c r="FEB182" s="82"/>
      <c r="FEC182" s="82"/>
      <c r="FED182" s="82"/>
      <c r="FEE182" s="82"/>
      <c r="FEF182" s="82"/>
      <c r="FEG182" s="82"/>
      <c r="FEH182" s="82"/>
      <c r="FEI182" s="82"/>
      <c r="FEJ182" s="82"/>
      <c r="FEK182" s="82"/>
      <c r="FEL182" s="82"/>
      <c r="FEM182" s="82"/>
      <c r="FEN182" s="82"/>
      <c r="FEO182" s="82"/>
      <c r="FEP182" s="82"/>
      <c r="FEQ182" s="82"/>
      <c r="FER182" s="82"/>
      <c r="FES182" s="82"/>
      <c r="FET182" s="82"/>
      <c r="FEU182" s="82"/>
      <c r="FEV182" s="82"/>
      <c r="FEW182" s="82"/>
      <c r="FEX182" s="82"/>
      <c r="FEY182" s="82"/>
      <c r="FEZ182" s="82"/>
      <c r="FFA182" s="82"/>
      <c r="FFB182" s="82"/>
      <c r="FFC182" s="82"/>
      <c r="FFD182" s="82"/>
      <c r="FFE182" s="82"/>
      <c r="FFF182" s="82"/>
      <c r="FFG182" s="82"/>
      <c r="FFH182" s="82"/>
      <c r="FFI182" s="82"/>
      <c r="FFJ182" s="82"/>
      <c r="FFK182" s="82"/>
      <c r="FFL182" s="82"/>
      <c r="FFM182" s="82"/>
      <c r="FFN182" s="82"/>
      <c r="FFO182" s="82"/>
      <c r="FFP182" s="82"/>
      <c r="FFQ182" s="82"/>
      <c r="FFR182" s="82"/>
      <c r="FFS182" s="82"/>
      <c r="FFT182" s="82"/>
      <c r="FFU182" s="82"/>
      <c r="FFV182" s="82"/>
      <c r="FFW182" s="82"/>
      <c r="FFX182" s="82"/>
      <c r="FFY182" s="82"/>
      <c r="FFZ182" s="82"/>
      <c r="FGA182" s="82"/>
      <c r="FGB182" s="82"/>
      <c r="FGC182" s="82"/>
      <c r="FGD182" s="82"/>
      <c r="FGE182" s="82"/>
      <c r="FGF182" s="82"/>
      <c r="FGG182" s="82"/>
      <c r="FGH182" s="82"/>
      <c r="FGI182" s="82"/>
      <c r="FGJ182" s="82"/>
      <c r="FGK182" s="82"/>
      <c r="FGL182" s="82"/>
      <c r="FGM182" s="82"/>
      <c r="FGN182" s="82"/>
      <c r="FGO182" s="82"/>
      <c r="FGP182" s="82"/>
      <c r="FGQ182" s="82"/>
      <c r="FGR182" s="82"/>
      <c r="FGS182" s="82"/>
      <c r="FGT182" s="82"/>
      <c r="FGU182" s="82"/>
      <c r="FGV182" s="82"/>
      <c r="FGW182" s="82"/>
      <c r="FGX182" s="82"/>
      <c r="FGY182" s="82"/>
      <c r="FGZ182" s="82"/>
      <c r="FHA182" s="82"/>
      <c r="FHB182" s="82"/>
      <c r="FHC182" s="82"/>
      <c r="FHD182" s="82"/>
      <c r="FHE182" s="82"/>
      <c r="FHF182" s="82"/>
      <c r="FHG182" s="82"/>
      <c r="FHH182" s="82"/>
      <c r="FHI182" s="82"/>
      <c r="FHJ182" s="82"/>
      <c r="FHK182" s="82"/>
      <c r="FHL182" s="82"/>
      <c r="FHM182" s="82"/>
      <c r="FHN182" s="82"/>
      <c r="FHO182" s="82"/>
      <c r="FHP182" s="82"/>
      <c r="FHQ182" s="82"/>
      <c r="FHR182" s="82"/>
      <c r="FHS182" s="82"/>
      <c r="FHT182" s="82"/>
      <c r="FHU182" s="82"/>
      <c r="FHV182" s="82"/>
      <c r="FHW182" s="82"/>
      <c r="FHX182" s="82"/>
      <c r="FHY182" s="82"/>
      <c r="FHZ182" s="82"/>
      <c r="FIA182" s="82"/>
      <c r="FIB182" s="82"/>
      <c r="FIC182" s="82"/>
      <c r="FID182" s="82"/>
      <c r="FIE182" s="82"/>
      <c r="FIF182" s="82"/>
      <c r="FIG182" s="82"/>
      <c r="FIH182" s="82"/>
      <c r="FII182" s="82"/>
      <c r="FIJ182" s="82"/>
      <c r="FIK182" s="82"/>
      <c r="FIL182" s="82"/>
      <c r="FIM182" s="82"/>
      <c r="FIN182" s="82"/>
      <c r="FIO182" s="82"/>
      <c r="FIP182" s="82"/>
      <c r="FIQ182" s="82"/>
      <c r="FIR182" s="82"/>
      <c r="FIS182" s="82"/>
      <c r="FIT182" s="82"/>
      <c r="FIU182" s="82"/>
      <c r="FIV182" s="82"/>
      <c r="FIW182" s="82"/>
      <c r="FIX182" s="82"/>
      <c r="FIY182" s="82"/>
      <c r="FIZ182" s="82"/>
      <c r="FJA182" s="82"/>
      <c r="FJB182" s="82"/>
      <c r="FJC182" s="82"/>
      <c r="FJD182" s="82"/>
      <c r="FJE182" s="82"/>
      <c r="FJF182" s="82"/>
      <c r="FJG182" s="82"/>
      <c r="FJH182" s="82"/>
      <c r="FJI182" s="82"/>
      <c r="FJJ182" s="82"/>
      <c r="FJK182" s="82"/>
      <c r="FJL182" s="82"/>
      <c r="FJM182" s="82"/>
      <c r="FJN182" s="82"/>
      <c r="FJO182" s="82"/>
      <c r="FJP182" s="82"/>
      <c r="FJQ182" s="82"/>
      <c r="FJR182" s="82"/>
      <c r="FJS182" s="82"/>
      <c r="FJT182" s="82"/>
      <c r="FJU182" s="82"/>
      <c r="FJV182" s="82"/>
      <c r="FJW182" s="82"/>
      <c r="FJX182" s="82"/>
      <c r="FJY182" s="82"/>
      <c r="FJZ182" s="82"/>
      <c r="FKA182" s="82"/>
      <c r="FKB182" s="82"/>
      <c r="FKC182" s="82"/>
      <c r="FKD182" s="82"/>
      <c r="FKE182" s="82"/>
      <c r="FKF182" s="82"/>
      <c r="FKG182" s="82"/>
      <c r="FKH182" s="82"/>
      <c r="FKI182" s="82"/>
      <c r="FKJ182" s="82"/>
      <c r="FKK182" s="82"/>
      <c r="FKL182" s="82"/>
      <c r="FKM182" s="82"/>
      <c r="FKN182" s="82"/>
      <c r="FKO182" s="82"/>
      <c r="FKP182" s="82"/>
      <c r="FKQ182" s="82"/>
      <c r="FKR182" s="82"/>
      <c r="FKS182" s="82"/>
      <c r="FKT182" s="82"/>
      <c r="FKU182" s="82"/>
      <c r="FKV182" s="82"/>
      <c r="FKW182" s="82"/>
      <c r="FKX182" s="82"/>
      <c r="FKY182" s="82"/>
      <c r="FKZ182" s="82"/>
      <c r="FLA182" s="82"/>
      <c r="FLB182" s="82"/>
      <c r="FLC182" s="82"/>
      <c r="FLD182" s="82"/>
      <c r="FLE182" s="82"/>
      <c r="FLF182" s="82"/>
      <c r="FLG182" s="82"/>
      <c r="FLH182" s="82"/>
      <c r="FLI182" s="82"/>
      <c r="FLJ182" s="82"/>
      <c r="FLK182" s="82"/>
      <c r="FLL182" s="82"/>
      <c r="FLM182" s="82"/>
      <c r="FLN182" s="82"/>
      <c r="FLO182" s="82"/>
      <c r="FLP182" s="82"/>
      <c r="FLQ182" s="82"/>
      <c r="FLR182" s="82"/>
      <c r="FLS182" s="82"/>
      <c r="FLT182" s="82"/>
      <c r="FLU182" s="82"/>
      <c r="FLV182" s="82"/>
      <c r="FLW182" s="82"/>
      <c r="FLX182" s="82"/>
      <c r="FLY182" s="82"/>
      <c r="FLZ182" s="82"/>
      <c r="FMA182" s="82"/>
      <c r="FMB182" s="82"/>
      <c r="FMC182" s="82"/>
      <c r="FMD182" s="82"/>
      <c r="FME182" s="82"/>
      <c r="FMF182" s="82"/>
      <c r="FMG182" s="82"/>
      <c r="FMH182" s="82"/>
      <c r="FMI182" s="82"/>
      <c r="FMJ182" s="82"/>
      <c r="FMK182" s="82"/>
      <c r="FML182" s="82"/>
      <c r="FMM182" s="82"/>
      <c r="FMN182" s="82"/>
      <c r="FMO182" s="82"/>
      <c r="FMP182" s="82"/>
      <c r="FMQ182" s="82"/>
      <c r="FMR182" s="82"/>
      <c r="FMS182" s="82"/>
      <c r="FMT182" s="82"/>
      <c r="FMU182" s="82"/>
      <c r="FMV182" s="82"/>
      <c r="FMW182" s="82"/>
      <c r="FMX182" s="82"/>
      <c r="FMY182" s="82"/>
      <c r="FMZ182" s="82"/>
      <c r="FNA182" s="82"/>
      <c r="FNB182" s="82"/>
      <c r="FNC182" s="82"/>
      <c r="FND182" s="82"/>
      <c r="FNE182" s="82"/>
      <c r="FNF182" s="82"/>
      <c r="FNG182" s="82"/>
      <c r="FNH182" s="82"/>
      <c r="FNI182" s="82"/>
      <c r="FNJ182" s="82"/>
      <c r="FNK182" s="82"/>
      <c r="FNL182" s="82"/>
      <c r="FNM182" s="82"/>
      <c r="FNN182" s="82"/>
      <c r="FNO182" s="82"/>
      <c r="FNP182" s="82"/>
      <c r="FNQ182" s="82"/>
      <c r="FNR182" s="82"/>
      <c r="FNS182" s="82"/>
      <c r="FNT182" s="82"/>
      <c r="FNU182" s="82"/>
      <c r="FNV182" s="82"/>
      <c r="FNW182" s="82"/>
      <c r="FNX182" s="82"/>
      <c r="FNY182" s="82"/>
      <c r="FNZ182" s="82"/>
      <c r="FOA182" s="82"/>
      <c r="FOB182" s="82"/>
      <c r="FOC182" s="82"/>
      <c r="FOD182" s="82"/>
      <c r="FOE182" s="82"/>
      <c r="FOF182" s="82"/>
      <c r="FOG182" s="82"/>
      <c r="FOH182" s="82"/>
      <c r="FOI182" s="82"/>
      <c r="FOJ182" s="82"/>
      <c r="FOK182" s="82"/>
      <c r="FOL182" s="82"/>
      <c r="FOM182" s="82"/>
      <c r="FON182" s="82"/>
      <c r="FOO182" s="82"/>
      <c r="FOP182" s="82"/>
      <c r="FOQ182" s="82"/>
      <c r="FOR182" s="82"/>
      <c r="FOS182" s="82"/>
      <c r="FOT182" s="82"/>
      <c r="FOU182" s="82"/>
      <c r="FOV182" s="82"/>
      <c r="FOW182" s="82"/>
      <c r="FOX182" s="82"/>
      <c r="FOY182" s="82"/>
      <c r="FOZ182" s="82"/>
      <c r="FPA182" s="82"/>
      <c r="FPB182" s="82"/>
      <c r="FPC182" s="82"/>
      <c r="FPD182" s="82"/>
      <c r="FPE182" s="82"/>
      <c r="FPF182" s="82"/>
      <c r="FPG182" s="82"/>
      <c r="FPH182" s="82"/>
      <c r="FPI182" s="82"/>
      <c r="FPJ182" s="82"/>
      <c r="FPK182" s="82"/>
      <c r="FPL182" s="82"/>
      <c r="FPM182" s="82"/>
      <c r="FPN182" s="82"/>
      <c r="FPO182" s="82"/>
      <c r="FPP182" s="82"/>
      <c r="FPQ182" s="82"/>
      <c r="FPR182" s="82"/>
      <c r="FPS182" s="82"/>
      <c r="FPT182" s="82"/>
      <c r="FPU182" s="82"/>
      <c r="FPV182" s="82"/>
      <c r="FPW182" s="82"/>
      <c r="FPX182" s="82"/>
      <c r="FPY182" s="82"/>
      <c r="FPZ182" s="82"/>
      <c r="FQA182" s="82"/>
      <c r="FQB182" s="82"/>
      <c r="FQC182" s="82"/>
      <c r="FQD182" s="82"/>
      <c r="FQE182" s="82"/>
      <c r="FQF182" s="82"/>
      <c r="FQG182" s="82"/>
      <c r="FQH182" s="82"/>
      <c r="FQI182" s="82"/>
      <c r="FQJ182" s="82"/>
      <c r="FQK182" s="82"/>
      <c r="FQL182" s="82"/>
      <c r="FQM182" s="82"/>
      <c r="FQN182" s="82"/>
      <c r="FQO182" s="82"/>
      <c r="FQP182" s="82"/>
      <c r="FQQ182" s="82"/>
      <c r="FQR182" s="82"/>
      <c r="FQS182" s="82"/>
      <c r="FQT182" s="82"/>
      <c r="FQU182" s="82"/>
      <c r="FQV182" s="82"/>
      <c r="FQW182" s="82"/>
      <c r="FQX182" s="82"/>
      <c r="FQY182" s="82"/>
      <c r="FQZ182" s="82"/>
      <c r="FRA182" s="82"/>
      <c r="FRB182" s="82"/>
      <c r="FRC182" s="82"/>
      <c r="FRD182" s="82"/>
      <c r="FRE182" s="82"/>
      <c r="FRF182" s="82"/>
      <c r="FRG182" s="82"/>
      <c r="FRH182" s="82"/>
      <c r="FRI182" s="82"/>
      <c r="FRJ182" s="82"/>
      <c r="FRK182" s="82"/>
      <c r="FRL182" s="82"/>
      <c r="FRM182" s="82"/>
      <c r="FRN182" s="82"/>
      <c r="FRO182" s="82"/>
      <c r="FRP182" s="82"/>
      <c r="FRQ182" s="82"/>
      <c r="FRR182" s="82"/>
      <c r="FRS182" s="82"/>
      <c r="FRT182" s="82"/>
      <c r="FRU182" s="82"/>
      <c r="FRV182" s="82"/>
      <c r="FRW182" s="82"/>
      <c r="FRX182" s="82"/>
      <c r="FRY182" s="82"/>
      <c r="FRZ182" s="82"/>
      <c r="FSA182" s="82"/>
      <c r="FSB182" s="82"/>
      <c r="FSC182" s="82"/>
      <c r="FSD182" s="82"/>
      <c r="FSE182" s="82"/>
      <c r="FSF182" s="82"/>
      <c r="FSG182" s="82"/>
      <c r="FSH182" s="82"/>
      <c r="FSI182" s="82"/>
      <c r="FSJ182" s="82"/>
      <c r="FSK182" s="82"/>
      <c r="FSL182" s="82"/>
      <c r="FSM182" s="82"/>
      <c r="FSN182" s="82"/>
      <c r="FSO182" s="82"/>
      <c r="FSP182" s="82"/>
      <c r="FSQ182" s="82"/>
      <c r="FSR182" s="82"/>
      <c r="FSS182" s="82"/>
      <c r="FST182" s="82"/>
      <c r="FSU182" s="82"/>
      <c r="FSV182" s="82"/>
      <c r="FSW182" s="82"/>
      <c r="FSX182" s="82"/>
      <c r="FSY182" s="82"/>
      <c r="FSZ182" s="82"/>
      <c r="FTA182" s="82"/>
      <c r="FTB182" s="82"/>
      <c r="FTC182" s="82"/>
      <c r="FTD182" s="82"/>
      <c r="FTE182" s="82"/>
      <c r="FTF182" s="82"/>
      <c r="FTG182" s="82"/>
      <c r="FTH182" s="82"/>
      <c r="FTI182" s="82"/>
      <c r="FTJ182" s="82"/>
      <c r="FTK182" s="82"/>
      <c r="FTL182" s="82"/>
      <c r="FTM182" s="82"/>
      <c r="FTN182" s="82"/>
      <c r="FTO182" s="82"/>
      <c r="FTP182" s="82"/>
      <c r="FTQ182" s="82"/>
      <c r="FTR182" s="82"/>
      <c r="FTS182" s="82"/>
      <c r="FTT182" s="82"/>
      <c r="FTU182" s="82"/>
      <c r="FTV182" s="82"/>
      <c r="FTW182" s="82"/>
      <c r="FTX182" s="82"/>
      <c r="FTY182" s="82"/>
      <c r="FTZ182" s="82"/>
      <c r="FUA182" s="82"/>
      <c r="FUB182" s="82"/>
      <c r="FUC182" s="82"/>
      <c r="FUD182" s="82"/>
      <c r="FUE182" s="82"/>
      <c r="FUF182" s="82"/>
      <c r="FUG182" s="82"/>
      <c r="FUH182" s="82"/>
      <c r="FUI182" s="82"/>
      <c r="FUJ182" s="82"/>
      <c r="FUK182" s="82"/>
      <c r="FUL182" s="82"/>
      <c r="FUM182" s="82"/>
      <c r="FUN182" s="82"/>
      <c r="FUO182" s="82"/>
      <c r="FUP182" s="82"/>
      <c r="FUQ182" s="82"/>
      <c r="FUR182" s="82"/>
      <c r="FUS182" s="82"/>
      <c r="FUT182" s="82"/>
      <c r="FUU182" s="82"/>
      <c r="FUV182" s="82"/>
      <c r="FUW182" s="82"/>
      <c r="FUX182" s="82"/>
      <c r="FUY182" s="82"/>
      <c r="FUZ182" s="82"/>
      <c r="FVA182" s="82"/>
      <c r="FVB182" s="82"/>
      <c r="FVC182" s="82"/>
      <c r="FVD182" s="82"/>
      <c r="FVE182" s="82"/>
      <c r="FVF182" s="82"/>
      <c r="FVG182" s="82"/>
      <c r="FVH182" s="82"/>
      <c r="FVI182" s="82"/>
      <c r="FVJ182" s="82"/>
      <c r="FVK182" s="82"/>
      <c r="FVL182" s="82"/>
      <c r="FVM182" s="82"/>
      <c r="FVN182" s="82"/>
      <c r="FVO182" s="82"/>
      <c r="FVP182" s="82"/>
      <c r="FVQ182" s="82"/>
      <c r="FVR182" s="82"/>
      <c r="FVS182" s="82"/>
      <c r="FVT182" s="82"/>
      <c r="FVU182" s="82"/>
      <c r="FVV182" s="82"/>
      <c r="FVW182" s="82"/>
      <c r="FVX182" s="82"/>
      <c r="FVY182" s="82"/>
      <c r="FVZ182" s="82"/>
      <c r="FWA182" s="82"/>
      <c r="FWB182" s="82"/>
      <c r="FWC182" s="82"/>
      <c r="FWD182" s="82"/>
      <c r="FWE182" s="82"/>
      <c r="FWF182" s="82"/>
      <c r="FWG182" s="82"/>
      <c r="FWH182" s="82"/>
      <c r="FWI182" s="82"/>
      <c r="FWJ182" s="82"/>
      <c r="FWK182" s="82"/>
      <c r="FWL182" s="82"/>
      <c r="FWM182" s="82"/>
      <c r="FWN182" s="82"/>
      <c r="FWO182" s="82"/>
      <c r="FWP182" s="82"/>
      <c r="FWQ182" s="82"/>
      <c r="FWR182" s="82"/>
      <c r="FWS182" s="82"/>
      <c r="FWT182" s="82"/>
      <c r="FWU182" s="82"/>
      <c r="FWV182" s="82"/>
      <c r="FWW182" s="82"/>
      <c r="FWX182" s="82"/>
      <c r="FWY182" s="82"/>
      <c r="FWZ182" s="82"/>
      <c r="FXA182" s="82"/>
      <c r="FXB182" s="82"/>
      <c r="FXC182" s="82"/>
      <c r="FXD182" s="82"/>
      <c r="FXE182" s="82"/>
      <c r="FXF182" s="82"/>
      <c r="FXG182" s="82"/>
      <c r="FXH182" s="82"/>
      <c r="FXI182" s="82"/>
      <c r="FXJ182" s="82"/>
      <c r="FXK182" s="82"/>
      <c r="FXL182" s="82"/>
      <c r="FXM182" s="82"/>
      <c r="FXN182" s="82"/>
      <c r="FXO182" s="82"/>
      <c r="FXP182" s="82"/>
      <c r="FXQ182" s="82"/>
      <c r="FXR182" s="82"/>
      <c r="FXS182" s="82"/>
      <c r="FXT182" s="82"/>
      <c r="FXU182" s="82"/>
      <c r="FXV182" s="82"/>
      <c r="FXW182" s="82"/>
      <c r="FXX182" s="82"/>
      <c r="FXY182" s="82"/>
      <c r="FXZ182" s="82"/>
      <c r="FYA182" s="82"/>
      <c r="FYB182" s="82"/>
      <c r="FYC182" s="82"/>
      <c r="FYD182" s="82"/>
      <c r="FYE182" s="82"/>
      <c r="FYF182" s="82"/>
      <c r="FYG182" s="82"/>
      <c r="FYH182" s="82"/>
      <c r="FYI182" s="82"/>
      <c r="FYJ182" s="82"/>
      <c r="FYK182" s="82"/>
      <c r="FYL182" s="82"/>
      <c r="FYM182" s="82"/>
      <c r="FYN182" s="82"/>
      <c r="FYO182" s="82"/>
      <c r="FYP182" s="82"/>
      <c r="FYQ182" s="82"/>
      <c r="FYR182" s="82"/>
      <c r="FYS182" s="82"/>
      <c r="FYT182" s="82"/>
      <c r="FYU182" s="82"/>
      <c r="FYV182" s="82"/>
      <c r="FYW182" s="82"/>
      <c r="FYX182" s="82"/>
      <c r="FYY182" s="82"/>
      <c r="FYZ182" s="82"/>
      <c r="FZA182" s="82"/>
      <c r="FZB182" s="82"/>
      <c r="FZC182" s="82"/>
      <c r="FZD182" s="82"/>
      <c r="FZE182" s="82"/>
      <c r="FZF182" s="82"/>
      <c r="FZG182" s="82"/>
      <c r="FZH182" s="82"/>
      <c r="FZI182" s="82"/>
      <c r="FZJ182" s="82"/>
      <c r="FZK182" s="82"/>
      <c r="FZL182" s="82"/>
      <c r="FZM182" s="82"/>
      <c r="FZN182" s="82"/>
      <c r="FZO182" s="82"/>
      <c r="FZP182" s="82"/>
      <c r="FZQ182" s="82"/>
      <c r="FZR182" s="82"/>
      <c r="FZS182" s="82"/>
      <c r="FZT182" s="82"/>
      <c r="FZU182" s="82"/>
      <c r="FZV182" s="82"/>
      <c r="FZW182" s="82"/>
      <c r="FZX182" s="82"/>
      <c r="FZY182" s="82"/>
      <c r="FZZ182" s="82"/>
      <c r="GAA182" s="82"/>
      <c r="GAB182" s="82"/>
      <c r="GAC182" s="82"/>
      <c r="GAD182" s="82"/>
      <c r="GAE182" s="82"/>
      <c r="GAF182" s="82"/>
      <c r="GAG182" s="82"/>
      <c r="GAH182" s="82"/>
      <c r="GAI182" s="82"/>
      <c r="GAJ182" s="82"/>
      <c r="GAK182" s="82"/>
      <c r="GAL182" s="82"/>
      <c r="GAM182" s="82"/>
      <c r="GAN182" s="82"/>
      <c r="GAO182" s="82"/>
      <c r="GAP182" s="82"/>
      <c r="GAQ182" s="82"/>
      <c r="GAR182" s="82"/>
      <c r="GAS182" s="82"/>
      <c r="GAT182" s="82"/>
      <c r="GAU182" s="82"/>
      <c r="GAV182" s="82"/>
      <c r="GAW182" s="82"/>
      <c r="GAX182" s="82"/>
      <c r="GAY182" s="82"/>
      <c r="GAZ182" s="82"/>
      <c r="GBA182" s="82"/>
      <c r="GBB182" s="82"/>
      <c r="GBC182" s="82"/>
      <c r="GBD182" s="82"/>
      <c r="GBE182" s="82"/>
      <c r="GBF182" s="82"/>
      <c r="GBG182" s="82"/>
      <c r="GBH182" s="82"/>
      <c r="GBI182" s="82"/>
      <c r="GBJ182" s="82"/>
      <c r="GBK182" s="82"/>
      <c r="GBL182" s="82"/>
      <c r="GBM182" s="82"/>
      <c r="GBN182" s="82"/>
      <c r="GBO182" s="82"/>
      <c r="GBP182" s="82"/>
      <c r="GBQ182" s="82"/>
      <c r="GBR182" s="82"/>
      <c r="GBS182" s="82"/>
      <c r="GBT182" s="82"/>
      <c r="GBU182" s="82"/>
      <c r="GBV182" s="82"/>
      <c r="GBW182" s="82"/>
      <c r="GBX182" s="82"/>
      <c r="GBY182" s="82"/>
      <c r="GBZ182" s="82"/>
      <c r="GCA182" s="82"/>
      <c r="GCB182" s="82"/>
      <c r="GCC182" s="82"/>
      <c r="GCD182" s="82"/>
      <c r="GCE182" s="82"/>
      <c r="GCF182" s="82"/>
      <c r="GCG182" s="82"/>
      <c r="GCH182" s="82"/>
      <c r="GCI182" s="82"/>
      <c r="GCJ182" s="82"/>
      <c r="GCK182" s="82"/>
      <c r="GCL182" s="82"/>
      <c r="GCM182" s="82"/>
      <c r="GCN182" s="82"/>
      <c r="GCO182" s="82"/>
      <c r="GCP182" s="82"/>
      <c r="GCQ182" s="82"/>
      <c r="GCR182" s="82"/>
      <c r="GCS182" s="82"/>
      <c r="GCT182" s="82"/>
      <c r="GCU182" s="82"/>
      <c r="GCV182" s="82"/>
      <c r="GCW182" s="82"/>
      <c r="GCX182" s="82"/>
      <c r="GCY182" s="82"/>
      <c r="GCZ182" s="82"/>
      <c r="GDA182" s="82"/>
      <c r="GDB182" s="82"/>
      <c r="GDC182" s="82"/>
      <c r="GDD182" s="82"/>
      <c r="GDE182" s="82"/>
      <c r="GDF182" s="82"/>
      <c r="GDG182" s="82"/>
      <c r="GDH182" s="82"/>
      <c r="GDI182" s="82"/>
      <c r="GDJ182" s="82"/>
      <c r="GDK182" s="82"/>
      <c r="GDL182" s="82"/>
      <c r="GDM182" s="82"/>
      <c r="GDN182" s="82"/>
      <c r="GDO182" s="82"/>
      <c r="GDP182" s="82"/>
      <c r="GDQ182" s="82"/>
      <c r="GDR182" s="82"/>
      <c r="GDS182" s="82"/>
      <c r="GDT182" s="82"/>
      <c r="GDU182" s="82"/>
      <c r="GDV182" s="82"/>
      <c r="GDW182" s="82"/>
      <c r="GDX182" s="82"/>
      <c r="GDY182" s="82"/>
      <c r="GDZ182" s="82"/>
      <c r="GEA182" s="82"/>
      <c r="GEB182" s="82"/>
      <c r="GEC182" s="82"/>
      <c r="GED182" s="82"/>
      <c r="GEE182" s="82"/>
      <c r="GEF182" s="82"/>
      <c r="GEG182" s="82"/>
      <c r="GEH182" s="82"/>
      <c r="GEI182" s="82"/>
      <c r="GEJ182" s="82"/>
      <c r="GEK182" s="82"/>
      <c r="GEL182" s="82"/>
      <c r="GEM182" s="82"/>
      <c r="GEN182" s="82"/>
      <c r="GEO182" s="82"/>
      <c r="GEP182" s="82"/>
      <c r="GEQ182" s="82"/>
      <c r="GER182" s="82"/>
      <c r="GES182" s="82"/>
      <c r="GET182" s="82"/>
      <c r="GEU182" s="82"/>
      <c r="GEV182" s="82"/>
      <c r="GEW182" s="82"/>
      <c r="GEX182" s="82"/>
      <c r="GEY182" s="82"/>
      <c r="GEZ182" s="82"/>
      <c r="GFA182" s="82"/>
      <c r="GFB182" s="82"/>
      <c r="GFC182" s="82"/>
      <c r="GFD182" s="82"/>
      <c r="GFE182" s="82"/>
      <c r="GFF182" s="82"/>
      <c r="GFG182" s="82"/>
      <c r="GFH182" s="82"/>
      <c r="GFI182" s="82"/>
      <c r="GFJ182" s="82"/>
      <c r="GFK182" s="82"/>
      <c r="GFL182" s="82"/>
      <c r="GFM182" s="82"/>
      <c r="GFN182" s="82"/>
      <c r="GFO182" s="82"/>
      <c r="GFP182" s="82"/>
      <c r="GFQ182" s="82"/>
      <c r="GFR182" s="82"/>
      <c r="GFS182" s="82"/>
      <c r="GFT182" s="82"/>
      <c r="GFU182" s="82"/>
      <c r="GFV182" s="82"/>
      <c r="GFW182" s="82"/>
      <c r="GFX182" s="82"/>
      <c r="GFY182" s="82"/>
      <c r="GFZ182" s="82"/>
      <c r="GGA182" s="82"/>
      <c r="GGB182" s="82"/>
      <c r="GGC182" s="82"/>
      <c r="GGD182" s="82"/>
      <c r="GGE182" s="82"/>
      <c r="GGF182" s="82"/>
      <c r="GGG182" s="82"/>
      <c r="GGH182" s="82"/>
      <c r="GGI182" s="82"/>
      <c r="GGJ182" s="82"/>
      <c r="GGK182" s="82"/>
      <c r="GGL182" s="82"/>
      <c r="GGM182" s="82"/>
      <c r="GGN182" s="82"/>
      <c r="GGO182" s="82"/>
      <c r="GGP182" s="82"/>
      <c r="GGQ182" s="82"/>
      <c r="GGR182" s="82"/>
      <c r="GGS182" s="82"/>
      <c r="GGT182" s="82"/>
      <c r="GGU182" s="82"/>
      <c r="GGV182" s="82"/>
      <c r="GGW182" s="82"/>
      <c r="GGX182" s="82"/>
      <c r="GGY182" s="82"/>
      <c r="GGZ182" s="82"/>
      <c r="GHA182" s="82"/>
      <c r="GHB182" s="82"/>
      <c r="GHC182" s="82"/>
      <c r="GHD182" s="82"/>
      <c r="GHE182" s="82"/>
      <c r="GHF182" s="82"/>
      <c r="GHG182" s="82"/>
      <c r="GHH182" s="82"/>
      <c r="GHI182" s="82"/>
      <c r="GHJ182" s="82"/>
      <c r="GHK182" s="82"/>
      <c r="GHL182" s="82"/>
      <c r="GHM182" s="82"/>
      <c r="GHN182" s="82"/>
      <c r="GHO182" s="82"/>
      <c r="GHP182" s="82"/>
      <c r="GHQ182" s="82"/>
      <c r="GHR182" s="82"/>
      <c r="GHS182" s="82"/>
      <c r="GHT182" s="82"/>
      <c r="GHU182" s="82"/>
      <c r="GHV182" s="82"/>
      <c r="GHW182" s="82"/>
      <c r="GHX182" s="82"/>
      <c r="GHY182" s="82"/>
      <c r="GHZ182" s="82"/>
      <c r="GIA182" s="82"/>
      <c r="GIB182" s="82"/>
      <c r="GIC182" s="82"/>
      <c r="GID182" s="82"/>
      <c r="GIE182" s="82"/>
      <c r="GIF182" s="82"/>
      <c r="GIG182" s="82"/>
      <c r="GIH182" s="82"/>
      <c r="GII182" s="82"/>
      <c r="GIJ182" s="82"/>
      <c r="GIK182" s="82"/>
      <c r="GIL182" s="82"/>
      <c r="GIM182" s="82"/>
      <c r="GIN182" s="82"/>
      <c r="GIO182" s="82"/>
      <c r="GIP182" s="82"/>
      <c r="GIQ182" s="82"/>
      <c r="GIR182" s="82"/>
      <c r="GIS182" s="82"/>
      <c r="GIT182" s="82"/>
      <c r="GIU182" s="82"/>
      <c r="GIV182" s="82"/>
      <c r="GIW182" s="82"/>
      <c r="GIX182" s="82"/>
      <c r="GIY182" s="82"/>
      <c r="GIZ182" s="82"/>
      <c r="GJA182" s="82"/>
      <c r="GJB182" s="82"/>
      <c r="GJC182" s="82"/>
      <c r="GJD182" s="82"/>
      <c r="GJE182" s="82"/>
      <c r="GJF182" s="82"/>
      <c r="GJG182" s="82"/>
      <c r="GJH182" s="82"/>
      <c r="GJI182" s="82"/>
      <c r="GJJ182" s="82"/>
      <c r="GJK182" s="82"/>
      <c r="GJL182" s="82"/>
      <c r="GJM182" s="82"/>
      <c r="GJN182" s="82"/>
      <c r="GJO182" s="82"/>
      <c r="GJP182" s="82"/>
      <c r="GJQ182" s="82"/>
      <c r="GJR182" s="82"/>
      <c r="GJS182" s="82"/>
      <c r="GJT182" s="82"/>
      <c r="GJU182" s="82"/>
      <c r="GJV182" s="82"/>
      <c r="GJW182" s="82"/>
      <c r="GJX182" s="82"/>
      <c r="GJY182" s="82"/>
      <c r="GJZ182" s="82"/>
      <c r="GKA182" s="82"/>
      <c r="GKB182" s="82"/>
      <c r="GKC182" s="82"/>
      <c r="GKD182" s="82"/>
      <c r="GKE182" s="82"/>
      <c r="GKF182" s="82"/>
      <c r="GKG182" s="82"/>
      <c r="GKH182" s="82"/>
      <c r="GKI182" s="82"/>
      <c r="GKJ182" s="82"/>
      <c r="GKK182" s="82"/>
      <c r="GKL182" s="82"/>
      <c r="GKM182" s="82"/>
      <c r="GKN182" s="82"/>
      <c r="GKO182" s="82"/>
      <c r="GKP182" s="82"/>
      <c r="GKQ182" s="82"/>
      <c r="GKR182" s="82"/>
      <c r="GKS182" s="82"/>
      <c r="GKT182" s="82"/>
      <c r="GKU182" s="82"/>
      <c r="GKV182" s="82"/>
      <c r="GKW182" s="82"/>
      <c r="GKX182" s="82"/>
      <c r="GKY182" s="82"/>
      <c r="GKZ182" s="82"/>
      <c r="GLA182" s="82"/>
      <c r="GLB182" s="82"/>
      <c r="GLC182" s="82"/>
      <c r="GLD182" s="82"/>
      <c r="GLE182" s="82"/>
      <c r="GLF182" s="82"/>
      <c r="GLG182" s="82"/>
      <c r="GLH182" s="82"/>
      <c r="GLI182" s="82"/>
      <c r="GLJ182" s="82"/>
      <c r="GLK182" s="82"/>
      <c r="GLL182" s="82"/>
      <c r="GLM182" s="82"/>
      <c r="GLN182" s="82"/>
      <c r="GLO182" s="82"/>
      <c r="GLP182" s="82"/>
      <c r="GLQ182" s="82"/>
      <c r="GLR182" s="82"/>
      <c r="GLS182" s="82"/>
      <c r="GLT182" s="82"/>
      <c r="GLU182" s="82"/>
      <c r="GLV182" s="82"/>
      <c r="GLW182" s="82"/>
      <c r="GLX182" s="82"/>
      <c r="GLY182" s="82"/>
      <c r="GLZ182" s="82"/>
      <c r="GMA182" s="82"/>
      <c r="GMB182" s="82"/>
      <c r="GMC182" s="82"/>
      <c r="GMD182" s="82"/>
      <c r="GME182" s="82"/>
      <c r="GMF182" s="82"/>
      <c r="GMG182" s="82"/>
      <c r="GMH182" s="82"/>
      <c r="GMI182" s="82"/>
      <c r="GMJ182" s="82"/>
      <c r="GMK182" s="82"/>
      <c r="GML182" s="82"/>
      <c r="GMM182" s="82"/>
      <c r="GMN182" s="82"/>
      <c r="GMO182" s="82"/>
      <c r="GMP182" s="82"/>
      <c r="GMQ182" s="82"/>
      <c r="GMR182" s="82"/>
      <c r="GMS182" s="82"/>
      <c r="GMT182" s="82"/>
      <c r="GMU182" s="82"/>
      <c r="GMV182" s="82"/>
      <c r="GMW182" s="82"/>
      <c r="GMX182" s="82"/>
      <c r="GMY182" s="82"/>
      <c r="GMZ182" s="82"/>
      <c r="GNA182" s="82"/>
      <c r="GNB182" s="82"/>
      <c r="GNC182" s="82"/>
      <c r="GND182" s="82"/>
      <c r="GNE182" s="82"/>
      <c r="GNF182" s="82"/>
      <c r="GNG182" s="82"/>
      <c r="GNH182" s="82"/>
      <c r="GNI182" s="82"/>
      <c r="GNJ182" s="82"/>
      <c r="GNK182" s="82"/>
      <c r="GNL182" s="82"/>
      <c r="GNM182" s="82"/>
      <c r="GNN182" s="82"/>
      <c r="GNO182" s="82"/>
      <c r="GNP182" s="82"/>
      <c r="GNQ182" s="82"/>
      <c r="GNR182" s="82"/>
      <c r="GNS182" s="82"/>
      <c r="GNT182" s="82"/>
      <c r="GNU182" s="82"/>
      <c r="GNV182" s="82"/>
      <c r="GNW182" s="82"/>
      <c r="GNX182" s="82"/>
      <c r="GNY182" s="82"/>
      <c r="GNZ182" s="82"/>
      <c r="GOA182" s="82"/>
      <c r="GOB182" s="82"/>
      <c r="GOC182" s="82"/>
      <c r="GOD182" s="82"/>
      <c r="GOE182" s="82"/>
      <c r="GOF182" s="82"/>
      <c r="GOG182" s="82"/>
      <c r="GOH182" s="82"/>
      <c r="GOI182" s="82"/>
      <c r="GOJ182" s="82"/>
      <c r="GOK182" s="82"/>
      <c r="GOL182" s="82"/>
      <c r="GOM182" s="82"/>
      <c r="GON182" s="82"/>
      <c r="GOO182" s="82"/>
      <c r="GOP182" s="82"/>
      <c r="GOQ182" s="82"/>
      <c r="GOR182" s="82"/>
      <c r="GOS182" s="82"/>
      <c r="GOT182" s="82"/>
      <c r="GOU182" s="82"/>
      <c r="GOV182" s="82"/>
      <c r="GOW182" s="82"/>
      <c r="GOX182" s="82"/>
      <c r="GOY182" s="82"/>
      <c r="GOZ182" s="82"/>
      <c r="GPA182" s="82"/>
      <c r="GPB182" s="82"/>
      <c r="GPC182" s="82"/>
      <c r="GPD182" s="82"/>
      <c r="GPE182" s="82"/>
      <c r="GPF182" s="82"/>
      <c r="GPG182" s="82"/>
      <c r="GPH182" s="82"/>
      <c r="GPI182" s="82"/>
      <c r="GPJ182" s="82"/>
      <c r="GPK182" s="82"/>
      <c r="GPL182" s="82"/>
      <c r="GPM182" s="82"/>
      <c r="GPN182" s="82"/>
      <c r="GPO182" s="82"/>
      <c r="GPP182" s="82"/>
      <c r="GPQ182" s="82"/>
      <c r="GPR182" s="82"/>
      <c r="GPS182" s="82"/>
      <c r="GPT182" s="82"/>
      <c r="GPU182" s="82"/>
      <c r="GPV182" s="82"/>
      <c r="GPW182" s="82"/>
      <c r="GPX182" s="82"/>
      <c r="GPY182" s="82"/>
      <c r="GPZ182" s="82"/>
      <c r="GQA182" s="82"/>
      <c r="GQB182" s="82"/>
      <c r="GQC182" s="82"/>
      <c r="GQD182" s="82"/>
      <c r="GQE182" s="82"/>
      <c r="GQF182" s="82"/>
      <c r="GQG182" s="82"/>
      <c r="GQH182" s="82"/>
      <c r="GQI182" s="82"/>
      <c r="GQJ182" s="82"/>
      <c r="GQK182" s="82"/>
      <c r="GQL182" s="82"/>
      <c r="GQM182" s="82"/>
      <c r="GQN182" s="82"/>
      <c r="GQO182" s="82"/>
      <c r="GQP182" s="82"/>
      <c r="GQQ182" s="82"/>
      <c r="GQR182" s="82"/>
      <c r="GQS182" s="82"/>
      <c r="GQT182" s="82"/>
      <c r="GQU182" s="82"/>
      <c r="GQV182" s="82"/>
      <c r="GQW182" s="82"/>
      <c r="GQX182" s="82"/>
      <c r="GQY182" s="82"/>
      <c r="GQZ182" s="82"/>
      <c r="GRA182" s="82"/>
      <c r="GRB182" s="82"/>
      <c r="GRC182" s="82"/>
      <c r="GRD182" s="82"/>
      <c r="GRE182" s="82"/>
      <c r="GRF182" s="82"/>
      <c r="GRG182" s="82"/>
      <c r="GRH182" s="82"/>
      <c r="GRI182" s="82"/>
      <c r="GRJ182" s="82"/>
      <c r="GRK182" s="82"/>
      <c r="GRL182" s="82"/>
      <c r="GRM182" s="82"/>
      <c r="GRN182" s="82"/>
      <c r="GRO182" s="82"/>
      <c r="GRP182" s="82"/>
      <c r="GRQ182" s="82"/>
      <c r="GRR182" s="82"/>
      <c r="GRS182" s="82"/>
      <c r="GRT182" s="82"/>
      <c r="GRU182" s="82"/>
      <c r="GRV182" s="82"/>
      <c r="GRW182" s="82"/>
      <c r="GRX182" s="82"/>
      <c r="GRY182" s="82"/>
      <c r="GRZ182" s="82"/>
      <c r="GSA182" s="82"/>
      <c r="GSB182" s="82"/>
      <c r="GSC182" s="82"/>
      <c r="GSD182" s="82"/>
      <c r="GSE182" s="82"/>
      <c r="GSF182" s="82"/>
      <c r="GSG182" s="82"/>
      <c r="GSH182" s="82"/>
      <c r="GSI182" s="82"/>
      <c r="GSJ182" s="82"/>
      <c r="GSK182" s="82"/>
      <c r="GSL182" s="82"/>
      <c r="GSM182" s="82"/>
      <c r="GSN182" s="82"/>
      <c r="GSO182" s="82"/>
      <c r="GSP182" s="82"/>
      <c r="GSQ182" s="82"/>
      <c r="GSR182" s="82"/>
      <c r="GSS182" s="82"/>
      <c r="GST182" s="82"/>
      <c r="GSU182" s="82"/>
      <c r="GSV182" s="82"/>
      <c r="GSW182" s="82"/>
      <c r="GSX182" s="82"/>
      <c r="GSY182" s="82"/>
      <c r="GSZ182" s="82"/>
      <c r="GTA182" s="82"/>
      <c r="GTB182" s="82"/>
      <c r="GTC182" s="82"/>
      <c r="GTD182" s="82"/>
      <c r="GTE182" s="82"/>
      <c r="GTF182" s="82"/>
      <c r="GTG182" s="82"/>
      <c r="GTH182" s="82"/>
      <c r="GTI182" s="82"/>
      <c r="GTJ182" s="82"/>
      <c r="GTK182" s="82"/>
      <c r="GTL182" s="82"/>
      <c r="GTM182" s="82"/>
      <c r="GTN182" s="82"/>
      <c r="GTO182" s="82"/>
      <c r="GTP182" s="82"/>
      <c r="GTQ182" s="82"/>
      <c r="GTR182" s="82"/>
      <c r="GTS182" s="82"/>
      <c r="GTT182" s="82"/>
      <c r="GTU182" s="82"/>
      <c r="GTV182" s="82"/>
      <c r="GTW182" s="82"/>
      <c r="GTX182" s="82"/>
      <c r="GTY182" s="82"/>
      <c r="GTZ182" s="82"/>
      <c r="GUA182" s="82"/>
      <c r="GUB182" s="82"/>
      <c r="GUC182" s="82"/>
      <c r="GUD182" s="82"/>
      <c r="GUE182" s="82"/>
      <c r="GUF182" s="82"/>
      <c r="GUG182" s="82"/>
      <c r="GUH182" s="82"/>
      <c r="GUI182" s="82"/>
      <c r="GUJ182" s="82"/>
      <c r="GUK182" s="82"/>
      <c r="GUL182" s="82"/>
      <c r="GUM182" s="82"/>
      <c r="GUN182" s="82"/>
      <c r="GUO182" s="82"/>
      <c r="GUP182" s="82"/>
      <c r="GUQ182" s="82"/>
      <c r="GUR182" s="82"/>
      <c r="GUS182" s="82"/>
      <c r="GUT182" s="82"/>
      <c r="GUU182" s="82"/>
      <c r="GUV182" s="82"/>
      <c r="GUW182" s="82"/>
      <c r="GUX182" s="82"/>
      <c r="GUY182" s="82"/>
      <c r="GUZ182" s="82"/>
      <c r="GVA182" s="82"/>
      <c r="GVB182" s="82"/>
      <c r="GVC182" s="82"/>
      <c r="GVD182" s="82"/>
      <c r="GVE182" s="82"/>
      <c r="GVF182" s="82"/>
      <c r="GVG182" s="82"/>
      <c r="GVH182" s="82"/>
      <c r="GVI182" s="82"/>
      <c r="GVJ182" s="82"/>
      <c r="GVK182" s="82"/>
      <c r="GVL182" s="82"/>
      <c r="GVM182" s="82"/>
      <c r="GVN182" s="82"/>
      <c r="GVO182" s="82"/>
      <c r="GVP182" s="82"/>
      <c r="GVQ182" s="82"/>
      <c r="GVR182" s="82"/>
      <c r="GVS182" s="82"/>
      <c r="GVT182" s="82"/>
      <c r="GVU182" s="82"/>
      <c r="GVV182" s="82"/>
      <c r="GVW182" s="82"/>
      <c r="GVX182" s="82"/>
      <c r="GVY182" s="82"/>
      <c r="GVZ182" s="82"/>
      <c r="GWA182" s="82"/>
      <c r="GWB182" s="82"/>
      <c r="GWC182" s="82"/>
      <c r="GWD182" s="82"/>
      <c r="GWE182" s="82"/>
      <c r="GWF182" s="82"/>
      <c r="GWG182" s="82"/>
      <c r="GWH182" s="82"/>
      <c r="GWI182" s="82"/>
      <c r="GWJ182" s="82"/>
      <c r="GWK182" s="82"/>
      <c r="GWL182" s="82"/>
      <c r="GWM182" s="82"/>
      <c r="GWN182" s="82"/>
      <c r="GWO182" s="82"/>
      <c r="GWP182" s="82"/>
      <c r="GWQ182" s="82"/>
      <c r="GWR182" s="82"/>
      <c r="GWS182" s="82"/>
      <c r="GWT182" s="82"/>
      <c r="GWU182" s="82"/>
      <c r="GWV182" s="82"/>
      <c r="GWW182" s="82"/>
      <c r="GWX182" s="82"/>
      <c r="GWY182" s="82"/>
      <c r="GWZ182" s="82"/>
      <c r="GXA182" s="82"/>
      <c r="GXB182" s="82"/>
      <c r="GXC182" s="82"/>
      <c r="GXD182" s="82"/>
      <c r="GXE182" s="82"/>
      <c r="GXF182" s="82"/>
      <c r="GXG182" s="82"/>
      <c r="GXH182" s="82"/>
      <c r="GXI182" s="82"/>
      <c r="GXJ182" s="82"/>
      <c r="GXK182" s="82"/>
      <c r="GXL182" s="82"/>
      <c r="GXM182" s="82"/>
      <c r="GXN182" s="82"/>
      <c r="GXO182" s="82"/>
      <c r="GXP182" s="82"/>
      <c r="GXQ182" s="82"/>
      <c r="GXR182" s="82"/>
      <c r="GXS182" s="82"/>
      <c r="GXT182" s="82"/>
      <c r="GXU182" s="82"/>
      <c r="GXV182" s="82"/>
      <c r="GXW182" s="82"/>
      <c r="GXX182" s="82"/>
      <c r="GXY182" s="82"/>
      <c r="GXZ182" s="82"/>
      <c r="GYA182" s="82"/>
      <c r="GYB182" s="82"/>
      <c r="GYC182" s="82"/>
      <c r="GYD182" s="82"/>
      <c r="GYE182" s="82"/>
      <c r="GYF182" s="82"/>
      <c r="GYG182" s="82"/>
      <c r="GYH182" s="82"/>
      <c r="GYI182" s="82"/>
      <c r="GYJ182" s="82"/>
      <c r="GYK182" s="82"/>
      <c r="GYL182" s="82"/>
      <c r="GYM182" s="82"/>
      <c r="GYN182" s="82"/>
      <c r="GYO182" s="82"/>
      <c r="GYP182" s="82"/>
      <c r="GYQ182" s="82"/>
      <c r="GYR182" s="82"/>
      <c r="GYS182" s="82"/>
      <c r="GYT182" s="82"/>
      <c r="GYU182" s="82"/>
      <c r="GYV182" s="82"/>
      <c r="GYW182" s="82"/>
      <c r="GYX182" s="82"/>
      <c r="GYY182" s="82"/>
      <c r="GYZ182" s="82"/>
      <c r="GZA182" s="82"/>
      <c r="GZB182" s="82"/>
      <c r="GZC182" s="82"/>
      <c r="GZD182" s="82"/>
      <c r="GZE182" s="82"/>
      <c r="GZF182" s="82"/>
      <c r="GZG182" s="82"/>
      <c r="GZH182" s="82"/>
      <c r="GZI182" s="82"/>
      <c r="GZJ182" s="82"/>
      <c r="GZK182" s="82"/>
      <c r="GZL182" s="82"/>
      <c r="GZM182" s="82"/>
      <c r="GZN182" s="82"/>
      <c r="GZO182" s="82"/>
      <c r="GZP182" s="82"/>
      <c r="GZQ182" s="82"/>
      <c r="GZR182" s="82"/>
      <c r="GZS182" s="82"/>
      <c r="GZT182" s="82"/>
      <c r="GZU182" s="82"/>
      <c r="GZV182" s="82"/>
      <c r="GZW182" s="82"/>
      <c r="GZX182" s="82"/>
      <c r="GZY182" s="82"/>
      <c r="GZZ182" s="82"/>
      <c r="HAA182" s="82"/>
      <c r="HAB182" s="82"/>
      <c r="HAC182" s="82"/>
      <c r="HAD182" s="82"/>
      <c r="HAE182" s="82"/>
      <c r="HAF182" s="82"/>
      <c r="HAG182" s="82"/>
      <c r="HAH182" s="82"/>
      <c r="HAI182" s="82"/>
      <c r="HAJ182" s="82"/>
      <c r="HAK182" s="82"/>
      <c r="HAL182" s="82"/>
      <c r="HAM182" s="82"/>
      <c r="HAN182" s="82"/>
      <c r="HAO182" s="82"/>
      <c r="HAP182" s="82"/>
      <c r="HAQ182" s="82"/>
      <c r="HAR182" s="82"/>
      <c r="HAS182" s="82"/>
      <c r="HAT182" s="82"/>
      <c r="HAU182" s="82"/>
      <c r="HAV182" s="82"/>
      <c r="HAW182" s="82"/>
      <c r="HAX182" s="82"/>
      <c r="HAY182" s="82"/>
      <c r="HAZ182" s="82"/>
      <c r="HBA182" s="82"/>
      <c r="HBB182" s="82"/>
      <c r="HBC182" s="82"/>
      <c r="HBD182" s="82"/>
      <c r="HBE182" s="82"/>
      <c r="HBF182" s="82"/>
      <c r="HBG182" s="82"/>
      <c r="HBH182" s="82"/>
      <c r="HBI182" s="82"/>
      <c r="HBJ182" s="82"/>
      <c r="HBK182" s="82"/>
      <c r="HBL182" s="82"/>
      <c r="HBM182" s="82"/>
      <c r="HBN182" s="82"/>
      <c r="HBO182" s="82"/>
      <c r="HBP182" s="82"/>
      <c r="HBQ182" s="82"/>
      <c r="HBR182" s="82"/>
      <c r="HBS182" s="82"/>
      <c r="HBT182" s="82"/>
      <c r="HBU182" s="82"/>
      <c r="HBV182" s="82"/>
      <c r="HBW182" s="82"/>
      <c r="HBX182" s="82"/>
      <c r="HBY182" s="82"/>
      <c r="HBZ182" s="82"/>
      <c r="HCA182" s="82"/>
      <c r="HCB182" s="82"/>
      <c r="HCC182" s="82"/>
      <c r="HCD182" s="82"/>
      <c r="HCE182" s="82"/>
      <c r="HCF182" s="82"/>
      <c r="HCG182" s="82"/>
      <c r="HCH182" s="82"/>
      <c r="HCI182" s="82"/>
      <c r="HCJ182" s="82"/>
      <c r="HCK182" s="82"/>
      <c r="HCL182" s="82"/>
      <c r="HCM182" s="82"/>
      <c r="HCN182" s="82"/>
      <c r="HCO182" s="82"/>
      <c r="HCP182" s="82"/>
      <c r="HCQ182" s="82"/>
      <c r="HCR182" s="82"/>
      <c r="HCS182" s="82"/>
      <c r="HCT182" s="82"/>
      <c r="HCU182" s="82"/>
      <c r="HCV182" s="82"/>
      <c r="HCW182" s="82"/>
      <c r="HCX182" s="82"/>
      <c r="HCY182" s="82"/>
      <c r="HCZ182" s="82"/>
      <c r="HDA182" s="82"/>
      <c r="HDB182" s="82"/>
      <c r="HDC182" s="82"/>
      <c r="HDD182" s="82"/>
      <c r="HDE182" s="82"/>
      <c r="HDF182" s="82"/>
      <c r="HDG182" s="82"/>
      <c r="HDH182" s="82"/>
      <c r="HDI182" s="82"/>
      <c r="HDJ182" s="82"/>
      <c r="HDK182" s="82"/>
      <c r="HDL182" s="82"/>
      <c r="HDM182" s="82"/>
      <c r="HDN182" s="82"/>
      <c r="HDO182" s="82"/>
      <c r="HDP182" s="82"/>
      <c r="HDQ182" s="82"/>
      <c r="HDR182" s="82"/>
      <c r="HDS182" s="82"/>
      <c r="HDT182" s="82"/>
      <c r="HDU182" s="82"/>
      <c r="HDV182" s="82"/>
      <c r="HDW182" s="82"/>
      <c r="HDX182" s="82"/>
      <c r="HDY182" s="82"/>
      <c r="HDZ182" s="82"/>
      <c r="HEA182" s="82"/>
      <c r="HEB182" s="82"/>
      <c r="HEC182" s="82"/>
      <c r="HED182" s="82"/>
      <c r="HEE182" s="82"/>
      <c r="HEF182" s="82"/>
      <c r="HEG182" s="82"/>
      <c r="HEH182" s="82"/>
      <c r="HEI182" s="82"/>
      <c r="HEJ182" s="82"/>
      <c r="HEK182" s="82"/>
      <c r="HEL182" s="82"/>
      <c r="HEM182" s="82"/>
      <c r="HEN182" s="82"/>
      <c r="HEO182" s="82"/>
      <c r="HEP182" s="82"/>
      <c r="HEQ182" s="82"/>
      <c r="HER182" s="82"/>
      <c r="HES182" s="82"/>
      <c r="HET182" s="82"/>
      <c r="HEU182" s="82"/>
      <c r="HEV182" s="82"/>
      <c r="HEW182" s="82"/>
      <c r="HEX182" s="82"/>
      <c r="HEY182" s="82"/>
      <c r="HEZ182" s="82"/>
      <c r="HFA182" s="82"/>
      <c r="HFB182" s="82"/>
      <c r="HFC182" s="82"/>
      <c r="HFD182" s="82"/>
      <c r="HFE182" s="82"/>
      <c r="HFF182" s="82"/>
      <c r="HFG182" s="82"/>
      <c r="HFH182" s="82"/>
      <c r="HFI182" s="82"/>
      <c r="HFJ182" s="82"/>
      <c r="HFK182" s="82"/>
      <c r="HFL182" s="82"/>
      <c r="HFM182" s="82"/>
      <c r="HFN182" s="82"/>
      <c r="HFO182" s="82"/>
      <c r="HFP182" s="82"/>
      <c r="HFQ182" s="82"/>
      <c r="HFR182" s="82"/>
      <c r="HFS182" s="82"/>
      <c r="HFT182" s="82"/>
      <c r="HFU182" s="82"/>
      <c r="HFV182" s="82"/>
      <c r="HFW182" s="82"/>
      <c r="HFX182" s="82"/>
      <c r="HFY182" s="82"/>
      <c r="HFZ182" s="82"/>
      <c r="HGA182" s="82"/>
      <c r="HGB182" s="82"/>
      <c r="HGC182" s="82"/>
      <c r="HGD182" s="82"/>
      <c r="HGE182" s="82"/>
      <c r="HGF182" s="82"/>
      <c r="HGG182" s="82"/>
      <c r="HGH182" s="82"/>
      <c r="HGI182" s="82"/>
      <c r="HGJ182" s="82"/>
      <c r="HGK182" s="82"/>
      <c r="HGL182" s="82"/>
      <c r="HGM182" s="82"/>
      <c r="HGN182" s="82"/>
      <c r="HGO182" s="82"/>
      <c r="HGP182" s="82"/>
      <c r="HGQ182" s="82"/>
      <c r="HGR182" s="82"/>
      <c r="HGS182" s="82"/>
      <c r="HGT182" s="82"/>
      <c r="HGU182" s="82"/>
      <c r="HGV182" s="82"/>
      <c r="HGW182" s="82"/>
      <c r="HGX182" s="82"/>
      <c r="HGY182" s="82"/>
      <c r="HGZ182" s="82"/>
      <c r="HHA182" s="82"/>
      <c r="HHB182" s="82"/>
      <c r="HHC182" s="82"/>
      <c r="HHD182" s="82"/>
      <c r="HHE182" s="82"/>
      <c r="HHF182" s="82"/>
      <c r="HHG182" s="82"/>
      <c r="HHH182" s="82"/>
      <c r="HHI182" s="82"/>
      <c r="HHJ182" s="82"/>
      <c r="HHK182" s="82"/>
      <c r="HHL182" s="82"/>
      <c r="HHM182" s="82"/>
      <c r="HHN182" s="82"/>
      <c r="HHO182" s="82"/>
      <c r="HHP182" s="82"/>
      <c r="HHQ182" s="82"/>
      <c r="HHR182" s="82"/>
      <c r="HHS182" s="82"/>
      <c r="HHT182" s="82"/>
      <c r="HHU182" s="82"/>
      <c r="HHV182" s="82"/>
      <c r="HHW182" s="82"/>
      <c r="HHX182" s="82"/>
      <c r="HHY182" s="82"/>
      <c r="HHZ182" s="82"/>
      <c r="HIA182" s="82"/>
      <c r="HIB182" s="82"/>
      <c r="HIC182" s="82"/>
      <c r="HID182" s="82"/>
      <c r="HIE182" s="82"/>
      <c r="HIF182" s="82"/>
      <c r="HIG182" s="82"/>
      <c r="HIH182" s="82"/>
      <c r="HII182" s="82"/>
      <c r="HIJ182" s="82"/>
      <c r="HIK182" s="82"/>
      <c r="HIL182" s="82"/>
      <c r="HIM182" s="82"/>
      <c r="HIN182" s="82"/>
      <c r="HIO182" s="82"/>
      <c r="HIP182" s="82"/>
      <c r="HIQ182" s="82"/>
      <c r="HIR182" s="82"/>
      <c r="HIS182" s="82"/>
      <c r="HIT182" s="82"/>
      <c r="HIU182" s="82"/>
      <c r="HIV182" s="82"/>
      <c r="HIW182" s="82"/>
      <c r="HIX182" s="82"/>
      <c r="HIY182" s="82"/>
      <c r="HIZ182" s="82"/>
      <c r="HJA182" s="82"/>
      <c r="HJB182" s="82"/>
      <c r="HJC182" s="82"/>
      <c r="HJD182" s="82"/>
      <c r="HJE182" s="82"/>
      <c r="HJF182" s="82"/>
      <c r="HJG182" s="82"/>
      <c r="HJH182" s="82"/>
      <c r="HJI182" s="82"/>
      <c r="HJJ182" s="82"/>
      <c r="HJK182" s="82"/>
      <c r="HJL182" s="82"/>
      <c r="HJM182" s="82"/>
      <c r="HJN182" s="82"/>
      <c r="HJO182" s="82"/>
      <c r="HJP182" s="82"/>
      <c r="HJQ182" s="82"/>
      <c r="HJR182" s="82"/>
      <c r="HJS182" s="82"/>
      <c r="HJT182" s="82"/>
      <c r="HJU182" s="82"/>
      <c r="HJV182" s="82"/>
      <c r="HJW182" s="82"/>
      <c r="HJX182" s="82"/>
      <c r="HJY182" s="82"/>
      <c r="HJZ182" s="82"/>
      <c r="HKA182" s="82"/>
      <c r="HKB182" s="82"/>
      <c r="HKC182" s="82"/>
      <c r="HKD182" s="82"/>
      <c r="HKE182" s="82"/>
      <c r="HKF182" s="82"/>
      <c r="HKG182" s="82"/>
      <c r="HKH182" s="82"/>
      <c r="HKI182" s="82"/>
      <c r="HKJ182" s="82"/>
      <c r="HKK182" s="82"/>
      <c r="HKL182" s="82"/>
      <c r="HKM182" s="82"/>
      <c r="HKN182" s="82"/>
      <c r="HKO182" s="82"/>
      <c r="HKP182" s="82"/>
      <c r="HKQ182" s="82"/>
      <c r="HKR182" s="82"/>
      <c r="HKS182" s="82"/>
      <c r="HKT182" s="82"/>
      <c r="HKU182" s="82"/>
      <c r="HKV182" s="82"/>
      <c r="HKW182" s="82"/>
      <c r="HKX182" s="82"/>
      <c r="HKY182" s="82"/>
      <c r="HKZ182" s="82"/>
      <c r="HLA182" s="82"/>
      <c r="HLB182" s="82"/>
      <c r="HLC182" s="82"/>
      <c r="HLD182" s="82"/>
      <c r="HLE182" s="82"/>
      <c r="HLF182" s="82"/>
      <c r="HLG182" s="82"/>
      <c r="HLH182" s="82"/>
      <c r="HLI182" s="82"/>
      <c r="HLJ182" s="82"/>
      <c r="HLK182" s="82"/>
      <c r="HLL182" s="82"/>
      <c r="HLM182" s="82"/>
      <c r="HLN182" s="82"/>
      <c r="HLO182" s="82"/>
      <c r="HLP182" s="82"/>
      <c r="HLQ182" s="82"/>
      <c r="HLR182" s="82"/>
      <c r="HLS182" s="82"/>
      <c r="HLT182" s="82"/>
      <c r="HLU182" s="82"/>
      <c r="HLV182" s="82"/>
      <c r="HLW182" s="82"/>
      <c r="HLX182" s="82"/>
      <c r="HLY182" s="82"/>
      <c r="HLZ182" s="82"/>
      <c r="HMA182" s="82"/>
      <c r="HMB182" s="82"/>
      <c r="HMC182" s="82"/>
      <c r="HMD182" s="82"/>
      <c r="HME182" s="82"/>
      <c r="HMF182" s="82"/>
      <c r="HMG182" s="82"/>
      <c r="HMH182" s="82"/>
      <c r="HMI182" s="82"/>
      <c r="HMJ182" s="82"/>
      <c r="HMK182" s="82"/>
      <c r="HML182" s="82"/>
      <c r="HMM182" s="82"/>
      <c r="HMN182" s="82"/>
      <c r="HMO182" s="82"/>
      <c r="HMP182" s="82"/>
      <c r="HMQ182" s="82"/>
      <c r="HMR182" s="82"/>
      <c r="HMS182" s="82"/>
      <c r="HMT182" s="82"/>
      <c r="HMU182" s="82"/>
      <c r="HMV182" s="82"/>
      <c r="HMW182" s="82"/>
      <c r="HMX182" s="82"/>
      <c r="HMY182" s="82"/>
      <c r="HMZ182" s="82"/>
      <c r="HNA182" s="82"/>
      <c r="HNB182" s="82"/>
      <c r="HNC182" s="82"/>
      <c r="HND182" s="82"/>
      <c r="HNE182" s="82"/>
      <c r="HNF182" s="82"/>
      <c r="HNG182" s="82"/>
      <c r="HNH182" s="82"/>
      <c r="HNI182" s="82"/>
      <c r="HNJ182" s="82"/>
      <c r="HNK182" s="82"/>
      <c r="HNL182" s="82"/>
      <c r="HNM182" s="82"/>
      <c r="HNN182" s="82"/>
      <c r="HNO182" s="82"/>
      <c r="HNP182" s="82"/>
      <c r="HNQ182" s="82"/>
      <c r="HNR182" s="82"/>
      <c r="HNS182" s="82"/>
      <c r="HNT182" s="82"/>
      <c r="HNU182" s="82"/>
      <c r="HNV182" s="82"/>
      <c r="HNW182" s="82"/>
      <c r="HNX182" s="82"/>
      <c r="HNY182" s="82"/>
      <c r="HNZ182" s="82"/>
      <c r="HOA182" s="82"/>
      <c r="HOB182" s="82"/>
      <c r="HOC182" s="82"/>
      <c r="HOD182" s="82"/>
      <c r="HOE182" s="82"/>
      <c r="HOF182" s="82"/>
      <c r="HOG182" s="82"/>
      <c r="HOH182" s="82"/>
      <c r="HOI182" s="82"/>
      <c r="HOJ182" s="82"/>
      <c r="HOK182" s="82"/>
      <c r="HOL182" s="82"/>
      <c r="HOM182" s="82"/>
      <c r="HON182" s="82"/>
      <c r="HOO182" s="82"/>
      <c r="HOP182" s="82"/>
      <c r="HOQ182" s="82"/>
      <c r="HOR182" s="82"/>
      <c r="HOS182" s="82"/>
      <c r="HOT182" s="82"/>
      <c r="HOU182" s="82"/>
      <c r="HOV182" s="82"/>
      <c r="HOW182" s="82"/>
      <c r="HOX182" s="82"/>
      <c r="HOY182" s="82"/>
      <c r="HOZ182" s="82"/>
      <c r="HPA182" s="82"/>
      <c r="HPB182" s="82"/>
      <c r="HPC182" s="82"/>
      <c r="HPD182" s="82"/>
      <c r="HPE182" s="82"/>
      <c r="HPF182" s="82"/>
      <c r="HPG182" s="82"/>
      <c r="HPH182" s="82"/>
      <c r="HPI182" s="82"/>
      <c r="HPJ182" s="82"/>
      <c r="HPK182" s="82"/>
      <c r="HPL182" s="82"/>
      <c r="HPM182" s="82"/>
      <c r="HPN182" s="82"/>
      <c r="HPO182" s="82"/>
      <c r="HPP182" s="82"/>
      <c r="HPQ182" s="82"/>
      <c r="HPR182" s="82"/>
      <c r="HPS182" s="82"/>
      <c r="HPT182" s="82"/>
      <c r="HPU182" s="82"/>
      <c r="HPV182" s="82"/>
      <c r="HPW182" s="82"/>
      <c r="HPX182" s="82"/>
      <c r="HPY182" s="82"/>
      <c r="HPZ182" s="82"/>
      <c r="HQA182" s="82"/>
      <c r="HQB182" s="82"/>
      <c r="HQC182" s="82"/>
      <c r="HQD182" s="82"/>
      <c r="HQE182" s="82"/>
      <c r="HQF182" s="82"/>
      <c r="HQG182" s="82"/>
      <c r="HQH182" s="82"/>
      <c r="HQI182" s="82"/>
      <c r="HQJ182" s="82"/>
      <c r="HQK182" s="82"/>
      <c r="HQL182" s="82"/>
      <c r="HQM182" s="82"/>
      <c r="HQN182" s="82"/>
      <c r="HQO182" s="82"/>
      <c r="HQP182" s="82"/>
      <c r="HQQ182" s="82"/>
      <c r="HQR182" s="82"/>
      <c r="HQS182" s="82"/>
      <c r="HQT182" s="82"/>
      <c r="HQU182" s="82"/>
      <c r="HQV182" s="82"/>
      <c r="HQW182" s="82"/>
      <c r="HQX182" s="82"/>
      <c r="HQY182" s="82"/>
      <c r="HQZ182" s="82"/>
      <c r="HRA182" s="82"/>
      <c r="HRB182" s="82"/>
      <c r="HRC182" s="82"/>
      <c r="HRD182" s="82"/>
      <c r="HRE182" s="82"/>
      <c r="HRF182" s="82"/>
      <c r="HRG182" s="82"/>
      <c r="HRH182" s="82"/>
      <c r="HRI182" s="82"/>
      <c r="HRJ182" s="82"/>
      <c r="HRK182" s="82"/>
      <c r="HRL182" s="82"/>
      <c r="HRM182" s="82"/>
      <c r="HRN182" s="82"/>
      <c r="HRO182" s="82"/>
      <c r="HRP182" s="82"/>
      <c r="HRQ182" s="82"/>
      <c r="HRR182" s="82"/>
      <c r="HRS182" s="82"/>
      <c r="HRT182" s="82"/>
      <c r="HRU182" s="82"/>
      <c r="HRV182" s="82"/>
      <c r="HRW182" s="82"/>
      <c r="HRX182" s="82"/>
      <c r="HRY182" s="82"/>
      <c r="HRZ182" s="82"/>
      <c r="HSA182" s="82"/>
      <c r="HSB182" s="82"/>
      <c r="HSC182" s="82"/>
      <c r="HSD182" s="82"/>
      <c r="HSE182" s="82"/>
      <c r="HSF182" s="82"/>
      <c r="HSG182" s="82"/>
      <c r="HSH182" s="82"/>
      <c r="HSI182" s="82"/>
      <c r="HSJ182" s="82"/>
      <c r="HSK182" s="82"/>
      <c r="HSL182" s="82"/>
      <c r="HSM182" s="82"/>
      <c r="HSN182" s="82"/>
      <c r="HSO182" s="82"/>
      <c r="HSP182" s="82"/>
      <c r="HSQ182" s="82"/>
      <c r="HSR182" s="82"/>
      <c r="HSS182" s="82"/>
      <c r="HST182" s="82"/>
      <c r="HSU182" s="82"/>
      <c r="HSV182" s="82"/>
      <c r="HSW182" s="82"/>
      <c r="HSX182" s="82"/>
      <c r="HSY182" s="82"/>
      <c r="HSZ182" s="82"/>
      <c r="HTA182" s="82"/>
      <c r="HTB182" s="82"/>
      <c r="HTC182" s="82"/>
      <c r="HTD182" s="82"/>
      <c r="HTE182" s="82"/>
      <c r="HTF182" s="82"/>
      <c r="HTG182" s="82"/>
      <c r="HTH182" s="82"/>
      <c r="HTI182" s="82"/>
      <c r="HTJ182" s="82"/>
      <c r="HTK182" s="82"/>
      <c r="HTL182" s="82"/>
      <c r="HTM182" s="82"/>
      <c r="HTN182" s="82"/>
      <c r="HTO182" s="82"/>
      <c r="HTP182" s="82"/>
      <c r="HTQ182" s="82"/>
      <c r="HTR182" s="82"/>
      <c r="HTS182" s="82"/>
      <c r="HTT182" s="82"/>
      <c r="HTU182" s="82"/>
      <c r="HTV182" s="82"/>
      <c r="HTW182" s="82"/>
      <c r="HTX182" s="82"/>
      <c r="HTY182" s="82"/>
      <c r="HTZ182" s="82"/>
      <c r="HUA182" s="82"/>
      <c r="HUB182" s="82"/>
      <c r="HUC182" s="82"/>
      <c r="HUD182" s="82"/>
      <c r="HUE182" s="82"/>
      <c r="HUF182" s="82"/>
      <c r="HUG182" s="82"/>
      <c r="HUH182" s="82"/>
      <c r="HUI182" s="82"/>
      <c r="HUJ182" s="82"/>
      <c r="HUK182" s="82"/>
      <c r="HUL182" s="82"/>
      <c r="HUM182" s="82"/>
      <c r="HUN182" s="82"/>
      <c r="HUO182" s="82"/>
      <c r="HUP182" s="82"/>
      <c r="HUQ182" s="82"/>
      <c r="HUR182" s="82"/>
      <c r="HUS182" s="82"/>
      <c r="HUT182" s="82"/>
      <c r="HUU182" s="82"/>
      <c r="HUV182" s="82"/>
      <c r="HUW182" s="82"/>
      <c r="HUX182" s="82"/>
      <c r="HUY182" s="82"/>
      <c r="HUZ182" s="82"/>
      <c r="HVA182" s="82"/>
      <c r="HVB182" s="82"/>
      <c r="HVC182" s="82"/>
      <c r="HVD182" s="82"/>
      <c r="HVE182" s="82"/>
      <c r="HVF182" s="82"/>
      <c r="HVG182" s="82"/>
      <c r="HVH182" s="82"/>
      <c r="HVI182" s="82"/>
      <c r="HVJ182" s="82"/>
      <c r="HVK182" s="82"/>
      <c r="HVL182" s="82"/>
      <c r="HVM182" s="82"/>
      <c r="HVN182" s="82"/>
      <c r="HVO182" s="82"/>
      <c r="HVP182" s="82"/>
      <c r="HVQ182" s="82"/>
      <c r="HVR182" s="82"/>
      <c r="HVS182" s="82"/>
      <c r="HVT182" s="82"/>
      <c r="HVU182" s="82"/>
      <c r="HVV182" s="82"/>
      <c r="HVW182" s="82"/>
      <c r="HVX182" s="82"/>
      <c r="HVY182" s="82"/>
      <c r="HVZ182" s="82"/>
      <c r="HWA182" s="82"/>
      <c r="HWB182" s="82"/>
      <c r="HWC182" s="82"/>
      <c r="HWD182" s="82"/>
      <c r="HWE182" s="82"/>
      <c r="HWF182" s="82"/>
      <c r="HWG182" s="82"/>
      <c r="HWH182" s="82"/>
      <c r="HWI182" s="82"/>
      <c r="HWJ182" s="82"/>
      <c r="HWK182" s="82"/>
      <c r="HWL182" s="82"/>
      <c r="HWM182" s="82"/>
      <c r="HWN182" s="82"/>
      <c r="HWO182" s="82"/>
      <c r="HWP182" s="82"/>
      <c r="HWQ182" s="82"/>
      <c r="HWR182" s="82"/>
      <c r="HWS182" s="82"/>
      <c r="HWT182" s="82"/>
      <c r="HWU182" s="82"/>
      <c r="HWV182" s="82"/>
      <c r="HWW182" s="82"/>
      <c r="HWX182" s="82"/>
      <c r="HWY182" s="82"/>
      <c r="HWZ182" s="82"/>
      <c r="HXA182" s="82"/>
      <c r="HXB182" s="82"/>
      <c r="HXC182" s="82"/>
      <c r="HXD182" s="82"/>
      <c r="HXE182" s="82"/>
      <c r="HXF182" s="82"/>
      <c r="HXG182" s="82"/>
      <c r="HXH182" s="82"/>
      <c r="HXI182" s="82"/>
      <c r="HXJ182" s="82"/>
      <c r="HXK182" s="82"/>
      <c r="HXL182" s="82"/>
      <c r="HXM182" s="82"/>
      <c r="HXN182" s="82"/>
      <c r="HXO182" s="82"/>
      <c r="HXP182" s="82"/>
      <c r="HXQ182" s="82"/>
      <c r="HXR182" s="82"/>
      <c r="HXS182" s="82"/>
      <c r="HXT182" s="82"/>
      <c r="HXU182" s="82"/>
      <c r="HXV182" s="82"/>
      <c r="HXW182" s="82"/>
      <c r="HXX182" s="82"/>
      <c r="HXY182" s="82"/>
      <c r="HXZ182" s="82"/>
      <c r="HYA182" s="82"/>
      <c r="HYB182" s="82"/>
      <c r="HYC182" s="82"/>
      <c r="HYD182" s="82"/>
      <c r="HYE182" s="82"/>
      <c r="HYF182" s="82"/>
      <c r="HYG182" s="82"/>
      <c r="HYH182" s="82"/>
      <c r="HYI182" s="82"/>
      <c r="HYJ182" s="82"/>
      <c r="HYK182" s="82"/>
      <c r="HYL182" s="82"/>
      <c r="HYM182" s="82"/>
      <c r="HYN182" s="82"/>
      <c r="HYO182" s="82"/>
      <c r="HYP182" s="82"/>
      <c r="HYQ182" s="82"/>
      <c r="HYR182" s="82"/>
      <c r="HYS182" s="82"/>
      <c r="HYT182" s="82"/>
      <c r="HYU182" s="82"/>
      <c r="HYV182" s="82"/>
      <c r="HYW182" s="82"/>
      <c r="HYX182" s="82"/>
      <c r="HYY182" s="82"/>
      <c r="HYZ182" s="82"/>
      <c r="HZA182" s="82"/>
      <c r="HZB182" s="82"/>
      <c r="HZC182" s="82"/>
      <c r="HZD182" s="82"/>
      <c r="HZE182" s="82"/>
      <c r="HZF182" s="82"/>
      <c r="HZG182" s="82"/>
      <c r="HZH182" s="82"/>
      <c r="HZI182" s="82"/>
      <c r="HZJ182" s="82"/>
      <c r="HZK182" s="82"/>
      <c r="HZL182" s="82"/>
      <c r="HZM182" s="82"/>
      <c r="HZN182" s="82"/>
      <c r="HZO182" s="82"/>
      <c r="HZP182" s="82"/>
      <c r="HZQ182" s="82"/>
      <c r="HZR182" s="82"/>
      <c r="HZS182" s="82"/>
      <c r="HZT182" s="82"/>
      <c r="HZU182" s="82"/>
      <c r="HZV182" s="82"/>
      <c r="HZW182" s="82"/>
      <c r="HZX182" s="82"/>
      <c r="HZY182" s="82"/>
      <c r="HZZ182" s="82"/>
      <c r="IAA182" s="82"/>
      <c r="IAB182" s="82"/>
      <c r="IAC182" s="82"/>
      <c r="IAD182" s="82"/>
      <c r="IAE182" s="82"/>
      <c r="IAF182" s="82"/>
      <c r="IAG182" s="82"/>
      <c r="IAH182" s="82"/>
      <c r="IAI182" s="82"/>
      <c r="IAJ182" s="82"/>
      <c r="IAK182" s="82"/>
      <c r="IAL182" s="82"/>
      <c r="IAM182" s="82"/>
      <c r="IAN182" s="82"/>
      <c r="IAO182" s="82"/>
      <c r="IAP182" s="82"/>
      <c r="IAQ182" s="82"/>
      <c r="IAR182" s="82"/>
      <c r="IAS182" s="82"/>
      <c r="IAT182" s="82"/>
      <c r="IAU182" s="82"/>
      <c r="IAV182" s="82"/>
      <c r="IAW182" s="82"/>
      <c r="IAX182" s="82"/>
      <c r="IAY182" s="82"/>
      <c r="IAZ182" s="82"/>
      <c r="IBA182" s="82"/>
      <c r="IBB182" s="82"/>
      <c r="IBC182" s="82"/>
      <c r="IBD182" s="82"/>
      <c r="IBE182" s="82"/>
      <c r="IBF182" s="82"/>
      <c r="IBG182" s="82"/>
      <c r="IBH182" s="82"/>
      <c r="IBI182" s="82"/>
      <c r="IBJ182" s="82"/>
      <c r="IBK182" s="82"/>
      <c r="IBL182" s="82"/>
      <c r="IBM182" s="82"/>
      <c r="IBN182" s="82"/>
      <c r="IBO182" s="82"/>
      <c r="IBP182" s="82"/>
      <c r="IBQ182" s="82"/>
      <c r="IBR182" s="82"/>
      <c r="IBS182" s="82"/>
      <c r="IBT182" s="82"/>
      <c r="IBU182" s="82"/>
      <c r="IBV182" s="82"/>
      <c r="IBW182" s="82"/>
      <c r="IBX182" s="82"/>
      <c r="IBY182" s="82"/>
      <c r="IBZ182" s="82"/>
      <c r="ICA182" s="82"/>
      <c r="ICB182" s="82"/>
      <c r="ICC182" s="82"/>
      <c r="ICD182" s="82"/>
      <c r="ICE182" s="82"/>
      <c r="ICF182" s="82"/>
      <c r="ICG182" s="82"/>
      <c r="ICH182" s="82"/>
      <c r="ICI182" s="82"/>
      <c r="ICJ182" s="82"/>
      <c r="ICK182" s="82"/>
      <c r="ICL182" s="82"/>
      <c r="ICM182" s="82"/>
      <c r="ICN182" s="82"/>
      <c r="ICO182" s="82"/>
      <c r="ICP182" s="82"/>
      <c r="ICQ182" s="82"/>
      <c r="ICR182" s="82"/>
      <c r="ICS182" s="82"/>
      <c r="ICT182" s="82"/>
      <c r="ICU182" s="82"/>
      <c r="ICV182" s="82"/>
      <c r="ICW182" s="82"/>
      <c r="ICX182" s="82"/>
      <c r="ICY182" s="82"/>
      <c r="ICZ182" s="82"/>
      <c r="IDA182" s="82"/>
      <c r="IDB182" s="82"/>
      <c r="IDC182" s="82"/>
      <c r="IDD182" s="82"/>
      <c r="IDE182" s="82"/>
      <c r="IDF182" s="82"/>
      <c r="IDG182" s="82"/>
      <c r="IDH182" s="82"/>
      <c r="IDI182" s="82"/>
      <c r="IDJ182" s="82"/>
      <c r="IDK182" s="82"/>
      <c r="IDL182" s="82"/>
      <c r="IDM182" s="82"/>
      <c r="IDN182" s="82"/>
      <c r="IDO182" s="82"/>
      <c r="IDP182" s="82"/>
      <c r="IDQ182" s="82"/>
      <c r="IDR182" s="82"/>
      <c r="IDS182" s="82"/>
      <c r="IDT182" s="82"/>
      <c r="IDU182" s="82"/>
      <c r="IDV182" s="82"/>
      <c r="IDW182" s="82"/>
      <c r="IDX182" s="82"/>
      <c r="IDY182" s="82"/>
      <c r="IDZ182" s="82"/>
      <c r="IEA182" s="82"/>
      <c r="IEB182" s="82"/>
      <c r="IEC182" s="82"/>
      <c r="IED182" s="82"/>
      <c r="IEE182" s="82"/>
      <c r="IEF182" s="82"/>
      <c r="IEG182" s="82"/>
      <c r="IEH182" s="82"/>
      <c r="IEI182" s="82"/>
      <c r="IEJ182" s="82"/>
      <c r="IEK182" s="82"/>
      <c r="IEL182" s="82"/>
      <c r="IEM182" s="82"/>
      <c r="IEN182" s="82"/>
      <c r="IEO182" s="82"/>
      <c r="IEP182" s="82"/>
      <c r="IEQ182" s="82"/>
      <c r="IER182" s="82"/>
      <c r="IES182" s="82"/>
      <c r="IET182" s="82"/>
      <c r="IEU182" s="82"/>
      <c r="IEV182" s="82"/>
      <c r="IEW182" s="82"/>
      <c r="IEX182" s="82"/>
      <c r="IEY182" s="82"/>
      <c r="IEZ182" s="82"/>
      <c r="IFA182" s="82"/>
      <c r="IFB182" s="82"/>
      <c r="IFC182" s="82"/>
      <c r="IFD182" s="82"/>
      <c r="IFE182" s="82"/>
      <c r="IFF182" s="82"/>
      <c r="IFG182" s="82"/>
      <c r="IFH182" s="82"/>
      <c r="IFI182" s="82"/>
      <c r="IFJ182" s="82"/>
      <c r="IFK182" s="82"/>
      <c r="IFL182" s="82"/>
      <c r="IFM182" s="82"/>
      <c r="IFN182" s="82"/>
      <c r="IFO182" s="82"/>
      <c r="IFP182" s="82"/>
      <c r="IFQ182" s="82"/>
      <c r="IFR182" s="82"/>
      <c r="IFS182" s="82"/>
      <c r="IFT182" s="82"/>
      <c r="IFU182" s="82"/>
      <c r="IFV182" s="82"/>
      <c r="IFW182" s="82"/>
      <c r="IFX182" s="82"/>
      <c r="IFY182" s="82"/>
      <c r="IFZ182" s="82"/>
      <c r="IGA182" s="82"/>
      <c r="IGB182" s="82"/>
      <c r="IGC182" s="82"/>
      <c r="IGD182" s="82"/>
      <c r="IGE182" s="82"/>
      <c r="IGF182" s="82"/>
      <c r="IGG182" s="82"/>
      <c r="IGH182" s="82"/>
      <c r="IGI182" s="82"/>
      <c r="IGJ182" s="82"/>
      <c r="IGK182" s="82"/>
      <c r="IGL182" s="82"/>
      <c r="IGM182" s="82"/>
      <c r="IGN182" s="82"/>
      <c r="IGO182" s="82"/>
      <c r="IGP182" s="82"/>
      <c r="IGQ182" s="82"/>
      <c r="IGR182" s="82"/>
      <c r="IGS182" s="82"/>
      <c r="IGT182" s="82"/>
      <c r="IGU182" s="82"/>
      <c r="IGV182" s="82"/>
      <c r="IGW182" s="82"/>
      <c r="IGX182" s="82"/>
      <c r="IGY182" s="82"/>
      <c r="IGZ182" s="82"/>
      <c r="IHA182" s="82"/>
      <c r="IHB182" s="82"/>
      <c r="IHC182" s="82"/>
      <c r="IHD182" s="82"/>
      <c r="IHE182" s="82"/>
      <c r="IHF182" s="82"/>
      <c r="IHG182" s="82"/>
      <c r="IHH182" s="82"/>
      <c r="IHI182" s="82"/>
      <c r="IHJ182" s="82"/>
      <c r="IHK182" s="82"/>
      <c r="IHL182" s="82"/>
      <c r="IHM182" s="82"/>
      <c r="IHN182" s="82"/>
      <c r="IHO182" s="82"/>
      <c r="IHP182" s="82"/>
      <c r="IHQ182" s="82"/>
      <c r="IHR182" s="82"/>
      <c r="IHS182" s="82"/>
      <c r="IHT182" s="82"/>
      <c r="IHU182" s="82"/>
      <c r="IHV182" s="82"/>
      <c r="IHW182" s="82"/>
      <c r="IHX182" s="82"/>
      <c r="IHY182" s="82"/>
      <c r="IHZ182" s="82"/>
      <c r="IIA182" s="82"/>
      <c r="IIB182" s="82"/>
      <c r="IIC182" s="82"/>
      <c r="IID182" s="82"/>
      <c r="IIE182" s="82"/>
      <c r="IIF182" s="82"/>
      <c r="IIG182" s="82"/>
      <c r="IIH182" s="82"/>
      <c r="III182" s="82"/>
      <c r="IIJ182" s="82"/>
      <c r="IIK182" s="82"/>
      <c r="IIL182" s="82"/>
      <c r="IIM182" s="82"/>
      <c r="IIN182" s="82"/>
      <c r="IIO182" s="82"/>
      <c r="IIP182" s="82"/>
      <c r="IIQ182" s="82"/>
      <c r="IIR182" s="82"/>
      <c r="IIS182" s="82"/>
      <c r="IIT182" s="82"/>
      <c r="IIU182" s="82"/>
      <c r="IIV182" s="82"/>
      <c r="IIW182" s="82"/>
      <c r="IIX182" s="82"/>
      <c r="IIY182" s="82"/>
      <c r="IIZ182" s="82"/>
      <c r="IJA182" s="82"/>
      <c r="IJB182" s="82"/>
      <c r="IJC182" s="82"/>
      <c r="IJD182" s="82"/>
      <c r="IJE182" s="82"/>
      <c r="IJF182" s="82"/>
      <c r="IJG182" s="82"/>
      <c r="IJH182" s="82"/>
      <c r="IJI182" s="82"/>
      <c r="IJJ182" s="82"/>
      <c r="IJK182" s="82"/>
      <c r="IJL182" s="82"/>
      <c r="IJM182" s="82"/>
      <c r="IJN182" s="82"/>
      <c r="IJO182" s="82"/>
      <c r="IJP182" s="82"/>
      <c r="IJQ182" s="82"/>
      <c r="IJR182" s="82"/>
      <c r="IJS182" s="82"/>
      <c r="IJT182" s="82"/>
      <c r="IJU182" s="82"/>
      <c r="IJV182" s="82"/>
      <c r="IJW182" s="82"/>
      <c r="IJX182" s="82"/>
      <c r="IJY182" s="82"/>
      <c r="IJZ182" s="82"/>
      <c r="IKA182" s="82"/>
      <c r="IKB182" s="82"/>
      <c r="IKC182" s="82"/>
      <c r="IKD182" s="82"/>
      <c r="IKE182" s="82"/>
      <c r="IKF182" s="82"/>
      <c r="IKG182" s="82"/>
      <c r="IKH182" s="82"/>
      <c r="IKI182" s="82"/>
      <c r="IKJ182" s="82"/>
      <c r="IKK182" s="82"/>
      <c r="IKL182" s="82"/>
      <c r="IKM182" s="82"/>
      <c r="IKN182" s="82"/>
      <c r="IKO182" s="82"/>
      <c r="IKP182" s="82"/>
      <c r="IKQ182" s="82"/>
      <c r="IKR182" s="82"/>
      <c r="IKS182" s="82"/>
      <c r="IKT182" s="82"/>
      <c r="IKU182" s="82"/>
      <c r="IKV182" s="82"/>
      <c r="IKW182" s="82"/>
      <c r="IKX182" s="82"/>
      <c r="IKY182" s="82"/>
      <c r="IKZ182" s="82"/>
      <c r="ILA182" s="82"/>
      <c r="ILB182" s="82"/>
      <c r="ILC182" s="82"/>
      <c r="ILD182" s="82"/>
      <c r="ILE182" s="82"/>
      <c r="ILF182" s="82"/>
      <c r="ILG182" s="82"/>
      <c r="ILH182" s="82"/>
      <c r="ILI182" s="82"/>
      <c r="ILJ182" s="82"/>
      <c r="ILK182" s="82"/>
      <c r="ILL182" s="82"/>
      <c r="ILM182" s="82"/>
      <c r="ILN182" s="82"/>
      <c r="ILO182" s="82"/>
      <c r="ILP182" s="82"/>
      <c r="ILQ182" s="82"/>
      <c r="ILR182" s="82"/>
      <c r="ILS182" s="82"/>
      <c r="ILT182" s="82"/>
      <c r="ILU182" s="82"/>
      <c r="ILV182" s="82"/>
      <c r="ILW182" s="82"/>
      <c r="ILX182" s="82"/>
      <c r="ILY182" s="82"/>
      <c r="ILZ182" s="82"/>
      <c r="IMA182" s="82"/>
      <c r="IMB182" s="82"/>
      <c r="IMC182" s="82"/>
      <c r="IMD182" s="82"/>
      <c r="IME182" s="82"/>
      <c r="IMF182" s="82"/>
      <c r="IMG182" s="82"/>
      <c r="IMH182" s="82"/>
      <c r="IMI182" s="82"/>
      <c r="IMJ182" s="82"/>
      <c r="IMK182" s="82"/>
      <c r="IML182" s="82"/>
      <c r="IMM182" s="82"/>
      <c r="IMN182" s="82"/>
      <c r="IMO182" s="82"/>
      <c r="IMP182" s="82"/>
      <c r="IMQ182" s="82"/>
      <c r="IMR182" s="82"/>
      <c r="IMS182" s="82"/>
      <c r="IMT182" s="82"/>
      <c r="IMU182" s="82"/>
      <c r="IMV182" s="82"/>
      <c r="IMW182" s="82"/>
      <c r="IMX182" s="82"/>
      <c r="IMY182" s="82"/>
      <c r="IMZ182" s="82"/>
      <c r="INA182" s="82"/>
      <c r="INB182" s="82"/>
      <c r="INC182" s="82"/>
      <c r="IND182" s="82"/>
      <c r="INE182" s="82"/>
      <c r="INF182" s="82"/>
      <c r="ING182" s="82"/>
      <c r="INH182" s="82"/>
      <c r="INI182" s="82"/>
      <c r="INJ182" s="82"/>
      <c r="INK182" s="82"/>
      <c r="INL182" s="82"/>
      <c r="INM182" s="82"/>
      <c r="INN182" s="82"/>
      <c r="INO182" s="82"/>
      <c r="INP182" s="82"/>
      <c r="INQ182" s="82"/>
      <c r="INR182" s="82"/>
      <c r="INS182" s="82"/>
      <c r="INT182" s="82"/>
      <c r="INU182" s="82"/>
      <c r="INV182" s="82"/>
      <c r="INW182" s="82"/>
      <c r="INX182" s="82"/>
      <c r="INY182" s="82"/>
      <c r="INZ182" s="82"/>
      <c r="IOA182" s="82"/>
      <c r="IOB182" s="82"/>
      <c r="IOC182" s="82"/>
      <c r="IOD182" s="82"/>
      <c r="IOE182" s="82"/>
      <c r="IOF182" s="82"/>
      <c r="IOG182" s="82"/>
      <c r="IOH182" s="82"/>
      <c r="IOI182" s="82"/>
      <c r="IOJ182" s="82"/>
      <c r="IOK182" s="82"/>
      <c r="IOL182" s="82"/>
      <c r="IOM182" s="82"/>
      <c r="ION182" s="82"/>
      <c r="IOO182" s="82"/>
      <c r="IOP182" s="82"/>
      <c r="IOQ182" s="82"/>
      <c r="IOR182" s="82"/>
      <c r="IOS182" s="82"/>
      <c r="IOT182" s="82"/>
      <c r="IOU182" s="82"/>
      <c r="IOV182" s="82"/>
      <c r="IOW182" s="82"/>
      <c r="IOX182" s="82"/>
      <c r="IOY182" s="82"/>
      <c r="IOZ182" s="82"/>
      <c r="IPA182" s="82"/>
      <c r="IPB182" s="82"/>
      <c r="IPC182" s="82"/>
      <c r="IPD182" s="82"/>
      <c r="IPE182" s="82"/>
      <c r="IPF182" s="82"/>
      <c r="IPG182" s="82"/>
      <c r="IPH182" s="82"/>
      <c r="IPI182" s="82"/>
      <c r="IPJ182" s="82"/>
      <c r="IPK182" s="82"/>
      <c r="IPL182" s="82"/>
      <c r="IPM182" s="82"/>
      <c r="IPN182" s="82"/>
      <c r="IPO182" s="82"/>
      <c r="IPP182" s="82"/>
      <c r="IPQ182" s="82"/>
      <c r="IPR182" s="82"/>
      <c r="IPS182" s="82"/>
      <c r="IPT182" s="82"/>
      <c r="IPU182" s="82"/>
      <c r="IPV182" s="82"/>
      <c r="IPW182" s="82"/>
      <c r="IPX182" s="82"/>
      <c r="IPY182" s="82"/>
      <c r="IPZ182" s="82"/>
      <c r="IQA182" s="82"/>
      <c r="IQB182" s="82"/>
      <c r="IQC182" s="82"/>
      <c r="IQD182" s="82"/>
      <c r="IQE182" s="82"/>
      <c r="IQF182" s="82"/>
      <c r="IQG182" s="82"/>
      <c r="IQH182" s="82"/>
      <c r="IQI182" s="82"/>
      <c r="IQJ182" s="82"/>
      <c r="IQK182" s="82"/>
      <c r="IQL182" s="82"/>
      <c r="IQM182" s="82"/>
      <c r="IQN182" s="82"/>
      <c r="IQO182" s="82"/>
      <c r="IQP182" s="82"/>
      <c r="IQQ182" s="82"/>
      <c r="IQR182" s="82"/>
      <c r="IQS182" s="82"/>
      <c r="IQT182" s="82"/>
      <c r="IQU182" s="82"/>
      <c r="IQV182" s="82"/>
      <c r="IQW182" s="82"/>
      <c r="IQX182" s="82"/>
      <c r="IQY182" s="82"/>
      <c r="IQZ182" s="82"/>
      <c r="IRA182" s="82"/>
      <c r="IRB182" s="82"/>
      <c r="IRC182" s="82"/>
      <c r="IRD182" s="82"/>
      <c r="IRE182" s="82"/>
      <c r="IRF182" s="82"/>
      <c r="IRG182" s="82"/>
      <c r="IRH182" s="82"/>
      <c r="IRI182" s="82"/>
      <c r="IRJ182" s="82"/>
      <c r="IRK182" s="82"/>
      <c r="IRL182" s="82"/>
      <c r="IRM182" s="82"/>
      <c r="IRN182" s="82"/>
      <c r="IRO182" s="82"/>
      <c r="IRP182" s="82"/>
      <c r="IRQ182" s="82"/>
      <c r="IRR182" s="82"/>
      <c r="IRS182" s="82"/>
      <c r="IRT182" s="82"/>
      <c r="IRU182" s="82"/>
      <c r="IRV182" s="82"/>
      <c r="IRW182" s="82"/>
      <c r="IRX182" s="82"/>
      <c r="IRY182" s="82"/>
      <c r="IRZ182" s="82"/>
      <c r="ISA182" s="82"/>
      <c r="ISB182" s="82"/>
      <c r="ISC182" s="82"/>
      <c r="ISD182" s="82"/>
      <c r="ISE182" s="82"/>
      <c r="ISF182" s="82"/>
      <c r="ISG182" s="82"/>
      <c r="ISH182" s="82"/>
      <c r="ISI182" s="82"/>
      <c r="ISJ182" s="82"/>
      <c r="ISK182" s="82"/>
      <c r="ISL182" s="82"/>
      <c r="ISM182" s="82"/>
      <c r="ISN182" s="82"/>
      <c r="ISO182" s="82"/>
      <c r="ISP182" s="82"/>
      <c r="ISQ182" s="82"/>
      <c r="ISR182" s="82"/>
      <c r="ISS182" s="82"/>
      <c r="IST182" s="82"/>
      <c r="ISU182" s="82"/>
      <c r="ISV182" s="82"/>
      <c r="ISW182" s="82"/>
      <c r="ISX182" s="82"/>
      <c r="ISY182" s="82"/>
      <c r="ISZ182" s="82"/>
      <c r="ITA182" s="82"/>
      <c r="ITB182" s="82"/>
      <c r="ITC182" s="82"/>
      <c r="ITD182" s="82"/>
      <c r="ITE182" s="82"/>
      <c r="ITF182" s="82"/>
      <c r="ITG182" s="82"/>
      <c r="ITH182" s="82"/>
      <c r="ITI182" s="82"/>
      <c r="ITJ182" s="82"/>
      <c r="ITK182" s="82"/>
      <c r="ITL182" s="82"/>
      <c r="ITM182" s="82"/>
      <c r="ITN182" s="82"/>
      <c r="ITO182" s="82"/>
      <c r="ITP182" s="82"/>
      <c r="ITQ182" s="82"/>
      <c r="ITR182" s="82"/>
      <c r="ITS182" s="82"/>
      <c r="ITT182" s="82"/>
      <c r="ITU182" s="82"/>
      <c r="ITV182" s="82"/>
      <c r="ITW182" s="82"/>
      <c r="ITX182" s="82"/>
      <c r="ITY182" s="82"/>
      <c r="ITZ182" s="82"/>
      <c r="IUA182" s="82"/>
      <c r="IUB182" s="82"/>
      <c r="IUC182" s="82"/>
      <c r="IUD182" s="82"/>
      <c r="IUE182" s="82"/>
      <c r="IUF182" s="82"/>
      <c r="IUG182" s="82"/>
      <c r="IUH182" s="82"/>
      <c r="IUI182" s="82"/>
      <c r="IUJ182" s="82"/>
      <c r="IUK182" s="82"/>
      <c r="IUL182" s="82"/>
      <c r="IUM182" s="82"/>
      <c r="IUN182" s="82"/>
      <c r="IUO182" s="82"/>
      <c r="IUP182" s="82"/>
      <c r="IUQ182" s="82"/>
      <c r="IUR182" s="82"/>
      <c r="IUS182" s="82"/>
      <c r="IUT182" s="82"/>
      <c r="IUU182" s="82"/>
      <c r="IUV182" s="82"/>
      <c r="IUW182" s="82"/>
      <c r="IUX182" s="82"/>
      <c r="IUY182" s="82"/>
      <c r="IUZ182" s="82"/>
      <c r="IVA182" s="82"/>
      <c r="IVB182" s="82"/>
      <c r="IVC182" s="82"/>
      <c r="IVD182" s="82"/>
      <c r="IVE182" s="82"/>
      <c r="IVF182" s="82"/>
      <c r="IVG182" s="82"/>
      <c r="IVH182" s="82"/>
      <c r="IVI182" s="82"/>
      <c r="IVJ182" s="82"/>
      <c r="IVK182" s="82"/>
      <c r="IVL182" s="82"/>
      <c r="IVM182" s="82"/>
      <c r="IVN182" s="82"/>
      <c r="IVO182" s="82"/>
      <c r="IVP182" s="82"/>
      <c r="IVQ182" s="82"/>
      <c r="IVR182" s="82"/>
      <c r="IVS182" s="82"/>
      <c r="IVT182" s="82"/>
      <c r="IVU182" s="82"/>
      <c r="IVV182" s="82"/>
      <c r="IVW182" s="82"/>
      <c r="IVX182" s="82"/>
      <c r="IVY182" s="82"/>
      <c r="IVZ182" s="82"/>
      <c r="IWA182" s="82"/>
      <c r="IWB182" s="82"/>
      <c r="IWC182" s="82"/>
      <c r="IWD182" s="82"/>
      <c r="IWE182" s="82"/>
      <c r="IWF182" s="82"/>
      <c r="IWG182" s="82"/>
      <c r="IWH182" s="82"/>
      <c r="IWI182" s="82"/>
      <c r="IWJ182" s="82"/>
      <c r="IWK182" s="82"/>
      <c r="IWL182" s="82"/>
      <c r="IWM182" s="82"/>
      <c r="IWN182" s="82"/>
      <c r="IWO182" s="82"/>
      <c r="IWP182" s="82"/>
      <c r="IWQ182" s="82"/>
      <c r="IWR182" s="82"/>
      <c r="IWS182" s="82"/>
      <c r="IWT182" s="82"/>
      <c r="IWU182" s="82"/>
      <c r="IWV182" s="82"/>
      <c r="IWW182" s="82"/>
      <c r="IWX182" s="82"/>
      <c r="IWY182" s="82"/>
      <c r="IWZ182" s="82"/>
      <c r="IXA182" s="82"/>
      <c r="IXB182" s="82"/>
      <c r="IXC182" s="82"/>
      <c r="IXD182" s="82"/>
      <c r="IXE182" s="82"/>
      <c r="IXF182" s="82"/>
      <c r="IXG182" s="82"/>
      <c r="IXH182" s="82"/>
      <c r="IXI182" s="82"/>
      <c r="IXJ182" s="82"/>
      <c r="IXK182" s="82"/>
      <c r="IXL182" s="82"/>
      <c r="IXM182" s="82"/>
      <c r="IXN182" s="82"/>
      <c r="IXO182" s="82"/>
      <c r="IXP182" s="82"/>
      <c r="IXQ182" s="82"/>
      <c r="IXR182" s="82"/>
      <c r="IXS182" s="82"/>
      <c r="IXT182" s="82"/>
      <c r="IXU182" s="82"/>
      <c r="IXV182" s="82"/>
      <c r="IXW182" s="82"/>
      <c r="IXX182" s="82"/>
      <c r="IXY182" s="82"/>
      <c r="IXZ182" s="82"/>
      <c r="IYA182" s="82"/>
      <c r="IYB182" s="82"/>
      <c r="IYC182" s="82"/>
      <c r="IYD182" s="82"/>
      <c r="IYE182" s="82"/>
      <c r="IYF182" s="82"/>
      <c r="IYG182" s="82"/>
      <c r="IYH182" s="82"/>
      <c r="IYI182" s="82"/>
      <c r="IYJ182" s="82"/>
      <c r="IYK182" s="82"/>
      <c r="IYL182" s="82"/>
      <c r="IYM182" s="82"/>
      <c r="IYN182" s="82"/>
      <c r="IYO182" s="82"/>
      <c r="IYP182" s="82"/>
      <c r="IYQ182" s="82"/>
      <c r="IYR182" s="82"/>
      <c r="IYS182" s="82"/>
      <c r="IYT182" s="82"/>
      <c r="IYU182" s="82"/>
      <c r="IYV182" s="82"/>
      <c r="IYW182" s="82"/>
      <c r="IYX182" s="82"/>
      <c r="IYY182" s="82"/>
      <c r="IYZ182" s="82"/>
      <c r="IZA182" s="82"/>
      <c r="IZB182" s="82"/>
      <c r="IZC182" s="82"/>
      <c r="IZD182" s="82"/>
      <c r="IZE182" s="82"/>
      <c r="IZF182" s="82"/>
      <c r="IZG182" s="82"/>
      <c r="IZH182" s="82"/>
      <c r="IZI182" s="82"/>
      <c r="IZJ182" s="82"/>
      <c r="IZK182" s="82"/>
      <c r="IZL182" s="82"/>
      <c r="IZM182" s="82"/>
      <c r="IZN182" s="82"/>
      <c r="IZO182" s="82"/>
      <c r="IZP182" s="82"/>
      <c r="IZQ182" s="82"/>
      <c r="IZR182" s="82"/>
      <c r="IZS182" s="82"/>
      <c r="IZT182" s="82"/>
      <c r="IZU182" s="82"/>
      <c r="IZV182" s="82"/>
      <c r="IZW182" s="82"/>
      <c r="IZX182" s="82"/>
      <c r="IZY182" s="82"/>
      <c r="IZZ182" s="82"/>
      <c r="JAA182" s="82"/>
      <c r="JAB182" s="82"/>
      <c r="JAC182" s="82"/>
      <c r="JAD182" s="82"/>
      <c r="JAE182" s="82"/>
      <c r="JAF182" s="82"/>
      <c r="JAG182" s="82"/>
      <c r="JAH182" s="82"/>
      <c r="JAI182" s="82"/>
      <c r="JAJ182" s="82"/>
      <c r="JAK182" s="82"/>
      <c r="JAL182" s="82"/>
      <c r="JAM182" s="82"/>
      <c r="JAN182" s="82"/>
      <c r="JAO182" s="82"/>
      <c r="JAP182" s="82"/>
      <c r="JAQ182" s="82"/>
      <c r="JAR182" s="82"/>
      <c r="JAS182" s="82"/>
      <c r="JAT182" s="82"/>
      <c r="JAU182" s="82"/>
      <c r="JAV182" s="82"/>
      <c r="JAW182" s="82"/>
      <c r="JAX182" s="82"/>
      <c r="JAY182" s="82"/>
      <c r="JAZ182" s="82"/>
      <c r="JBA182" s="82"/>
      <c r="JBB182" s="82"/>
      <c r="JBC182" s="82"/>
      <c r="JBD182" s="82"/>
      <c r="JBE182" s="82"/>
      <c r="JBF182" s="82"/>
      <c r="JBG182" s="82"/>
      <c r="JBH182" s="82"/>
      <c r="JBI182" s="82"/>
      <c r="JBJ182" s="82"/>
      <c r="JBK182" s="82"/>
      <c r="JBL182" s="82"/>
      <c r="JBM182" s="82"/>
      <c r="JBN182" s="82"/>
      <c r="JBO182" s="82"/>
      <c r="JBP182" s="82"/>
      <c r="JBQ182" s="82"/>
      <c r="JBR182" s="82"/>
      <c r="JBS182" s="82"/>
      <c r="JBT182" s="82"/>
      <c r="JBU182" s="82"/>
      <c r="JBV182" s="82"/>
      <c r="JBW182" s="82"/>
      <c r="JBX182" s="82"/>
      <c r="JBY182" s="82"/>
      <c r="JBZ182" s="82"/>
      <c r="JCA182" s="82"/>
      <c r="JCB182" s="82"/>
      <c r="JCC182" s="82"/>
      <c r="JCD182" s="82"/>
      <c r="JCE182" s="82"/>
      <c r="JCF182" s="82"/>
      <c r="JCG182" s="82"/>
      <c r="JCH182" s="82"/>
      <c r="JCI182" s="82"/>
      <c r="JCJ182" s="82"/>
      <c r="JCK182" s="82"/>
      <c r="JCL182" s="82"/>
      <c r="JCM182" s="82"/>
      <c r="JCN182" s="82"/>
      <c r="JCO182" s="82"/>
      <c r="JCP182" s="82"/>
      <c r="JCQ182" s="82"/>
      <c r="JCR182" s="82"/>
      <c r="JCS182" s="82"/>
      <c r="JCT182" s="82"/>
      <c r="JCU182" s="82"/>
      <c r="JCV182" s="82"/>
      <c r="JCW182" s="82"/>
      <c r="JCX182" s="82"/>
      <c r="JCY182" s="82"/>
      <c r="JCZ182" s="82"/>
      <c r="JDA182" s="82"/>
      <c r="JDB182" s="82"/>
      <c r="JDC182" s="82"/>
      <c r="JDD182" s="82"/>
      <c r="JDE182" s="82"/>
      <c r="JDF182" s="82"/>
      <c r="JDG182" s="82"/>
      <c r="JDH182" s="82"/>
      <c r="JDI182" s="82"/>
      <c r="JDJ182" s="82"/>
      <c r="JDK182" s="82"/>
      <c r="JDL182" s="82"/>
      <c r="JDM182" s="82"/>
      <c r="JDN182" s="82"/>
      <c r="JDO182" s="82"/>
      <c r="JDP182" s="82"/>
      <c r="JDQ182" s="82"/>
      <c r="JDR182" s="82"/>
      <c r="JDS182" s="82"/>
      <c r="JDT182" s="82"/>
      <c r="JDU182" s="82"/>
      <c r="JDV182" s="82"/>
      <c r="JDW182" s="82"/>
      <c r="JDX182" s="82"/>
      <c r="JDY182" s="82"/>
      <c r="JDZ182" s="82"/>
      <c r="JEA182" s="82"/>
      <c r="JEB182" s="82"/>
      <c r="JEC182" s="82"/>
      <c r="JED182" s="82"/>
      <c r="JEE182" s="82"/>
      <c r="JEF182" s="82"/>
      <c r="JEG182" s="82"/>
      <c r="JEH182" s="82"/>
      <c r="JEI182" s="82"/>
      <c r="JEJ182" s="82"/>
      <c r="JEK182" s="82"/>
      <c r="JEL182" s="82"/>
      <c r="JEM182" s="82"/>
      <c r="JEN182" s="82"/>
      <c r="JEO182" s="82"/>
      <c r="JEP182" s="82"/>
      <c r="JEQ182" s="82"/>
      <c r="JER182" s="82"/>
      <c r="JES182" s="82"/>
      <c r="JET182" s="82"/>
      <c r="JEU182" s="82"/>
      <c r="JEV182" s="82"/>
      <c r="JEW182" s="82"/>
      <c r="JEX182" s="82"/>
      <c r="JEY182" s="82"/>
      <c r="JEZ182" s="82"/>
      <c r="JFA182" s="82"/>
      <c r="JFB182" s="82"/>
      <c r="JFC182" s="82"/>
      <c r="JFD182" s="82"/>
      <c r="JFE182" s="82"/>
      <c r="JFF182" s="82"/>
      <c r="JFG182" s="82"/>
      <c r="JFH182" s="82"/>
      <c r="JFI182" s="82"/>
      <c r="JFJ182" s="82"/>
      <c r="JFK182" s="82"/>
      <c r="JFL182" s="82"/>
      <c r="JFM182" s="82"/>
      <c r="JFN182" s="82"/>
      <c r="JFO182" s="82"/>
      <c r="JFP182" s="82"/>
      <c r="JFQ182" s="82"/>
      <c r="JFR182" s="82"/>
      <c r="JFS182" s="82"/>
      <c r="JFT182" s="82"/>
      <c r="JFU182" s="82"/>
      <c r="JFV182" s="82"/>
      <c r="JFW182" s="82"/>
      <c r="JFX182" s="82"/>
      <c r="JFY182" s="82"/>
      <c r="JFZ182" s="82"/>
      <c r="JGA182" s="82"/>
      <c r="JGB182" s="82"/>
      <c r="JGC182" s="82"/>
      <c r="JGD182" s="82"/>
      <c r="JGE182" s="82"/>
      <c r="JGF182" s="82"/>
      <c r="JGG182" s="82"/>
      <c r="JGH182" s="82"/>
      <c r="JGI182" s="82"/>
      <c r="JGJ182" s="82"/>
      <c r="JGK182" s="82"/>
      <c r="JGL182" s="82"/>
      <c r="JGM182" s="82"/>
      <c r="JGN182" s="82"/>
      <c r="JGO182" s="82"/>
      <c r="JGP182" s="82"/>
      <c r="JGQ182" s="82"/>
      <c r="JGR182" s="82"/>
      <c r="JGS182" s="82"/>
      <c r="JGT182" s="82"/>
      <c r="JGU182" s="82"/>
      <c r="JGV182" s="82"/>
      <c r="JGW182" s="82"/>
      <c r="JGX182" s="82"/>
      <c r="JGY182" s="82"/>
      <c r="JGZ182" s="82"/>
      <c r="JHA182" s="82"/>
      <c r="JHB182" s="82"/>
      <c r="JHC182" s="82"/>
      <c r="JHD182" s="82"/>
      <c r="JHE182" s="82"/>
      <c r="JHF182" s="82"/>
      <c r="JHG182" s="82"/>
      <c r="JHH182" s="82"/>
      <c r="JHI182" s="82"/>
      <c r="JHJ182" s="82"/>
      <c r="JHK182" s="82"/>
      <c r="JHL182" s="82"/>
      <c r="JHM182" s="82"/>
      <c r="JHN182" s="82"/>
      <c r="JHO182" s="82"/>
      <c r="JHP182" s="82"/>
      <c r="JHQ182" s="82"/>
      <c r="JHR182" s="82"/>
      <c r="JHS182" s="82"/>
      <c r="JHT182" s="82"/>
      <c r="JHU182" s="82"/>
      <c r="JHV182" s="82"/>
      <c r="JHW182" s="82"/>
      <c r="JHX182" s="82"/>
      <c r="JHY182" s="82"/>
      <c r="JHZ182" s="82"/>
      <c r="JIA182" s="82"/>
      <c r="JIB182" s="82"/>
      <c r="JIC182" s="82"/>
      <c r="JID182" s="82"/>
      <c r="JIE182" s="82"/>
      <c r="JIF182" s="82"/>
      <c r="JIG182" s="82"/>
      <c r="JIH182" s="82"/>
      <c r="JII182" s="82"/>
      <c r="JIJ182" s="82"/>
      <c r="JIK182" s="82"/>
      <c r="JIL182" s="82"/>
      <c r="JIM182" s="82"/>
      <c r="JIN182" s="82"/>
      <c r="JIO182" s="82"/>
      <c r="JIP182" s="82"/>
      <c r="JIQ182" s="82"/>
      <c r="JIR182" s="82"/>
      <c r="JIS182" s="82"/>
      <c r="JIT182" s="82"/>
      <c r="JIU182" s="82"/>
      <c r="JIV182" s="82"/>
      <c r="JIW182" s="82"/>
      <c r="JIX182" s="82"/>
      <c r="JIY182" s="82"/>
      <c r="JIZ182" s="82"/>
      <c r="JJA182" s="82"/>
      <c r="JJB182" s="82"/>
      <c r="JJC182" s="82"/>
      <c r="JJD182" s="82"/>
      <c r="JJE182" s="82"/>
      <c r="JJF182" s="82"/>
      <c r="JJG182" s="82"/>
      <c r="JJH182" s="82"/>
      <c r="JJI182" s="82"/>
      <c r="JJJ182" s="82"/>
      <c r="JJK182" s="82"/>
      <c r="JJL182" s="82"/>
      <c r="JJM182" s="82"/>
      <c r="JJN182" s="82"/>
      <c r="JJO182" s="82"/>
      <c r="JJP182" s="82"/>
      <c r="JJQ182" s="82"/>
      <c r="JJR182" s="82"/>
      <c r="JJS182" s="82"/>
      <c r="JJT182" s="82"/>
      <c r="JJU182" s="82"/>
      <c r="JJV182" s="82"/>
      <c r="JJW182" s="82"/>
      <c r="JJX182" s="82"/>
      <c r="JJY182" s="82"/>
      <c r="JJZ182" s="82"/>
      <c r="JKA182" s="82"/>
      <c r="JKB182" s="82"/>
      <c r="JKC182" s="82"/>
      <c r="JKD182" s="82"/>
      <c r="JKE182" s="82"/>
      <c r="JKF182" s="82"/>
      <c r="JKG182" s="82"/>
      <c r="JKH182" s="82"/>
      <c r="JKI182" s="82"/>
      <c r="JKJ182" s="82"/>
      <c r="JKK182" s="82"/>
      <c r="JKL182" s="82"/>
      <c r="JKM182" s="82"/>
      <c r="JKN182" s="82"/>
      <c r="JKO182" s="82"/>
      <c r="JKP182" s="82"/>
      <c r="JKQ182" s="82"/>
      <c r="JKR182" s="82"/>
      <c r="JKS182" s="82"/>
      <c r="JKT182" s="82"/>
      <c r="JKU182" s="82"/>
      <c r="JKV182" s="82"/>
      <c r="JKW182" s="82"/>
      <c r="JKX182" s="82"/>
      <c r="JKY182" s="82"/>
      <c r="JKZ182" s="82"/>
      <c r="JLA182" s="82"/>
      <c r="JLB182" s="82"/>
      <c r="JLC182" s="82"/>
      <c r="JLD182" s="82"/>
      <c r="JLE182" s="82"/>
      <c r="JLF182" s="82"/>
      <c r="JLG182" s="82"/>
      <c r="JLH182" s="82"/>
      <c r="JLI182" s="82"/>
      <c r="JLJ182" s="82"/>
      <c r="JLK182" s="82"/>
      <c r="JLL182" s="82"/>
      <c r="JLM182" s="82"/>
      <c r="JLN182" s="82"/>
      <c r="JLO182" s="82"/>
      <c r="JLP182" s="82"/>
      <c r="JLQ182" s="82"/>
      <c r="JLR182" s="82"/>
      <c r="JLS182" s="82"/>
      <c r="JLT182" s="82"/>
      <c r="JLU182" s="82"/>
      <c r="JLV182" s="82"/>
      <c r="JLW182" s="82"/>
      <c r="JLX182" s="82"/>
      <c r="JLY182" s="82"/>
      <c r="JLZ182" s="82"/>
      <c r="JMA182" s="82"/>
      <c r="JMB182" s="82"/>
      <c r="JMC182" s="82"/>
      <c r="JMD182" s="82"/>
      <c r="JME182" s="82"/>
      <c r="JMF182" s="82"/>
      <c r="JMG182" s="82"/>
      <c r="JMH182" s="82"/>
      <c r="JMI182" s="82"/>
      <c r="JMJ182" s="82"/>
      <c r="JMK182" s="82"/>
      <c r="JML182" s="82"/>
      <c r="JMM182" s="82"/>
      <c r="JMN182" s="82"/>
      <c r="JMO182" s="82"/>
      <c r="JMP182" s="82"/>
      <c r="JMQ182" s="82"/>
      <c r="JMR182" s="82"/>
      <c r="JMS182" s="82"/>
      <c r="JMT182" s="82"/>
      <c r="JMU182" s="82"/>
      <c r="JMV182" s="82"/>
      <c r="JMW182" s="82"/>
      <c r="JMX182" s="82"/>
      <c r="JMY182" s="82"/>
      <c r="JMZ182" s="82"/>
      <c r="JNA182" s="82"/>
      <c r="JNB182" s="82"/>
      <c r="JNC182" s="82"/>
      <c r="JND182" s="82"/>
      <c r="JNE182" s="82"/>
      <c r="JNF182" s="82"/>
      <c r="JNG182" s="82"/>
      <c r="JNH182" s="82"/>
      <c r="JNI182" s="82"/>
      <c r="JNJ182" s="82"/>
      <c r="JNK182" s="82"/>
      <c r="JNL182" s="82"/>
      <c r="JNM182" s="82"/>
      <c r="JNN182" s="82"/>
      <c r="JNO182" s="82"/>
      <c r="JNP182" s="82"/>
      <c r="JNQ182" s="82"/>
      <c r="JNR182" s="82"/>
      <c r="JNS182" s="82"/>
      <c r="JNT182" s="82"/>
      <c r="JNU182" s="82"/>
      <c r="JNV182" s="82"/>
      <c r="JNW182" s="82"/>
      <c r="JNX182" s="82"/>
      <c r="JNY182" s="82"/>
      <c r="JNZ182" s="82"/>
      <c r="JOA182" s="82"/>
      <c r="JOB182" s="82"/>
      <c r="JOC182" s="82"/>
      <c r="JOD182" s="82"/>
      <c r="JOE182" s="82"/>
      <c r="JOF182" s="82"/>
      <c r="JOG182" s="82"/>
      <c r="JOH182" s="82"/>
      <c r="JOI182" s="82"/>
      <c r="JOJ182" s="82"/>
      <c r="JOK182" s="82"/>
      <c r="JOL182" s="82"/>
      <c r="JOM182" s="82"/>
      <c r="JON182" s="82"/>
      <c r="JOO182" s="82"/>
      <c r="JOP182" s="82"/>
      <c r="JOQ182" s="82"/>
      <c r="JOR182" s="82"/>
      <c r="JOS182" s="82"/>
      <c r="JOT182" s="82"/>
      <c r="JOU182" s="82"/>
      <c r="JOV182" s="82"/>
      <c r="JOW182" s="82"/>
      <c r="JOX182" s="82"/>
      <c r="JOY182" s="82"/>
      <c r="JOZ182" s="82"/>
      <c r="JPA182" s="82"/>
      <c r="JPB182" s="82"/>
      <c r="JPC182" s="82"/>
      <c r="JPD182" s="82"/>
      <c r="JPE182" s="82"/>
      <c r="JPF182" s="82"/>
      <c r="JPG182" s="82"/>
      <c r="JPH182" s="82"/>
      <c r="JPI182" s="82"/>
      <c r="JPJ182" s="82"/>
      <c r="JPK182" s="82"/>
      <c r="JPL182" s="82"/>
      <c r="JPM182" s="82"/>
      <c r="JPN182" s="82"/>
      <c r="JPO182" s="82"/>
      <c r="JPP182" s="82"/>
      <c r="JPQ182" s="82"/>
      <c r="JPR182" s="82"/>
      <c r="JPS182" s="82"/>
      <c r="JPT182" s="82"/>
      <c r="JPU182" s="82"/>
      <c r="JPV182" s="82"/>
      <c r="JPW182" s="82"/>
      <c r="JPX182" s="82"/>
      <c r="JPY182" s="82"/>
      <c r="JPZ182" s="82"/>
      <c r="JQA182" s="82"/>
      <c r="JQB182" s="82"/>
      <c r="JQC182" s="82"/>
      <c r="JQD182" s="82"/>
      <c r="JQE182" s="82"/>
      <c r="JQF182" s="82"/>
      <c r="JQG182" s="82"/>
      <c r="JQH182" s="82"/>
      <c r="JQI182" s="82"/>
      <c r="JQJ182" s="82"/>
      <c r="JQK182" s="82"/>
      <c r="JQL182" s="82"/>
      <c r="JQM182" s="82"/>
      <c r="JQN182" s="82"/>
      <c r="JQO182" s="82"/>
      <c r="JQP182" s="82"/>
      <c r="JQQ182" s="82"/>
      <c r="JQR182" s="82"/>
      <c r="JQS182" s="82"/>
      <c r="JQT182" s="82"/>
      <c r="JQU182" s="82"/>
      <c r="JQV182" s="82"/>
      <c r="JQW182" s="82"/>
      <c r="JQX182" s="82"/>
      <c r="JQY182" s="82"/>
      <c r="JQZ182" s="82"/>
      <c r="JRA182" s="82"/>
      <c r="JRB182" s="82"/>
      <c r="JRC182" s="82"/>
      <c r="JRD182" s="82"/>
      <c r="JRE182" s="82"/>
      <c r="JRF182" s="82"/>
      <c r="JRG182" s="82"/>
      <c r="JRH182" s="82"/>
      <c r="JRI182" s="82"/>
      <c r="JRJ182" s="82"/>
      <c r="JRK182" s="82"/>
      <c r="JRL182" s="82"/>
      <c r="JRM182" s="82"/>
      <c r="JRN182" s="82"/>
      <c r="JRO182" s="82"/>
      <c r="JRP182" s="82"/>
      <c r="JRQ182" s="82"/>
      <c r="JRR182" s="82"/>
      <c r="JRS182" s="82"/>
      <c r="JRT182" s="82"/>
      <c r="JRU182" s="82"/>
      <c r="JRV182" s="82"/>
      <c r="JRW182" s="82"/>
      <c r="JRX182" s="82"/>
      <c r="JRY182" s="82"/>
      <c r="JRZ182" s="82"/>
      <c r="JSA182" s="82"/>
      <c r="JSB182" s="82"/>
      <c r="JSC182" s="82"/>
      <c r="JSD182" s="82"/>
      <c r="JSE182" s="82"/>
      <c r="JSF182" s="82"/>
      <c r="JSG182" s="82"/>
      <c r="JSH182" s="82"/>
      <c r="JSI182" s="82"/>
      <c r="JSJ182" s="82"/>
      <c r="JSK182" s="82"/>
      <c r="JSL182" s="82"/>
      <c r="JSM182" s="82"/>
      <c r="JSN182" s="82"/>
      <c r="JSO182" s="82"/>
      <c r="JSP182" s="82"/>
      <c r="JSQ182" s="82"/>
      <c r="JSR182" s="82"/>
      <c r="JSS182" s="82"/>
      <c r="JST182" s="82"/>
      <c r="JSU182" s="82"/>
      <c r="JSV182" s="82"/>
      <c r="JSW182" s="82"/>
      <c r="JSX182" s="82"/>
      <c r="JSY182" s="82"/>
      <c r="JSZ182" s="82"/>
      <c r="JTA182" s="82"/>
      <c r="JTB182" s="82"/>
      <c r="JTC182" s="82"/>
      <c r="JTD182" s="82"/>
      <c r="JTE182" s="82"/>
      <c r="JTF182" s="82"/>
      <c r="JTG182" s="82"/>
      <c r="JTH182" s="82"/>
      <c r="JTI182" s="82"/>
      <c r="JTJ182" s="82"/>
      <c r="JTK182" s="82"/>
      <c r="JTL182" s="82"/>
      <c r="JTM182" s="82"/>
      <c r="JTN182" s="82"/>
      <c r="JTO182" s="82"/>
      <c r="JTP182" s="82"/>
      <c r="JTQ182" s="82"/>
      <c r="JTR182" s="82"/>
      <c r="JTS182" s="82"/>
      <c r="JTT182" s="82"/>
      <c r="JTU182" s="82"/>
      <c r="JTV182" s="82"/>
      <c r="JTW182" s="82"/>
      <c r="JTX182" s="82"/>
      <c r="JTY182" s="82"/>
      <c r="JTZ182" s="82"/>
      <c r="JUA182" s="82"/>
      <c r="JUB182" s="82"/>
      <c r="JUC182" s="82"/>
      <c r="JUD182" s="82"/>
      <c r="JUE182" s="82"/>
      <c r="JUF182" s="82"/>
      <c r="JUG182" s="82"/>
      <c r="JUH182" s="82"/>
      <c r="JUI182" s="82"/>
      <c r="JUJ182" s="82"/>
      <c r="JUK182" s="82"/>
      <c r="JUL182" s="82"/>
      <c r="JUM182" s="82"/>
      <c r="JUN182" s="82"/>
      <c r="JUO182" s="82"/>
      <c r="JUP182" s="82"/>
      <c r="JUQ182" s="82"/>
      <c r="JUR182" s="82"/>
      <c r="JUS182" s="82"/>
      <c r="JUT182" s="82"/>
      <c r="JUU182" s="82"/>
      <c r="JUV182" s="82"/>
      <c r="JUW182" s="82"/>
      <c r="JUX182" s="82"/>
      <c r="JUY182" s="82"/>
      <c r="JUZ182" s="82"/>
      <c r="JVA182" s="82"/>
      <c r="JVB182" s="82"/>
      <c r="JVC182" s="82"/>
      <c r="JVD182" s="82"/>
      <c r="JVE182" s="82"/>
      <c r="JVF182" s="82"/>
      <c r="JVG182" s="82"/>
      <c r="JVH182" s="82"/>
      <c r="JVI182" s="82"/>
      <c r="JVJ182" s="82"/>
      <c r="JVK182" s="82"/>
      <c r="JVL182" s="82"/>
      <c r="JVM182" s="82"/>
      <c r="JVN182" s="82"/>
      <c r="JVO182" s="82"/>
      <c r="JVP182" s="82"/>
      <c r="JVQ182" s="82"/>
      <c r="JVR182" s="82"/>
      <c r="JVS182" s="82"/>
      <c r="JVT182" s="82"/>
      <c r="JVU182" s="82"/>
      <c r="JVV182" s="82"/>
      <c r="JVW182" s="82"/>
      <c r="JVX182" s="82"/>
      <c r="JVY182" s="82"/>
      <c r="JVZ182" s="82"/>
      <c r="JWA182" s="82"/>
      <c r="JWB182" s="82"/>
      <c r="JWC182" s="82"/>
      <c r="JWD182" s="82"/>
      <c r="JWE182" s="82"/>
      <c r="JWF182" s="82"/>
      <c r="JWG182" s="82"/>
      <c r="JWH182" s="82"/>
      <c r="JWI182" s="82"/>
      <c r="JWJ182" s="82"/>
      <c r="JWK182" s="82"/>
      <c r="JWL182" s="82"/>
      <c r="JWM182" s="82"/>
      <c r="JWN182" s="82"/>
      <c r="JWO182" s="82"/>
      <c r="JWP182" s="82"/>
      <c r="JWQ182" s="82"/>
      <c r="JWR182" s="82"/>
      <c r="JWS182" s="82"/>
      <c r="JWT182" s="82"/>
      <c r="JWU182" s="82"/>
      <c r="JWV182" s="82"/>
      <c r="JWW182" s="82"/>
      <c r="JWX182" s="82"/>
      <c r="JWY182" s="82"/>
      <c r="JWZ182" s="82"/>
      <c r="JXA182" s="82"/>
      <c r="JXB182" s="82"/>
      <c r="JXC182" s="82"/>
      <c r="JXD182" s="82"/>
      <c r="JXE182" s="82"/>
      <c r="JXF182" s="82"/>
      <c r="JXG182" s="82"/>
      <c r="JXH182" s="82"/>
      <c r="JXI182" s="82"/>
      <c r="JXJ182" s="82"/>
      <c r="JXK182" s="82"/>
      <c r="JXL182" s="82"/>
      <c r="JXM182" s="82"/>
      <c r="JXN182" s="82"/>
      <c r="JXO182" s="82"/>
      <c r="JXP182" s="82"/>
      <c r="JXQ182" s="82"/>
      <c r="JXR182" s="82"/>
      <c r="JXS182" s="82"/>
      <c r="JXT182" s="82"/>
      <c r="JXU182" s="82"/>
      <c r="JXV182" s="82"/>
      <c r="JXW182" s="82"/>
      <c r="JXX182" s="82"/>
      <c r="JXY182" s="82"/>
      <c r="JXZ182" s="82"/>
      <c r="JYA182" s="82"/>
      <c r="JYB182" s="82"/>
      <c r="JYC182" s="82"/>
      <c r="JYD182" s="82"/>
      <c r="JYE182" s="82"/>
      <c r="JYF182" s="82"/>
      <c r="JYG182" s="82"/>
      <c r="JYH182" s="82"/>
      <c r="JYI182" s="82"/>
      <c r="JYJ182" s="82"/>
      <c r="JYK182" s="82"/>
      <c r="JYL182" s="82"/>
      <c r="JYM182" s="82"/>
      <c r="JYN182" s="82"/>
      <c r="JYO182" s="82"/>
      <c r="JYP182" s="82"/>
      <c r="JYQ182" s="82"/>
      <c r="JYR182" s="82"/>
      <c r="JYS182" s="82"/>
      <c r="JYT182" s="82"/>
      <c r="JYU182" s="82"/>
      <c r="JYV182" s="82"/>
      <c r="JYW182" s="82"/>
      <c r="JYX182" s="82"/>
      <c r="JYY182" s="82"/>
      <c r="JYZ182" s="82"/>
      <c r="JZA182" s="82"/>
      <c r="JZB182" s="82"/>
      <c r="JZC182" s="82"/>
      <c r="JZD182" s="82"/>
      <c r="JZE182" s="82"/>
      <c r="JZF182" s="82"/>
      <c r="JZG182" s="82"/>
      <c r="JZH182" s="82"/>
      <c r="JZI182" s="82"/>
      <c r="JZJ182" s="82"/>
      <c r="JZK182" s="82"/>
      <c r="JZL182" s="82"/>
      <c r="JZM182" s="82"/>
      <c r="JZN182" s="82"/>
      <c r="JZO182" s="82"/>
      <c r="JZP182" s="82"/>
      <c r="JZQ182" s="82"/>
      <c r="JZR182" s="82"/>
      <c r="JZS182" s="82"/>
      <c r="JZT182" s="82"/>
      <c r="JZU182" s="82"/>
      <c r="JZV182" s="82"/>
      <c r="JZW182" s="82"/>
      <c r="JZX182" s="82"/>
      <c r="JZY182" s="82"/>
      <c r="JZZ182" s="82"/>
      <c r="KAA182" s="82"/>
      <c r="KAB182" s="82"/>
      <c r="KAC182" s="82"/>
      <c r="KAD182" s="82"/>
      <c r="KAE182" s="82"/>
      <c r="KAF182" s="82"/>
      <c r="KAG182" s="82"/>
      <c r="KAH182" s="82"/>
      <c r="KAI182" s="82"/>
      <c r="KAJ182" s="82"/>
      <c r="KAK182" s="82"/>
      <c r="KAL182" s="82"/>
      <c r="KAM182" s="82"/>
      <c r="KAN182" s="82"/>
      <c r="KAO182" s="82"/>
      <c r="KAP182" s="82"/>
      <c r="KAQ182" s="82"/>
      <c r="KAR182" s="82"/>
      <c r="KAS182" s="82"/>
      <c r="KAT182" s="82"/>
      <c r="KAU182" s="82"/>
      <c r="KAV182" s="82"/>
      <c r="KAW182" s="82"/>
      <c r="KAX182" s="82"/>
      <c r="KAY182" s="82"/>
      <c r="KAZ182" s="82"/>
      <c r="KBA182" s="82"/>
      <c r="KBB182" s="82"/>
      <c r="KBC182" s="82"/>
      <c r="KBD182" s="82"/>
      <c r="KBE182" s="82"/>
      <c r="KBF182" s="82"/>
      <c r="KBG182" s="82"/>
      <c r="KBH182" s="82"/>
      <c r="KBI182" s="82"/>
      <c r="KBJ182" s="82"/>
      <c r="KBK182" s="82"/>
      <c r="KBL182" s="82"/>
      <c r="KBM182" s="82"/>
      <c r="KBN182" s="82"/>
      <c r="KBO182" s="82"/>
      <c r="KBP182" s="82"/>
      <c r="KBQ182" s="82"/>
      <c r="KBR182" s="82"/>
      <c r="KBS182" s="82"/>
      <c r="KBT182" s="82"/>
      <c r="KBU182" s="82"/>
      <c r="KBV182" s="82"/>
      <c r="KBW182" s="82"/>
      <c r="KBX182" s="82"/>
      <c r="KBY182" s="82"/>
      <c r="KBZ182" s="82"/>
      <c r="KCA182" s="82"/>
      <c r="KCB182" s="82"/>
      <c r="KCC182" s="82"/>
      <c r="KCD182" s="82"/>
      <c r="KCE182" s="82"/>
      <c r="KCF182" s="82"/>
      <c r="KCG182" s="82"/>
      <c r="KCH182" s="82"/>
      <c r="KCI182" s="82"/>
      <c r="KCJ182" s="82"/>
      <c r="KCK182" s="82"/>
      <c r="KCL182" s="82"/>
      <c r="KCM182" s="82"/>
      <c r="KCN182" s="82"/>
      <c r="KCO182" s="82"/>
      <c r="KCP182" s="82"/>
      <c r="KCQ182" s="82"/>
      <c r="KCR182" s="82"/>
      <c r="KCS182" s="82"/>
      <c r="KCT182" s="82"/>
      <c r="KCU182" s="82"/>
      <c r="KCV182" s="82"/>
      <c r="KCW182" s="82"/>
      <c r="KCX182" s="82"/>
      <c r="KCY182" s="82"/>
      <c r="KCZ182" s="82"/>
      <c r="KDA182" s="82"/>
      <c r="KDB182" s="82"/>
      <c r="KDC182" s="82"/>
      <c r="KDD182" s="82"/>
      <c r="KDE182" s="82"/>
      <c r="KDF182" s="82"/>
      <c r="KDG182" s="82"/>
      <c r="KDH182" s="82"/>
      <c r="KDI182" s="82"/>
      <c r="KDJ182" s="82"/>
      <c r="KDK182" s="82"/>
      <c r="KDL182" s="82"/>
      <c r="KDM182" s="82"/>
      <c r="KDN182" s="82"/>
      <c r="KDO182" s="82"/>
      <c r="KDP182" s="82"/>
      <c r="KDQ182" s="82"/>
      <c r="KDR182" s="82"/>
      <c r="KDS182" s="82"/>
      <c r="KDT182" s="82"/>
      <c r="KDU182" s="82"/>
      <c r="KDV182" s="82"/>
      <c r="KDW182" s="82"/>
      <c r="KDX182" s="82"/>
      <c r="KDY182" s="82"/>
      <c r="KDZ182" s="82"/>
      <c r="KEA182" s="82"/>
      <c r="KEB182" s="82"/>
      <c r="KEC182" s="82"/>
      <c r="KED182" s="82"/>
      <c r="KEE182" s="82"/>
      <c r="KEF182" s="82"/>
      <c r="KEG182" s="82"/>
      <c r="KEH182" s="82"/>
      <c r="KEI182" s="82"/>
      <c r="KEJ182" s="82"/>
      <c r="KEK182" s="82"/>
      <c r="KEL182" s="82"/>
      <c r="KEM182" s="82"/>
      <c r="KEN182" s="82"/>
      <c r="KEO182" s="82"/>
      <c r="KEP182" s="82"/>
      <c r="KEQ182" s="82"/>
      <c r="KER182" s="82"/>
      <c r="KES182" s="82"/>
      <c r="KET182" s="82"/>
      <c r="KEU182" s="82"/>
      <c r="KEV182" s="82"/>
      <c r="KEW182" s="82"/>
      <c r="KEX182" s="82"/>
      <c r="KEY182" s="82"/>
      <c r="KEZ182" s="82"/>
      <c r="KFA182" s="82"/>
      <c r="KFB182" s="82"/>
      <c r="KFC182" s="82"/>
      <c r="KFD182" s="82"/>
      <c r="KFE182" s="82"/>
      <c r="KFF182" s="82"/>
      <c r="KFG182" s="82"/>
      <c r="KFH182" s="82"/>
      <c r="KFI182" s="82"/>
      <c r="KFJ182" s="82"/>
      <c r="KFK182" s="82"/>
      <c r="KFL182" s="82"/>
      <c r="KFM182" s="82"/>
      <c r="KFN182" s="82"/>
      <c r="KFO182" s="82"/>
      <c r="KFP182" s="82"/>
      <c r="KFQ182" s="82"/>
      <c r="KFR182" s="82"/>
      <c r="KFS182" s="82"/>
      <c r="KFT182" s="82"/>
      <c r="KFU182" s="82"/>
      <c r="KFV182" s="82"/>
      <c r="KFW182" s="82"/>
      <c r="KFX182" s="82"/>
      <c r="KFY182" s="82"/>
      <c r="KFZ182" s="82"/>
      <c r="KGA182" s="82"/>
      <c r="KGB182" s="82"/>
      <c r="KGC182" s="82"/>
      <c r="KGD182" s="82"/>
      <c r="KGE182" s="82"/>
      <c r="KGF182" s="82"/>
      <c r="KGG182" s="82"/>
      <c r="KGH182" s="82"/>
      <c r="KGI182" s="82"/>
      <c r="KGJ182" s="82"/>
      <c r="KGK182" s="82"/>
      <c r="KGL182" s="82"/>
      <c r="KGM182" s="82"/>
      <c r="KGN182" s="82"/>
      <c r="KGO182" s="82"/>
      <c r="KGP182" s="82"/>
      <c r="KGQ182" s="82"/>
      <c r="KGR182" s="82"/>
      <c r="KGS182" s="82"/>
      <c r="KGT182" s="82"/>
      <c r="KGU182" s="82"/>
      <c r="KGV182" s="82"/>
      <c r="KGW182" s="82"/>
      <c r="KGX182" s="82"/>
      <c r="KGY182" s="82"/>
      <c r="KGZ182" s="82"/>
      <c r="KHA182" s="82"/>
      <c r="KHB182" s="82"/>
      <c r="KHC182" s="82"/>
      <c r="KHD182" s="82"/>
      <c r="KHE182" s="82"/>
      <c r="KHF182" s="82"/>
      <c r="KHG182" s="82"/>
      <c r="KHH182" s="82"/>
      <c r="KHI182" s="82"/>
      <c r="KHJ182" s="82"/>
      <c r="KHK182" s="82"/>
      <c r="KHL182" s="82"/>
      <c r="KHM182" s="82"/>
      <c r="KHN182" s="82"/>
      <c r="KHO182" s="82"/>
      <c r="KHP182" s="82"/>
      <c r="KHQ182" s="82"/>
      <c r="KHR182" s="82"/>
      <c r="KHS182" s="82"/>
      <c r="KHT182" s="82"/>
      <c r="KHU182" s="82"/>
      <c r="KHV182" s="82"/>
      <c r="KHW182" s="82"/>
      <c r="KHX182" s="82"/>
      <c r="KHY182" s="82"/>
      <c r="KHZ182" s="82"/>
      <c r="KIA182" s="82"/>
      <c r="KIB182" s="82"/>
      <c r="KIC182" s="82"/>
      <c r="KID182" s="82"/>
      <c r="KIE182" s="82"/>
      <c r="KIF182" s="82"/>
      <c r="KIG182" s="82"/>
      <c r="KIH182" s="82"/>
      <c r="KII182" s="82"/>
      <c r="KIJ182" s="82"/>
      <c r="KIK182" s="82"/>
      <c r="KIL182" s="82"/>
      <c r="KIM182" s="82"/>
      <c r="KIN182" s="82"/>
      <c r="KIO182" s="82"/>
      <c r="KIP182" s="82"/>
      <c r="KIQ182" s="82"/>
      <c r="KIR182" s="82"/>
      <c r="KIS182" s="82"/>
      <c r="KIT182" s="82"/>
      <c r="KIU182" s="82"/>
      <c r="KIV182" s="82"/>
      <c r="KIW182" s="82"/>
      <c r="KIX182" s="82"/>
      <c r="KIY182" s="82"/>
      <c r="KIZ182" s="82"/>
      <c r="KJA182" s="82"/>
      <c r="KJB182" s="82"/>
      <c r="KJC182" s="82"/>
      <c r="KJD182" s="82"/>
      <c r="KJE182" s="82"/>
      <c r="KJF182" s="82"/>
      <c r="KJG182" s="82"/>
      <c r="KJH182" s="82"/>
      <c r="KJI182" s="82"/>
      <c r="KJJ182" s="82"/>
      <c r="KJK182" s="82"/>
      <c r="KJL182" s="82"/>
      <c r="KJM182" s="82"/>
      <c r="KJN182" s="82"/>
      <c r="KJO182" s="82"/>
      <c r="KJP182" s="82"/>
      <c r="KJQ182" s="82"/>
      <c r="KJR182" s="82"/>
      <c r="KJS182" s="82"/>
      <c r="KJT182" s="82"/>
      <c r="KJU182" s="82"/>
      <c r="KJV182" s="82"/>
      <c r="KJW182" s="82"/>
      <c r="KJX182" s="82"/>
      <c r="KJY182" s="82"/>
      <c r="KJZ182" s="82"/>
      <c r="KKA182" s="82"/>
      <c r="KKB182" s="82"/>
      <c r="KKC182" s="82"/>
      <c r="KKD182" s="82"/>
      <c r="KKE182" s="82"/>
      <c r="KKF182" s="82"/>
      <c r="KKG182" s="82"/>
      <c r="KKH182" s="82"/>
      <c r="KKI182" s="82"/>
      <c r="KKJ182" s="82"/>
      <c r="KKK182" s="82"/>
      <c r="KKL182" s="82"/>
      <c r="KKM182" s="82"/>
      <c r="KKN182" s="82"/>
      <c r="KKO182" s="82"/>
      <c r="KKP182" s="82"/>
      <c r="KKQ182" s="82"/>
      <c r="KKR182" s="82"/>
      <c r="KKS182" s="82"/>
      <c r="KKT182" s="82"/>
      <c r="KKU182" s="82"/>
      <c r="KKV182" s="82"/>
      <c r="KKW182" s="82"/>
      <c r="KKX182" s="82"/>
      <c r="KKY182" s="82"/>
      <c r="KKZ182" s="82"/>
      <c r="KLA182" s="82"/>
      <c r="KLB182" s="82"/>
      <c r="KLC182" s="82"/>
      <c r="KLD182" s="82"/>
      <c r="KLE182" s="82"/>
      <c r="KLF182" s="82"/>
      <c r="KLG182" s="82"/>
      <c r="KLH182" s="82"/>
      <c r="KLI182" s="82"/>
      <c r="KLJ182" s="82"/>
      <c r="KLK182" s="82"/>
      <c r="KLL182" s="82"/>
      <c r="KLM182" s="82"/>
      <c r="KLN182" s="82"/>
      <c r="KLO182" s="82"/>
      <c r="KLP182" s="82"/>
      <c r="KLQ182" s="82"/>
      <c r="KLR182" s="82"/>
      <c r="KLS182" s="82"/>
      <c r="KLT182" s="82"/>
      <c r="KLU182" s="82"/>
      <c r="KLV182" s="82"/>
      <c r="KLW182" s="82"/>
      <c r="KLX182" s="82"/>
      <c r="KLY182" s="82"/>
      <c r="KLZ182" s="82"/>
      <c r="KMA182" s="82"/>
      <c r="KMB182" s="82"/>
      <c r="KMC182" s="82"/>
      <c r="KMD182" s="82"/>
      <c r="KME182" s="82"/>
      <c r="KMF182" s="82"/>
      <c r="KMG182" s="82"/>
      <c r="KMH182" s="82"/>
      <c r="KMI182" s="82"/>
      <c r="KMJ182" s="82"/>
      <c r="KMK182" s="82"/>
      <c r="KML182" s="82"/>
      <c r="KMM182" s="82"/>
      <c r="KMN182" s="82"/>
      <c r="KMO182" s="82"/>
      <c r="KMP182" s="82"/>
      <c r="KMQ182" s="82"/>
      <c r="KMR182" s="82"/>
      <c r="KMS182" s="82"/>
      <c r="KMT182" s="82"/>
      <c r="KMU182" s="82"/>
      <c r="KMV182" s="82"/>
      <c r="KMW182" s="82"/>
      <c r="KMX182" s="82"/>
      <c r="KMY182" s="82"/>
      <c r="KMZ182" s="82"/>
      <c r="KNA182" s="82"/>
      <c r="KNB182" s="82"/>
      <c r="KNC182" s="82"/>
      <c r="KND182" s="82"/>
      <c r="KNE182" s="82"/>
      <c r="KNF182" s="82"/>
      <c r="KNG182" s="82"/>
      <c r="KNH182" s="82"/>
      <c r="KNI182" s="82"/>
      <c r="KNJ182" s="82"/>
      <c r="KNK182" s="82"/>
      <c r="KNL182" s="82"/>
      <c r="KNM182" s="82"/>
      <c r="KNN182" s="82"/>
      <c r="KNO182" s="82"/>
      <c r="KNP182" s="82"/>
      <c r="KNQ182" s="82"/>
      <c r="KNR182" s="82"/>
      <c r="KNS182" s="82"/>
      <c r="KNT182" s="82"/>
      <c r="KNU182" s="82"/>
      <c r="KNV182" s="82"/>
      <c r="KNW182" s="82"/>
      <c r="KNX182" s="82"/>
      <c r="KNY182" s="82"/>
      <c r="KNZ182" s="82"/>
      <c r="KOA182" s="82"/>
      <c r="KOB182" s="82"/>
      <c r="KOC182" s="82"/>
      <c r="KOD182" s="82"/>
      <c r="KOE182" s="82"/>
      <c r="KOF182" s="82"/>
      <c r="KOG182" s="82"/>
      <c r="KOH182" s="82"/>
      <c r="KOI182" s="82"/>
      <c r="KOJ182" s="82"/>
      <c r="KOK182" s="82"/>
      <c r="KOL182" s="82"/>
      <c r="KOM182" s="82"/>
      <c r="KON182" s="82"/>
      <c r="KOO182" s="82"/>
      <c r="KOP182" s="82"/>
      <c r="KOQ182" s="82"/>
      <c r="KOR182" s="82"/>
      <c r="KOS182" s="82"/>
      <c r="KOT182" s="82"/>
      <c r="KOU182" s="82"/>
      <c r="KOV182" s="82"/>
      <c r="KOW182" s="82"/>
      <c r="KOX182" s="82"/>
      <c r="KOY182" s="82"/>
      <c r="KOZ182" s="82"/>
      <c r="KPA182" s="82"/>
      <c r="KPB182" s="82"/>
      <c r="KPC182" s="82"/>
      <c r="KPD182" s="82"/>
      <c r="KPE182" s="82"/>
      <c r="KPF182" s="82"/>
      <c r="KPG182" s="82"/>
      <c r="KPH182" s="82"/>
      <c r="KPI182" s="82"/>
      <c r="KPJ182" s="82"/>
      <c r="KPK182" s="82"/>
      <c r="KPL182" s="82"/>
      <c r="KPM182" s="82"/>
      <c r="KPN182" s="82"/>
      <c r="KPO182" s="82"/>
      <c r="KPP182" s="82"/>
      <c r="KPQ182" s="82"/>
      <c r="KPR182" s="82"/>
      <c r="KPS182" s="82"/>
      <c r="KPT182" s="82"/>
      <c r="KPU182" s="82"/>
      <c r="KPV182" s="82"/>
      <c r="KPW182" s="82"/>
      <c r="KPX182" s="82"/>
      <c r="KPY182" s="82"/>
      <c r="KPZ182" s="82"/>
      <c r="KQA182" s="82"/>
      <c r="KQB182" s="82"/>
      <c r="KQC182" s="82"/>
      <c r="KQD182" s="82"/>
      <c r="KQE182" s="82"/>
      <c r="KQF182" s="82"/>
      <c r="KQG182" s="82"/>
      <c r="KQH182" s="82"/>
      <c r="KQI182" s="82"/>
      <c r="KQJ182" s="82"/>
      <c r="KQK182" s="82"/>
      <c r="KQL182" s="82"/>
      <c r="KQM182" s="82"/>
      <c r="KQN182" s="82"/>
      <c r="KQO182" s="82"/>
      <c r="KQP182" s="82"/>
      <c r="KQQ182" s="82"/>
      <c r="KQR182" s="82"/>
      <c r="KQS182" s="82"/>
      <c r="KQT182" s="82"/>
      <c r="KQU182" s="82"/>
      <c r="KQV182" s="82"/>
      <c r="KQW182" s="82"/>
      <c r="KQX182" s="82"/>
      <c r="KQY182" s="82"/>
      <c r="KQZ182" s="82"/>
      <c r="KRA182" s="82"/>
      <c r="KRB182" s="82"/>
      <c r="KRC182" s="82"/>
      <c r="KRD182" s="82"/>
      <c r="KRE182" s="82"/>
      <c r="KRF182" s="82"/>
      <c r="KRG182" s="82"/>
      <c r="KRH182" s="82"/>
      <c r="KRI182" s="82"/>
      <c r="KRJ182" s="82"/>
      <c r="KRK182" s="82"/>
      <c r="KRL182" s="82"/>
      <c r="KRM182" s="82"/>
      <c r="KRN182" s="82"/>
      <c r="KRO182" s="82"/>
      <c r="KRP182" s="82"/>
      <c r="KRQ182" s="82"/>
      <c r="KRR182" s="82"/>
      <c r="KRS182" s="82"/>
      <c r="KRT182" s="82"/>
      <c r="KRU182" s="82"/>
      <c r="KRV182" s="82"/>
      <c r="KRW182" s="82"/>
      <c r="KRX182" s="82"/>
      <c r="KRY182" s="82"/>
      <c r="KRZ182" s="82"/>
      <c r="KSA182" s="82"/>
      <c r="KSB182" s="82"/>
      <c r="KSC182" s="82"/>
      <c r="KSD182" s="82"/>
      <c r="KSE182" s="82"/>
      <c r="KSF182" s="82"/>
      <c r="KSG182" s="82"/>
      <c r="KSH182" s="82"/>
      <c r="KSI182" s="82"/>
      <c r="KSJ182" s="82"/>
      <c r="KSK182" s="82"/>
      <c r="KSL182" s="82"/>
      <c r="KSM182" s="82"/>
      <c r="KSN182" s="82"/>
      <c r="KSO182" s="82"/>
      <c r="KSP182" s="82"/>
      <c r="KSQ182" s="82"/>
      <c r="KSR182" s="82"/>
      <c r="KSS182" s="82"/>
      <c r="KST182" s="82"/>
      <c r="KSU182" s="82"/>
      <c r="KSV182" s="82"/>
      <c r="KSW182" s="82"/>
      <c r="KSX182" s="82"/>
      <c r="KSY182" s="82"/>
      <c r="KSZ182" s="82"/>
      <c r="KTA182" s="82"/>
      <c r="KTB182" s="82"/>
      <c r="KTC182" s="82"/>
      <c r="KTD182" s="82"/>
      <c r="KTE182" s="82"/>
      <c r="KTF182" s="82"/>
      <c r="KTG182" s="82"/>
      <c r="KTH182" s="82"/>
      <c r="KTI182" s="82"/>
      <c r="KTJ182" s="82"/>
      <c r="KTK182" s="82"/>
      <c r="KTL182" s="82"/>
      <c r="KTM182" s="82"/>
      <c r="KTN182" s="82"/>
      <c r="KTO182" s="82"/>
      <c r="KTP182" s="82"/>
      <c r="KTQ182" s="82"/>
      <c r="KTR182" s="82"/>
      <c r="KTS182" s="82"/>
      <c r="KTT182" s="82"/>
      <c r="KTU182" s="82"/>
      <c r="KTV182" s="82"/>
      <c r="KTW182" s="82"/>
      <c r="KTX182" s="82"/>
      <c r="KTY182" s="82"/>
      <c r="KTZ182" s="82"/>
      <c r="KUA182" s="82"/>
      <c r="KUB182" s="82"/>
      <c r="KUC182" s="82"/>
      <c r="KUD182" s="82"/>
      <c r="KUE182" s="82"/>
      <c r="KUF182" s="82"/>
      <c r="KUG182" s="82"/>
      <c r="KUH182" s="82"/>
      <c r="KUI182" s="82"/>
      <c r="KUJ182" s="82"/>
      <c r="KUK182" s="82"/>
      <c r="KUL182" s="82"/>
      <c r="KUM182" s="82"/>
      <c r="KUN182" s="82"/>
      <c r="KUO182" s="82"/>
      <c r="KUP182" s="82"/>
      <c r="KUQ182" s="82"/>
      <c r="KUR182" s="82"/>
      <c r="KUS182" s="82"/>
      <c r="KUT182" s="82"/>
      <c r="KUU182" s="82"/>
      <c r="KUV182" s="82"/>
      <c r="KUW182" s="82"/>
      <c r="KUX182" s="82"/>
      <c r="KUY182" s="82"/>
      <c r="KUZ182" s="82"/>
      <c r="KVA182" s="82"/>
      <c r="KVB182" s="82"/>
      <c r="KVC182" s="82"/>
      <c r="KVD182" s="82"/>
      <c r="KVE182" s="82"/>
      <c r="KVF182" s="82"/>
      <c r="KVG182" s="82"/>
      <c r="KVH182" s="82"/>
      <c r="KVI182" s="82"/>
      <c r="KVJ182" s="82"/>
      <c r="KVK182" s="82"/>
      <c r="KVL182" s="82"/>
      <c r="KVM182" s="82"/>
      <c r="KVN182" s="82"/>
      <c r="KVO182" s="82"/>
      <c r="KVP182" s="82"/>
      <c r="KVQ182" s="82"/>
      <c r="KVR182" s="82"/>
      <c r="KVS182" s="82"/>
      <c r="KVT182" s="82"/>
      <c r="KVU182" s="82"/>
      <c r="KVV182" s="82"/>
      <c r="KVW182" s="82"/>
      <c r="KVX182" s="82"/>
      <c r="KVY182" s="82"/>
      <c r="KVZ182" s="82"/>
      <c r="KWA182" s="82"/>
      <c r="KWB182" s="82"/>
      <c r="KWC182" s="82"/>
      <c r="KWD182" s="82"/>
      <c r="KWE182" s="82"/>
      <c r="KWF182" s="82"/>
      <c r="KWG182" s="82"/>
      <c r="KWH182" s="82"/>
      <c r="KWI182" s="82"/>
      <c r="KWJ182" s="82"/>
      <c r="KWK182" s="82"/>
      <c r="KWL182" s="82"/>
      <c r="KWM182" s="82"/>
      <c r="KWN182" s="82"/>
      <c r="KWO182" s="82"/>
      <c r="KWP182" s="82"/>
      <c r="KWQ182" s="82"/>
      <c r="KWR182" s="82"/>
      <c r="KWS182" s="82"/>
      <c r="KWT182" s="82"/>
      <c r="KWU182" s="82"/>
      <c r="KWV182" s="82"/>
      <c r="KWW182" s="82"/>
      <c r="KWX182" s="82"/>
      <c r="KWY182" s="82"/>
      <c r="KWZ182" s="82"/>
      <c r="KXA182" s="82"/>
      <c r="KXB182" s="82"/>
      <c r="KXC182" s="82"/>
      <c r="KXD182" s="82"/>
      <c r="KXE182" s="82"/>
      <c r="KXF182" s="82"/>
      <c r="KXG182" s="82"/>
      <c r="KXH182" s="82"/>
      <c r="KXI182" s="82"/>
      <c r="KXJ182" s="82"/>
      <c r="KXK182" s="82"/>
      <c r="KXL182" s="82"/>
      <c r="KXM182" s="82"/>
      <c r="KXN182" s="82"/>
      <c r="KXO182" s="82"/>
      <c r="KXP182" s="82"/>
      <c r="KXQ182" s="82"/>
      <c r="KXR182" s="82"/>
      <c r="KXS182" s="82"/>
      <c r="KXT182" s="82"/>
      <c r="KXU182" s="82"/>
      <c r="KXV182" s="82"/>
      <c r="KXW182" s="82"/>
      <c r="KXX182" s="82"/>
      <c r="KXY182" s="82"/>
      <c r="KXZ182" s="82"/>
      <c r="KYA182" s="82"/>
      <c r="KYB182" s="82"/>
      <c r="KYC182" s="82"/>
      <c r="KYD182" s="82"/>
      <c r="KYE182" s="82"/>
      <c r="KYF182" s="82"/>
      <c r="KYG182" s="82"/>
      <c r="KYH182" s="82"/>
      <c r="KYI182" s="82"/>
      <c r="KYJ182" s="82"/>
      <c r="KYK182" s="82"/>
      <c r="KYL182" s="82"/>
      <c r="KYM182" s="82"/>
      <c r="KYN182" s="82"/>
      <c r="KYO182" s="82"/>
      <c r="KYP182" s="82"/>
      <c r="KYQ182" s="82"/>
      <c r="KYR182" s="82"/>
      <c r="KYS182" s="82"/>
      <c r="KYT182" s="82"/>
      <c r="KYU182" s="82"/>
      <c r="KYV182" s="82"/>
      <c r="KYW182" s="82"/>
      <c r="KYX182" s="82"/>
      <c r="KYY182" s="82"/>
      <c r="KYZ182" s="82"/>
      <c r="KZA182" s="82"/>
      <c r="KZB182" s="82"/>
      <c r="KZC182" s="82"/>
      <c r="KZD182" s="82"/>
      <c r="KZE182" s="82"/>
      <c r="KZF182" s="82"/>
      <c r="KZG182" s="82"/>
      <c r="KZH182" s="82"/>
      <c r="KZI182" s="82"/>
      <c r="KZJ182" s="82"/>
      <c r="KZK182" s="82"/>
      <c r="KZL182" s="82"/>
      <c r="KZM182" s="82"/>
      <c r="KZN182" s="82"/>
      <c r="KZO182" s="82"/>
      <c r="KZP182" s="82"/>
      <c r="KZQ182" s="82"/>
      <c r="KZR182" s="82"/>
      <c r="KZS182" s="82"/>
      <c r="KZT182" s="82"/>
      <c r="KZU182" s="82"/>
      <c r="KZV182" s="82"/>
      <c r="KZW182" s="82"/>
      <c r="KZX182" s="82"/>
      <c r="KZY182" s="82"/>
      <c r="KZZ182" s="82"/>
      <c r="LAA182" s="82"/>
      <c r="LAB182" s="82"/>
      <c r="LAC182" s="82"/>
      <c r="LAD182" s="82"/>
      <c r="LAE182" s="82"/>
      <c r="LAF182" s="82"/>
      <c r="LAG182" s="82"/>
      <c r="LAH182" s="82"/>
      <c r="LAI182" s="82"/>
      <c r="LAJ182" s="82"/>
      <c r="LAK182" s="82"/>
      <c r="LAL182" s="82"/>
      <c r="LAM182" s="82"/>
      <c r="LAN182" s="82"/>
      <c r="LAO182" s="82"/>
      <c r="LAP182" s="82"/>
      <c r="LAQ182" s="82"/>
      <c r="LAR182" s="82"/>
      <c r="LAS182" s="82"/>
      <c r="LAT182" s="82"/>
      <c r="LAU182" s="82"/>
      <c r="LAV182" s="82"/>
      <c r="LAW182" s="82"/>
      <c r="LAX182" s="82"/>
      <c r="LAY182" s="82"/>
      <c r="LAZ182" s="82"/>
      <c r="LBA182" s="82"/>
      <c r="LBB182" s="82"/>
      <c r="LBC182" s="82"/>
      <c r="LBD182" s="82"/>
      <c r="LBE182" s="82"/>
      <c r="LBF182" s="82"/>
      <c r="LBG182" s="82"/>
      <c r="LBH182" s="82"/>
      <c r="LBI182" s="82"/>
      <c r="LBJ182" s="82"/>
      <c r="LBK182" s="82"/>
      <c r="LBL182" s="82"/>
      <c r="LBM182" s="82"/>
      <c r="LBN182" s="82"/>
      <c r="LBO182" s="82"/>
      <c r="LBP182" s="82"/>
      <c r="LBQ182" s="82"/>
      <c r="LBR182" s="82"/>
      <c r="LBS182" s="82"/>
      <c r="LBT182" s="82"/>
      <c r="LBU182" s="82"/>
      <c r="LBV182" s="82"/>
      <c r="LBW182" s="82"/>
      <c r="LBX182" s="82"/>
      <c r="LBY182" s="82"/>
      <c r="LBZ182" s="82"/>
      <c r="LCA182" s="82"/>
      <c r="LCB182" s="82"/>
      <c r="LCC182" s="82"/>
      <c r="LCD182" s="82"/>
      <c r="LCE182" s="82"/>
      <c r="LCF182" s="82"/>
      <c r="LCG182" s="82"/>
      <c r="LCH182" s="82"/>
      <c r="LCI182" s="82"/>
      <c r="LCJ182" s="82"/>
      <c r="LCK182" s="82"/>
      <c r="LCL182" s="82"/>
      <c r="LCM182" s="82"/>
      <c r="LCN182" s="82"/>
      <c r="LCO182" s="82"/>
      <c r="LCP182" s="82"/>
      <c r="LCQ182" s="82"/>
      <c r="LCR182" s="82"/>
      <c r="LCS182" s="82"/>
      <c r="LCT182" s="82"/>
      <c r="LCU182" s="82"/>
      <c r="LCV182" s="82"/>
      <c r="LCW182" s="82"/>
      <c r="LCX182" s="82"/>
      <c r="LCY182" s="82"/>
      <c r="LCZ182" s="82"/>
      <c r="LDA182" s="82"/>
      <c r="LDB182" s="82"/>
      <c r="LDC182" s="82"/>
      <c r="LDD182" s="82"/>
      <c r="LDE182" s="82"/>
      <c r="LDF182" s="82"/>
      <c r="LDG182" s="82"/>
      <c r="LDH182" s="82"/>
      <c r="LDI182" s="82"/>
      <c r="LDJ182" s="82"/>
      <c r="LDK182" s="82"/>
      <c r="LDL182" s="82"/>
      <c r="LDM182" s="82"/>
      <c r="LDN182" s="82"/>
      <c r="LDO182" s="82"/>
      <c r="LDP182" s="82"/>
      <c r="LDQ182" s="82"/>
      <c r="LDR182" s="82"/>
      <c r="LDS182" s="82"/>
      <c r="LDT182" s="82"/>
      <c r="LDU182" s="82"/>
      <c r="LDV182" s="82"/>
      <c r="LDW182" s="82"/>
      <c r="LDX182" s="82"/>
      <c r="LDY182" s="82"/>
      <c r="LDZ182" s="82"/>
      <c r="LEA182" s="82"/>
      <c r="LEB182" s="82"/>
      <c r="LEC182" s="82"/>
      <c r="LED182" s="82"/>
      <c r="LEE182" s="82"/>
      <c r="LEF182" s="82"/>
      <c r="LEG182" s="82"/>
      <c r="LEH182" s="82"/>
      <c r="LEI182" s="82"/>
      <c r="LEJ182" s="82"/>
      <c r="LEK182" s="82"/>
      <c r="LEL182" s="82"/>
      <c r="LEM182" s="82"/>
      <c r="LEN182" s="82"/>
      <c r="LEO182" s="82"/>
      <c r="LEP182" s="82"/>
      <c r="LEQ182" s="82"/>
      <c r="LER182" s="82"/>
      <c r="LES182" s="82"/>
      <c r="LET182" s="82"/>
      <c r="LEU182" s="82"/>
      <c r="LEV182" s="82"/>
      <c r="LEW182" s="82"/>
      <c r="LEX182" s="82"/>
      <c r="LEY182" s="82"/>
      <c r="LEZ182" s="82"/>
      <c r="LFA182" s="82"/>
      <c r="LFB182" s="82"/>
      <c r="LFC182" s="82"/>
      <c r="LFD182" s="82"/>
      <c r="LFE182" s="82"/>
      <c r="LFF182" s="82"/>
      <c r="LFG182" s="82"/>
      <c r="LFH182" s="82"/>
      <c r="LFI182" s="82"/>
      <c r="LFJ182" s="82"/>
      <c r="LFK182" s="82"/>
      <c r="LFL182" s="82"/>
      <c r="LFM182" s="82"/>
      <c r="LFN182" s="82"/>
      <c r="LFO182" s="82"/>
      <c r="LFP182" s="82"/>
      <c r="LFQ182" s="82"/>
      <c r="LFR182" s="82"/>
      <c r="LFS182" s="82"/>
      <c r="LFT182" s="82"/>
      <c r="LFU182" s="82"/>
      <c r="LFV182" s="82"/>
      <c r="LFW182" s="82"/>
      <c r="LFX182" s="82"/>
      <c r="LFY182" s="82"/>
      <c r="LFZ182" s="82"/>
      <c r="LGA182" s="82"/>
      <c r="LGB182" s="82"/>
      <c r="LGC182" s="82"/>
      <c r="LGD182" s="82"/>
      <c r="LGE182" s="82"/>
      <c r="LGF182" s="82"/>
      <c r="LGG182" s="82"/>
      <c r="LGH182" s="82"/>
      <c r="LGI182" s="82"/>
      <c r="LGJ182" s="82"/>
      <c r="LGK182" s="82"/>
      <c r="LGL182" s="82"/>
      <c r="LGM182" s="82"/>
      <c r="LGN182" s="82"/>
      <c r="LGO182" s="82"/>
      <c r="LGP182" s="82"/>
      <c r="LGQ182" s="82"/>
      <c r="LGR182" s="82"/>
      <c r="LGS182" s="82"/>
      <c r="LGT182" s="82"/>
      <c r="LGU182" s="82"/>
      <c r="LGV182" s="82"/>
      <c r="LGW182" s="82"/>
      <c r="LGX182" s="82"/>
      <c r="LGY182" s="82"/>
      <c r="LGZ182" s="82"/>
      <c r="LHA182" s="82"/>
      <c r="LHB182" s="82"/>
      <c r="LHC182" s="82"/>
      <c r="LHD182" s="82"/>
      <c r="LHE182" s="82"/>
      <c r="LHF182" s="82"/>
      <c r="LHG182" s="82"/>
      <c r="LHH182" s="82"/>
      <c r="LHI182" s="82"/>
      <c r="LHJ182" s="82"/>
      <c r="LHK182" s="82"/>
      <c r="LHL182" s="82"/>
      <c r="LHM182" s="82"/>
      <c r="LHN182" s="82"/>
      <c r="LHO182" s="82"/>
      <c r="LHP182" s="82"/>
      <c r="LHQ182" s="82"/>
      <c r="LHR182" s="82"/>
      <c r="LHS182" s="82"/>
      <c r="LHT182" s="82"/>
      <c r="LHU182" s="82"/>
      <c r="LHV182" s="82"/>
      <c r="LHW182" s="82"/>
      <c r="LHX182" s="82"/>
      <c r="LHY182" s="82"/>
      <c r="LHZ182" s="82"/>
      <c r="LIA182" s="82"/>
      <c r="LIB182" s="82"/>
      <c r="LIC182" s="82"/>
      <c r="LID182" s="82"/>
      <c r="LIE182" s="82"/>
      <c r="LIF182" s="82"/>
      <c r="LIG182" s="82"/>
      <c r="LIH182" s="82"/>
      <c r="LII182" s="82"/>
      <c r="LIJ182" s="82"/>
      <c r="LIK182" s="82"/>
      <c r="LIL182" s="82"/>
      <c r="LIM182" s="82"/>
      <c r="LIN182" s="82"/>
      <c r="LIO182" s="82"/>
      <c r="LIP182" s="82"/>
      <c r="LIQ182" s="82"/>
      <c r="LIR182" s="82"/>
      <c r="LIS182" s="82"/>
      <c r="LIT182" s="82"/>
      <c r="LIU182" s="82"/>
      <c r="LIV182" s="82"/>
      <c r="LIW182" s="82"/>
      <c r="LIX182" s="82"/>
      <c r="LIY182" s="82"/>
      <c r="LIZ182" s="82"/>
      <c r="LJA182" s="82"/>
      <c r="LJB182" s="82"/>
      <c r="LJC182" s="82"/>
      <c r="LJD182" s="82"/>
      <c r="LJE182" s="82"/>
      <c r="LJF182" s="82"/>
      <c r="LJG182" s="82"/>
      <c r="LJH182" s="82"/>
      <c r="LJI182" s="82"/>
      <c r="LJJ182" s="82"/>
      <c r="LJK182" s="82"/>
      <c r="LJL182" s="82"/>
      <c r="LJM182" s="82"/>
      <c r="LJN182" s="82"/>
      <c r="LJO182" s="82"/>
      <c r="LJP182" s="82"/>
      <c r="LJQ182" s="82"/>
      <c r="LJR182" s="82"/>
      <c r="LJS182" s="82"/>
      <c r="LJT182" s="82"/>
      <c r="LJU182" s="82"/>
      <c r="LJV182" s="82"/>
      <c r="LJW182" s="82"/>
      <c r="LJX182" s="82"/>
      <c r="LJY182" s="82"/>
      <c r="LJZ182" s="82"/>
      <c r="LKA182" s="82"/>
      <c r="LKB182" s="82"/>
      <c r="LKC182" s="82"/>
      <c r="LKD182" s="82"/>
      <c r="LKE182" s="82"/>
      <c r="LKF182" s="82"/>
      <c r="LKG182" s="82"/>
      <c r="LKH182" s="82"/>
      <c r="LKI182" s="82"/>
      <c r="LKJ182" s="82"/>
      <c r="LKK182" s="82"/>
      <c r="LKL182" s="82"/>
      <c r="LKM182" s="82"/>
      <c r="LKN182" s="82"/>
      <c r="LKO182" s="82"/>
      <c r="LKP182" s="82"/>
      <c r="LKQ182" s="82"/>
      <c r="LKR182" s="82"/>
      <c r="LKS182" s="82"/>
      <c r="LKT182" s="82"/>
      <c r="LKU182" s="82"/>
      <c r="LKV182" s="82"/>
      <c r="LKW182" s="82"/>
      <c r="LKX182" s="82"/>
      <c r="LKY182" s="82"/>
      <c r="LKZ182" s="82"/>
      <c r="LLA182" s="82"/>
      <c r="LLB182" s="82"/>
      <c r="LLC182" s="82"/>
      <c r="LLD182" s="82"/>
      <c r="LLE182" s="82"/>
      <c r="LLF182" s="82"/>
      <c r="LLG182" s="82"/>
      <c r="LLH182" s="82"/>
      <c r="LLI182" s="82"/>
      <c r="LLJ182" s="82"/>
      <c r="LLK182" s="82"/>
      <c r="LLL182" s="82"/>
      <c r="LLM182" s="82"/>
      <c r="LLN182" s="82"/>
      <c r="LLO182" s="82"/>
      <c r="LLP182" s="82"/>
      <c r="LLQ182" s="82"/>
      <c r="LLR182" s="82"/>
      <c r="LLS182" s="82"/>
      <c r="LLT182" s="82"/>
      <c r="LLU182" s="82"/>
      <c r="LLV182" s="82"/>
      <c r="LLW182" s="82"/>
      <c r="LLX182" s="82"/>
      <c r="LLY182" s="82"/>
      <c r="LLZ182" s="82"/>
      <c r="LMA182" s="82"/>
      <c r="LMB182" s="82"/>
      <c r="LMC182" s="82"/>
      <c r="LMD182" s="82"/>
      <c r="LME182" s="82"/>
      <c r="LMF182" s="82"/>
      <c r="LMG182" s="82"/>
      <c r="LMH182" s="82"/>
      <c r="LMI182" s="82"/>
      <c r="LMJ182" s="82"/>
      <c r="LMK182" s="82"/>
      <c r="LML182" s="82"/>
      <c r="LMM182" s="82"/>
      <c r="LMN182" s="82"/>
      <c r="LMO182" s="82"/>
      <c r="LMP182" s="82"/>
      <c r="LMQ182" s="82"/>
      <c r="LMR182" s="82"/>
      <c r="LMS182" s="82"/>
      <c r="LMT182" s="82"/>
      <c r="LMU182" s="82"/>
      <c r="LMV182" s="82"/>
      <c r="LMW182" s="82"/>
      <c r="LMX182" s="82"/>
      <c r="LMY182" s="82"/>
      <c r="LMZ182" s="82"/>
      <c r="LNA182" s="82"/>
      <c r="LNB182" s="82"/>
      <c r="LNC182" s="82"/>
      <c r="LND182" s="82"/>
      <c r="LNE182" s="82"/>
      <c r="LNF182" s="82"/>
      <c r="LNG182" s="82"/>
      <c r="LNH182" s="82"/>
      <c r="LNI182" s="82"/>
      <c r="LNJ182" s="82"/>
      <c r="LNK182" s="82"/>
      <c r="LNL182" s="82"/>
      <c r="LNM182" s="82"/>
      <c r="LNN182" s="82"/>
      <c r="LNO182" s="82"/>
      <c r="LNP182" s="82"/>
      <c r="LNQ182" s="82"/>
      <c r="LNR182" s="82"/>
      <c r="LNS182" s="82"/>
      <c r="LNT182" s="82"/>
      <c r="LNU182" s="82"/>
      <c r="LNV182" s="82"/>
      <c r="LNW182" s="82"/>
      <c r="LNX182" s="82"/>
      <c r="LNY182" s="82"/>
      <c r="LNZ182" s="82"/>
      <c r="LOA182" s="82"/>
      <c r="LOB182" s="82"/>
      <c r="LOC182" s="82"/>
      <c r="LOD182" s="82"/>
      <c r="LOE182" s="82"/>
      <c r="LOF182" s="82"/>
      <c r="LOG182" s="82"/>
      <c r="LOH182" s="82"/>
      <c r="LOI182" s="82"/>
      <c r="LOJ182" s="82"/>
      <c r="LOK182" s="82"/>
      <c r="LOL182" s="82"/>
      <c r="LOM182" s="82"/>
      <c r="LON182" s="82"/>
      <c r="LOO182" s="82"/>
      <c r="LOP182" s="82"/>
      <c r="LOQ182" s="82"/>
      <c r="LOR182" s="82"/>
      <c r="LOS182" s="82"/>
      <c r="LOT182" s="82"/>
      <c r="LOU182" s="82"/>
      <c r="LOV182" s="82"/>
      <c r="LOW182" s="82"/>
      <c r="LOX182" s="82"/>
      <c r="LOY182" s="82"/>
      <c r="LOZ182" s="82"/>
      <c r="LPA182" s="82"/>
      <c r="LPB182" s="82"/>
      <c r="LPC182" s="82"/>
      <c r="LPD182" s="82"/>
      <c r="LPE182" s="82"/>
      <c r="LPF182" s="82"/>
      <c r="LPG182" s="82"/>
      <c r="LPH182" s="82"/>
      <c r="LPI182" s="82"/>
      <c r="LPJ182" s="82"/>
      <c r="LPK182" s="82"/>
      <c r="LPL182" s="82"/>
      <c r="LPM182" s="82"/>
      <c r="LPN182" s="82"/>
      <c r="LPO182" s="82"/>
      <c r="LPP182" s="82"/>
      <c r="LPQ182" s="82"/>
      <c r="LPR182" s="82"/>
      <c r="LPS182" s="82"/>
      <c r="LPT182" s="82"/>
      <c r="LPU182" s="82"/>
      <c r="LPV182" s="82"/>
      <c r="LPW182" s="82"/>
      <c r="LPX182" s="82"/>
      <c r="LPY182" s="82"/>
      <c r="LPZ182" s="82"/>
      <c r="LQA182" s="82"/>
      <c r="LQB182" s="82"/>
      <c r="LQC182" s="82"/>
      <c r="LQD182" s="82"/>
      <c r="LQE182" s="82"/>
      <c r="LQF182" s="82"/>
      <c r="LQG182" s="82"/>
      <c r="LQH182" s="82"/>
      <c r="LQI182" s="82"/>
      <c r="LQJ182" s="82"/>
      <c r="LQK182" s="82"/>
      <c r="LQL182" s="82"/>
      <c r="LQM182" s="82"/>
      <c r="LQN182" s="82"/>
      <c r="LQO182" s="82"/>
      <c r="LQP182" s="82"/>
      <c r="LQQ182" s="82"/>
      <c r="LQR182" s="82"/>
      <c r="LQS182" s="82"/>
      <c r="LQT182" s="82"/>
      <c r="LQU182" s="82"/>
      <c r="LQV182" s="82"/>
      <c r="LQW182" s="82"/>
      <c r="LQX182" s="82"/>
      <c r="LQY182" s="82"/>
      <c r="LQZ182" s="82"/>
      <c r="LRA182" s="82"/>
      <c r="LRB182" s="82"/>
      <c r="LRC182" s="82"/>
      <c r="LRD182" s="82"/>
      <c r="LRE182" s="82"/>
      <c r="LRF182" s="82"/>
      <c r="LRG182" s="82"/>
      <c r="LRH182" s="82"/>
      <c r="LRI182" s="82"/>
      <c r="LRJ182" s="82"/>
      <c r="LRK182" s="82"/>
      <c r="LRL182" s="82"/>
      <c r="LRM182" s="82"/>
      <c r="LRN182" s="82"/>
      <c r="LRO182" s="82"/>
      <c r="LRP182" s="82"/>
      <c r="LRQ182" s="82"/>
      <c r="LRR182" s="82"/>
      <c r="LRS182" s="82"/>
      <c r="LRT182" s="82"/>
      <c r="LRU182" s="82"/>
      <c r="LRV182" s="82"/>
      <c r="LRW182" s="82"/>
      <c r="LRX182" s="82"/>
      <c r="LRY182" s="82"/>
      <c r="LRZ182" s="82"/>
      <c r="LSA182" s="82"/>
      <c r="LSB182" s="82"/>
      <c r="LSC182" s="82"/>
      <c r="LSD182" s="82"/>
      <c r="LSE182" s="82"/>
      <c r="LSF182" s="82"/>
      <c r="LSG182" s="82"/>
      <c r="LSH182" s="82"/>
      <c r="LSI182" s="82"/>
      <c r="LSJ182" s="82"/>
      <c r="LSK182" s="82"/>
      <c r="LSL182" s="82"/>
      <c r="LSM182" s="82"/>
      <c r="LSN182" s="82"/>
      <c r="LSO182" s="82"/>
      <c r="LSP182" s="82"/>
      <c r="LSQ182" s="82"/>
      <c r="LSR182" s="82"/>
      <c r="LSS182" s="82"/>
      <c r="LST182" s="82"/>
      <c r="LSU182" s="82"/>
      <c r="LSV182" s="82"/>
      <c r="LSW182" s="82"/>
      <c r="LSX182" s="82"/>
      <c r="LSY182" s="82"/>
      <c r="LSZ182" s="82"/>
      <c r="LTA182" s="82"/>
      <c r="LTB182" s="82"/>
      <c r="LTC182" s="82"/>
      <c r="LTD182" s="82"/>
      <c r="LTE182" s="82"/>
      <c r="LTF182" s="82"/>
      <c r="LTG182" s="82"/>
      <c r="LTH182" s="82"/>
      <c r="LTI182" s="82"/>
      <c r="LTJ182" s="82"/>
      <c r="LTK182" s="82"/>
      <c r="LTL182" s="82"/>
      <c r="LTM182" s="82"/>
      <c r="LTN182" s="82"/>
      <c r="LTO182" s="82"/>
      <c r="LTP182" s="82"/>
      <c r="LTQ182" s="82"/>
      <c r="LTR182" s="82"/>
      <c r="LTS182" s="82"/>
      <c r="LTT182" s="82"/>
      <c r="LTU182" s="82"/>
      <c r="LTV182" s="82"/>
      <c r="LTW182" s="82"/>
      <c r="LTX182" s="82"/>
      <c r="LTY182" s="82"/>
      <c r="LTZ182" s="82"/>
      <c r="LUA182" s="82"/>
      <c r="LUB182" s="82"/>
      <c r="LUC182" s="82"/>
      <c r="LUD182" s="82"/>
      <c r="LUE182" s="82"/>
      <c r="LUF182" s="82"/>
      <c r="LUG182" s="82"/>
      <c r="LUH182" s="82"/>
      <c r="LUI182" s="82"/>
      <c r="LUJ182" s="82"/>
      <c r="LUK182" s="82"/>
      <c r="LUL182" s="82"/>
      <c r="LUM182" s="82"/>
      <c r="LUN182" s="82"/>
      <c r="LUO182" s="82"/>
      <c r="LUP182" s="82"/>
      <c r="LUQ182" s="82"/>
      <c r="LUR182" s="82"/>
      <c r="LUS182" s="82"/>
      <c r="LUT182" s="82"/>
      <c r="LUU182" s="82"/>
      <c r="LUV182" s="82"/>
      <c r="LUW182" s="82"/>
      <c r="LUX182" s="82"/>
      <c r="LUY182" s="82"/>
      <c r="LUZ182" s="82"/>
      <c r="LVA182" s="82"/>
      <c r="LVB182" s="82"/>
      <c r="LVC182" s="82"/>
      <c r="LVD182" s="82"/>
      <c r="LVE182" s="82"/>
      <c r="LVF182" s="82"/>
      <c r="LVG182" s="82"/>
      <c r="LVH182" s="82"/>
      <c r="LVI182" s="82"/>
      <c r="LVJ182" s="82"/>
      <c r="LVK182" s="82"/>
      <c r="LVL182" s="82"/>
      <c r="LVM182" s="82"/>
      <c r="LVN182" s="82"/>
      <c r="LVO182" s="82"/>
      <c r="LVP182" s="82"/>
      <c r="LVQ182" s="82"/>
      <c r="LVR182" s="82"/>
      <c r="LVS182" s="82"/>
      <c r="LVT182" s="82"/>
      <c r="LVU182" s="82"/>
      <c r="LVV182" s="82"/>
      <c r="LVW182" s="82"/>
      <c r="LVX182" s="82"/>
      <c r="LVY182" s="82"/>
      <c r="LVZ182" s="82"/>
      <c r="LWA182" s="82"/>
      <c r="LWB182" s="82"/>
      <c r="LWC182" s="82"/>
      <c r="LWD182" s="82"/>
      <c r="LWE182" s="82"/>
      <c r="LWF182" s="82"/>
      <c r="LWG182" s="82"/>
      <c r="LWH182" s="82"/>
      <c r="LWI182" s="82"/>
      <c r="LWJ182" s="82"/>
      <c r="LWK182" s="82"/>
      <c r="LWL182" s="82"/>
      <c r="LWM182" s="82"/>
      <c r="LWN182" s="82"/>
      <c r="LWO182" s="82"/>
      <c r="LWP182" s="82"/>
      <c r="LWQ182" s="82"/>
      <c r="LWR182" s="82"/>
      <c r="LWS182" s="82"/>
      <c r="LWT182" s="82"/>
      <c r="LWU182" s="82"/>
      <c r="LWV182" s="82"/>
      <c r="LWW182" s="82"/>
      <c r="LWX182" s="82"/>
      <c r="LWY182" s="82"/>
      <c r="LWZ182" s="82"/>
      <c r="LXA182" s="82"/>
      <c r="LXB182" s="82"/>
      <c r="LXC182" s="82"/>
      <c r="LXD182" s="82"/>
      <c r="LXE182" s="82"/>
      <c r="LXF182" s="82"/>
      <c r="LXG182" s="82"/>
      <c r="LXH182" s="82"/>
      <c r="LXI182" s="82"/>
      <c r="LXJ182" s="82"/>
      <c r="LXK182" s="82"/>
      <c r="LXL182" s="82"/>
      <c r="LXM182" s="82"/>
      <c r="LXN182" s="82"/>
      <c r="LXO182" s="82"/>
      <c r="LXP182" s="82"/>
      <c r="LXQ182" s="82"/>
      <c r="LXR182" s="82"/>
      <c r="LXS182" s="82"/>
      <c r="LXT182" s="82"/>
      <c r="LXU182" s="82"/>
      <c r="LXV182" s="82"/>
      <c r="LXW182" s="82"/>
      <c r="LXX182" s="82"/>
      <c r="LXY182" s="82"/>
      <c r="LXZ182" s="82"/>
      <c r="LYA182" s="82"/>
      <c r="LYB182" s="82"/>
      <c r="LYC182" s="82"/>
      <c r="LYD182" s="82"/>
      <c r="LYE182" s="82"/>
      <c r="LYF182" s="82"/>
      <c r="LYG182" s="82"/>
      <c r="LYH182" s="82"/>
      <c r="LYI182" s="82"/>
      <c r="LYJ182" s="82"/>
      <c r="LYK182" s="82"/>
      <c r="LYL182" s="82"/>
      <c r="LYM182" s="82"/>
      <c r="LYN182" s="82"/>
      <c r="LYO182" s="82"/>
      <c r="LYP182" s="82"/>
      <c r="LYQ182" s="82"/>
      <c r="LYR182" s="82"/>
      <c r="LYS182" s="82"/>
      <c r="LYT182" s="82"/>
      <c r="LYU182" s="82"/>
      <c r="LYV182" s="82"/>
      <c r="LYW182" s="82"/>
      <c r="LYX182" s="82"/>
      <c r="LYY182" s="82"/>
      <c r="LYZ182" s="82"/>
      <c r="LZA182" s="82"/>
      <c r="LZB182" s="82"/>
      <c r="LZC182" s="82"/>
      <c r="LZD182" s="82"/>
      <c r="LZE182" s="82"/>
      <c r="LZF182" s="82"/>
      <c r="LZG182" s="82"/>
      <c r="LZH182" s="82"/>
      <c r="LZI182" s="82"/>
      <c r="LZJ182" s="82"/>
      <c r="LZK182" s="82"/>
      <c r="LZL182" s="82"/>
      <c r="LZM182" s="82"/>
      <c r="LZN182" s="82"/>
      <c r="LZO182" s="82"/>
      <c r="LZP182" s="82"/>
      <c r="LZQ182" s="82"/>
      <c r="LZR182" s="82"/>
      <c r="LZS182" s="82"/>
      <c r="LZT182" s="82"/>
      <c r="LZU182" s="82"/>
      <c r="LZV182" s="82"/>
      <c r="LZW182" s="82"/>
      <c r="LZX182" s="82"/>
      <c r="LZY182" s="82"/>
      <c r="LZZ182" s="82"/>
      <c r="MAA182" s="82"/>
      <c r="MAB182" s="82"/>
      <c r="MAC182" s="82"/>
      <c r="MAD182" s="82"/>
      <c r="MAE182" s="82"/>
      <c r="MAF182" s="82"/>
      <c r="MAG182" s="82"/>
      <c r="MAH182" s="82"/>
      <c r="MAI182" s="82"/>
      <c r="MAJ182" s="82"/>
      <c r="MAK182" s="82"/>
      <c r="MAL182" s="82"/>
      <c r="MAM182" s="82"/>
      <c r="MAN182" s="82"/>
      <c r="MAO182" s="82"/>
      <c r="MAP182" s="82"/>
      <c r="MAQ182" s="82"/>
      <c r="MAR182" s="82"/>
      <c r="MAS182" s="82"/>
      <c r="MAT182" s="82"/>
      <c r="MAU182" s="82"/>
      <c r="MAV182" s="82"/>
      <c r="MAW182" s="82"/>
      <c r="MAX182" s="82"/>
      <c r="MAY182" s="82"/>
      <c r="MAZ182" s="82"/>
      <c r="MBA182" s="82"/>
      <c r="MBB182" s="82"/>
      <c r="MBC182" s="82"/>
      <c r="MBD182" s="82"/>
      <c r="MBE182" s="82"/>
      <c r="MBF182" s="82"/>
      <c r="MBG182" s="82"/>
      <c r="MBH182" s="82"/>
      <c r="MBI182" s="82"/>
      <c r="MBJ182" s="82"/>
      <c r="MBK182" s="82"/>
      <c r="MBL182" s="82"/>
      <c r="MBM182" s="82"/>
      <c r="MBN182" s="82"/>
      <c r="MBO182" s="82"/>
      <c r="MBP182" s="82"/>
      <c r="MBQ182" s="82"/>
      <c r="MBR182" s="82"/>
      <c r="MBS182" s="82"/>
      <c r="MBT182" s="82"/>
      <c r="MBU182" s="82"/>
      <c r="MBV182" s="82"/>
      <c r="MBW182" s="82"/>
      <c r="MBX182" s="82"/>
      <c r="MBY182" s="82"/>
      <c r="MBZ182" s="82"/>
      <c r="MCA182" s="82"/>
      <c r="MCB182" s="82"/>
      <c r="MCC182" s="82"/>
      <c r="MCD182" s="82"/>
      <c r="MCE182" s="82"/>
      <c r="MCF182" s="82"/>
      <c r="MCG182" s="82"/>
      <c r="MCH182" s="82"/>
      <c r="MCI182" s="82"/>
      <c r="MCJ182" s="82"/>
      <c r="MCK182" s="82"/>
      <c r="MCL182" s="82"/>
      <c r="MCM182" s="82"/>
      <c r="MCN182" s="82"/>
      <c r="MCO182" s="82"/>
      <c r="MCP182" s="82"/>
      <c r="MCQ182" s="82"/>
      <c r="MCR182" s="82"/>
      <c r="MCS182" s="82"/>
      <c r="MCT182" s="82"/>
      <c r="MCU182" s="82"/>
      <c r="MCV182" s="82"/>
      <c r="MCW182" s="82"/>
      <c r="MCX182" s="82"/>
      <c r="MCY182" s="82"/>
      <c r="MCZ182" s="82"/>
      <c r="MDA182" s="82"/>
      <c r="MDB182" s="82"/>
      <c r="MDC182" s="82"/>
      <c r="MDD182" s="82"/>
      <c r="MDE182" s="82"/>
      <c r="MDF182" s="82"/>
      <c r="MDG182" s="82"/>
      <c r="MDH182" s="82"/>
      <c r="MDI182" s="82"/>
      <c r="MDJ182" s="82"/>
      <c r="MDK182" s="82"/>
      <c r="MDL182" s="82"/>
      <c r="MDM182" s="82"/>
      <c r="MDN182" s="82"/>
      <c r="MDO182" s="82"/>
      <c r="MDP182" s="82"/>
      <c r="MDQ182" s="82"/>
      <c r="MDR182" s="82"/>
      <c r="MDS182" s="82"/>
      <c r="MDT182" s="82"/>
      <c r="MDU182" s="82"/>
      <c r="MDV182" s="82"/>
      <c r="MDW182" s="82"/>
      <c r="MDX182" s="82"/>
      <c r="MDY182" s="82"/>
      <c r="MDZ182" s="82"/>
      <c r="MEA182" s="82"/>
      <c r="MEB182" s="82"/>
      <c r="MEC182" s="82"/>
      <c r="MED182" s="82"/>
      <c r="MEE182" s="82"/>
      <c r="MEF182" s="82"/>
      <c r="MEG182" s="82"/>
      <c r="MEH182" s="82"/>
      <c r="MEI182" s="82"/>
      <c r="MEJ182" s="82"/>
      <c r="MEK182" s="82"/>
      <c r="MEL182" s="82"/>
      <c r="MEM182" s="82"/>
      <c r="MEN182" s="82"/>
      <c r="MEO182" s="82"/>
      <c r="MEP182" s="82"/>
      <c r="MEQ182" s="82"/>
      <c r="MER182" s="82"/>
      <c r="MES182" s="82"/>
      <c r="MET182" s="82"/>
      <c r="MEU182" s="82"/>
      <c r="MEV182" s="82"/>
      <c r="MEW182" s="82"/>
      <c r="MEX182" s="82"/>
      <c r="MEY182" s="82"/>
      <c r="MEZ182" s="82"/>
      <c r="MFA182" s="82"/>
      <c r="MFB182" s="82"/>
      <c r="MFC182" s="82"/>
      <c r="MFD182" s="82"/>
      <c r="MFE182" s="82"/>
      <c r="MFF182" s="82"/>
      <c r="MFG182" s="82"/>
      <c r="MFH182" s="82"/>
      <c r="MFI182" s="82"/>
      <c r="MFJ182" s="82"/>
      <c r="MFK182" s="82"/>
      <c r="MFL182" s="82"/>
      <c r="MFM182" s="82"/>
      <c r="MFN182" s="82"/>
      <c r="MFO182" s="82"/>
      <c r="MFP182" s="82"/>
      <c r="MFQ182" s="82"/>
      <c r="MFR182" s="82"/>
      <c r="MFS182" s="82"/>
      <c r="MFT182" s="82"/>
      <c r="MFU182" s="82"/>
      <c r="MFV182" s="82"/>
      <c r="MFW182" s="82"/>
      <c r="MFX182" s="82"/>
      <c r="MFY182" s="82"/>
      <c r="MFZ182" s="82"/>
      <c r="MGA182" s="82"/>
      <c r="MGB182" s="82"/>
      <c r="MGC182" s="82"/>
      <c r="MGD182" s="82"/>
      <c r="MGE182" s="82"/>
      <c r="MGF182" s="82"/>
      <c r="MGG182" s="82"/>
      <c r="MGH182" s="82"/>
      <c r="MGI182" s="82"/>
      <c r="MGJ182" s="82"/>
      <c r="MGK182" s="82"/>
      <c r="MGL182" s="82"/>
      <c r="MGM182" s="82"/>
      <c r="MGN182" s="82"/>
      <c r="MGO182" s="82"/>
      <c r="MGP182" s="82"/>
      <c r="MGQ182" s="82"/>
      <c r="MGR182" s="82"/>
      <c r="MGS182" s="82"/>
      <c r="MGT182" s="82"/>
      <c r="MGU182" s="82"/>
      <c r="MGV182" s="82"/>
      <c r="MGW182" s="82"/>
      <c r="MGX182" s="82"/>
      <c r="MGY182" s="82"/>
      <c r="MGZ182" s="82"/>
      <c r="MHA182" s="82"/>
      <c r="MHB182" s="82"/>
      <c r="MHC182" s="82"/>
      <c r="MHD182" s="82"/>
      <c r="MHE182" s="82"/>
      <c r="MHF182" s="82"/>
      <c r="MHG182" s="82"/>
      <c r="MHH182" s="82"/>
      <c r="MHI182" s="82"/>
      <c r="MHJ182" s="82"/>
      <c r="MHK182" s="82"/>
      <c r="MHL182" s="82"/>
      <c r="MHM182" s="82"/>
      <c r="MHN182" s="82"/>
      <c r="MHO182" s="82"/>
      <c r="MHP182" s="82"/>
      <c r="MHQ182" s="82"/>
      <c r="MHR182" s="82"/>
      <c r="MHS182" s="82"/>
      <c r="MHT182" s="82"/>
      <c r="MHU182" s="82"/>
      <c r="MHV182" s="82"/>
      <c r="MHW182" s="82"/>
      <c r="MHX182" s="82"/>
      <c r="MHY182" s="82"/>
      <c r="MHZ182" s="82"/>
      <c r="MIA182" s="82"/>
      <c r="MIB182" s="82"/>
      <c r="MIC182" s="82"/>
      <c r="MID182" s="82"/>
      <c r="MIE182" s="82"/>
      <c r="MIF182" s="82"/>
      <c r="MIG182" s="82"/>
      <c r="MIH182" s="82"/>
      <c r="MII182" s="82"/>
      <c r="MIJ182" s="82"/>
      <c r="MIK182" s="82"/>
      <c r="MIL182" s="82"/>
      <c r="MIM182" s="82"/>
      <c r="MIN182" s="82"/>
      <c r="MIO182" s="82"/>
      <c r="MIP182" s="82"/>
      <c r="MIQ182" s="82"/>
      <c r="MIR182" s="82"/>
      <c r="MIS182" s="82"/>
      <c r="MIT182" s="82"/>
      <c r="MIU182" s="82"/>
      <c r="MIV182" s="82"/>
      <c r="MIW182" s="82"/>
      <c r="MIX182" s="82"/>
      <c r="MIY182" s="82"/>
      <c r="MIZ182" s="82"/>
      <c r="MJA182" s="82"/>
      <c r="MJB182" s="82"/>
      <c r="MJC182" s="82"/>
      <c r="MJD182" s="82"/>
      <c r="MJE182" s="82"/>
      <c r="MJF182" s="82"/>
      <c r="MJG182" s="82"/>
      <c r="MJH182" s="82"/>
      <c r="MJI182" s="82"/>
      <c r="MJJ182" s="82"/>
      <c r="MJK182" s="82"/>
      <c r="MJL182" s="82"/>
      <c r="MJM182" s="82"/>
      <c r="MJN182" s="82"/>
      <c r="MJO182" s="82"/>
      <c r="MJP182" s="82"/>
      <c r="MJQ182" s="82"/>
      <c r="MJR182" s="82"/>
      <c r="MJS182" s="82"/>
      <c r="MJT182" s="82"/>
      <c r="MJU182" s="82"/>
      <c r="MJV182" s="82"/>
      <c r="MJW182" s="82"/>
      <c r="MJX182" s="82"/>
      <c r="MJY182" s="82"/>
      <c r="MJZ182" s="82"/>
      <c r="MKA182" s="82"/>
      <c r="MKB182" s="82"/>
      <c r="MKC182" s="82"/>
      <c r="MKD182" s="82"/>
      <c r="MKE182" s="82"/>
      <c r="MKF182" s="82"/>
      <c r="MKG182" s="82"/>
      <c r="MKH182" s="82"/>
      <c r="MKI182" s="82"/>
      <c r="MKJ182" s="82"/>
      <c r="MKK182" s="82"/>
      <c r="MKL182" s="82"/>
      <c r="MKM182" s="82"/>
      <c r="MKN182" s="82"/>
      <c r="MKO182" s="82"/>
      <c r="MKP182" s="82"/>
      <c r="MKQ182" s="82"/>
      <c r="MKR182" s="82"/>
      <c r="MKS182" s="82"/>
      <c r="MKT182" s="82"/>
      <c r="MKU182" s="82"/>
      <c r="MKV182" s="82"/>
      <c r="MKW182" s="82"/>
      <c r="MKX182" s="82"/>
      <c r="MKY182" s="82"/>
      <c r="MKZ182" s="82"/>
      <c r="MLA182" s="82"/>
      <c r="MLB182" s="82"/>
      <c r="MLC182" s="82"/>
      <c r="MLD182" s="82"/>
      <c r="MLE182" s="82"/>
      <c r="MLF182" s="82"/>
      <c r="MLG182" s="82"/>
      <c r="MLH182" s="82"/>
      <c r="MLI182" s="82"/>
      <c r="MLJ182" s="82"/>
      <c r="MLK182" s="82"/>
      <c r="MLL182" s="82"/>
      <c r="MLM182" s="82"/>
      <c r="MLN182" s="82"/>
      <c r="MLO182" s="82"/>
      <c r="MLP182" s="82"/>
      <c r="MLQ182" s="82"/>
      <c r="MLR182" s="82"/>
      <c r="MLS182" s="82"/>
      <c r="MLT182" s="82"/>
      <c r="MLU182" s="82"/>
      <c r="MLV182" s="82"/>
      <c r="MLW182" s="82"/>
      <c r="MLX182" s="82"/>
      <c r="MLY182" s="82"/>
      <c r="MLZ182" s="82"/>
      <c r="MMA182" s="82"/>
      <c r="MMB182" s="82"/>
      <c r="MMC182" s="82"/>
      <c r="MMD182" s="82"/>
      <c r="MME182" s="82"/>
      <c r="MMF182" s="82"/>
      <c r="MMG182" s="82"/>
      <c r="MMH182" s="82"/>
      <c r="MMI182" s="82"/>
      <c r="MMJ182" s="82"/>
      <c r="MMK182" s="82"/>
      <c r="MML182" s="82"/>
      <c r="MMM182" s="82"/>
      <c r="MMN182" s="82"/>
      <c r="MMO182" s="82"/>
      <c r="MMP182" s="82"/>
      <c r="MMQ182" s="82"/>
      <c r="MMR182" s="82"/>
      <c r="MMS182" s="82"/>
      <c r="MMT182" s="82"/>
      <c r="MMU182" s="82"/>
      <c r="MMV182" s="82"/>
      <c r="MMW182" s="82"/>
      <c r="MMX182" s="82"/>
      <c r="MMY182" s="82"/>
      <c r="MMZ182" s="82"/>
      <c r="MNA182" s="82"/>
      <c r="MNB182" s="82"/>
      <c r="MNC182" s="82"/>
      <c r="MND182" s="82"/>
      <c r="MNE182" s="82"/>
      <c r="MNF182" s="82"/>
      <c r="MNG182" s="82"/>
      <c r="MNH182" s="82"/>
      <c r="MNI182" s="82"/>
      <c r="MNJ182" s="82"/>
      <c r="MNK182" s="82"/>
      <c r="MNL182" s="82"/>
      <c r="MNM182" s="82"/>
      <c r="MNN182" s="82"/>
      <c r="MNO182" s="82"/>
      <c r="MNP182" s="82"/>
      <c r="MNQ182" s="82"/>
      <c r="MNR182" s="82"/>
      <c r="MNS182" s="82"/>
      <c r="MNT182" s="82"/>
      <c r="MNU182" s="82"/>
      <c r="MNV182" s="82"/>
      <c r="MNW182" s="82"/>
      <c r="MNX182" s="82"/>
      <c r="MNY182" s="82"/>
      <c r="MNZ182" s="82"/>
      <c r="MOA182" s="82"/>
      <c r="MOB182" s="82"/>
      <c r="MOC182" s="82"/>
      <c r="MOD182" s="82"/>
      <c r="MOE182" s="82"/>
      <c r="MOF182" s="82"/>
      <c r="MOG182" s="82"/>
      <c r="MOH182" s="82"/>
      <c r="MOI182" s="82"/>
      <c r="MOJ182" s="82"/>
      <c r="MOK182" s="82"/>
      <c r="MOL182" s="82"/>
      <c r="MOM182" s="82"/>
      <c r="MON182" s="82"/>
      <c r="MOO182" s="82"/>
      <c r="MOP182" s="82"/>
      <c r="MOQ182" s="82"/>
      <c r="MOR182" s="82"/>
      <c r="MOS182" s="82"/>
      <c r="MOT182" s="82"/>
      <c r="MOU182" s="82"/>
      <c r="MOV182" s="82"/>
      <c r="MOW182" s="82"/>
      <c r="MOX182" s="82"/>
      <c r="MOY182" s="82"/>
      <c r="MOZ182" s="82"/>
      <c r="MPA182" s="82"/>
      <c r="MPB182" s="82"/>
      <c r="MPC182" s="82"/>
      <c r="MPD182" s="82"/>
      <c r="MPE182" s="82"/>
      <c r="MPF182" s="82"/>
      <c r="MPG182" s="82"/>
      <c r="MPH182" s="82"/>
      <c r="MPI182" s="82"/>
      <c r="MPJ182" s="82"/>
      <c r="MPK182" s="82"/>
      <c r="MPL182" s="82"/>
      <c r="MPM182" s="82"/>
      <c r="MPN182" s="82"/>
      <c r="MPO182" s="82"/>
      <c r="MPP182" s="82"/>
      <c r="MPQ182" s="82"/>
      <c r="MPR182" s="82"/>
      <c r="MPS182" s="82"/>
      <c r="MPT182" s="82"/>
      <c r="MPU182" s="82"/>
      <c r="MPV182" s="82"/>
      <c r="MPW182" s="82"/>
      <c r="MPX182" s="82"/>
      <c r="MPY182" s="82"/>
      <c r="MPZ182" s="82"/>
      <c r="MQA182" s="82"/>
      <c r="MQB182" s="82"/>
      <c r="MQC182" s="82"/>
      <c r="MQD182" s="82"/>
      <c r="MQE182" s="82"/>
      <c r="MQF182" s="82"/>
      <c r="MQG182" s="82"/>
      <c r="MQH182" s="82"/>
      <c r="MQI182" s="82"/>
      <c r="MQJ182" s="82"/>
      <c r="MQK182" s="82"/>
      <c r="MQL182" s="82"/>
      <c r="MQM182" s="82"/>
      <c r="MQN182" s="82"/>
      <c r="MQO182" s="82"/>
      <c r="MQP182" s="82"/>
      <c r="MQQ182" s="82"/>
      <c r="MQR182" s="82"/>
      <c r="MQS182" s="82"/>
      <c r="MQT182" s="82"/>
      <c r="MQU182" s="82"/>
      <c r="MQV182" s="82"/>
      <c r="MQW182" s="82"/>
      <c r="MQX182" s="82"/>
      <c r="MQY182" s="82"/>
      <c r="MQZ182" s="82"/>
      <c r="MRA182" s="82"/>
      <c r="MRB182" s="82"/>
      <c r="MRC182" s="82"/>
      <c r="MRD182" s="82"/>
      <c r="MRE182" s="82"/>
      <c r="MRF182" s="82"/>
      <c r="MRG182" s="82"/>
      <c r="MRH182" s="82"/>
      <c r="MRI182" s="82"/>
      <c r="MRJ182" s="82"/>
      <c r="MRK182" s="82"/>
      <c r="MRL182" s="82"/>
      <c r="MRM182" s="82"/>
      <c r="MRN182" s="82"/>
      <c r="MRO182" s="82"/>
      <c r="MRP182" s="82"/>
      <c r="MRQ182" s="82"/>
      <c r="MRR182" s="82"/>
      <c r="MRS182" s="82"/>
      <c r="MRT182" s="82"/>
      <c r="MRU182" s="82"/>
      <c r="MRV182" s="82"/>
      <c r="MRW182" s="82"/>
      <c r="MRX182" s="82"/>
      <c r="MRY182" s="82"/>
      <c r="MRZ182" s="82"/>
      <c r="MSA182" s="82"/>
      <c r="MSB182" s="82"/>
      <c r="MSC182" s="82"/>
      <c r="MSD182" s="82"/>
      <c r="MSE182" s="82"/>
      <c r="MSF182" s="82"/>
      <c r="MSG182" s="82"/>
      <c r="MSH182" s="82"/>
      <c r="MSI182" s="82"/>
      <c r="MSJ182" s="82"/>
      <c r="MSK182" s="82"/>
      <c r="MSL182" s="82"/>
      <c r="MSM182" s="82"/>
      <c r="MSN182" s="82"/>
      <c r="MSO182" s="82"/>
      <c r="MSP182" s="82"/>
      <c r="MSQ182" s="82"/>
      <c r="MSR182" s="82"/>
      <c r="MSS182" s="82"/>
      <c r="MST182" s="82"/>
      <c r="MSU182" s="82"/>
      <c r="MSV182" s="82"/>
      <c r="MSW182" s="82"/>
      <c r="MSX182" s="82"/>
      <c r="MSY182" s="82"/>
      <c r="MSZ182" s="82"/>
      <c r="MTA182" s="82"/>
      <c r="MTB182" s="82"/>
      <c r="MTC182" s="82"/>
      <c r="MTD182" s="82"/>
      <c r="MTE182" s="82"/>
      <c r="MTF182" s="82"/>
      <c r="MTG182" s="82"/>
      <c r="MTH182" s="82"/>
      <c r="MTI182" s="82"/>
      <c r="MTJ182" s="82"/>
      <c r="MTK182" s="82"/>
      <c r="MTL182" s="82"/>
      <c r="MTM182" s="82"/>
      <c r="MTN182" s="82"/>
      <c r="MTO182" s="82"/>
      <c r="MTP182" s="82"/>
      <c r="MTQ182" s="82"/>
      <c r="MTR182" s="82"/>
      <c r="MTS182" s="82"/>
      <c r="MTT182" s="82"/>
      <c r="MTU182" s="82"/>
      <c r="MTV182" s="82"/>
      <c r="MTW182" s="82"/>
      <c r="MTX182" s="82"/>
      <c r="MTY182" s="82"/>
      <c r="MTZ182" s="82"/>
      <c r="MUA182" s="82"/>
      <c r="MUB182" s="82"/>
      <c r="MUC182" s="82"/>
      <c r="MUD182" s="82"/>
      <c r="MUE182" s="82"/>
      <c r="MUF182" s="82"/>
      <c r="MUG182" s="82"/>
      <c r="MUH182" s="82"/>
      <c r="MUI182" s="82"/>
      <c r="MUJ182" s="82"/>
      <c r="MUK182" s="82"/>
      <c r="MUL182" s="82"/>
      <c r="MUM182" s="82"/>
      <c r="MUN182" s="82"/>
      <c r="MUO182" s="82"/>
      <c r="MUP182" s="82"/>
      <c r="MUQ182" s="82"/>
      <c r="MUR182" s="82"/>
      <c r="MUS182" s="82"/>
      <c r="MUT182" s="82"/>
      <c r="MUU182" s="82"/>
      <c r="MUV182" s="82"/>
      <c r="MUW182" s="82"/>
      <c r="MUX182" s="82"/>
      <c r="MUY182" s="82"/>
      <c r="MUZ182" s="82"/>
      <c r="MVA182" s="82"/>
      <c r="MVB182" s="82"/>
      <c r="MVC182" s="82"/>
      <c r="MVD182" s="82"/>
      <c r="MVE182" s="82"/>
      <c r="MVF182" s="82"/>
      <c r="MVG182" s="82"/>
      <c r="MVH182" s="82"/>
      <c r="MVI182" s="82"/>
      <c r="MVJ182" s="82"/>
      <c r="MVK182" s="82"/>
      <c r="MVL182" s="82"/>
      <c r="MVM182" s="82"/>
      <c r="MVN182" s="82"/>
      <c r="MVO182" s="82"/>
      <c r="MVP182" s="82"/>
      <c r="MVQ182" s="82"/>
      <c r="MVR182" s="82"/>
      <c r="MVS182" s="82"/>
      <c r="MVT182" s="82"/>
      <c r="MVU182" s="82"/>
      <c r="MVV182" s="82"/>
      <c r="MVW182" s="82"/>
      <c r="MVX182" s="82"/>
      <c r="MVY182" s="82"/>
      <c r="MVZ182" s="82"/>
      <c r="MWA182" s="82"/>
      <c r="MWB182" s="82"/>
      <c r="MWC182" s="82"/>
      <c r="MWD182" s="82"/>
      <c r="MWE182" s="82"/>
      <c r="MWF182" s="82"/>
      <c r="MWG182" s="82"/>
      <c r="MWH182" s="82"/>
      <c r="MWI182" s="82"/>
      <c r="MWJ182" s="82"/>
      <c r="MWK182" s="82"/>
      <c r="MWL182" s="82"/>
      <c r="MWM182" s="82"/>
      <c r="MWN182" s="82"/>
      <c r="MWO182" s="82"/>
      <c r="MWP182" s="82"/>
      <c r="MWQ182" s="82"/>
      <c r="MWR182" s="82"/>
      <c r="MWS182" s="82"/>
      <c r="MWT182" s="82"/>
      <c r="MWU182" s="82"/>
      <c r="MWV182" s="82"/>
      <c r="MWW182" s="82"/>
      <c r="MWX182" s="82"/>
      <c r="MWY182" s="82"/>
      <c r="MWZ182" s="82"/>
      <c r="MXA182" s="82"/>
      <c r="MXB182" s="82"/>
      <c r="MXC182" s="82"/>
      <c r="MXD182" s="82"/>
      <c r="MXE182" s="82"/>
      <c r="MXF182" s="82"/>
      <c r="MXG182" s="82"/>
      <c r="MXH182" s="82"/>
      <c r="MXI182" s="82"/>
      <c r="MXJ182" s="82"/>
      <c r="MXK182" s="82"/>
      <c r="MXL182" s="82"/>
      <c r="MXM182" s="82"/>
      <c r="MXN182" s="82"/>
      <c r="MXO182" s="82"/>
      <c r="MXP182" s="82"/>
      <c r="MXQ182" s="82"/>
      <c r="MXR182" s="82"/>
      <c r="MXS182" s="82"/>
      <c r="MXT182" s="82"/>
      <c r="MXU182" s="82"/>
      <c r="MXV182" s="82"/>
      <c r="MXW182" s="82"/>
      <c r="MXX182" s="82"/>
      <c r="MXY182" s="82"/>
      <c r="MXZ182" s="82"/>
      <c r="MYA182" s="82"/>
      <c r="MYB182" s="82"/>
      <c r="MYC182" s="82"/>
      <c r="MYD182" s="82"/>
      <c r="MYE182" s="82"/>
      <c r="MYF182" s="82"/>
      <c r="MYG182" s="82"/>
      <c r="MYH182" s="82"/>
      <c r="MYI182" s="82"/>
      <c r="MYJ182" s="82"/>
      <c r="MYK182" s="82"/>
      <c r="MYL182" s="82"/>
      <c r="MYM182" s="82"/>
      <c r="MYN182" s="82"/>
      <c r="MYO182" s="82"/>
      <c r="MYP182" s="82"/>
      <c r="MYQ182" s="82"/>
      <c r="MYR182" s="82"/>
      <c r="MYS182" s="82"/>
      <c r="MYT182" s="82"/>
      <c r="MYU182" s="82"/>
      <c r="MYV182" s="82"/>
      <c r="MYW182" s="82"/>
      <c r="MYX182" s="82"/>
      <c r="MYY182" s="82"/>
      <c r="MYZ182" s="82"/>
      <c r="MZA182" s="82"/>
      <c r="MZB182" s="82"/>
      <c r="MZC182" s="82"/>
      <c r="MZD182" s="82"/>
      <c r="MZE182" s="82"/>
      <c r="MZF182" s="82"/>
      <c r="MZG182" s="82"/>
      <c r="MZH182" s="82"/>
      <c r="MZI182" s="82"/>
      <c r="MZJ182" s="82"/>
      <c r="MZK182" s="82"/>
      <c r="MZL182" s="82"/>
      <c r="MZM182" s="82"/>
      <c r="MZN182" s="82"/>
      <c r="MZO182" s="82"/>
      <c r="MZP182" s="82"/>
      <c r="MZQ182" s="82"/>
      <c r="MZR182" s="82"/>
      <c r="MZS182" s="82"/>
      <c r="MZT182" s="82"/>
      <c r="MZU182" s="82"/>
      <c r="MZV182" s="82"/>
      <c r="MZW182" s="82"/>
      <c r="MZX182" s="82"/>
      <c r="MZY182" s="82"/>
      <c r="MZZ182" s="82"/>
      <c r="NAA182" s="82"/>
      <c r="NAB182" s="82"/>
      <c r="NAC182" s="82"/>
      <c r="NAD182" s="82"/>
      <c r="NAE182" s="82"/>
      <c r="NAF182" s="82"/>
      <c r="NAG182" s="82"/>
      <c r="NAH182" s="82"/>
      <c r="NAI182" s="82"/>
      <c r="NAJ182" s="82"/>
      <c r="NAK182" s="82"/>
      <c r="NAL182" s="82"/>
      <c r="NAM182" s="82"/>
      <c r="NAN182" s="82"/>
      <c r="NAO182" s="82"/>
      <c r="NAP182" s="82"/>
      <c r="NAQ182" s="82"/>
      <c r="NAR182" s="82"/>
      <c r="NAS182" s="82"/>
      <c r="NAT182" s="82"/>
      <c r="NAU182" s="82"/>
      <c r="NAV182" s="82"/>
      <c r="NAW182" s="82"/>
      <c r="NAX182" s="82"/>
      <c r="NAY182" s="82"/>
      <c r="NAZ182" s="82"/>
      <c r="NBA182" s="82"/>
      <c r="NBB182" s="82"/>
      <c r="NBC182" s="82"/>
      <c r="NBD182" s="82"/>
      <c r="NBE182" s="82"/>
      <c r="NBF182" s="82"/>
      <c r="NBG182" s="82"/>
      <c r="NBH182" s="82"/>
      <c r="NBI182" s="82"/>
      <c r="NBJ182" s="82"/>
      <c r="NBK182" s="82"/>
      <c r="NBL182" s="82"/>
      <c r="NBM182" s="82"/>
      <c r="NBN182" s="82"/>
      <c r="NBO182" s="82"/>
      <c r="NBP182" s="82"/>
      <c r="NBQ182" s="82"/>
      <c r="NBR182" s="82"/>
      <c r="NBS182" s="82"/>
      <c r="NBT182" s="82"/>
      <c r="NBU182" s="82"/>
      <c r="NBV182" s="82"/>
      <c r="NBW182" s="82"/>
      <c r="NBX182" s="82"/>
      <c r="NBY182" s="82"/>
      <c r="NBZ182" s="82"/>
      <c r="NCA182" s="82"/>
      <c r="NCB182" s="82"/>
      <c r="NCC182" s="82"/>
      <c r="NCD182" s="82"/>
      <c r="NCE182" s="82"/>
      <c r="NCF182" s="82"/>
      <c r="NCG182" s="82"/>
      <c r="NCH182" s="82"/>
      <c r="NCI182" s="82"/>
      <c r="NCJ182" s="82"/>
      <c r="NCK182" s="82"/>
      <c r="NCL182" s="82"/>
      <c r="NCM182" s="82"/>
      <c r="NCN182" s="82"/>
      <c r="NCO182" s="82"/>
      <c r="NCP182" s="82"/>
      <c r="NCQ182" s="82"/>
      <c r="NCR182" s="82"/>
      <c r="NCS182" s="82"/>
      <c r="NCT182" s="82"/>
      <c r="NCU182" s="82"/>
      <c r="NCV182" s="82"/>
      <c r="NCW182" s="82"/>
      <c r="NCX182" s="82"/>
      <c r="NCY182" s="82"/>
      <c r="NCZ182" s="82"/>
      <c r="NDA182" s="82"/>
      <c r="NDB182" s="82"/>
      <c r="NDC182" s="82"/>
      <c r="NDD182" s="82"/>
      <c r="NDE182" s="82"/>
      <c r="NDF182" s="82"/>
      <c r="NDG182" s="82"/>
      <c r="NDH182" s="82"/>
      <c r="NDI182" s="82"/>
      <c r="NDJ182" s="82"/>
      <c r="NDK182" s="82"/>
      <c r="NDL182" s="82"/>
      <c r="NDM182" s="82"/>
      <c r="NDN182" s="82"/>
      <c r="NDO182" s="82"/>
      <c r="NDP182" s="82"/>
      <c r="NDQ182" s="82"/>
      <c r="NDR182" s="82"/>
      <c r="NDS182" s="82"/>
      <c r="NDT182" s="82"/>
      <c r="NDU182" s="82"/>
      <c r="NDV182" s="82"/>
      <c r="NDW182" s="82"/>
      <c r="NDX182" s="82"/>
      <c r="NDY182" s="82"/>
      <c r="NDZ182" s="82"/>
      <c r="NEA182" s="82"/>
      <c r="NEB182" s="82"/>
      <c r="NEC182" s="82"/>
      <c r="NED182" s="82"/>
      <c r="NEE182" s="82"/>
      <c r="NEF182" s="82"/>
      <c r="NEG182" s="82"/>
      <c r="NEH182" s="82"/>
      <c r="NEI182" s="82"/>
      <c r="NEJ182" s="82"/>
      <c r="NEK182" s="82"/>
      <c r="NEL182" s="82"/>
      <c r="NEM182" s="82"/>
      <c r="NEN182" s="82"/>
      <c r="NEO182" s="82"/>
      <c r="NEP182" s="82"/>
      <c r="NEQ182" s="82"/>
      <c r="NER182" s="82"/>
      <c r="NES182" s="82"/>
      <c r="NET182" s="82"/>
      <c r="NEU182" s="82"/>
      <c r="NEV182" s="82"/>
      <c r="NEW182" s="82"/>
      <c r="NEX182" s="82"/>
      <c r="NEY182" s="82"/>
      <c r="NEZ182" s="82"/>
      <c r="NFA182" s="82"/>
      <c r="NFB182" s="82"/>
      <c r="NFC182" s="82"/>
      <c r="NFD182" s="82"/>
      <c r="NFE182" s="82"/>
      <c r="NFF182" s="82"/>
      <c r="NFG182" s="82"/>
      <c r="NFH182" s="82"/>
      <c r="NFI182" s="82"/>
      <c r="NFJ182" s="82"/>
      <c r="NFK182" s="82"/>
      <c r="NFL182" s="82"/>
      <c r="NFM182" s="82"/>
      <c r="NFN182" s="82"/>
      <c r="NFO182" s="82"/>
      <c r="NFP182" s="82"/>
      <c r="NFQ182" s="82"/>
      <c r="NFR182" s="82"/>
      <c r="NFS182" s="82"/>
      <c r="NFT182" s="82"/>
      <c r="NFU182" s="82"/>
      <c r="NFV182" s="82"/>
      <c r="NFW182" s="82"/>
      <c r="NFX182" s="82"/>
      <c r="NFY182" s="82"/>
      <c r="NFZ182" s="82"/>
      <c r="NGA182" s="82"/>
      <c r="NGB182" s="82"/>
      <c r="NGC182" s="82"/>
      <c r="NGD182" s="82"/>
      <c r="NGE182" s="82"/>
      <c r="NGF182" s="82"/>
      <c r="NGG182" s="82"/>
      <c r="NGH182" s="82"/>
      <c r="NGI182" s="82"/>
      <c r="NGJ182" s="82"/>
      <c r="NGK182" s="82"/>
      <c r="NGL182" s="82"/>
      <c r="NGM182" s="82"/>
      <c r="NGN182" s="82"/>
      <c r="NGO182" s="82"/>
      <c r="NGP182" s="82"/>
      <c r="NGQ182" s="82"/>
      <c r="NGR182" s="82"/>
      <c r="NGS182" s="82"/>
      <c r="NGT182" s="82"/>
      <c r="NGU182" s="82"/>
      <c r="NGV182" s="82"/>
      <c r="NGW182" s="82"/>
      <c r="NGX182" s="82"/>
      <c r="NGY182" s="82"/>
      <c r="NGZ182" s="82"/>
      <c r="NHA182" s="82"/>
      <c r="NHB182" s="82"/>
      <c r="NHC182" s="82"/>
      <c r="NHD182" s="82"/>
      <c r="NHE182" s="82"/>
      <c r="NHF182" s="82"/>
      <c r="NHG182" s="82"/>
      <c r="NHH182" s="82"/>
      <c r="NHI182" s="82"/>
      <c r="NHJ182" s="82"/>
      <c r="NHK182" s="82"/>
      <c r="NHL182" s="82"/>
      <c r="NHM182" s="82"/>
      <c r="NHN182" s="82"/>
      <c r="NHO182" s="82"/>
      <c r="NHP182" s="82"/>
      <c r="NHQ182" s="82"/>
      <c r="NHR182" s="82"/>
      <c r="NHS182" s="82"/>
      <c r="NHT182" s="82"/>
      <c r="NHU182" s="82"/>
      <c r="NHV182" s="82"/>
      <c r="NHW182" s="82"/>
      <c r="NHX182" s="82"/>
      <c r="NHY182" s="82"/>
      <c r="NHZ182" s="82"/>
      <c r="NIA182" s="82"/>
      <c r="NIB182" s="82"/>
      <c r="NIC182" s="82"/>
      <c r="NID182" s="82"/>
      <c r="NIE182" s="82"/>
      <c r="NIF182" s="82"/>
      <c r="NIG182" s="82"/>
      <c r="NIH182" s="82"/>
      <c r="NII182" s="82"/>
      <c r="NIJ182" s="82"/>
      <c r="NIK182" s="82"/>
      <c r="NIL182" s="82"/>
      <c r="NIM182" s="82"/>
      <c r="NIN182" s="82"/>
      <c r="NIO182" s="82"/>
      <c r="NIP182" s="82"/>
      <c r="NIQ182" s="82"/>
      <c r="NIR182" s="82"/>
      <c r="NIS182" s="82"/>
      <c r="NIT182" s="82"/>
      <c r="NIU182" s="82"/>
      <c r="NIV182" s="82"/>
      <c r="NIW182" s="82"/>
      <c r="NIX182" s="82"/>
      <c r="NIY182" s="82"/>
      <c r="NIZ182" s="82"/>
      <c r="NJA182" s="82"/>
      <c r="NJB182" s="82"/>
      <c r="NJC182" s="82"/>
      <c r="NJD182" s="82"/>
      <c r="NJE182" s="82"/>
      <c r="NJF182" s="82"/>
      <c r="NJG182" s="82"/>
      <c r="NJH182" s="82"/>
      <c r="NJI182" s="82"/>
      <c r="NJJ182" s="82"/>
      <c r="NJK182" s="82"/>
      <c r="NJL182" s="82"/>
      <c r="NJM182" s="82"/>
      <c r="NJN182" s="82"/>
      <c r="NJO182" s="82"/>
      <c r="NJP182" s="82"/>
      <c r="NJQ182" s="82"/>
      <c r="NJR182" s="82"/>
      <c r="NJS182" s="82"/>
      <c r="NJT182" s="82"/>
      <c r="NJU182" s="82"/>
      <c r="NJV182" s="82"/>
      <c r="NJW182" s="82"/>
      <c r="NJX182" s="82"/>
      <c r="NJY182" s="82"/>
      <c r="NJZ182" s="82"/>
      <c r="NKA182" s="82"/>
      <c r="NKB182" s="82"/>
      <c r="NKC182" s="82"/>
      <c r="NKD182" s="82"/>
      <c r="NKE182" s="82"/>
      <c r="NKF182" s="82"/>
      <c r="NKG182" s="82"/>
      <c r="NKH182" s="82"/>
      <c r="NKI182" s="82"/>
      <c r="NKJ182" s="82"/>
      <c r="NKK182" s="82"/>
      <c r="NKL182" s="82"/>
      <c r="NKM182" s="82"/>
      <c r="NKN182" s="82"/>
      <c r="NKO182" s="82"/>
      <c r="NKP182" s="82"/>
      <c r="NKQ182" s="82"/>
      <c r="NKR182" s="82"/>
      <c r="NKS182" s="82"/>
      <c r="NKT182" s="82"/>
      <c r="NKU182" s="82"/>
      <c r="NKV182" s="82"/>
      <c r="NKW182" s="82"/>
      <c r="NKX182" s="82"/>
      <c r="NKY182" s="82"/>
      <c r="NKZ182" s="82"/>
      <c r="NLA182" s="82"/>
      <c r="NLB182" s="82"/>
      <c r="NLC182" s="82"/>
      <c r="NLD182" s="82"/>
      <c r="NLE182" s="82"/>
      <c r="NLF182" s="82"/>
      <c r="NLG182" s="82"/>
      <c r="NLH182" s="82"/>
      <c r="NLI182" s="82"/>
      <c r="NLJ182" s="82"/>
      <c r="NLK182" s="82"/>
      <c r="NLL182" s="82"/>
      <c r="NLM182" s="82"/>
      <c r="NLN182" s="82"/>
      <c r="NLO182" s="82"/>
      <c r="NLP182" s="82"/>
      <c r="NLQ182" s="82"/>
      <c r="NLR182" s="82"/>
      <c r="NLS182" s="82"/>
      <c r="NLT182" s="82"/>
      <c r="NLU182" s="82"/>
      <c r="NLV182" s="82"/>
      <c r="NLW182" s="82"/>
      <c r="NLX182" s="82"/>
      <c r="NLY182" s="82"/>
      <c r="NLZ182" s="82"/>
      <c r="NMA182" s="82"/>
      <c r="NMB182" s="82"/>
      <c r="NMC182" s="82"/>
      <c r="NMD182" s="82"/>
      <c r="NME182" s="82"/>
      <c r="NMF182" s="82"/>
      <c r="NMG182" s="82"/>
      <c r="NMH182" s="82"/>
      <c r="NMI182" s="82"/>
      <c r="NMJ182" s="82"/>
      <c r="NMK182" s="82"/>
      <c r="NML182" s="82"/>
      <c r="NMM182" s="82"/>
      <c r="NMN182" s="82"/>
      <c r="NMO182" s="82"/>
      <c r="NMP182" s="82"/>
      <c r="NMQ182" s="82"/>
      <c r="NMR182" s="82"/>
      <c r="NMS182" s="82"/>
      <c r="NMT182" s="82"/>
      <c r="NMU182" s="82"/>
      <c r="NMV182" s="82"/>
      <c r="NMW182" s="82"/>
      <c r="NMX182" s="82"/>
      <c r="NMY182" s="82"/>
      <c r="NMZ182" s="82"/>
      <c r="NNA182" s="82"/>
      <c r="NNB182" s="82"/>
      <c r="NNC182" s="82"/>
      <c r="NND182" s="82"/>
      <c r="NNE182" s="82"/>
      <c r="NNF182" s="82"/>
      <c r="NNG182" s="82"/>
      <c r="NNH182" s="82"/>
      <c r="NNI182" s="82"/>
      <c r="NNJ182" s="82"/>
      <c r="NNK182" s="82"/>
      <c r="NNL182" s="82"/>
      <c r="NNM182" s="82"/>
      <c r="NNN182" s="82"/>
      <c r="NNO182" s="82"/>
      <c r="NNP182" s="82"/>
      <c r="NNQ182" s="82"/>
      <c r="NNR182" s="82"/>
      <c r="NNS182" s="82"/>
      <c r="NNT182" s="82"/>
      <c r="NNU182" s="82"/>
      <c r="NNV182" s="82"/>
      <c r="NNW182" s="82"/>
      <c r="NNX182" s="82"/>
      <c r="NNY182" s="82"/>
      <c r="NNZ182" s="82"/>
      <c r="NOA182" s="82"/>
      <c r="NOB182" s="82"/>
      <c r="NOC182" s="82"/>
      <c r="NOD182" s="82"/>
      <c r="NOE182" s="82"/>
      <c r="NOF182" s="82"/>
      <c r="NOG182" s="82"/>
      <c r="NOH182" s="82"/>
      <c r="NOI182" s="82"/>
      <c r="NOJ182" s="82"/>
      <c r="NOK182" s="82"/>
      <c r="NOL182" s="82"/>
      <c r="NOM182" s="82"/>
      <c r="NON182" s="82"/>
      <c r="NOO182" s="82"/>
      <c r="NOP182" s="82"/>
      <c r="NOQ182" s="82"/>
      <c r="NOR182" s="82"/>
      <c r="NOS182" s="82"/>
      <c r="NOT182" s="82"/>
      <c r="NOU182" s="82"/>
      <c r="NOV182" s="82"/>
      <c r="NOW182" s="82"/>
      <c r="NOX182" s="82"/>
      <c r="NOY182" s="82"/>
      <c r="NOZ182" s="82"/>
      <c r="NPA182" s="82"/>
      <c r="NPB182" s="82"/>
      <c r="NPC182" s="82"/>
      <c r="NPD182" s="82"/>
      <c r="NPE182" s="82"/>
      <c r="NPF182" s="82"/>
      <c r="NPG182" s="82"/>
      <c r="NPH182" s="82"/>
      <c r="NPI182" s="82"/>
      <c r="NPJ182" s="82"/>
      <c r="NPK182" s="82"/>
      <c r="NPL182" s="82"/>
      <c r="NPM182" s="82"/>
      <c r="NPN182" s="82"/>
      <c r="NPO182" s="82"/>
      <c r="NPP182" s="82"/>
      <c r="NPQ182" s="82"/>
      <c r="NPR182" s="82"/>
      <c r="NPS182" s="82"/>
      <c r="NPT182" s="82"/>
      <c r="NPU182" s="82"/>
      <c r="NPV182" s="82"/>
      <c r="NPW182" s="82"/>
      <c r="NPX182" s="82"/>
      <c r="NPY182" s="82"/>
      <c r="NPZ182" s="82"/>
      <c r="NQA182" s="82"/>
      <c r="NQB182" s="82"/>
      <c r="NQC182" s="82"/>
      <c r="NQD182" s="82"/>
      <c r="NQE182" s="82"/>
      <c r="NQF182" s="82"/>
      <c r="NQG182" s="82"/>
      <c r="NQH182" s="82"/>
      <c r="NQI182" s="82"/>
      <c r="NQJ182" s="82"/>
      <c r="NQK182" s="82"/>
      <c r="NQL182" s="82"/>
      <c r="NQM182" s="82"/>
      <c r="NQN182" s="82"/>
      <c r="NQO182" s="82"/>
      <c r="NQP182" s="82"/>
      <c r="NQQ182" s="82"/>
      <c r="NQR182" s="82"/>
      <c r="NQS182" s="82"/>
      <c r="NQT182" s="82"/>
      <c r="NQU182" s="82"/>
      <c r="NQV182" s="82"/>
      <c r="NQW182" s="82"/>
      <c r="NQX182" s="82"/>
      <c r="NQY182" s="82"/>
      <c r="NQZ182" s="82"/>
      <c r="NRA182" s="82"/>
      <c r="NRB182" s="82"/>
      <c r="NRC182" s="82"/>
      <c r="NRD182" s="82"/>
      <c r="NRE182" s="82"/>
      <c r="NRF182" s="82"/>
      <c r="NRG182" s="82"/>
      <c r="NRH182" s="82"/>
      <c r="NRI182" s="82"/>
      <c r="NRJ182" s="82"/>
      <c r="NRK182" s="82"/>
      <c r="NRL182" s="82"/>
      <c r="NRM182" s="82"/>
      <c r="NRN182" s="82"/>
      <c r="NRO182" s="82"/>
      <c r="NRP182" s="82"/>
      <c r="NRQ182" s="82"/>
      <c r="NRR182" s="82"/>
      <c r="NRS182" s="82"/>
      <c r="NRT182" s="82"/>
      <c r="NRU182" s="82"/>
      <c r="NRV182" s="82"/>
      <c r="NRW182" s="82"/>
      <c r="NRX182" s="82"/>
      <c r="NRY182" s="82"/>
      <c r="NRZ182" s="82"/>
      <c r="NSA182" s="82"/>
      <c r="NSB182" s="82"/>
      <c r="NSC182" s="82"/>
      <c r="NSD182" s="82"/>
      <c r="NSE182" s="82"/>
      <c r="NSF182" s="82"/>
      <c r="NSG182" s="82"/>
      <c r="NSH182" s="82"/>
      <c r="NSI182" s="82"/>
      <c r="NSJ182" s="82"/>
      <c r="NSK182" s="82"/>
      <c r="NSL182" s="82"/>
      <c r="NSM182" s="82"/>
      <c r="NSN182" s="82"/>
      <c r="NSO182" s="82"/>
      <c r="NSP182" s="82"/>
      <c r="NSQ182" s="82"/>
      <c r="NSR182" s="82"/>
      <c r="NSS182" s="82"/>
      <c r="NST182" s="82"/>
      <c r="NSU182" s="82"/>
      <c r="NSV182" s="82"/>
      <c r="NSW182" s="82"/>
      <c r="NSX182" s="82"/>
      <c r="NSY182" s="82"/>
      <c r="NSZ182" s="82"/>
      <c r="NTA182" s="82"/>
      <c r="NTB182" s="82"/>
      <c r="NTC182" s="82"/>
      <c r="NTD182" s="82"/>
      <c r="NTE182" s="82"/>
      <c r="NTF182" s="82"/>
      <c r="NTG182" s="82"/>
      <c r="NTH182" s="82"/>
      <c r="NTI182" s="82"/>
      <c r="NTJ182" s="82"/>
      <c r="NTK182" s="82"/>
      <c r="NTL182" s="82"/>
      <c r="NTM182" s="82"/>
      <c r="NTN182" s="82"/>
      <c r="NTO182" s="82"/>
      <c r="NTP182" s="82"/>
      <c r="NTQ182" s="82"/>
      <c r="NTR182" s="82"/>
      <c r="NTS182" s="82"/>
      <c r="NTT182" s="82"/>
      <c r="NTU182" s="82"/>
      <c r="NTV182" s="82"/>
      <c r="NTW182" s="82"/>
      <c r="NTX182" s="82"/>
      <c r="NTY182" s="82"/>
      <c r="NTZ182" s="82"/>
      <c r="NUA182" s="82"/>
      <c r="NUB182" s="82"/>
      <c r="NUC182" s="82"/>
      <c r="NUD182" s="82"/>
      <c r="NUE182" s="82"/>
      <c r="NUF182" s="82"/>
      <c r="NUG182" s="82"/>
      <c r="NUH182" s="82"/>
      <c r="NUI182" s="82"/>
      <c r="NUJ182" s="82"/>
      <c r="NUK182" s="82"/>
      <c r="NUL182" s="82"/>
      <c r="NUM182" s="82"/>
      <c r="NUN182" s="82"/>
      <c r="NUO182" s="82"/>
      <c r="NUP182" s="82"/>
      <c r="NUQ182" s="82"/>
      <c r="NUR182" s="82"/>
      <c r="NUS182" s="82"/>
      <c r="NUT182" s="82"/>
      <c r="NUU182" s="82"/>
      <c r="NUV182" s="82"/>
      <c r="NUW182" s="82"/>
      <c r="NUX182" s="82"/>
      <c r="NUY182" s="82"/>
      <c r="NUZ182" s="82"/>
      <c r="NVA182" s="82"/>
      <c r="NVB182" s="82"/>
      <c r="NVC182" s="82"/>
      <c r="NVD182" s="82"/>
      <c r="NVE182" s="82"/>
      <c r="NVF182" s="82"/>
      <c r="NVG182" s="82"/>
      <c r="NVH182" s="82"/>
      <c r="NVI182" s="82"/>
      <c r="NVJ182" s="82"/>
      <c r="NVK182" s="82"/>
      <c r="NVL182" s="82"/>
      <c r="NVM182" s="82"/>
      <c r="NVN182" s="82"/>
      <c r="NVO182" s="82"/>
      <c r="NVP182" s="82"/>
      <c r="NVQ182" s="82"/>
      <c r="NVR182" s="82"/>
      <c r="NVS182" s="82"/>
      <c r="NVT182" s="82"/>
      <c r="NVU182" s="82"/>
      <c r="NVV182" s="82"/>
      <c r="NVW182" s="82"/>
      <c r="NVX182" s="82"/>
      <c r="NVY182" s="82"/>
      <c r="NVZ182" s="82"/>
      <c r="NWA182" s="82"/>
      <c r="NWB182" s="82"/>
      <c r="NWC182" s="82"/>
      <c r="NWD182" s="82"/>
      <c r="NWE182" s="82"/>
      <c r="NWF182" s="82"/>
      <c r="NWG182" s="82"/>
      <c r="NWH182" s="82"/>
      <c r="NWI182" s="82"/>
      <c r="NWJ182" s="82"/>
      <c r="NWK182" s="82"/>
      <c r="NWL182" s="82"/>
      <c r="NWM182" s="82"/>
      <c r="NWN182" s="82"/>
      <c r="NWO182" s="82"/>
      <c r="NWP182" s="82"/>
      <c r="NWQ182" s="82"/>
      <c r="NWR182" s="82"/>
      <c r="NWS182" s="82"/>
      <c r="NWT182" s="82"/>
      <c r="NWU182" s="82"/>
      <c r="NWV182" s="82"/>
      <c r="NWW182" s="82"/>
      <c r="NWX182" s="82"/>
      <c r="NWY182" s="82"/>
      <c r="NWZ182" s="82"/>
      <c r="NXA182" s="82"/>
      <c r="NXB182" s="82"/>
      <c r="NXC182" s="82"/>
      <c r="NXD182" s="82"/>
      <c r="NXE182" s="82"/>
      <c r="NXF182" s="82"/>
      <c r="NXG182" s="82"/>
      <c r="NXH182" s="82"/>
      <c r="NXI182" s="82"/>
      <c r="NXJ182" s="82"/>
      <c r="NXK182" s="82"/>
      <c r="NXL182" s="82"/>
      <c r="NXM182" s="82"/>
      <c r="NXN182" s="82"/>
      <c r="NXO182" s="82"/>
      <c r="NXP182" s="82"/>
      <c r="NXQ182" s="82"/>
      <c r="NXR182" s="82"/>
      <c r="NXS182" s="82"/>
      <c r="NXT182" s="82"/>
      <c r="NXU182" s="82"/>
      <c r="NXV182" s="82"/>
      <c r="NXW182" s="82"/>
      <c r="NXX182" s="82"/>
      <c r="NXY182" s="82"/>
      <c r="NXZ182" s="82"/>
      <c r="NYA182" s="82"/>
      <c r="NYB182" s="82"/>
      <c r="NYC182" s="82"/>
      <c r="NYD182" s="82"/>
      <c r="NYE182" s="82"/>
      <c r="NYF182" s="82"/>
      <c r="NYG182" s="82"/>
      <c r="NYH182" s="82"/>
      <c r="NYI182" s="82"/>
      <c r="NYJ182" s="82"/>
      <c r="NYK182" s="82"/>
      <c r="NYL182" s="82"/>
      <c r="NYM182" s="82"/>
      <c r="NYN182" s="82"/>
      <c r="NYO182" s="82"/>
      <c r="NYP182" s="82"/>
      <c r="NYQ182" s="82"/>
      <c r="NYR182" s="82"/>
      <c r="NYS182" s="82"/>
      <c r="NYT182" s="82"/>
      <c r="NYU182" s="82"/>
      <c r="NYV182" s="82"/>
      <c r="NYW182" s="82"/>
      <c r="NYX182" s="82"/>
      <c r="NYY182" s="82"/>
      <c r="NYZ182" s="82"/>
      <c r="NZA182" s="82"/>
      <c r="NZB182" s="82"/>
      <c r="NZC182" s="82"/>
      <c r="NZD182" s="82"/>
      <c r="NZE182" s="82"/>
      <c r="NZF182" s="82"/>
      <c r="NZG182" s="82"/>
      <c r="NZH182" s="82"/>
      <c r="NZI182" s="82"/>
      <c r="NZJ182" s="82"/>
      <c r="NZK182" s="82"/>
      <c r="NZL182" s="82"/>
      <c r="NZM182" s="82"/>
      <c r="NZN182" s="82"/>
      <c r="NZO182" s="82"/>
      <c r="NZP182" s="82"/>
      <c r="NZQ182" s="82"/>
      <c r="NZR182" s="82"/>
      <c r="NZS182" s="82"/>
      <c r="NZT182" s="82"/>
      <c r="NZU182" s="82"/>
      <c r="NZV182" s="82"/>
      <c r="NZW182" s="82"/>
      <c r="NZX182" s="82"/>
      <c r="NZY182" s="82"/>
      <c r="NZZ182" s="82"/>
      <c r="OAA182" s="82"/>
      <c r="OAB182" s="82"/>
      <c r="OAC182" s="82"/>
      <c r="OAD182" s="82"/>
      <c r="OAE182" s="82"/>
      <c r="OAF182" s="82"/>
      <c r="OAG182" s="82"/>
      <c r="OAH182" s="82"/>
      <c r="OAI182" s="82"/>
      <c r="OAJ182" s="82"/>
      <c r="OAK182" s="82"/>
      <c r="OAL182" s="82"/>
      <c r="OAM182" s="82"/>
      <c r="OAN182" s="82"/>
      <c r="OAO182" s="82"/>
      <c r="OAP182" s="82"/>
      <c r="OAQ182" s="82"/>
      <c r="OAR182" s="82"/>
      <c r="OAS182" s="82"/>
      <c r="OAT182" s="82"/>
      <c r="OAU182" s="82"/>
      <c r="OAV182" s="82"/>
      <c r="OAW182" s="82"/>
      <c r="OAX182" s="82"/>
      <c r="OAY182" s="82"/>
      <c r="OAZ182" s="82"/>
      <c r="OBA182" s="82"/>
      <c r="OBB182" s="82"/>
      <c r="OBC182" s="82"/>
      <c r="OBD182" s="82"/>
      <c r="OBE182" s="82"/>
      <c r="OBF182" s="82"/>
      <c r="OBG182" s="82"/>
      <c r="OBH182" s="82"/>
      <c r="OBI182" s="82"/>
      <c r="OBJ182" s="82"/>
      <c r="OBK182" s="82"/>
      <c r="OBL182" s="82"/>
      <c r="OBM182" s="82"/>
      <c r="OBN182" s="82"/>
      <c r="OBO182" s="82"/>
      <c r="OBP182" s="82"/>
      <c r="OBQ182" s="82"/>
      <c r="OBR182" s="82"/>
      <c r="OBS182" s="82"/>
      <c r="OBT182" s="82"/>
      <c r="OBU182" s="82"/>
      <c r="OBV182" s="82"/>
      <c r="OBW182" s="82"/>
      <c r="OBX182" s="82"/>
      <c r="OBY182" s="82"/>
      <c r="OBZ182" s="82"/>
      <c r="OCA182" s="82"/>
      <c r="OCB182" s="82"/>
      <c r="OCC182" s="82"/>
      <c r="OCD182" s="82"/>
      <c r="OCE182" s="82"/>
      <c r="OCF182" s="82"/>
      <c r="OCG182" s="82"/>
      <c r="OCH182" s="82"/>
      <c r="OCI182" s="82"/>
      <c r="OCJ182" s="82"/>
      <c r="OCK182" s="82"/>
      <c r="OCL182" s="82"/>
      <c r="OCM182" s="82"/>
      <c r="OCN182" s="82"/>
      <c r="OCO182" s="82"/>
      <c r="OCP182" s="82"/>
      <c r="OCQ182" s="82"/>
      <c r="OCR182" s="82"/>
      <c r="OCS182" s="82"/>
      <c r="OCT182" s="82"/>
      <c r="OCU182" s="82"/>
      <c r="OCV182" s="82"/>
      <c r="OCW182" s="82"/>
      <c r="OCX182" s="82"/>
      <c r="OCY182" s="82"/>
      <c r="OCZ182" s="82"/>
      <c r="ODA182" s="82"/>
      <c r="ODB182" s="82"/>
      <c r="ODC182" s="82"/>
      <c r="ODD182" s="82"/>
      <c r="ODE182" s="82"/>
      <c r="ODF182" s="82"/>
      <c r="ODG182" s="82"/>
      <c r="ODH182" s="82"/>
      <c r="ODI182" s="82"/>
      <c r="ODJ182" s="82"/>
      <c r="ODK182" s="82"/>
      <c r="ODL182" s="82"/>
      <c r="ODM182" s="82"/>
      <c r="ODN182" s="82"/>
      <c r="ODO182" s="82"/>
      <c r="ODP182" s="82"/>
      <c r="ODQ182" s="82"/>
      <c r="ODR182" s="82"/>
      <c r="ODS182" s="82"/>
      <c r="ODT182" s="82"/>
      <c r="ODU182" s="82"/>
      <c r="ODV182" s="82"/>
      <c r="ODW182" s="82"/>
      <c r="ODX182" s="82"/>
      <c r="ODY182" s="82"/>
      <c r="ODZ182" s="82"/>
      <c r="OEA182" s="82"/>
      <c r="OEB182" s="82"/>
      <c r="OEC182" s="82"/>
      <c r="OED182" s="82"/>
      <c r="OEE182" s="82"/>
      <c r="OEF182" s="82"/>
      <c r="OEG182" s="82"/>
      <c r="OEH182" s="82"/>
      <c r="OEI182" s="82"/>
      <c r="OEJ182" s="82"/>
      <c r="OEK182" s="82"/>
      <c r="OEL182" s="82"/>
      <c r="OEM182" s="82"/>
      <c r="OEN182" s="82"/>
      <c r="OEO182" s="82"/>
      <c r="OEP182" s="82"/>
      <c r="OEQ182" s="82"/>
      <c r="OER182" s="82"/>
      <c r="OES182" s="82"/>
      <c r="OET182" s="82"/>
      <c r="OEU182" s="82"/>
      <c r="OEV182" s="82"/>
      <c r="OEW182" s="82"/>
      <c r="OEX182" s="82"/>
      <c r="OEY182" s="82"/>
      <c r="OEZ182" s="82"/>
      <c r="OFA182" s="82"/>
      <c r="OFB182" s="82"/>
      <c r="OFC182" s="82"/>
      <c r="OFD182" s="82"/>
      <c r="OFE182" s="82"/>
      <c r="OFF182" s="82"/>
      <c r="OFG182" s="82"/>
      <c r="OFH182" s="82"/>
      <c r="OFI182" s="82"/>
      <c r="OFJ182" s="82"/>
      <c r="OFK182" s="82"/>
      <c r="OFL182" s="82"/>
      <c r="OFM182" s="82"/>
      <c r="OFN182" s="82"/>
      <c r="OFO182" s="82"/>
      <c r="OFP182" s="82"/>
      <c r="OFQ182" s="82"/>
      <c r="OFR182" s="82"/>
      <c r="OFS182" s="82"/>
      <c r="OFT182" s="82"/>
      <c r="OFU182" s="82"/>
      <c r="OFV182" s="82"/>
      <c r="OFW182" s="82"/>
      <c r="OFX182" s="82"/>
      <c r="OFY182" s="82"/>
      <c r="OFZ182" s="82"/>
      <c r="OGA182" s="82"/>
      <c r="OGB182" s="82"/>
      <c r="OGC182" s="82"/>
      <c r="OGD182" s="82"/>
      <c r="OGE182" s="82"/>
      <c r="OGF182" s="82"/>
      <c r="OGG182" s="82"/>
      <c r="OGH182" s="82"/>
      <c r="OGI182" s="82"/>
      <c r="OGJ182" s="82"/>
      <c r="OGK182" s="82"/>
      <c r="OGL182" s="82"/>
      <c r="OGM182" s="82"/>
      <c r="OGN182" s="82"/>
      <c r="OGO182" s="82"/>
      <c r="OGP182" s="82"/>
      <c r="OGQ182" s="82"/>
      <c r="OGR182" s="82"/>
      <c r="OGS182" s="82"/>
      <c r="OGT182" s="82"/>
      <c r="OGU182" s="82"/>
      <c r="OGV182" s="82"/>
      <c r="OGW182" s="82"/>
      <c r="OGX182" s="82"/>
      <c r="OGY182" s="82"/>
      <c r="OGZ182" s="82"/>
      <c r="OHA182" s="82"/>
      <c r="OHB182" s="82"/>
      <c r="OHC182" s="82"/>
      <c r="OHD182" s="82"/>
      <c r="OHE182" s="82"/>
      <c r="OHF182" s="82"/>
      <c r="OHG182" s="82"/>
      <c r="OHH182" s="82"/>
      <c r="OHI182" s="82"/>
      <c r="OHJ182" s="82"/>
      <c r="OHK182" s="82"/>
      <c r="OHL182" s="82"/>
      <c r="OHM182" s="82"/>
      <c r="OHN182" s="82"/>
      <c r="OHO182" s="82"/>
      <c r="OHP182" s="82"/>
      <c r="OHQ182" s="82"/>
      <c r="OHR182" s="82"/>
      <c r="OHS182" s="82"/>
      <c r="OHT182" s="82"/>
      <c r="OHU182" s="82"/>
      <c r="OHV182" s="82"/>
      <c r="OHW182" s="82"/>
      <c r="OHX182" s="82"/>
      <c r="OHY182" s="82"/>
      <c r="OHZ182" s="82"/>
      <c r="OIA182" s="82"/>
      <c r="OIB182" s="82"/>
      <c r="OIC182" s="82"/>
      <c r="OID182" s="82"/>
      <c r="OIE182" s="82"/>
      <c r="OIF182" s="82"/>
      <c r="OIG182" s="82"/>
      <c r="OIH182" s="82"/>
      <c r="OII182" s="82"/>
      <c r="OIJ182" s="82"/>
      <c r="OIK182" s="82"/>
      <c r="OIL182" s="82"/>
      <c r="OIM182" s="82"/>
      <c r="OIN182" s="82"/>
      <c r="OIO182" s="82"/>
      <c r="OIP182" s="82"/>
      <c r="OIQ182" s="82"/>
      <c r="OIR182" s="82"/>
      <c r="OIS182" s="82"/>
      <c r="OIT182" s="82"/>
      <c r="OIU182" s="82"/>
      <c r="OIV182" s="82"/>
      <c r="OIW182" s="82"/>
      <c r="OIX182" s="82"/>
      <c r="OIY182" s="82"/>
      <c r="OIZ182" s="82"/>
      <c r="OJA182" s="82"/>
      <c r="OJB182" s="82"/>
      <c r="OJC182" s="82"/>
      <c r="OJD182" s="82"/>
      <c r="OJE182" s="82"/>
      <c r="OJF182" s="82"/>
      <c r="OJG182" s="82"/>
      <c r="OJH182" s="82"/>
      <c r="OJI182" s="82"/>
      <c r="OJJ182" s="82"/>
      <c r="OJK182" s="82"/>
      <c r="OJL182" s="82"/>
      <c r="OJM182" s="82"/>
      <c r="OJN182" s="82"/>
      <c r="OJO182" s="82"/>
      <c r="OJP182" s="82"/>
      <c r="OJQ182" s="82"/>
      <c r="OJR182" s="82"/>
      <c r="OJS182" s="82"/>
      <c r="OJT182" s="82"/>
      <c r="OJU182" s="82"/>
      <c r="OJV182" s="82"/>
      <c r="OJW182" s="82"/>
      <c r="OJX182" s="82"/>
      <c r="OJY182" s="82"/>
      <c r="OJZ182" s="82"/>
      <c r="OKA182" s="82"/>
      <c r="OKB182" s="82"/>
      <c r="OKC182" s="82"/>
      <c r="OKD182" s="82"/>
      <c r="OKE182" s="82"/>
      <c r="OKF182" s="82"/>
      <c r="OKG182" s="82"/>
      <c r="OKH182" s="82"/>
      <c r="OKI182" s="82"/>
      <c r="OKJ182" s="82"/>
      <c r="OKK182" s="82"/>
      <c r="OKL182" s="82"/>
      <c r="OKM182" s="82"/>
      <c r="OKN182" s="82"/>
      <c r="OKO182" s="82"/>
      <c r="OKP182" s="82"/>
      <c r="OKQ182" s="82"/>
      <c r="OKR182" s="82"/>
      <c r="OKS182" s="82"/>
      <c r="OKT182" s="82"/>
      <c r="OKU182" s="82"/>
      <c r="OKV182" s="82"/>
      <c r="OKW182" s="82"/>
      <c r="OKX182" s="82"/>
      <c r="OKY182" s="82"/>
      <c r="OKZ182" s="82"/>
      <c r="OLA182" s="82"/>
      <c r="OLB182" s="82"/>
      <c r="OLC182" s="82"/>
      <c r="OLD182" s="82"/>
      <c r="OLE182" s="82"/>
      <c r="OLF182" s="82"/>
      <c r="OLG182" s="82"/>
      <c r="OLH182" s="82"/>
      <c r="OLI182" s="82"/>
      <c r="OLJ182" s="82"/>
      <c r="OLK182" s="82"/>
      <c r="OLL182" s="82"/>
      <c r="OLM182" s="82"/>
      <c r="OLN182" s="82"/>
      <c r="OLO182" s="82"/>
      <c r="OLP182" s="82"/>
      <c r="OLQ182" s="82"/>
      <c r="OLR182" s="82"/>
      <c r="OLS182" s="82"/>
      <c r="OLT182" s="82"/>
      <c r="OLU182" s="82"/>
      <c r="OLV182" s="82"/>
      <c r="OLW182" s="82"/>
      <c r="OLX182" s="82"/>
      <c r="OLY182" s="82"/>
      <c r="OLZ182" s="82"/>
      <c r="OMA182" s="82"/>
      <c r="OMB182" s="82"/>
      <c r="OMC182" s="82"/>
      <c r="OMD182" s="82"/>
      <c r="OME182" s="82"/>
      <c r="OMF182" s="82"/>
      <c r="OMG182" s="82"/>
      <c r="OMH182" s="82"/>
      <c r="OMI182" s="82"/>
      <c r="OMJ182" s="82"/>
      <c r="OMK182" s="82"/>
      <c r="OML182" s="82"/>
      <c r="OMM182" s="82"/>
      <c r="OMN182" s="82"/>
      <c r="OMO182" s="82"/>
      <c r="OMP182" s="82"/>
      <c r="OMQ182" s="82"/>
      <c r="OMR182" s="82"/>
      <c r="OMS182" s="82"/>
      <c r="OMT182" s="82"/>
      <c r="OMU182" s="82"/>
      <c r="OMV182" s="82"/>
      <c r="OMW182" s="82"/>
      <c r="OMX182" s="82"/>
      <c r="OMY182" s="82"/>
      <c r="OMZ182" s="82"/>
      <c r="ONA182" s="82"/>
      <c r="ONB182" s="82"/>
      <c r="ONC182" s="82"/>
      <c r="OND182" s="82"/>
      <c r="ONE182" s="82"/>
      <c r="ONF182" s="82"/>
      <c r="ONG182" s="82"/>
      <c r="ONH182" s="82"/>
      <c r="ONI182" s="82"/>
      <c r="ONJ182" s="82"/>
      <c r="ONK182" s="82"/>
      <c r="ONL182" s="82"/>
      <c r="ONM182" s="82"/>
      <c r="ONN182" s="82"/>
      <c r="ONO182" s="82"/>
      <c r="ONP182" s="82"/>
      <c r="ONQ182" s="82"/>
      <c r="ONR182" s="82"/>
      <c r="ONS182" s="82"/>
      <c r="ONT182" s="82"/>
      <c r="ONU182" s="82"/>
      <c r="ONV182" s="82"/>
      <c r="ONW182" s="82"/>
      <c r="ONX182" s="82"/>
      <c r="ONY182" s="82"/>
      <c r="ONZ182" s="82"/>
      <c r="OOA182" s="82"/>
      <c r="OOB182" s="82"/>
      <c r="OOC182" s="82"/>
      <c r="OOD182" s="82"/>
      <c r="OOE182" s="82"/>
      <c r="OOF182" s="82"/>
      <c r="OOG182" s="82"/>
      <c r="OOH182" s="82"/>
      <c r="OOI182" s="82"/>
      <c r="OOJ182" s="82"/>
      <c r="OOK182" s="82"/>
      <c r="OOL182" s="82"/>
      <c r="OOM182" s="82"/>
      <c r="OON182" s="82"/>
      <c r="OOO182" s="82"/>
      <c r="OOP182" s="82"/>
      <c r="OOQ182" s="82"/>
      <c r="OOR182" s="82"/>
      <c r="OOS182" s="82"/>
      <c r="OOT182" s="82"/>
      <c r="OOU182" s="82"/>
      <c r="OOV182" s="82"/>
      <c r="OOW182" s="82"/>
      <c r="OOX182" s="82"/>
      <c r="OOY182" s="82"/>
      <c r="OOZ182" s="82"/>
      <c r="OPA182" s="82"/>
      <c r="OPB182" s="82"/>
      <c r="OPC182" s="82"/>
      <c r="OPD182" s="82"/>
      <c r="OPE182" s="82"/>
      <c r="OPF182" s="82"/>
      <c r="OPG182" s="82"/>
      <c r="OPH182" s="82"/>
      <c r="OPI182" s="82"/>
      <c r="OPJ182" s="82"/>
      <c r="OPK182" s="82"/>
      <c r="OPL182" s="82"/>
      <c r="OPM182" s="82"/>
      <c r="OPN182" s="82"/>
      <c r="OPO182" s="82"/>
      <c r="OPP182" s="82"/>
      <c r="OPQ182" s="82"/>
      <c r="OPR182" s="82"/>
      <c r="OPS182" s="82"/>
      <c r="OPT182" s="82"/>
      <c r="OPU182" s="82"/>
      <c r="OPV182" s="82"/>
      <c r="OPW182" s="82"/>
      <c r="OPX182" s="82"/>
      <c r="OPY182" s="82"/>
      <c r="OPZ182" s="82"/>
      <c r="OQA182" s="82"/>
      <c r="OQB182" s="82"/>
      <c r="OQC182" s="82"/>
      <c r="OQD182" s="82"/>
      <c r="OQE182" s="82"/>
      <c r="OQF182" s="82"/>
      <c r="OQG182" s="82"/>
      <c r="OQH182" s="82"/>
      <c r="OQI182" s="82"/>
      <c r="OQJ182" s="82"/>
      <c r="OQK182" s="82"/>
      <c r="OQL182" s="82"/>
      <c r="OQM182" s="82"/>
      <c r="OQN182" s="82"/>
      <c r="OQO182" s="82"/>
      <c r="OQP182" s="82"/>
      <c r="OQQ182" s="82"/>
      <c r="OQR182" s="82"/>
      <c r="OQS182" s="82"/>
      <c r="OQT182" s="82"/>
      <c r="OQU182" s="82"/>
      <c r="OQV182" s="82"/>
      <c r="OQW182" s="82"/>
      <c r="OQX182" s="82"/>
      <c r="OQY182" s="82"/>
      <c r="OQZ182" s="82"/>
      <c r="ORA182" s="82"/>
      <c r="ORB182" s="82"/>
      <c r="ORC182" s="82"/>
      <c r="ORD182" s="82"/>
      <c r="ORE182" s="82"/>
      <c r="ORF182" s="82"/>
      <c r="ORG182" s="82"/>
      <c r="ORH182" s="82"/>
      <c r="ORI182" s="82"/>
      <c r="ORJ182" s="82"/>
      <c r="ORK182" s="82"/>
      <c r="ORL182" s="82"/>
      <c r="ORM182" s="82"/>
      <c r="ORN182" s="82"/>
      <c r="ORO182" s="82"/>
      <c r="ORP182" s="82"/>
      <c r="ORQ182" s="82"/>
      <c r="ORR182" s="82"/>
      <c r="ORS182" s="82"/>
      <c r="ORT182" s="82"/>
      <c r="ORU182" s="82"/>
      <c r="ORV182" s="82"/>
      <c r="ORW182" s="82"/>
      <c r="ORX182" s="82"/>
      <c r="ORY182" s="82"/>
      <c r="ORZ182" s="82"/>
      <c r="OSA182" s="82"/>
      <c r="OSB182" s="82"/>
      <c r="OSC182" s="82"/>
      <c r="OSD182" s="82"/>
      <c r="OSE182" s="82"/>
      <c r="OSF182" s="82"/>
      <c r="OSG182" s="82"/>
      <c r="OSH182" s="82"/>
      <c r="OSI182" s="82"/>
      <c r="OSJ182" s="82"/>
      <c r="OSK182" s="82"/>
      <c r="OSL182" s="82"/>
      <c r="OSM182" s="82"/>
      <c r="OSN182" s="82"/>
      <c r="OSO182" s="82"/>
      <c r="OSP182" s="82"/>
      <c r="OSQ182" s="82"/>
      <c r="OSR182" s="82"/>
      <c r="OSS182" s="82"/>
      <c r="OST182" s="82"/>
      <c r="OSU182" s="82"/>
      <c r="OSV182" s="82"/>
      <c r="OSW182" s="82"/>
      <c r="OSX182" s="82"/>
      <c r="OSY182" s="82"/>
      <c r="OSZ182" s="82"/>
      <c r="OTA182" s="82"/>
      <c r="OTB182" s="82"/>
      <c r="OTC182" s="82"/>
      <c r="OTD182" s="82"/>
      <c r="OTE182" s="82"/>
      <c r="OTF182" s="82"/>
      <c r="OTG182" s="82"/>
      <c r="OTH182" s="82"/>
      <c r="OTI182" s="82"/>
      <c r="OTJ182" s="82"/>
      <c r="OTK182" s="82"/>
      <c r="OTL182" s="82"/>
      <c r="OTM182" s="82"/>
      <c r="OTN182" s="82"/>
      <c r="OTO182" s="82"/>
      <c r="OTP182" s="82"/>
      <c r="OTQ182" s="82"/>
      <c r="OTR182" s="82"/>
      <c r="OTS182" s="82"/>
      <c r="OTT182" s="82"/>
      <c r="OTU182" s="82"/>
      <c r="OTV182" s="82"/>
      <c r="OTW182" s="82"/>
      <c r="OTX182" s="82"/>
      <c r="OTY182" s="82"/>
      <c r="OTZ182" s="82"/>
      <c r="OUA182" s="82"/>
      <c r="OUB182" s="82"/>
      <c r="OUC182" s="82"/>
      <c r="OUD182" s="82"/>
      <c r="OUE182" s="82"/>
      <c r="OUF182" s="82"/>
      <c r="OUG182" s="82"/>
      <c r="OUH182" s="82"/>
      <c r="OUI182" s="82"/>
      <c r="OUJ182" s="82"/>
      <c r="OUK182" s="82"/>
      <c r="OUL182" s="82"/>
      <c r="OUM182" s="82"/>
      <c r="OUN182" s="82"/>
      <c r="OUO182" s="82"/>
      <c r="OUP182" s="82"/>
      <c r="OUQ182" s="82"/>
      <c r="OUR182" s="82"/>
      <c r="OUS182" s="82"/>
      <c r="OUT182" s="82"/>
      <c r="OUU182" s="82"/>
      <c r="OUV182" s="82"/>
      <c r="OUW182" s="82"/>
      <c r="OUX182" s="82"/>
      <c r="OUY182" s="82"/>
      <c r="OUZ182" s="82"/>
      <c r="OVA182" s="82"/>
      <c r="OVB182" s="82"/>
      <c r="OVC182" s="82"/>
      <c r="OVD182" s="82"/>
      <c r="OVE182" s="82"/>
      <c r="OVF182" s="82"/>
      <c r="OVG182" s="82"/>
      <c r="OVH182" s="82"/>
      <c r="OVI182" s="82"/>
      <c r="OVJ182" s="82"/>
      <c r="OVK182" s="82"/>
      <c r="OVL182" s="82"/>
      <c r="OVM182" s="82"/>
      <c r="OVN182" s="82"/>
      <c r="OVO182" s="82"/>
      <c r="OVP182" s="82"/>
      <c r="OVQ182" s="82"/>
      <c r="OVR182" s="82"/>
      <c r="OVS182" s="82"/>
      <c r="OVT182" s="82"/>
      <c r="OVU182" s="82"/>
      <c r="OVV182" s="82"/>
      <c r="OVW182" s="82"/>
      <c r="OVX182" s="82"/>
      <c r="OVY182" s="82"/>
      <c r="OVZ182" s="82"/>
      <c r="OWA182" s="82"/>
      <c r="OWB182" s="82"/>
      <c r="OWC182" s="82"/>
      <c r="OWD182" s="82"/>
      <c r="OWE182" s="82"/>
      <c r="OWF182" s="82"/>
      <c r="OWG182" s="82"/>
      <c r="OWH182" s="82"/>
      <c r="OWI182" s="82"/>
      <c r="OWJ182" s="82"/>
      <c r="OWK182" s="82"/>
      <c r="OWL182" s="82"/>
      <c r="OWM182" s="82"/>
      <c r="OWN182" s="82"/>
      <c r="OWO182" s="82"/>
      <c r="OWP182" s="82"/>
      <c r="OWQ182" s="82"/>
      <c r="OWR182" s="82"/>
      <c r="OWS182" s="82"/>
      <c r="OWT182" s="82"/>
      <c r="OWU182" s="82"/>
      <c r="OWV182" s="82"/>
      <c r="OWW182" s="82"/>
      <c r="OWX182" s="82"/>
      <c r="OWY182" s="82"/>
      <c r="OWZ182" s="82"/>
      <c r="OXA182" s="82"/>
      <c r="OXB182" s="82"/>
      <c r="OXC182" s="82"/>
      <c r="OXD182" s="82"/>
      <c r="OXE182" s="82"/>
      <c r="OXF182" s="82"/>
      <c r="OXG182" s="82"/>
      <c r="OXH182" s="82"/>
      <c r="OXI182" s="82"/>
      <c r="OXJ182" s="82"/>
      <c r="OXK182" s="82"/>
      <c r="OXL182" s="82"/>
      <c r="OXM182" s="82"/>
      <c r="OXN182" s="82"/>
      <c r="OXO182" s="82"/>
      <c r="OXP182" s="82"/>
      <c r="OXQ182" s="82"/>
      <c r="OXR182" s="82"/>
      <c r="OXS182" s="82"/>
      <c r="OXT182" s="82"/>
      <c r="OXU182" s="82"/>
      <c r="OXV182" s="82"/>
      <c r="OXW182" s="82"/>
      <c r="OXX182" s="82"/>
      <c r="OXY182" s="82"/>
      <c r="OXZ182" s="82"/>
      <c r="OYA182" s="82"/>
      <c r="OYB182" s="82"/>
      <c r="OYC182" s="82"/>
      <c r="OYD182" s="82"/>
      <c r="OYE182" s="82"/>
      <c r="OYF182" s="82"/>
      <c r="OYG182" s="82"/>
      <c r="OYH182" s="82"/>
      <c r="OYI182" s="82"/>
      <c r="OYJ182" s="82"/>
      <c r="OYK182" s="82"/>
      <c r="OYL182" s="82"/>
      <c r="OYM182" s="82"/>
      <c r="OYN182" s="82"/>
      <c r="OYO182" s="82"/>
      <c r="OYP182" s="82"/>
      <c r="OYQ182" s="82"/>
      <c r="OYR182" s="82"/>
      <c r="OYS182" s="82"/>
      <c r="OYT182" s="82"/>
      <c r="OYU182" s="82"/>
      <c r="OYV182" s="82"/>
      <c r="OYW182" s="82"/>
      <c r="OYX182" s="82"/>
      <c r="OYY182" s="82"/>
      <c r="OYZ182" s="82"/>
      <c r="OZA182" s="82"/>
      <c r="OZB182" s="82"/>
      <c r="OZC182" s="82"/>
      <c r="OZD182" s="82"/>
      <c r="OZE182" s="82"/>
      <c r="OZF182" s="82"/>
      <c r="OZG182" s="82"/>
      <c r="OZH182" s="82"/>
      <c r="OZI182" s="82"/>
      <c r="OZJ182" s="82"/>
      <c r="OZK182" s="82"/>
      <c r="OZL182" s="82"/>
      <c r="OZM182" s="82"/>
      <c r="OZN182" s="82"/>
      <c r="OZO182" s="82"/>
      <c r="OZP182" s="82"/>
      <c r="OZQ182" s="82"/>
      <c r="OZR182" s="82"/>
      <c r="OZS182" s="82"/>
      <c r="OZT182" s="82"/>
      <c r="OZU182" s="82"/>
      <c r="OZV182" s="82"/>
      <c r="OZW182" s="82"/>
      <c r="OZX182" s="82"/>
      <c r="OZY182" s="82"/>
      <c r="OZZ182" s="82"/>
      <c r="PAA182" s="82"/>
      <c r="PAB182" s="82"/>
      <c r="PAC182" s="82"/>
      <c r="PAD182" s="82"/>
      <c r="PAE182" s="82"/>
      <c r="PAF182" s="82"/>
      <c r="PAG182" s="82"/>
      <c r="PAH182" s="82"/>
      <c r="PAI182" s="82"/>
      <c r="PAJ182" s="82"/>
      <c r="PAK182" s="82"/>
      <c r="PAL182" s="82"/>
      <c r="PAM182" s="82"/>
      <c r="PAN182" s="82"/>
      <c r="PAO182" s="82"/>
      <c r="PAP182" s="82"/>
      <c r="PAQ182" s="82"/>
      <c r="PAR182" s="82"/>
      <c r="PAS182" s="82"/>
      <c r="PAT182" s="82"/>
      <c r="PAU182" s="82"/>
      <c r="PAV182" s="82"/>
      <c r="PAW182" s="82"/>
      <c r="PAX182" s="82"/>
      <c r="PAY182" s="82"/>
      <c r="PAZ182" s="82"/>
      <c r="PBA182" s="82"/>
      <c r="PBB182" s="82"/>
      <c r="PBC182" s="82"/>
      <c r="PBD182" s="82"/>
      <c r="PBE182" s="82"/>
      <c r="PBF182" s="82"/>
      <c r="PBG182" s="82"/>
      <c r="PBH182" s="82"/>
      <c r="PBI182" s="82"/>
      <c r="PBJ182" s="82"/>
      <c r="PBK182" s="82"/>
      <c r="PBL182" s="82"/>
      <c r="PBM182" s="82"/>
      <c r="PBN182" s="82"/>
      <c r="PBO182" s="82"/>
      <c r="PBP182" s="82"/>
      <c r="PBQ182" s="82"/>
      <c r="PBR182" s="82"/>
      <c r="PBS182" s="82"/>
      <c r="PBT182" s="82"/>
      <c r="PBU182" s="82"/>
      <c r="PBV182" s="82"/>
      <c r="PBW182" s="82"/>
      <c r="PBX182" s="82"/>
      <c r="PBY182" s="82"/>
      <c r="PBZ182" s="82"/>
      <c r="PCA182" s="82"/>
      <c r="PCB182" s="82"/>
      <c r="PCC182" s="82"/>
      <c r="PCD182" s="82"/>
      <c r="PCE182" s="82"/>
      <c r="PCF182" s="82"/>
      <c r="PCG182" s="82"/>
      <c r="PCH182" s="82"/>
      <c r="PCI182" s="82"/>
      <c r="PCJ182" s="82"/>
      <c r="PCK182" s="82"/>
      <c r="PCL182" s="82"/>
      <c r="PCM182" s="82"/>
      <c r="PCN182" s="82"/>
      <c r="PCO182" s="82"/>
      <c r="PCP182" s="82"/>
      <c r="PCQ182" s="82"/>
      <c r="PCR182" s="82"/>
      <c r="PCS182" s="82"/>
      <c r="PCT182" s="82"/>
      <c r="PCU182" s="82"/>
      <c r="PCV182" s="82"/>
      <c r="PCW182" s="82"/>
      <c r="PCX182" s="82"/>
      <c r="PCY182" s="82"/>
      <c r="PCZ182" s="82"/>
      <c r="PDA182" s="82"/>
      <c r="PDB182" s="82"/>
      <c r="PDC182" s="82"/>
      <c r="PDD182" s="82"/>
      <c r="PDE182" s="82"/>
      <c r="PDF182" s="82"/>
      <c r="PDG182" s="82"/>
      <c r="PDH182" s="82"/>
      <c r="PDI182" s="82"/>
      <c r="PDJ182" s="82"/>
      <c r="PDK182" s="82"/>
      <c r="PDL182" s="82"/>
      <c r="PDM182" s="82"/>
      <c r="PDN182" s="82"/>
      <c r="PDO182" s="82"/>
      <c r="PDP182" s="82"/>
      <c r="PDQ182" s="82"/>
      <c r="PDR182" s="82"/>
      <c r="PDS182" s="82"/>
      <c r="PDT182" s="82"/>
      <c r="PDU182" s="82"/>
      <c r="PDV182" s="82"/>
      <c r="PDW182" s="82"/>
      <c r="PDX182" s="82"/>
      <c r="PDY182" s="82"/>
      <c r="PDZ182" s="82"/>
      <c r="PEA182" s="82"/>
      <c r="PEB182" s="82"/>
      <c r="PEC182" s="82"/>
      <c r="PED182" s="82"/>
      <c r="PEE182" s="82"/>
      <c r="PEF182" s="82"/>
      <c r="PEG182" s="82"/>
      <c r="PEH182" s="82"/>
      <c r="PEI182" s="82"/>
      <c r="PEJ182" s="82"/>
      <c r="PEK182" s="82"/>
      <c r="PEL182" s="82"/>
      <c r="PEM182" s="82"/>
      <c r="PEN182" s="82"/>
      <c r="PEO182" s="82"/>
      <c r="PEP182" s="82"/>
      <c r="PEQ182" s="82"/>
      <c r="PER182" s="82"/>
      <c r="PES182" s="82"/>
      <c r="PET182" s="82"/>
      <c r="PEU182" s="82"/>
      <c r="PEV182" s="82"/>
      <c r="PEW182" s="82"/>
      <c r="PEX182" s="82"/>
      <c r="PEY182" s="82"/>
      <c r="PEZ182" s="82"/>
      <c r="PFA182" s="82"/>
      <c r="PFB182" s="82"/>
      <c r="PFC182" s="82"/>
      <c r="PFD182" s="82"/>
      <c r="PFE182" s="82"/>
      <c r="PFF182" s="82"/>
      <c r="PFG182" s="82"/>
      <c r="PFH182" s="82"/>
      <c r="PFI182" s="82"/>
      <c r="PFJ182" s="82"/>
      <c r="PFK182" s="82"/>
      <c r="PFL182" s="82"/>
      <c r="PFM182" s="82"/>
      <c r="PFN182" s="82"/>
      <c r="PFO182" s="82"/>
      <c r="PFP182" s="82"/>
      <c r="PFQ182" s="82"/>
      <c r="PFR182" s="82"/>
      <c r="PFS182" s="82"/>
      <c r="PFT182" s="82"/>
      <c r="PFU182" s="82"/>
      <c r="PFV182" s="82"/>
      <c r="PFW182" s="82"/>
      <c r="PFX182" s="82"/>
      <c r="PFY182" s="82"/>
      <c r="PFZ182" s="82"/>
      <c r="PGA182" s="82"/>
      <c r="PGB182" s="82"/>
      <c r="PGC182" s="82"/>
      <c r="PGD182" s="82"/>
      <c r="PGE182" s="82"/>
      <c r="PGF182" s="82"/>
      <c r="PGG182" s="82"/>
      <c r="PGH182" s="82"/>
      <c r="PGI182" s="82"/>
      <c r="PGJ182" s="82"/>
      <c r="PGK182" s="82"/>
      <c r="PGL182" s="82"/>
      <c r="PGM182" s="82"/>
      <c r="PGN182" s="82"/>
      <c r="PGO182" s="82"/>
      <c r="PGP182" s="82"/>
      <c r="PGQ182" s="82"/>
      <c r="PGR182" s="82"/>
      <c r="PGS182" s="82"/>
      <c r="PGT182" s="82"/>
      <c r="PGU182" s="82"/>
      <c r="PGV182" s="82"/>
      <c r="PGW182" s="82"/>
      <c r="PGX182" s="82"/>
      <c r="PGY182" s="82"/>
      <c r="PGZ182" s="82"/>
      <c r="PHA182" s="82"/>
      <c r="PHB182" s="82"/>
      <c r="PHC182" s="82"/>
      <c r="PHD182" s="82"/>
      <c r="PHE182" s="82"/>
      <c r="PHF182" s="82"/>
      <c r="PHG182" s="82"/>
      <c r="PHH182" s="82"/>
      <c r="PHI182" s="82"/>
      <c r="PHJ182" s="82"/>
      <c r="PHK182" s="82"/>
      <c r="PHL182" s="82"/>
      <c r="PHM182" s="82"/>
      <c r="PHN182" s="82"/>
      <c r="PHO182" s="82"/>
      <c r="PHP182" s="82"/>
      <c r="PHQ182" s="82"/>
      <c r="PHR182" s="82"/>
      <c r="PHS182" s="82"/>
      <c r="PHT182" s="82"/>
      <c r="PHU182" s="82"/>
      <c r="PHV182" s="82"/>
      <c r="PHW182" s="82"/>
      <c r="PHX182" s="82"/>
      <c r="PHY182" s="82"/>
      <c r="PHZ182" s="82"/>
      <c r="PIA182" s="82"/>
      <c r="PIB182" s="82"/>
      <c r="PIC182" s="82"/>
      <c r="PID182" s="82"/>
      <c r="PIE182" s="82"/>
      <c r="PIF182" s="82"/>
      <c r="PIG182" s="82"/>
      <c r="PIH182" s="82"/>
      <c r="PII182" s="82"/>
      <c r="PIJ182" s="82"/>
      <c r="PIK182" s="82"/>
      <c r="PIL182" s="82"/>
      <c r="PIM182" s="82"/>
      <c r="PIN182" s="82"/>
      <c r="PIO182" s="82"/>
      <c r="PIP182" s="82"/>
      <c r="PIQ182" s="82"/>
      <c r="PIR182" s="82"/>
      <c r="PIS182" s="82"/>
      <c r="PIT182" s="82"/>
      <c r="PIU182" s="82"/>
      <c r="PIV182" s="82"/>
      <c r="PIW182" s="82"/>
      <c r="PIX182" s="82"/>
      <c r="PIY182" s="82"/>
      <c r="PIZ182" s="82"/>
      <c r="PJA182" s="82"/>
      <c r="PJB182" s="82"/>
      <c r="PJC182" s="82"/>
      <c r="PJD182" s="82"/>
      <c r="PJE182" s="82"/>
      <c r="PJF182" s="82"/>
      <c r="PJG182" s="82"/>
      <c r="PJH182" s="82"/>
      <c r="PJI182" s="82"/>
      <c r="PJJ182" s="82"/>
      <c r="PJK182" s="82"/>
      <c r="PJL182" s="82"/>
      <c r="PJM182" s="82"/>
      <c r="PJN182" s="82"/>
      <c r="PJO182" s="82"/>
      <c r="PJP182" s="82"/>
      <c r="PJQ182" s="82"/>
      <c r="PJR182" s="82"/>
      <c r="PJS182" s="82"/>
      <c r="PJT182" s="82"/>
      <c r="PJU182" s="82"/>
      <c r="PJV182" s="82"/>
      <c r="PJW182" s="82"/>
      <c r="PJX182" s="82"/>
      <c r="PJY182" s="82"/>
      <c r="PJZ182" s="82"/>
      <c r="PKA182" s="82"/>
      <c r="PKB182" s="82"/>
      <c r="PKC182" s="82"/>
      <c r="PKD182" s="82"/>
      <c r="PKE182" s="82"/>
      <c r="PKF182" s="82"/>
      <c r="PKG182" s="82"/>
      <c r="PKH182" s="82"/>
      <c r="PKI182" s="82"/>
      <c r="PKJ182" s="82"/>
      <c r="PKK182" s="82"/>
      <c r="PKL182" s="82"/>
      <c r="PKM182" s="82"/>
      <c r="PKN182" s="82"/>
      <c r="PKO182" s="82"/>
      <c r="PKP182" s="82"/>
      <c r="PKQ182" s="82"/>
      <c r="PKR182" s="82"/>
      <c r="PKS182" s="82"/>
      <c r="PKT182" s="82"/>
      <c r="PKU182" s="82"/>
      <c r="PKV182" s="82"/>
      <c r="PKW182" s="82"/>
      <c r="PKX182" s="82"/>
      <c r="PKY182" s="82"/>
      <c r="PKZ182" s="82"/>
      <c r="PLA182" s="82"/>
      <c r="PLB182" s="82"/>
      <c r="PLC182" s="82"/>
      <c r="PLD182" s="82"/>
      <c r="PLE182" s="82"/>
      <c r="PLF182" s="82"/>
      <c r="PLG182" s="82"/>
      <c r="PLH182" s="82"/>
      <c r="PLI182" s="82"/>
      <c r="PLJ182" s="82"/>
      <c r="PLK182" s="82"/>
      <c r="PLL182" s="82"/>
      <c r="PLM182" s="82"/>
      <c r="PLN182" s="82"/>
      <c r="PLO182" s="82"/>
      <c r="PLP182" s="82"/>
      <c r="PLQ182" s="82"/>
      <c r="PLR182" s="82"/>
      <c r="PLS182" s="82"/>
      <c r="PLT182" s="82"/>
      <c r="PLU182" s="82"/>
      <c r="PLV182" s="82"/>
      <c r="PLW182" s="82"/>
      <c r="PLX182" s="82"/>
      <c r="PLY182" s="82"/>
      <c r="PLZ182" s="82"/>
      <c r="PMA182" s="82"/>
      <c r="PMB182" s="82"/>
      <c r="PMC182" s="82"/>
      <c r="PMD182" s="82"/>
      <c r="PME182" s="82"/>
      <c r="PMF182" s="82"/>
      <c r="PMG182" s="82"/>
      <c r="PMH182" s="82"/>
      <c r="PMI182" s="82"/>
      <c r="PMJ182" s="82"/>
      <c r="PMK182" s="82"/>
      <c r="PML182" s="82"/>
      <c r="PMM182" s="82"/>
      <c r="PMN182" s="82"/>
      <c r="PMO182" s="82"/>
      <c r="PMP182" s="82"/>
      <c r="PMQ182" s="82"/>
      <c r="PMR182" s="82"/>
      <c r="PMS182" s="82"/>
      <c r="PMT182" s="82"/>
      <c r="PMU182" s="82"/>
      <c r="PMV182" s="82"/>
      <c r="PMW182" s="82"/>
      <c r="PMX182" s="82"/>
      <c r="PMY182" s="82"/>
      <c r="PMZ182" s="82"/>
      <c r="PNA182" s="82"/>
      <c r="PNB182" s="82"/>
      <c r="PNC182" s="82"/>
      <c r="PND182" s="82"/>
      <c r="PNE182" s="82"/>
      <c r="PNF182" s="82"/>
      <c r="PNG182" s="82"/>
      <c r="PNH182" s="82"/>
      <c r="PNI182" s="82"/>
      <c r="PNJ182" s="82"/>
      <c r="PNK182" s="82"/>
      <c r="PNL182" s="82"/>
      <c r="PNM182" s="82"/>
      <c r="PNN182" s="82"/>
      <c r="PNO182" s="82"/>
      <c r="PNP182" s="82"/>
      <c r="PNQ182" s="82"/>
      <c r="PNR182" s="82"/>
      <c r="PNS182" s="82"/>
      <c r="PNT182" s="82"/>
      <c r="PNU182" s="82"/>
      <c r="PNV182" s="82"/>
      <c r="PNW182" s="82"/>
      <c r="PNX182" s="82"/>
      <c r="PNY182" s="82"/>
      <c r="PNZ182" s="82"/>
      <c r="POA182" s="82"/>
      <c r="POB182" s="82"/>
      <c r="POC182" s="82"/>
      <c r="POD182" s="82"/>
      <c r="POE182" s="82"/>
      <c r="POF182" s="82"/>
      <c r="POG182" s="82"/>
      <c r="POH182" s="82"/>
      <c r="POI182" s="82"/>
      <c r="POJ182" s="82"/>
      <c r="POK182" s="82"/>
      <c r="POL182" s="82"/>
      <c r="POM182" s="82"/>
      <c r="PON182" s="82"/>
      <c r="POO182" s="82"/>
      <c r="POP182" s="82"/>
      <c r="POQ182" s="82"/>
      <c r="POR182" s="82"/>
      <c r="POS182" s="82"/>
      <c r="POT182" s="82"/>
      <c r="POU182" s="82"/>
      <c r="POV182" s="82"/>
      <c r="POW182" s="82"/>
      <c r="POX182" s="82"/>
      <c r="POY182" s="82"/>
      <c r="POZ182" s="82"/>
      <c r="PPA182" s="82"/>
      <c r="PPB182" s="82"/>
      <c r="PPC182" s="82"/>
      <c r="PPD182" s="82"/>
      <c r="PPE182" s="82"/>
      <c r="PPF182" s="82"/>
      <c r="PPG182" s="82"/>
      <c r="PPH182" s="82"/>
      <c r="PPI182" s="82"/>
      <c r="PPJ182" s="82"/>
      <c r="PPK182" s="82"/>
      <c r="PPL182" s="82"/>
      <c r="PPM182" s="82"/>
      <c r="PPN182" s="82"/>
      <c r="PPO182" s="82"/>
      <c r="PPP182" s="82"/>
      <c r="PPQ182" s="82"/>
      <c r="PPR182" s="82"/>
      <c r="PPS182" s="82"/>
      <c r="PPT182" s="82"/>
      <c r="PPU182" s="82"/>
      <c r="PPV182" s="82"/>
      <c r="PPW182" s="82"/>
      <c r="PPX182" s="82"/>
      <c r="PPY182" s="82"/>
      <c r="PPZ182" s="82"/>
      <c r="PQA182" s="82"/>
      <c r="PQB182" s="82"/>
      <c r="PQC182" s="82"/>
      <c r="PQD182" s="82"/>
      <c r="PQE182" s="82"/>
      <c r="PQF182" s="82"/>
      <c r="PQG182" s="82"/>
      <c r="PQH182" s="82"/>
      <c r="PQI182" s="82"/>
      <c r="PQJ182" s="82"/>
      <c r="PQK182" s="82"/>
      <c r="PQL182" s="82"/>
      <c r="PQM182" s="82"/>
      <c r="PQN182" s="82"/>
      <c r="PQO182" s="82"/>
      <c r="PQP182" s="82"/>
      <c r="PQQ182" s="82"/>
      <c r="PQR182" s="82"/>
      <c r="PQS182" s="82"/>
      <c r="PQT182" s="82"/>
      <c r="PQU182" s="82"/>
      <c r="PQV182" s="82"/>
      <c r="PQW182" s="82"/>
      <c r="PQX182" s="82"/>
      <c r="PQY182" s="82"/>
      <c r="PQZ182" s="82"/>
      <c r="PRA182" s="82"/>
      <c r="PRB182" s="82"/>
      <c r="PRC182" s="82"/>
      <c r="PRD182" s="82"/>
      <c r="PRE182" s="82"/>
      <c r="PRF182" s="82"/>
      <c r="PRG182" s="82"/>
      <c r="PRH182" s="82"/>
      <c r="PRI182" s="82"/>
      <c r="PRJ182" s="82"/>
      <c r="PRK182" s="82"/>
      <c r="PRL182" s="82"/>
      <c r="PRM182" s="82"/>
      <c r="PRN182" s="82"/>
      <c r="PRO182" s="82"/>
      <c r="PRP182" s="82"/>
      <c r="PRQ182" s="82"/>
      <c r="PRR182" s="82"/>
      <c r="PRS182" s="82"/>
      <c r="PRT182" s="82"/>
      <c r="PRU182" s="82"/>
      <c r="PRV182" s="82"/>
      <c r="PRW182" s="82"/>
      <c r="PRX182" s="82"/>
      <c r="PRY182" s="82"/>
      <c r="PRZ182" s="82"/>
      <c r="PSA182" s="82"/>
      <c r="PSB182" s="82"/>
      <c r="PSC182" s="82"/>
      <c r="PSD182" s="82"/>
      <c r="PSE182" s="82"/>
      <c r="PSF182" s="82"/>
      <c r="PSG182" s="82"/>
      <c r="PSH182" s="82"/>
      <c r="PSI182" s="82"/>
      <c r="PSJ182" s="82"/>
      <c r="PSK182" s="82"/>
      <c r="PSL182" s="82"/>
      <c r="PSM182" s="82"/>
      <c r="PSN182" s="82"/>
      <c r="PSO182" s="82"/>
      <c r="PSP182" s="82"/>
      <c r="PSQ182" s="82"/>
      <c r="PSR182" s="82"/>
      <c r="PSS182" s="82"/>
      <c r="PST182" s="82"/>
      <c r="PSU182" s="82"/>
      <c r="PSV182" s="82"/>
      <c r="PSW182" s="82"/>
      <c r="PSX182" s="82"/>
      <c r="PSY182" s="82"/>
      <c r="PSZ182" s="82"/>
      <c r="PTA182" s="82"/>
      <c r="PTB182" s="82"/>
      <c r="PTC182" s="82"/>
      <c r="PTD182" s="82"/>
      <c r="PTE182" s="82"/>
      <c r="PTF182" s="82"/>
      <c r="PTG182" s="82"/>
      <c r="PTH182" s="82"/>
      <c r="PTI182" s="82"/>
      <c r="PTJ182" s="82"/>
      <c r="PTK182" s="82"/>
      <c r="PTL182" s="82"/>
      <c r="PTM182" s="82"/>
      <c r="PTN182" s="82"/>
      <c r="PTO182" s="82"/>
      <c r="PTP182" s="82"/>
      <c r="PTQ182" s="82"/>
      <c r="PTR182" s="82"/>
      <c r="PTS182" s="82"/>
      <c r="PTT182" s="82"/>
      <c r="PTU182" s="82"/>
      <c r="PTV182" s="82"/>
      <c r="PTW182" s="82"/>
      <c r="PTX182" s="82"/>
      <c r="PTY182" s="82"/>
      <c r="PTZ182" s="82"/>
      <c r="PUA182" s="82"/>
      <c r="PUB182" s="82"/>
      <c r="PUC182" s="82"/>
      <c r="PUD182" s="82"/>
      <c r="PUE182" s="82"/>
      <c r="PUF182" s="82"/>
      <c r="PUG182" s="82"/>
      <c r="PUH182" s="82"/>
      <c r="PUI182" s="82"/>
      <c r="PUJ182" s="82"/>
      <c r="PUK182" s="82"/>
      <c r="PUL182" s="82"/>
      <c r="PUM182" s="82"/>
      <c r="PUN182" s="82"/>
      <c r="PUO182" s="82"/>
      <c r="PUP182" s="82"/>
      <c r="PUQ182" s="82"/>
      <c r="PUR182" s="82"/>
      <c r="PUS182" s="82"/>
      <c r="PUT182" s="82"/>
      <c r="PUU182" s="82"/>
      <c r="PUV182" s="82"/>
      <c r="PUW182" s="82"/>
      <c r="PUX182" s="82"/>
      <c r="PUY182" s="82"/>
      <c r="PUZ182" s="82"/>
      <c r="PVA182" s="82"/>
      <c r="PVB182" s="82"/>
      <c r="PVC182" s="82"/>
      <c r="PVD182" s="82"/>
      <c r="PVE182" s="82"/>
      <c r="PVF182" s="82"/>
      <c r="PVG182" s="82"/>
      <c r="PVH182" s="82"/>
      <c r="PVI182" s="82"/>
      <c r="PVJ182" s="82"/>
      <c r="PVK182" s="82"/>
      <c r="PVL182" s="82"/>
      <c r="PVM182" s="82"/>
      <c r="PVN182" s="82"/>
      <c r="PVO182" s="82"/>
      <c r="PVP182" s="82"/>
      <c r="PVQ182" s="82"/>
      <c r="PVR182" s="82"/>
      <c r="PVS182" s="82"/>
      <c r="PVT182" s="82"/>
      <c r="PVU182" s="82"/>
      <c r="PVV182" s="82"/>
      <c r="PVW182" s="82"/>
      <c r="PVX182" s="82"/>
      <c r="PVY182" s="82"/>
      <c r="PVZ182" s="82"/>
      <c r="PWA182" s="82"/>
      <c r="PWB182" s="82"/>
      <c r="PWC182" s="82"/>
      <c r="PWD182" s="82"/>
      <c r="PWE182" s="82"/>
      <c r="PWF182" s="82"/>
      <c r="PWG182" s="82"/>
      <c r="PWH182" s="82"/>
      <c r="PWI182" s="82"/>
      <c r="PWJ182" s="82"/>
      <c r="PWK182" s="82"/>
      <c r="PWL182" s="82"/>
      <c r="PWM182" s="82"/>
      <c r="PWN182" s="82"/>
      <c r="PWO182" s="82"/>
      <c r="PWP182" s="82"/>
      <c r="PWQ182" s="82"/>
      <c r="PWR182" s="82"/>
      <c r="PWS182" s="82"/>
      <c r="PWT182" s="82"/>
      <c r="PWU182" s="82"/>
      <c r="PWV182" s="82"/>
      <c r="PWW182" s="82"/>
      <c r="PWX182" s="82"/>
      <c r="PWY182" s="82"/>
      <c r="PWZ182" s="82"/>
      <c r="PXA182" s="82"/>
      <c r="PXB182" s="82"/>
      <c r="PXC182" s="82"/>
      <c r="PXD182" s="82"/>
      <c r="PXE182" s="82"/>
      <c r="PXF182" s="82"/>
      <c r="PXG182" s="82"/>
      <c r="PXH182" s="82"/>
      <c r="PXI182" s="82"/>
      <c r="PXJ182" s="82"/>
      <c r="PXK182" s="82"/>
      <c r="PXL182" s="82"/>
      <c r="PXM182" s="82"/>
      <c r="PXN182" s="82"/>
      <c r="PXO182" s="82"/>
      <c r="PXP182" s="82"/>
      <c r="PXQ182" s="82"/>
      <c r="PXR182" s="82"/>
      <c r="PXS182" s="82"/>
      <c r="PXT182" s="82"/>
      <c r="PXU182" s="82"/>
      <c r="PXV182" s="82"/>
      <c r="PXW182" s="82"/>
      <c r="PXX182" s="82"/>
      <c r="PXY182" s="82"/>
      <c r="PXZ182" s="82"/>
      <c r="PYA182" s="82"/>
      <c r="PYB182" s="82"/>
      <c r="PYC182" s="82"/>
      <c r="PYD182" s="82"/>
      <c r="PYE182" s="82"/>
      <c r="PYF182" s="82"/>
      <c r="PYG182" s="82"/>
      <c r="PYH182" s="82"/>
      <c r="PYI182" s="82"/>
      <c r="PYJ182" s="82"/>
      <c r="PYK182" s="82"/>
      <c r="PYL182" s="82"/>
      <c r="PYM182" s="82"/>
      <c r="PYN182" s="82"/>
      <c r="PYO182" s="82"/>
      <c r="PYP182" s="82"/>
      <c r="PYQ182" s="82"/>
      <c r="PYR182" s="82"/>
      <c r="PYS182" s="82"/>
      <c r="PYT182" s="82"/>
      <c r="PYU182" s="82"/>
      <c r="PYV182" s="82"/>
      <c r="PYW182" s="82"/>
      <c r="PYX182" s="82"/>
      <c r="PYY182" s="82"/>
      <c r="PYZ182" s="82"/>
      <c r="PZA182" s="82"/>
      <c r="PZB182" s="82"/>
      <c r="PZC182" s="82"/>
      <c r="PZD182" s="82"/>
      <c r="PZE182" s="82"/>
      <c r="PZF182" s="82"/>
      <c r="PZG182" s="82"/>
      <c r="PZH182" s="82"/>
      <c r="PZI182" s="82"/>
      <c r="PZJ182" s="82"/>
      <c r="PZK182" s="82"/>
      <c r="PZL182" s="82"/>
      <c r="PZM182" s="82"/>
      <c r="PZN182" s="82"/>
      <c r="PZO182" s="82"/>
      <c r="PZP182" s="82"/>
      <c r="PZQ182" s="82"/>
      <c r="PZR182" s="82"/>
      <c r="PZS182" s="82"/>
      <c r="PZT182" s="82"/>
      <c r="PZU182" s="82"/>
      <c r="PZV182" s="82"/>
      <c r="PZW182" s="82"/>
      <c r="PZX182" s="82"/>
      <c r="PZY182" s="82"/>
      <c r="PZZ182" s="82"/>
      <c r="QAA182" s="82"/>
      <c r="QAB182" s="82"/>
      <c r="QAC182" s="82"/>
      <c r="QAD182" s="82"/>
      <c r="QAE182" s="82"/>
      <c r="QAF182" s="82"/>
      <c r="QAG182" s="82"/>
      <c r="QAH182" s="82"/>
      <c r="QAI182" s="82"/>
      <c r="QAJ182" s="82"/>
      <c r="QAK182" s="82"/>
      <c r="QAL182" s="82"/>
      <c r="QAM182" s="82"/>
      <c r="QAN182" s="82"/>
      <c r="QAO182" s="82"/>
      <c r="QAP182" s="82"/>
      <c r="QAQ182" s="82"/>
      <c r="QAR182" s="82"/>
      <c r="QAS182" s="82"/>
      <c r="QAT182" s="82"/>
      <c r="QAU182" s="82"/>
      <c r="QAV182" s="82"/>
      <c r="QAW182" s="82"/>
      <c r="QAX182" s="82"/>
      <c r="QAY182" s="82"/>
      <c r="QAZ182" s="82"/>
      <c r="QBA182" s="82"/>
      <c r="QBB182" s="82"/>
      <c r="QBC182" s="82"/>
      <c r="QBD182" s="82"/>
      <c r="QBE182" s="82"/>
      <c r="QBF182" s="82"/>
      <c r="QBG182" s="82"/>
      <c r="QBH182" s="82"/>
      <c r="QBI182" s="82"/>
      <c r="QBJ182" s="82"/>
      <c r="QBK182" s="82"/>
      <c r="QBL182" s="82"/>
      <c r="QBM182" s="82"/>
      <c r="QBN182" s="82"/>
      <c r="QBO182" s="82"/>
      <c r="QBP182" s="82"/>
      <c r="QBQ182" s="82"/>
      <c r="QBR182" s="82"/>
      <c r="QBS182" s="82"/>
      <c r="QBT182" s="82"/>
      <c r="QBU182" s="82"/>
      <c r="QBV182" s="82"/>
      <c r="QBW182" s="82"/>
      <c r="QBX182" s="82"/>
      <c r="QBY182" s="82"/>
      <c r="QBZ182" s="82"/>
      <c r="QCA182" s="82"/>
      <c r="QCB182" s="82"/>
      <c r="QCC182" s="82"/>
      <c r="QCD182" s="82"/>
      <c r="QCE182" s="82"/>
      <c r="QCF182" s="82"/>
      <c r="QCG182" s="82"/>
      <c r="QCH182" s="82"/>
      <c r="QCI182" s="82"/>
      <c r="QCJ182" s="82"/>
      <c r="QCK182" s="82"/>
      <c r="QCL182" s="82"/>
      <c r="QCM182" s="82"/>
      <c r="QCN182" s="82"/>
      <c r="QCO182" s="82"/>
      <c r="QCP182" s="82"/>
      <c r="QCQ182" s="82"/>
      <c r="QCR182" s="82"/>
      <c r="QCS182" s="82"/>
      <c r="QCT182" s="82"/>
      <c r="QCU182" s="82"/>
      <c r="QCV182" s="82"/>
      <c r="QCW182" s="82"/>
      <c r="QCX182" s="82"/>
      <c r="QCY182" s="82"/>
      <c r="QCZ182" s="82"/>
      <c r="QDA182" s="82"/>
      <c r="QDB182" s="82"/>
      <c r="QDC182" s="82"/>
      <c r="QDD182" s="82"/>
      <c r="QDE182" s="82"/>
      <c r="QDF182" s="82"/>
      <c r="QDG182" s="82"/>
      <c r="QDH182" s="82"/>
      <c r="QDI182" s="82"/>
      <c r="QDJ182" s="82"/>
      <c r="QDK182" s="82"/>
      <c r="QDL182" s="82"/>
      <c r="QDM182" s="82"/>
      <c r="QDN182" s="82"/>
      <c r="QDO182" s="82"/>
      <c r="QDP182" s="82"/>
      <c r="QDQ182" s="82"/>
      <c r="QDR182" s="82"/>
      <c r="QDS182" s="82"/>
      <c r="QDT182" s="82"/>
      <c r="QDU182" s="82"/>
      <c r="QDV182" s="82"/>
      <c r="QDW182" s="82"/>
      <c r="QDX182" s="82"/>
      <c r="QDY182" s="82"/>
      <c r="QDZ182" s="82"/>
      <c r="QEA182" s="82"/>
      <c r="QEB182" s="82"/>
      <c r="QEC182" s="82"/>
      <c r="QED182" s="82"/>
      <c r="QEE182" s="82"/>
      <c r="QEF182" s="82"/>
      <c r="QEG182" s="82"/>
      <c r="QEH182" s="82"/>
      <c r="QEI182" s="82"/>
      <c r="QEJ182" s="82"/>
      <c r="QEK182" s="82"/>
      <c r="QEL182" s="82"/>
      <c r="QEM182" s="82"/>
      <c r="QEN182" s="82"/>
      <c r="QEO182" s="82"/>
      <c r="QEP182" s="82"/>
      <c r="QEQ182" s="82"/>
      <c r="QER182" s="82"/>
      <c r="QES182" s="82"/>
      <c r="QET182" s="82"/>
      <c r="QEU182" s="82"/>
      <c r="QEV182" s="82"/>
      <c r="QEW182" s="82"/>
      <c r="QEX182" s="82"/>
      <c r="QEY182" s="82"/>
      <c r="QEZ182" s="82"/>
      <c r="QFA182" s="82"/>
      <c r="QFB182" s="82"/>
      <c r="QFC182" s="82"/>
      <c r="QFD182" s="82"/>
      <c r="QFE182" s="82"/>
      <c r="QFF182" s="82"/>
      <c r="QFG182" s="82"/>
      <c r="QFH182" s="82"/>
      <c r="QFI182" s="82"/>
      <c r="QFJ182" s="82"/>
      <c r="QFK182" s="82"/>
      <c r="QFL182" s="82"/>
      <c r="QFM182" s="82"/>
      <c r="QFN182" s="82"/>
      <c r="QFO182" s="82"/>
      <c r="QFP182" s="82"/>
      <c r="QFQ182" s="82"/>
      <c r="QFR182" s="82"/>
      <c r="QFS182" s="82"/>
      <c r="QFT182" s="82"/>
      <c r="QFU182" s="82"/>
      <c r="QFV182" s="82"/>
      <c r="QFW182" s="82"/>
      <c r="QFX182" s="82"/>
      <c r="QFY182" s="82"/>
      <c r="QFZ182" s="82"/>
      <c r="QGA182" s="82"/>
      <c r="QGB182" s="82"/>
      <c r="QGC182" s="82"/>
      <c r="QGD182" s="82"/>
      <c r="QGE182" s="82"/>
      <c r="QGF182" s="82"/>
      <c r="QGG182" s="82"/>
      <c r="QGH182" s="82"/>
      <c r="QGI182" s="82"/>
      <c r="QGJ182" s="82"/>
      <c r="QGK182" s="82"/>
      <c r="QGL182" s="82"/>
      <c r="QGM182" s="82"/>
      <c r="QGN182" s="82"/>
      <c r="QGO182" s="82"/>
      <c r="QGP182" s="82"/>
      <c r="QGQ182" s="82"/>
      <c r="QGR182" s="82"/>
      <c r="QGS182" s="82"/>
      <c r="QGT182" s="82"/>
      <c r="QGU182" s="82"/>
      <c r="QGV182" s="82"/>
      <c r="QGW182" s="82"/>
      <c r="QGX182" s="82"/>
      <c r="QGY182" s="82"/>
      <c r="QGZ182" s="82"/>
      <c r="QHA182" s="82"/>
      <c r="QHB182" s="82"/>
      <c r="QHC182" s="82"/>
      <c r="QHD182" s="82"/>
      <c r="QHE182" s="82"/>
      <c r="QHF182" s="82"/>
      <c r="QHG182" s="82"/>
      <c r="QHH182" s="82"/>
      <c r="QHI182" s="82"/>
      <c r="QHJ182" s="82"/>
      <c r="QHK182" s="82"/>
      <c r="QHL182" s="82"/>
      <c r="QHM182" s="82"/>
      <c r="QHN182" s="82"/>
      <c r="QHO182" s="82"/>
      <c r="QHP182" s="82"/>
      <c r="QHQ182" s="82"/>
      <c r="QHR182" s="82"/>
      <c r="QHS182" s="82"/>
      <c r="QHT182" s="82"/>
      <c r="QHU182" s="82"/>
      <c r="QHV182" s="82"/>
      <c r="QHW182" s="82"/>
      <c r="QHX182" s="82"/>
      <c r="QHY182" s="82"/>
      <c r="QHZ182" s="82"/>
      <c r="QIA182" s="82"/>
      <c r="QIB182" s="82"/>
      <c r="QIC182" s="82"/>
      <c r="QID182" s="82"/>
      <c r="QIE182" s="82"/>
      <c r="QIF182" s="82"/>
      <c r="QIG182" s="82"/>
      <c r="QIH182" s="82"/>
      <c r="QII182" s="82"/>
      <c r="QIJ182" s="82"/>
      <c r="QIK182" s="82"/>
      <c r="QIL182" s="82"/>
      <c r="QIM182" s="82"/>
      <c r="QIN182" s="82"/>
      <c r="QIO182" s="82"/>
      <c r="QIP182" s="82"/>
      <c r="QIQ182" s="82"/>
      <c r="QIR182" s="82"/>
      <c r="QIS182" s="82"/>
      <c r="QIT182" s="82"/>
      <c r="QIU182" s="82"/>
      <c r="QIV182" s="82"/>
      <c r="QIW182" s="82"/>
      <c r="QIX182" s="82"/>
      <c r="QIY182" s="82"/>
      <c r="QIZ182" s="82"/>
      <c r="QJA182" s="82"/>
      <c r="QJB182" s="82"/>
      <c r="QJC182" s="82"/>
      <c r="QJD182" s="82"/>
      <c r="QJE182" s="82"/>
      <c r="QJF182" s="82"/>
      <c r="QJG182" s="82"/>
      <c r="QJH182" s="82"/>
      <c r="QJI182" s="82"/>
      <c r="QJJ182" s="82"/>
      <c r="QJK182" s="82"/>
      <c r="QJL182" s="82"/>
      <c r="QJM182" s="82"/>
      <c r="QJN182" s="82"/>
      <c r="QJO182" s="82"/>
      <c r="QJP182" s="82"/>
      <c r="QJQ182" s="82"/>
      <c r="QJR182" s="82"/>
      <c r="QJS182" s="82"/>
      <c r="QJT182" s="82"/>
      <c r="QJU182" s="82"/>
      <c r="QJV182" s="82"/>
      <c r="QJW182" s="82"/>
      <c r="QJX182" s="82"/>
      <c r="QJY182" s="82"/>
      <c r="QJZ182" s="82"/>
      <c r="QKA182" s="82"/>
      <c r="QKB182" s="82"/>
      <c r="QKC182" s="82"/>
      <c r="QKD182" s="82"/>
      <c r="QKE182" s="82"/>
      <c r="QKF182" s="82"/>
      <c r="QKG182" s="82"/>
      <c r="QKH182" s="82"/>
      <c r="QKI182" s="82"/>
      <c r="QKJ182" s="82"/>
      <c r="QKK182" s="82"/>
      <c r="QKL182" s="82"/>
      <c r="QKM182" s="82"/>
      <c r="QKN182" s="82"/>
      <c r="QKO182" s="82"/>
      <c r="QKP182" s="82"/>
      <c r="QKQ182" s="82"/>
      <c r="QKR182" s="82"/>
      <c r="QKS182" s="82"/>
      <c r="QKT182" s="82"/>
      <c r="QKU182" s="82"/>
      <c r="QKV182" s="82"/>
      <c r="QKW182" s="82"/>
      <c r="QKX182" s="82"/>
      <c r="QKY182" s="82"/>
      <c r="QKZ182" s="82"/>
      <c r="QLA182" s="82"/>
      <c r="QLB182" s="82"/>
      <c r="QLC182" s="82"/>
      <c r="QLD182" s="82"/>
      <c r="QLE182" s="82"/>
      <c r="QLF182" s="82"/>
      <c r="QLG182" s="82"/>
      <c r="QLH182" s="82"/>
      <c r="QLI182" s="82"/>
      <c r="QLJ182" s="82"/>
      <c r="QLK182" s="82"/>
      <c r="QLL182" s="82"/>
      <c r="QLM182" s="82"/>
      <c r="QLN182" s="82"/>
      <c r="QLO182" s="82"/>
      <c r="QLP182" s="82"/>
      <c r="QLQ182" s="82"/>
      <c r="QLR182" s="82"/>
      <c r="QLS182" s="82"/>
      <c r="QLT182" s="82"/>
      <c r="QLU182" s="82"/>
      <c r="QLV182" s="82"/>
      <c r="QLW182" s="82"/>
      <c r="QLX182" s="82"/>
      <c r="QLY182" s="82"/>
      <c r="QLZ182" s="82"/>
      <c r="QMA182" s="82"/>
      <c r="QMB182" s="82"/>
      <c r="QMC182" s="82"/>
      <c r="QMD182" s="82"/>
      <c r="QME182" s="82"/>
      <c r="QMF182" s="82"/>
      <c r="QMG182" s="82"/>
      <c r="QMH182" s="82"/>
      <c r="QMI182" s="82"/>
      <c r="QMJ182" s="82"/>
      <c r="QMK182" s="82"/>
      <c r="QML182" s="82"/>
      <c r="QMM182" s="82"/>
      <c r="QMN182" s="82"/>
      <c r="QMO182" s="82"/>
      <c r="QMP182" s="82"/>
      <c r="QMQ182" s="82"/>
      <c r="QMR182" s="82"/>
      <c r="QMS182" s="82"/>
      <c r="QMT182" s="82"/>
      <c r="QMU182" s="82"/>
      <c r="QMV182" s="82"/>
      <c r="QMW182" s="82"/>
      <c r="QMX182" s="82"/>
      <c r="QMY182" s="82"/>
      <c r="QMZ182" s="82"/>
      <c r="QNA182" s="82"/>
      <c r="QNB182" s="82"/>
      <c r="QNC182" s="82"/>
      <c r="QND182" s="82"/>
      <c r="QNE182" s="82"/>
      <c r="QNF182" s="82"/>
      <c r="QNG182" s="82"/>
      <c r="QNH182" s="82"/>
      <c r="QNI182" s="82"/>
      <c r="QNJ182" s="82"/>
      <c r="QNK182" s="82"/>
      <c r="QNL182" s="82"/>
      <c r="QNM182" s="82"/>
      <c r="QNN182" s="82"/>
      <c r="QNO182" s="82"/>
      <c r="QNP182" s="82"/>
      <c r="QNQ182" s="82"/>
      <c r="QNR182" s="82"/>
      <c r="QNS182" s="82"/>
      <c r="QNT182" s="82"/>
      <c r="QNU182" s="82"/>
      <c r="QNV182" s="82"/>
      <c r="QNW182" s="82"/>
      <c r="QNX182" s="82"/>
      <c r="QNY182" s="82"/>
      <c r="QNZ182" s="82"/>
      <c r="QOA182" s="82"/>
      <c r="QOB182" s="82"/>
      <c r="QOC182" s="82"/>
      <c r="QOD182" s="82"/>
      <c r="QOE182" s="82"/>
      <c r="QOF182" s="82"/>
      <c r="QOG182" s="82"/>
      <c r="QOH182" s="82"/>
      <c r="QOI182" s="82"/>
      <c r="QOJ182" s="82"/>
      <c r="QOK182" s="82"/>
      <c r="QOL182" s="82"/>
      <c r="QOM182" s="82"/>
      <c r="QON182" s="82"/>
      <c r="QOO182" s="82"/>
      <c r="QOP182" s="82"/>
      <c r="QOQ182" s="82"/>
      <c r="QOR182" s="82"/>
      <c r="QOS182" s="82"/>
      <c r="QOT182" s="82"/>
      <c r="QOU182" s="82"/>
      <c r="QOV182" s="82"/>
      <c r="QOW182" s="82"/>
      <c r="QOX182" s="82"/>
      <c r="QOY182" s="82"/>
      <c r="QOZ182" s="82"/>
      <c r="QPA182" s="82"/>
      <c r="QPB182" s="82"/>
      <c r="QPC182" s="82"/>
      <c r="QPD182" s="82"/>
      <c r="QPE182" s="82"/>
      <c r="QPF182" s="82"/>
      <c r="QPG182" s="82"/>
      <c r="QPH182" s="82"/>
      <c r="QPI182" s="82"/>
      <c r="QPJ182" s="82"/>
      <c r="QPK182" s="82"/>
      <c r="QPL182" s="82"/>
      <c r="QPM182" s="82"/>
      <c r="QPN182" s="82"/>
      <c r="QPO182" s="82"/>
      <c r="QPP182" s="82"/>
      <c r="QPQ182" s="82"/>
      <c r="QPR182" s="82"/>
      <c r="QPS182" s="82"/>
      <c r="QPT182" s="82"/>
      <c r="QPU182" s="82"/>
      <c r="QPV182" s="82"/>
      <c r="QPW182" s="82"/>
      <c r="QPX182" s="82"/>
      <c r="QPY182" s="82"/>
      <c r="QPZ182" s="82"/>
      <c r="QQA182" s="82"/>
      <c r="QQB182" s="82"/>
      <c r="QQC182" s="82"/>
      <c r="QQD182" s="82"/>
      <c r="QQE182" s="82"/>
      <c r="QQF182" s="82"/>
      <c r="QQG182" s="82"/>
      <c r="QQH182" s="82"/>
      <c r="QQI182" s="82"/>
      <c r="QQJ182" s="82"/>
      <c r="QQK182" s="82"/>
      <c r="QQL182" s="82"/>
      <c r="QQM182" s="82"/>
      <c r="QQN182" s="82"/>
      <c r="QQO182" s="82"/>
      <c r="QQP182" s="82"/>
      <c r="QQQ182" s="82"/>
      <c r="QQR182" s="82"/>
      <c r="QQS182" s="82"/>
      <c r="QQT182" s="82"/>
      <c r="QQU182" s="82"/>
      <c r="QQV182" s="82"/>
      <c r="QQW182" s="82"/>
      <c r="QQX182" s="82"/>
      <c r="QQY182" s="82"/>
      <c r="QQZ182" s="82"/>
      <c r="QRA182" s="82"/>
      <c r="QRB182" s="82"/>
      <c r="QRC182" s="82"/>
      <c r="QRD182" s="82"/>
      <c r="QRE182" s="82"/>
      <c r="QRF182" s="82"/>
      <c r="QRG182" s="82"/>
      <c r="QRH182" s="82"/>
      <c r="QRI182" s="82"/>
      <c r="QRJ182" s="82"/>
      <c r="QRK182" s="82"/>
      <c r="QRL182" s="82"/>
      <c r="QRM182" s="82"/>
      <c r="QRN182" s="82"/>
      <c r="QRO182" s="82"/>
      <c r="QRP182" s="82"/>
      <c r="QRQ182" s="82"/>
      <c r="QRR182" s="82"/>
      <c r="QRS182" s="82"/>
      <c r="QRT182" s="82"/>
      <c r="QRU182" s="82"/>
      <c r="QRV182" s="82"/>
      <c r="QRW182" s="82"/>
      <c r="QRX182" s="82"/>
      <c r="QRY182" s="82"/>
      <c r="QRZ182" s="82"/>
      <c r="QSA182" s="82"/>
      <c r="QSB182" s="82"/>
      <c r="QSC182" s="82"/>
      <c r="QSD182" s="82"/>
      <c r="QSE182" s="82"/>
      <c r="QSF182" s="82"/>
      <c r="QSG182" s="82"/>
      <c r="QSH182" s="82"/>
      <c r="QSI182" s="82"/>
      <c r="QSJ182" s="82"/>
      <c r="QSK182" s="82"/>
      <c r="QSL182" s="82"/>
      <c r="QSM182" s="82"/>
      <c r="QSN182" s="82"/>
      <c r="QSO182" s="82"/>
      <c r="QSP182" s="82"/>
      <c r="QSQ182" s="82"/>
      <c r="QSR182" s="82"/>
      <c r="QSS182" s="82"/>
      <c r="QST182" s="82"/>
      <c r="QSU182" s="82"/>
      <c r="QSV182" s="82"/>
      <c r="QSW182" s="82"/>
      <c r="QSX182" s="82"/>
      <c r="QSY182" s="82"/>
      <c r="QSZ182" s="82"/>
      <c r="QTA182" s="82"/>
      <c r="QTB182" s="82"/>
      <c r="QTC182" s="82"/>
      <c r="QTD182" s="82"/>
      <c r="QTE182" s="82"/>
      <c r="QTF182" s="82"/>
      <c r="QTG182" s="82"/>
      <c r="QTH182" s="82"/>
      <c r="QTI182" s="82"/>
      <c r="QTJ182" s="82"/>
      <c r="QTK182" s="82"/>
      <c r="QTL182" s="82"/>
      <c r="QTM182" s="82"/>
      <c r="QTN182" s="82"/>
      <c r="QTO182" s="82"/>
      <c r="QTP182" s="82"/>
      <c r="QTQ182" s="82"/>
      <c r="QTR182" s="82"/>
      <c r="QTS182" s="82"/>
      <c r="QTT182" s="82"/>
      <c r="QTU182" s="82"/>
      <c r="QTV182" s="82"/>
      <c r="QTW182" s="82"/>
      <c r="QTX182" s="82"/>
      <c r="QTY182" s="82"/>
      <c r="QTZ182" s="82"/>
      <c r="QUA182" s="82"/>
      <c r="QUB182" s="82"/>
      <c r="QUC182" s="82"/>
      <c r="QUD182" s="82"/>
      <c r="QUE182" s="82"/>
      <c r="QUF182" s="82"/>
      <c r="QUG182" s="82"/>
      <c r="QUH182" s="82"/>
      <c r="QUI182" s="82"/>
      <c r="QUJ182" s="82"/>
      <c r="QUK182" s="82"/>
      <c r="QUL182" s="82"/>
      <c r="QUM182" s="82"/>
      <c r="QUN182" s="82"/>
      <c r="QUO182" s="82"/>
      <c r="QUP182" s="82"/>
      <c r="QUQ182" s="82"/>
      <c r="QUR182" s="82"/>
      <c r="QUS182" s="82"/>
      <c r="QUT182" s="82"/>
      <c r="QUU182" s="82"/>
      <c r="QUV182" s="82"/>
      <c r="QUW182" s="82"/>
      <c r="QUX182" s="82"/>
      <c r="QUY182" s="82"/>
      <c r="QUZ182" s="82"/>
      <c r="QVA182" s="82"/>
      <c r="QVB182" s="82"/>
      <c r="QVC182" s="82"/>
      <c r="QVD182" s="82"/>
      <c r="QVE182" s="82"/>
      <c r="QVF182" s="82"/>
      <c r="QVG182" s="82"/>
      <c r="QVH182" s="82"/>
      <c r="QVI182" s="82"/>
      <c r="QVJ182" s="82"/>
      <c r="QVK182" s="82"/>
      <c r="QVL182" s="82"/>
      <c r="QVM182" s="82"/>
      <c r="QVN182" s="82"/>
      <c r="QVO182" s="82"/>
      <c r="QVP182" s="82"/>
      <c r="QVQ182" s="82"/>
      <c r="QVR182" s="82"/>
      <c r="QVS182" s="82"/>
      <c r="QVT182" s="82"/>
      <c r="QVU182" s="82"/>
      <c r="QVV182" s="82"/>
      <c r="QVW182" s="82"/>
      <c r="QVX182" s="82"/>
      <c r="QVY182" s="82"/>
      <c r="QVZ182" s="82"/>
      <c r="QWA182" s="82"/>
      <c r="QWB182" s="82"/>
      <c r="QWC182" s="82"/>
      <c r="QWD182" s="82"/>
      <c r="QWE182" s="82"/>
      <c r="QWF182" s="82"/>
      <c r="QWG182" s="82"/>
      <c r="QWH182" s="82"/>
      <c r="QWI182" s="82"/>
      <c r="QWJ182" s="82"/>
      <c r="QWK182" s="82"/>
      <c r="QWL182" s="82"/>
      <c r="QWM182" s="82"/>
      <c r="QWN182" s="82"/>
      <c r="QWO182" s="82"/>
      <c r="QWP182" s="82"/>
      <c r="QWQ182" s="82"/>
      <c r="QWR182" s="82"/>
      <c r="QWS182" s="82"/>
      <c r="QWT182" s="82"/>
      <c r="QWU182" s="82"/>
      <c r="QWV182" s="82"/>
      <c r="QWW182" s="82"/>
      <c r="QWX182" s="82"/>
      <c r="QWY182" s="82"/>
      <c r="QWZ182" s="82"/>
      <c r="QXA182" s="82"/>
      <c r="QXB182" s="82"/>
      <c r="QXC182" s="82"/>
      <c r="QXD182" s="82"/>
      <c r="QXE182" s="82"/>
      <c r="QXF182" s="82"/>
      <c r="QXG182" s="82"/>
      <c r="QXH182" s="82"/>
      <c r="QXI182" s="82"/>
      <c r="QXJ182" s="82"/>
      <c r="QXK182" s="82"/>
      <c r="QXL182" s="82"/>
      <c r="QXM182" s="82"/>
      <c r="QXN182" s="82"/>
      <c r="QXO182" s="82"/>
      <c r="QXP182" s="82"/>
      <c r="QXQ182" s="82"/>
      <c r="QXR182" s="82"/>
      <c r="QXS182" s="82"/>
      <c r="QXT182" s="82"/>
      <c r="QXU182" s="82"/>
      <c r="QXV182" s="82"/>
      <c r="QXW182" s="82"/>
      <c r="QXX182" s="82"/>
      <c r="QXY182" s="82"/>
      <c r="QXZ182" s="82"/>
      <c r="QYA182" s="82"/>
      <c r="QYB182" s="82"/>
      <c r="QYC182" s="82"/>
      <c r="QYD182" s="82"/>
      <c r="QYE182" s="82"/>
      <c r="QYF182" s="82"/>
      <c r="QYG182" s="82"/>
      <c r="QYH182" s="82"/>
      <c r="QYI182" s="82"/>
      <c r="QYJ182" s="82"/>
      <c r="QYK182" s="82"/>
      <c r="QYL182" s="82"/>
      <c r="QYM182" s="82"/>
      <c r="QYN182" s="82"/>
      <c r="QYO182" s="82"/>
      <c r="QYP182" s="82"/>
      <c r="QYQ182" s="82"/>
      <c r="QYR182" s="82"/>
      <c r="QYS182" s="82"/>
      <c r="QYT182" s="82"/>
      <c r="QYU182" s="82"/>
      <c r="QYV182" s="82"/>
      <c r="QYW182" s="82"/>
      <c r="QYX182" s="82"/>
      <c r="QYY182" s="82"/>
      <c r="QYZ182" s="82"/>
      <c r="QZA182" s="82"/>
      <c r="QZB182" s="82"/>
      <c r="QZC182" s="82"/>
      <c r="QZD182" s="82"/>
      <c r="QZE182" s="82"/>
      <c r="QZF182" s="82"/>
      <c r="QZG182" s="82"/>
      <c r="QZH182" s="82"/>
      <c r="QZI182" s="82"/>
      <c r="QZJ182" s="82"/>
      <c r="QZK182" s="82"/>
      <c r="QZL182" s="82"/>
      <c r="QZM182" s="82"/>
      <c r="QZN182" s="82"/>
      <c r="QZO182" s="82"/>
      <c r="QZP182" s="82"/>
      <c r="QZQ182" s="82"/>
      <c r="QZR182" s="82"/>
      <c r="QZS182" s="82"/>
      <c r="QZT182" s="82"/>
      <c r="QZU182" s="82"/>
      <c r="QZV182" s="82"/>
      <c r="QZW182" s="82"/>
      <c r="QZX182" s="82"/>
      <c r="QZY182" s="82"/>
      <c r="QZZ182" s="82"/>
      <c r="RAA182" s="82"/>
      <c r="RAB182" s="82"/>
      <c r="RAC182" s="82"/>
      <c r="RAD182" s="82"/>
      <c r="RAE182" s="82"/>
      <c r="RAF182" s="82"/>
      <c r="RAG182" s="82"/>
      <c r="RAH182" s="82"/>
      <c r="RAI182" s="82"/>
      <c r="RAJ182" s="82"/>
      <c r="RAK182" s="82"/>
      <c r="RAL182" s="82"/>
      <c r="RAM182" s="82"/>
      <c r="RAN182" s="82"/>
      <c r="RAO182" s="82"/>
      <c r="RAP182" s="82"/>
      <c r="RAQ182" s="82"/>
      <c r="RAR182" s="82"/>
      <c r="RAS182" s="82"/>
      <c r="RAT182" s="82"/>
      <c r="RAU182" s="82"/>
      <c r="RAV182" s="82"/>
      <c r="RAW182" s="82"/>
      <c r="RAX182" s="82"/>
      <c r="RAY182" s="82"/>
      <c r="RAZ182" s="82"/>
      <c r="RBA182" s="82"/>
      <c r="RBB182" s="82"/>
      <c r="RBC182" s="82"/>
      <c r="RBD182" s="82"/>
      <c r="RBE182" s="82"/>
      <c r="RBF182" s="82"/>
      <c r="RBG182" s="82"/>
      <c r="RBH182" s="82"/>
      <c r="RBI182" s="82"/>
      <c r="RBJ182" s="82"/>
      <c r="RBK182" s="82"/>
      <c r="RBL182" s="82"/>
      <c r="RBM182" s="82"/>
      <c r="RBN182" s="82"/>
      <c r="RBO182" s="82"/>
      <c r="RBP182" s="82"/>
      <c r="RBQ182" s="82"/>
      <c r="RBR182" s="82"/>
      <c r="RBS182" s="82"/>
      <c r="RBT182" s="82"/>
      <c r="RBU182" s="82"/>
      <c r="RBV182" s="82"/>
      <c r="RBW182" s="82"/>
      <c r="RBX182" s="82"/>
      <c r="RBY182" s="82"/>
      <c r="RBZ182" s="82"/>
      <c r="RCA182" s="82"/>
      <c r="RCB182" s="82"/>
      <c r="RCC182" s="82"/>
      <c r="RCD182" s="82"/>
      <c r="RCE182" s="82"/>
      <c r="RCF182" s="82"/>
      <c r="RCG182" s="82"/>
      <c r="RCH182" s="82"/>
      <c r="RCI182" s="82"/>
      <c r="RCJ182" s="82"/>
      <c r="RCK182" s="82"/>
      <c r="RCL182" s="82"/>
      <c r="RCM182" s="82"/>
      <c r="RCN182" s="82"/>
      <c r="RCO182" s="82"/>
      <c r="RCP182" s="82"/>
      <c r="RCQ182" s="82"/>
      <c r="RCR182" s="82"/>
      <c r="RCS182" s="82"/>
      <c r="RCT182" s="82"/>
      <c r="RCU182" s="82"/>
      <c r="RCV182" s="82"/>
      <c r="RCW182" s="82"/>
      <c r="RCX182" s="82"/>
      <c r="RCY182" s="82"/>
      <c r="RCZ182" s="82"/>
      <c r="RDA182" s="82"/>
      <c r="RDB182" s="82"/>
      <c r="RDC182" s="82"/>
      <c r="RDD182" s="82"/>
      <c r="RDE182" s="82"/>
      <c r="RDF182" s="82"/>
      <c r="RDG182" s="82"/>
      <c r="RDH182" s="82"/>
      <c r="RDI182" s="82"/>
      <c r="RDJ182" s="82"/>
      <c r="RDK182" s="82"/>
      <c r="RDL182" s="82"/>
      <c r="RDM182" s="82"/>
      <c r="RDN182" s="82"/>
      <c r="RDO182" s="82"/>
      <c r="RDP182" s="82"/>
      <c r="RDQ182" s="82"/>
      <c r="RDR182" s="82"/>
      <c r="RDS182" s="82"/>
      <c r="RDT182" s="82"/>
      <c r="RDU182" s="82"/>
      <c r="RDV182" s="82"/>
      <c r="RDW182" s="82"/>
      <c r="RDX182" s="82"/>
      <c r="RDY182" s="82"/>
      <c r="RDZ182" s="82"/>
      <c r="REA182" s="82"/>
      <c r="REB182" s="82"/>
      <c r="REC182" s="82"/>
      <c r="RED182" s="82"/>
      <c r="REE182" s="82"/>
      <c r="REF182" s="82"/>
      <c r="REG182" s="82"/>
      <c r="REH182" s="82"/>
      <c r="REI182" s="82"/>
      <c r="REJ182" s="82"/>
      <c r="REK182" s="82"/>
      <c r="REL182" s="82"/>
      <c r="REM182" s="82"/>
      <c r="REN182" s="82"/>
      <c r="REO182" s="82"/>
      <c r="REP182" s="82"/>
      <c r="REQ182" s="82"/>
      <c r="RER182" s="82"/>
      <c r="RES182" s="82"/>
      <c r="RET182" s="82"/>
      <c r="REU182" s="82"/>
      <c r="REV182" s="82"/>
      <c r="REW182" s="82"/>
      <c r="REX182" s="82"/>
      <c r="REY182" s="82"/>
      <c r="REZ182" s="82"/>
      <c r="RFA182" s="82"/>
      <c r="RFB182" s="82"/>
      <c r="RFC182" s="82"/>
      <c r="RFD182" s="82"/>
      <c r="RFE182" s="82"/>
      <c r="RFF182" s="82"/>
      <c r="RFG182" s="82"/>
      <c r="RFH182" s="82"/>
      <c r="RFI182" s="82"/>
      <c r="RFJ182" s="82"/>
      <c r="RFK182" s="82"/>
      <c r="RFL182" s="82"/>
      <c r="RFM182" s="82"/>
      <c r="RFN182" s="82"/>
      <c r="RFO182" s="82"/>
      <c r="RFP182" s="82"/>
      <c r="RFQ182" s="82"/>
      <c r="RFR182" s="82"/>
      <c r="RFS182" s="82"/>
      <c r="RFT182" s="82"/>
      <c r="RFU182" s="82"/>
      <c r="RFV182" s="82"/>
      <c r="RFW182" s="82"/>
      <c r="RFX182" s="82"/>
      <c r="RFY182" s="82"/>
      <c r="RFZ182" s="82"/>
      <c r="RGA182" s="82"/>
      <c r="RGB182" s="82"/>
      <c r="RGC182" s="82"/>
      <c r="RGD182" s="82"/>
      <c r="RGE182" s="82"/>
      <c r="RGF182" s="82"/>
      <c r="RGG182" s="82"/>
      <c r="RGH182" s="82"/>
      <c r="RGI182" s="82"/>
      <c r="RGJ182" s="82"/>
      <c r="RGK182" s="82"/>
      <c r="RGL182" s="82"/>
      <c r="RGM182" s="82"/>
      <c r="RGN182" s="82"/>
      <c r="RGO182" s="82"/>
      <c r="RGP182" s="82"/>
      <c r="RGQ182" s="82"/>
      <c r="RGR182" s="82"/>
      <c r="RGS182" s="82"/>
      <c r="RGT182" s="82"/>
      <c r="RGU182" s="82"/>
      <c r="RGV182" s="82"/>
      <c r="RGW182" s="82"/>
      <c r="RGX182" s="82"/>
      <c r="RGY182" s="82"/>
      <c r="RGZ182" s="82"/>
      <c r="RHA182" s="82"/>
      <c r="RHB182" s="82"/>
      <c r="RHC182" s="82"/>
      <c r="RHD182" s="82"/>
      <c r="RHE182" s="82"/>
      <c r="RHF182" s="82"/>
      <c r="RHG182" s="82"/>
      <c r="RHH182" s="82"/>
      <c r="RHI182" s="82"/>
      <c r="RHJ182" s="82"/>
      <c r="RHK182" s="82"/>
      <c r="RHL182" s="82"/>
      <c r="RHM182" s="82"/>
      <c r="RHN182" s="82"/>
      <c r="RHO182" s="82"/>
      <c r="RHP182" s="82"/>
      <c r="RHQ182" s="82"/>
      <c r="RHR182" s="82"/>
      <c r="RHS182" s="82"/>
      <c r="RHT182" s="82"/>
      <c r="RHU182" s="82"/>
      <c r="RHV182" s="82"/>
      <c r="RHW182" s="82"/>
      <c r="RHX182" s="82"/>
      <c r="RHY182" s="82"/>
      <c r="RHZ182" s="82"/>
      <c r="RIA182" s="82"/>
      <c r="RIB182" s="82"/>
      <c r="RIC182" s="82"/>
      <c r="RID182" s="82"/>
      <c r="RIE182" s="82"/>
      <c r="RIF182" s="82"/>
      <c r="RIG182" s="82"/>
      <c r="RIH182" s="82"/>
      <c r="RII182" s="82"/>
      <c r="RIJ182" s="82"/>
      <c r="RIK182" s="82"/>
      <c r="RIL182" s="82"/>
      <c r="RIM182" s="82"/>
      <c r="RIN182" s="82"/>
      <c r="RIO182" s="82"/>
      <c r="RIP182" s="82"/>
      <c r="RIQ182" s="82"/>
      <c r="RIR182" s="82"/>
      <c r="RIS182" s="82"/>
      <c r="RIT182" s="82"/>
      <c r="RIU182" s="82"/>
      <c r="RIV182" s="82"/>
      <c r="RIW182" s="82"/>
      <c r="RIX182" s="82"/>
      <c r="RIY182" s="82"/>
      <c r="RIZ182" s="82"/>
      <c r="RJA182" s="82"/>
      <c r="RJB182" s="82"/>
      <c r="RJC182" s="82"/>
      <c r="RJD182" s="82"/>
      <c r="RJE182" s="82"/>
      <c r="RJF182" s="82"/>
      <c r="RJG182" s="82"/>
      <c r="RJH182" s="82"/>
      <c r="RJI182" s="82"/>
      <c r="RJJ182" s="82"/>
      <c r="RJK182" s="82"/>
      <c r="RJL182" s="82"/>
      <c r="RJM182" s="82"/>
      <c r="RJN182" s="82"/>
      <c r="RJO182" s="82"/>
      <c r="RJP182" s="82"/>
      <c r="RJQ182" s="82"/>
      <c r="RJR182" s="82"/>
      <c r="RJS182" s="82"/>
      <c r="RJT182" s="82"/>
      <c r="RJU182" s="82"/>
      <c r="RJV182" s="82"/>
      <c r="RJW182" s="82"/>
      <c r="RJX182" s="82"/>
      <c r="RJY182" s="82"/>
      <c r="RJZ182" s="82"/>
      <c r="RKA182" s="82"/>
      <c r="RKB182" s="82"/>
      <c r="RKC182" s="82"/>
      <c r="RKD182" s="82"/>
      <c r="RKE182" s="82"/>
      <c r="RKF182" s="82"/>
      <c r="RKG182" s="82"/>
      <c r="RKH182" s="82"/>
      <c r="RKI182" s="82"/>
      <c r="RKJ182" s="82"/>
      <c r="RKK182" s="82"/>
      <c r="RKL182" s="82"/>
      <c r="RKM182" s="82"/>
      <c r="RKN182" s="82"/>
      <c r="RKO182" s="82"/>
      <c r="RKP182" s="82"/>
      <c r="RKQ182" s="82"/>
      <c r="RKR182" s="82"/>
      <c r="RKS182" s="82"/>
      <c r="RKT182" s="82"/>
      <c r="RKU182" s="82"/>
      <c r="RKV182" s="82"/>
      <c r="RKW182" s="82"/>
      <c r="RKX182" s="82"/>
      <c r="RKY182" s="82"/>
      <c r="RKZ182" s="82"/>
      <c r="RLA182" s="82"/>
      <c r="RLB182" s="82"/>
      <c r="RLC182" s="82"/>
      <c r="RLD182" s="82"/>
      <c r="RLE182" s="82"/>
      <c r="RLF182" s="82"/>
      <c r="RLG182" s="82"/>
      <c r="RLH182" s="82"/>
      <c r="RLI182" s="82"/>
      <c r="RLJ182" s="82"/>
      <c r="RLK182" s="82"/>
      <c r="RLL182" s="82"/>
      <c r="RLM182" s="82"/>
      <c r="RLN182" s="82"/>
      <c r="RLO182" s="82"/>
      <c r="RLP182" s="82"/>
      <c r="RLQ182" s="82"/>
      <c r="RLR182" s="82"/>
      <c r="RLS182" s="82"/>
      <c r="RLT182" s="82"/>
      <c r="RLU182" s="82"/>
      <c r="RLV182" s="82"/>
      <c r="RLW182" s="82"/>
      <c r="RLX182" s="82"/>
      <c r="RLY182" s="82"/>
      <c r="RLZ182" s="82"/>
      <c r="RMA182" s="82"/>
      <c r="RMB182" s="82"/>
      <c r="RMC182" s="82"/>
      <c r="RMD182" s="82"/>
      <c r="RME182" s="82"/>
      <c r="RMF182" s="82"/>
      <c r="RMG182" s="82"/>
      <c r="RMH182" s="82"/>
      <c r="RMI182" s="82"/>
      <c r="RMJ182" s="82"/>
      <c r="RMK182" s="82"/>
      <c r="RML182" s="82"/>
      <c r="RMM182" s="82"/>
      <c r="RMN182" s="82"/>
      <c r="RMO182" s="82"/>
      <c r="RMP182" s="82"/>
      <c r="RMQ182" s="82"/>
      <c r="RMR182" s="82"/>
      <c r="RMS182" s="82"/>
      <c r="RMT182" s="82"/>
      <c r="RMU182" s="82"/>
      <c r="RMV182" s="82"/>
      <c r="RMW182" s="82"/>
      <c r="RMX182" s="82"/>
      <c r="RMY182" s="82"/>
      <c r="RMZ182" s="82"/>
      <c r="RNA182" s="82"/>
      <c r="RNB182" s="82"/>
      <c r="RNC182" s="82"/>
      <c r="RND182" s="82"/>
      <c r="RNE182" s="82"/>
      <c r="RNF182" s="82"/>
      <c r="RNG182" s="82"/>
      <c r="RNH182" s="82"/>
      <c r="RNI182" s="82"/>
      <c r="RNJ182" s="82"/>
      <c r="RNK182" s="82"/>
      <c r="RNL182" s="82"/>
      <c r="RNM182" s="82"/>
      <c r="RNN182" s="82"/>
      <c r="RNO182" s="82"/>
      <c r="RNP182" s="82"/>
      <c r="RNQ182" s="82"/>
      <c r="RNR182" s="82"/>
      <c r="RNS182" s="82"/>
      <c r="RNT182" s="82"/>
      <c r="RNU182" s="82"/>
      <c r="RNV182" s="82"/>
      <c r="RNW182" s="82"/>
      <c r="RNX182" s="82"/>
      <c r="RNY182" s="82"/>
      <c r="RNZ182" s="82"/>
      <c r="ROA182" s="82"/>
      <c r="ROB182" s="82"/>
      <c r="ROC182" s="82"/>
      <c r="ROD182" s="82"/>
      <c r="ROE182" s="82"/>
      <c r="ROF182" s="82"/>
      <c r="ROG182" s="82"/>
      <c r="ROH182" s="82"/>
      <c r="ROI182" s="82"/>
      <c r="ROJ182" s="82"/>
      <c r="ROK182" s="82"/>
      <c r="ROL182" s="82"/>
      <c r="ROM182" s="82"/>
      <c r="RON182" s="82"/>
      <c r="ROO182" s="82"/>
      <c r="ROP182" s="82"/>
      <c r="ROQ182" s="82"/>
      <c r="ROR182" s="82"/>
      <c r="ROS182" s="82"/>
      <c r="ROT182" s="82"/>
      <c r="ROU182" s="82"/>
      <c r="ROV182" s="82"/>
      <c r="ROW182" s="82"/>
      <c r="ROX182" s="82"/>
      <c r="ROY182" s="82"/>
      <c r="ROZ182" s="82"/>
      <c r="RPA182" s="82"/>
      <c r="RPB182" s="82"/>
      <c r="RPC182" s="82"/>
      <c r="RPD182" s="82"/>
      <c r="RPE182" s="82"/>
      <c r="RPF182" s="82"/>
      <c r="RPG182" s="82"/>
      <c r="RPH182" s="82"/>
      <c r="RPI182" s="82"/>
      <c r="RPJ182" s="82"/>
      <c r="RPK182" s="82"/>
      <c r="RPL182" s="82"/>
      <c r="RPM182" s="82"/>
      <c r="RPN182" s="82"/>
      <c r="RPO182" s="82"/>
      <c r="RPP182" s="82"/>
      <c r="RPQ182" s="82"/>
      <c r="RPR182" s="82"/>
      <c r="RPS182" s="82"/>
      <c r="RPT182" s="82"/>
      <c r="RPU182" s="82"/>
      <c r="RPV182" s="82"/>
      <c r="RPW182" s="82"/>
      <c r="RPX182" s="82"/>
      <c r="RPY182" s="82"/>
      <c r="RPZ182" s="82"/>
      <c r="RQA182" s="82"/>
      <c r="RQB182" s="82"/>
      <c r="RQC182" s="82"/>
      <c r="RQD182" s="82"/>
      <c r="RQE182" s="82"/>
      <c r="RQF182" s="82"/>
      <c r="RQG182" s="82"/>
      <c r="RQH182" s="82"/>
      <c r="RQI182" s="82"/>
      <c r="RQJ182" s="82"/>
      <c r="RQK182" s="82"/>
      <c r="RQL182" s="82"/>
      <c r="RQM182" s="82"/>
      <c r="RQN182" s="82"/>
      <c r="RQO182" s="82"/>
      <c r="RQP182" s="82"/>
      <c r="RQQ182" s="82"/>
      <c r="RQR182" s="82"/>
      <c r="RQS182" s="82"/>
      <c r="RQT182" s="82"/>
      <c r="RQU182" s="82"/>
      <c r="RQV182" s="82"/>
      <c r="RQW182" s="82"/>
      <c r="RQX182" s="82"/>
      <c r="RQY182" s="82"/>
      <c r="RQZ182" s="82"/>
      <c r="RRA182" s="82"/>
      <c r="RRB182" s="82"/>
      <c r="RRC182" s="82"/>
      <c r="RRD182" s="82"/>
      <c r="RRE182" s="82"/>
      <c r="RRF182" s="82"/>
      <c r="RRG182" s="82"/>
      <c r="RRH182" s="82"/>
      <c r="RRI182" s="82"/>
      <c r="RRJ182" s="82"/>
      <c r="RRK182" s="82"/>
      <c r="RRL182" s="82"/>
      <c r="RRM182" s="82"/>
      <c r="RRN182" s="82"/>
      <c r="RRO182" s="82"/>
      <c r="RRP182" s="82"/>
      <c r="RRQ182" s="82"/>
      <c r="RRR182" s="82"/>
      <c r="RRS182" s="82"/>
      <c r="RRT182" s="82"/>
      <c r="RRU182" s="82"/>
      <c r="RRV182" s="82"/>
      <c r="RRW182" s="82"/>
      <c r="RRX182" s="82"/>
      <c r="RRY182" s="82"/>
      <c r="RRZ182" s="82"/>
      <c r="RSA182" s="82"/>
      <c r="RSB182" s="82"/>
      <c r="RSC182" s="82"/>
      <c r="RSD182" s="82"/>
      <c r="RSE182" s="82"/>
      <c r="RSF182" s="82"/>
      <c r="RSG182" s="82"/>
      <c r="RSH182" s="82"/>
      <c r="RSI182" s="82"/>
      <c r="RSJ182" s="82"/>
      <c r="RSK182" s="82"/>
      <c r="RSL182" s="82"/>
      <c r="RSM182" s="82"/>
      <c r="RSN182" s="82"/>
      <c r="RSO182" s="82"/>
      <c r="RSP182" s="82"/>
      <c r="RSQ182" s="82"/>
      <c r="RSR182" s="82"/>
      <c r="RSS182" s="82"/>
      <c r="RST182" s="82"/>
      <c r="RSU182" s="82"/>
      <c r="RSV182" s="82"/>
      <c r="RSW182" s="82"/>
      <c r="RSX182" s="82"/>
      <c r="RSY182" s="82"/>
      <c r="RSZ182" s="82"/>
      <c r="RTA182" s="82"/>
      <c r="RTB182" s="82"/>
      <c r="RTC182" s="82"/>
      <c r="RTD182" s="82"/>
      <c r="RTE182" s="82"/>
      <c r="RTF182" s="82"/>
      <c r="RTG182" s="82"/>
      <c r="RTH182" s="82"/>
      <c r="RTI182" s="82"/>
      <c r="RTJ182" s="82"/>
      <c r="RTK182" s="82"/>
      <c r="RTL182" s="82"/>
      <c r="RTM182" s="82"/>
      <c r="RTN182" s="82"/>
      <c r="RTO182" s="82"/>
      <c r="RTP182" s="82"/>
      <c r="RTQ182" s="82"/>
      <c r="RTR182" s="82"/>
      <c r="RTS182" s="82"/>
      <c r="RTT182" s="82"/>
      <c r="RTU182" s="82"/>
      <c r="RTV182" s="82"/>
      <c r="RTW182" s="82"/>
      <c r="RTX182" s="82"/>
      <c r="RTY182" s="82"/>
      <c r="RTZ182" s="82"/>
      <c r="RUA182" s="82"/>
      <c r="RUB182" s="82"/>
      <c r="RUC182" s="82"/>
      <c r="RUD182" s="82"/>
      <c r="RUE182" s="82"/>
      <c r="RUF182" s="82"/>
      <c r="RUG182" s="82"/>
      <c r="RUH182" s="82"/>
      <c r="RUI182" s="82"/>
      <c r="RUJ182" s="82"/>
      <c r="RUK182" s="82"/>
      <c r="RUL182" s="82"/>
      <c r="RUM182" s="82"/>
      <c r="RUN182" s="82"/>
      <c r="RUO182" s="82"/>
      <c r="RUP182" s="82"/>
      <c r="RUQ182" s="82"/>
      <c r="RUR182" s="82"/>
      <c r="RUS182" s="82"/>
      <c r="RUT182" s="82"/>
      <c r="RUU182" s="82"/>
      <c r="RUV182" s="82"/>
      <c r="RUW182" s="82"/>
      <c r="RUX182" s="82"/>
      <c r="RUY182" s="82"/>
      <c r="RUZ182" s="82"/>
      <c r="RVA182" s="82"/>
      <c r="RVB182" s="82"/>
      <c r="RVC182" s="82"/>
      <c r="RVD182" s="82"/>
      <c r="RVE182" s="82"/>
      <c r="RVF182" s="82"/>
      <c r="RVG182" s="82"/>
      <c r="RVH182" s="82"/>
      <c r="RVI182" s="82"/>
      <c r="RVJ182" s="82"/>
      <c r="RVK182" s="82"/>
      <c r="RVL182" s="82"/>
      <c r="RVM182" s="82"/>
      <c r="RVN182" s="82"/>
      <c r="RVO182" s="82"/>
      <c r="RVP182" s="82"/>
      <c r="RVQ182" s="82"/>
      <c r="RVR182" s="82"/>
      <c r="RVS182" s="82"/>
      <c r="RVT182" s="82"/>
      <c r="RVU182" s="82"/>
      <c r="RVV182" s="82"/>
      <c r="RVW182" s="82"/>
      <c r="RVX182" s="82"/>
      <c r="RVY182" s="82"/>
      <c r="RVZ182" s="82"/>
      <c r="RWA182" s="82"/>
      <c r="RWB182" s="82"/>
      <c r="RWC182" s="82"/>
      <c r="RWD182" s="82"/>
      <c r="RWE182" s="82"/>
      <c r="RWF182" s="82"/>
      <c r="RWG182" s="82"/>
      <c r="RWH182" s="82"/>
      <c r="RWI182" s="82"/>
      <c r="RWJ182" s="82"/>
      <c r="RWK182" s="82"/>
      <c r="RWL182" s="82"/>
      <c r="RWM182" s="82"/>
      <c r="RWN182" s="82"/>
      <c r="RWO182" s="82"/>
      <c r="RWP182" s="82"/>
      <c r="RWQ182" s="82"/>
      <c r="RWR182" s="82"/>
      <c r="RWS182" s="82"/>
      <c r="RWT182" s="82"/>
      <c r="RWU182" s="82"/>
      <c r="RWV182" s="82"/>
      <c r="RWW182" s="82"/>
      <c r="RWX182" s="82"/>
      <c r="RWY182" s="82"/>
      <c r="RWZ182" s="82"/>
      <c r="RXA182" s="82"/>
      <c r="RXB182" s="82"/>
      <c r="RXC182" s="82"/>
      <c r="RXD182" s="82"/>
      <c r="RXE182" s="82"/>
      <c r="RXF182" s="82"/>
      <c r="RXG182" s="82"/>
      <c r="RXH182" s="82"/>
      <c r="RXI182" s="82"/>
      <c r="RXJ182" s="82"/>
      <c r="RXK182" s="82"/>
      <c r="RXL182" s="82"/>
      <c r="RXM182" s="82"/>
      <c r="RXN182" s="82"/>
      <c r="RXO182" s="82"/>
      <c r="RXP182" s="82"/>
      <c r="RXQ182" s="82"/>
      <c r="RXR182" s="82"/>
      <c r="RXS182" s="82"/>
      <c r="RXT182" s="82"/>
      <c r="RXU182" s="82"/>
      <c r="RXV182" s="82"/>
      <c r="RXW182" s="82"/>
      <c r="RXX182" s="82"/>
      <c r="RXY182" s="82"/>
      <c r="RXZ182" s="82"/>
      <c r="RYA182" s="82"/>
      <c r="RYB182" s="82"/>
      <c r="RYC182" s="82"/>
      <c r="RYD182" s="82"/>
      <c r="RYE182" s="82"/>
      <c r="RYF182" s="82"/>
      <c r="RYG182" s="82"/>
      <c r="RYH182" s="82"/>
      <c r="RYI182" s="82"/>
      <c r="RYJ182" s="82"/>
      <c r="RYK182" s="82"/>
      <c r="RYL182" s="82"/>
      <c r="RYM182" s="82"/>
      <c r="RYN182" s="82"/>
      <c r="RYO182" s="82"/>
      <c r="RYP182" s="82"/>
      <c r="RYQ182" s="82"/>
      <c r="RYR182" s="82"/>
      <c r="RYS182" s="82"/>
      <c r="RYT182" s="82"/>
      <c r="RYU182" s="82"/>
      <c r="RYV182" s="82"/>
      <c r="RYW182" s="82"/>
      <c r="RYX182" s="82"/>
      <c r="RYY182" s="82"/>
      <c r="RYZ182" s="82"/>
      <c r="RZA182" s="82"/>
      <c r="RZB182" s="82"/>
      <c r="RZC182" s="82"/>
      <c r="RZD182" s="82"/>
      <c r="RZE182" s="82"/>
      <c r="RZF182" s="82"/>
      <c r="RZG182" s="82"/>
      <c r="RZH182" s="82"/>
      <c r="RZI182" s="82"/>
      <c r="RZJ182" s="82"/>
      <c r="RZK182" s="82"/>
      <c r="RZL182" s="82"/>
      <c r="RZM182" s="82"/>
      <c r="RZN182" s="82"/>
      <c r="RZO182" s="82"/>
      <c r="RZP182" s="82"/>
      <c r="RZQ182" s="82"/>
      <c r="RZR182" s="82"/>
      <c r="RZS182" s="82"/>
      <c r="RZT182" s="82"/>
      <c r="RZU182" s="82"/>
      <c r="RZV182" s="82"/>
      <c r="RZW182" s="82"/>
      <c r="RZX182" s="82"/>
      <c r="RZY182" s="82"/>
      <c r="RZZ182" s="82"/>
      <c r="SAA182" s="82"/>
      <c r="SAB182" s="82"/>
      <c r="SAC182" s="82"/>
      <c r="SAD182" s="82"/>
      <c r="SAE182" s="82"/>
      <c r="SAF182" s="82"/>
      <c r="SAG182" s="82"/>
      <c r="SAH182" s="82"/>
      <c r="SAI182" s="82"/>
      <c r="SAJ182" s="82"/>
      <c r="SAK182" s="82"/>
      <c r="SAL182" s="82"/>
      <c r="SAM182" s="82"/>
      <c r="SAN182" s="82"/>
      <c r="SAO182" s="82"/>
      <c r="SAP182" s="82"/>
      <c r="SAQ182" s="82"/>
      <c r="SAR182" s="82"/>
      <c r="SAS182" s="82"/>
      <c r="SAT182" s="82"/>
      <c r="SAU182" s="82"/>
      <c r="SAV182" s="82"/>
      <c r="SAW182" s="82"/>
      <c r="SAX182" s="82"/>
      <c r="SAY182" s="82"/>
      <c r="SAZ182" s="82"/>
      <c r="SBA182" s="82"/>
      <c r="SBB182" s="82"/>
      <c r="SBC182" s="82"/>
      <c r="SBD182" s="82"/>
      <c r="SBE182" s="82"/>
      <c r="SBF182" s="82"/>
      <c r="SBG182" s="82"/>
      <c r="SBH182" s="82"/>
      <c r="SBI182" s="82"/>
      <c r="SBJ182" s="82"/>
      <c r="SBK182" s="82"/>
      <c r="SBL182" s="82"/>
      <c r="SBM182" s="82"/>
      <c r="SBN182" s="82"/>
      <c r="SBO182" s="82"/>
      <c r="SBP182" s="82"/>
      <c r="SBQ182" s="82"/>
      <c r="SBR182" s="82"/>
      <c r="SBS182" s="82"/>
      <c r="SBT182" s="82"/>
      <c r="SBU182" s="82"/>
      <c r="SBV182" s="82"/>
      <c r="SBW182" s="82"/>
      <c r="SBX182" s="82"/>
      <c r="SBY182" s="82"/>
      <c r="SBZ182" s="82"/>
      <c r="SCA182" s="82"/>
      <c r="SCB182" s="82"/>
      <c r="SCC182" s="82"/>
      <c r="SCD182" s="82"/>
      <c r="SCE182" s="82"/>
      <c r="SCF182" s="82"/>
      <c r="SCG182" s="82"/>
      <c r="SCH182" s="82"/>
      <c r="SCI182" s="82"/>
      <c r="SCJ182" s="82"/>
      <c r="SCK182" s="82"/>
      <c r="SCL182" s="82"/>
      <c r="SCM182" s="82"/>
      <c r="SCN182" s="82"/>
      <c r="SCO182" s="82"/>
      <c r="SCP182" s="82"/>
      <c r="SCQ182" s="82"/>
      <c r="SCR182" s="82"/>
      <c r="SCS182" s="82"/>
      <c r="SCT182" s="82"/>
      <c r="SCU182" s="82"/>
      <c r="SCV182" s="82"/>
      <c r="SCW182" s="82"/>
      <c r="SCX182" s="82"/>
      <c r="SCY182" s="82"/>
      <c r="SCZ182" s="82"/>
      <c r="SDA182" s="82"/>
      <c r="SDB182" s="82"/>
      <c r="SDC182" s="82"/>
      <c r="SDD182" s="82"/>
      <c r="SDE182" s="82"/>
      <c r="SDF182" s="82"/>
      <c r="SDG182" s="82"/>
      <c r="SDH182" s="82"/>
      <c r="SDI182" s="82"/>
      <c r="SDJ182" s="82"/>
      <c r="SDK182" s="82"/>
      <c r="SDL182" s="82"/>
      <c r="SDM182" s="82"/>
      <c r="SDN182" s="82"/>
      <c r="SDO182" s="82"/>
      <c r="SDP182" s="82"/>
      <c r="SDQ182" s="82"/>
      <c r="SDR182" s="82"/>
      <c r="SDS182" s="82"/>
      <c r="SDT182" s="82"/>
      <c r="SDU182" s="82"/>
      <c r="SDV182" s="82"/>
      <c r="SDW182" s="82"/>
      <c r="SDX182" s="82"/>
      <c r="SDY182" s="82"/>
      <c r="SDZ182" s="82"/>
      <c r="SEA182" s="82"/>
      <c r="SEB182" s="82"/>
      <c r="SEC182" s="82"/>
      <c r="SED182" s="82"/>
      <c r="SEE182" s="82"/>
      <c r="SEF182" s="82"/>
      <c r="SEG182" s="82"/>
      <c r="SEH182" s="82"/>
      <c r="SEI182" s="82"/>
      <c r="SEJ182" s="82"/>
      <c r="SEK182" s="82"/>
      <c r="SEL182" s="82"/>
      <c r="SEM182" s="82"/>
      <c r="SEN182" s="82"/>
      <c r="SEO182" s="82"/>
      <c r="SEP182" s="82"/>
      <c r="SEQ182" s="82"/>
      <c r="SER182" s="82"/>
      <c r="SES182" s="82"/>
      <c r="SET182" s="82"/>
      <c r="SEU182" s="82"/>
      <c r="SEV182" s="82"/>
      <c r="SEW182" s="82"/>
      <c r="SEX182" s="82"/>
      <c r="SEY182" s="82"/>
      <c r="SEZ182" s="82"/>
      <c r="SFA182" s="82"/>
      <c r="SFB182" s="82"/>
      <c r="SFC182" s="82"/>
      <c r="SFD182" s="82"/>
      <c r="SFE182" s="82"/>
      <c r="SFF182" s="82"/>
      <c r="SFG182" s="82"/>
      <c r="SFH182" s="82"/>
      <c r="SFI182" s="82"/>
      <c r="SFJ182" s="82"/>
      <c r="SFK182" s="82"/>
      <c r="SFL182" s="82"/>
      <c r="SFM182" s="82"/>
      <c r="SFN182" s="82"/>
      <c r="SFO182" s="82"/>
      <c r="SFP182" s="82"/>
      <c r="SFQ182" s="82"/>
      <c r="SFR182" s="82"/>
      <c r="SFS182" s="82"/>
      <c r="SFT182" s="82"/>
      <c r="SFU182" s="82"/>
      <c r="SFV182" s="82"/>
      <c r="SFW182" s="82"/>
      <c r="SFX182" s="82"/>
      <c r="SFY182" s="82"/>
      <c r="SFZ182" s="82"/>
      <c r="SGA182" s="82"/>
      <c r="SGB182" s="82"/>
      <c r="SGC182" s="82"/>
      <c r="SGD182" s="82"/>
      <c r="SGE182" s="82"/>
      <c r="SGF182" s="82"/>
      <c r="SGG182" s="82"/>
      <c r="SGH182" s="82"/>
      <c r="SGI182" s="82"/>
      <c r="SGJ182" s="82"/>
      <c r="SGK182" s="82"/>
      <c r="SGL182" s="82"/>
      <c r="SGM182" s="82"/>
      <c r="SGN182" s="82"/>
      <c r="SGO182" s="82"/>
      <c r="SGP182" s="82"/>
      <c r="SGQ182" s="82"/>
      <c r="SGR182" s="82"/>
      <c r="SGS182" s="82"/>
      <c r="SGT182" s="82"/>
      <c r="SGU182" s="82"/>
      <c r="SGV182" s="82"/>
      <c r="SGW182" s="82"/>
      <c r="SGX182" s="82"/>
      <c r="SGY182" s="82"/>
      <c r="SGZ182" s="82"/>
      <c r="SHA182" s="82"/>
      <c r="SHB182" s="82"/>
      <c r="SHC182" s="82"/>
      <c r="SHD182" s="82"/>
      <c r="SHE182" s="82"/>
      <c r="SHF182" s="82"/>
      <c r="SHG182" s="82"/>
      <c r="SHH182" s="82"/>
      <c r="SHI182" s="82"/>
      <c r="SHJ182" s="82"/>
      <c r="SHK182" s="82"/>
      <c r="SHL182" s="82"/>
      <c r="SHM182" s="82"/>
      <c r="SHN182" s="82"/>
      <c r="SHO182" s="82"/>
      <c r="SHP182" s="82"/>
      <c r="SHQ182" s="82"/>
      <c r="SHR182" s="82"/>
      <c r="SHS182" s="82"/>
      <c r="SHT182" s="82"/>
      <c r="SHU182" s="82"/>
      <c r="SHV182" s="82"/>
      <c r="SHW182" s="82"/>
      <c r="SHX182" s="82"/>
      <c r="SHY182" s="82"/>
      <c r="SHZ182" s="82"/>
      <c r="SIA182" s="82"/>
      <c r="SIB182" s="82"/>
      <c r="SIC182" s="82"/>
      <c r="SID182" s="82"/>
      <c r="SIE182" s="82"/>
      <c r="SIF182" s="82"/>
      <c r="SIG182" s="82"/>
      <c r="SIH182" s="82"/>
      <c r="SII182" s="82"/>
      <c r="SIJ182" s="82"/>
      <c r="SIK182" s="82"/>
      <c r="SIL182" s="82"/>
      <c r="SIM182" s="82"/>
      <c r="SIN182" s="82"/>
      <c r="SIO182" s="82"/>
      <c r="SIP182" s="82"/>
      <c r="SIQ182" s="82"/>
      <c r="SIR182" s="82"/>
      <c r="SIS182" s="82"/>
      <c r="SIT182" s="82"/>
      <c r="SIU182" s="82"/>
      <c r="SIV182" s="82"/>
      <c r="SIW182" s="82"/>
      <c r="SIX182" s="82"/>
      <c r="SIY182" s="82"/>
      <c r="SIZ182" s="82"/>
      <c r="SJA182" s="82"/>
      <c r="SJB182" s="82"/>
      <c r="SJC182" s="82"/>
      <c r="SJD182" s="82"/>
      <c r="SJE182" s="82"/>
      <c r="SJF182" s="82"/>
      <c r="SJG182" s="82"/>
      <c r="SJH182" s="82"/>
      <c r="SJI182" s="82"/>
      <c r="SJJ182" s="82"/>
      <c r="SJK182" s="82"/>
      <c r="SJL182" s="82"/>
      <c r="SJM182" s="82"/>
      <c r="SJN182" s="82"/>
      <c r="SJO182" s="82"/>
      <c r="SJP182" s="82"/>
      <c r="SJQ182" s="82"/>
      <c r="SJR182" s="82"/>
      <c r="SJS182" s="82"/>
      <c r="SJT182" s="82"/>
      <c r="SJU182" s="82"/>
      <c r="SJV182" s="82"/>
      <c r="SJW182" s="82"/>
      <c r="SJX182" s="82"/>
      <c r="SJY182" s="82"/>
      <c r="SJZ182" s="82"/>
      <c r="SKA182" s="82"/>
      <c r="SKB182" s="82"/>
      <c r="SKC182" s="82"/>
      <c r="SKD182" s="82"/>
      <c r="SKE182" s="82"/>
      <c r="SKF182" s="82"/>
      <c r="SKG182" s="82"/>
      <c r="SKH182" s="82"/>
      <c r="SKI182" s="82"/>
      <c r="SKJ182" s="82"/>
      <c r="SKK182" s="82"/>
      <c r="SKL182" s="82"/>
      <c r="SKM182" s="82"/>
      <c r="SKN182" s="82"/>
      <c r="SKO182" s="82"/>
      <c r="SKP182" s="82"/>
      <c r="SKQ182" s="82"/>
      <c r="SKR182" s="82"/>
      <c r="SKS182" s="82"/>
      <c r="SKT182" s="82"/>
      <c r="SKU182" s="82"/>
      <c r="SKV182" s="82"/>
      <c r="SKW182" s="82"/>
      <c r="SKX182" s="82"/>
      <c r="SKY182" s="82"/>
      <c r="SKZ182" s="82"/>
      <c r="SLA182" s="82"/>
      <c r="SLB182" s="82"/>
      <c r="SLC182" s="82"/>
      <c r="SLD182" s="82"/>
      <c r="SLE182" s="82"/>
      <c r="SLF182" s="82"/>
      <c r="SLG182" s="82"/>
      <c r="SLH182" s="82"/>
      <c r="SLI182" s="82"/>
      <c r="SLJ182" s="82"/>
      <c r="SLK182" s="82"/>
      <c r="SLL182" s="82"/>
      <c r="SLM182" s="82"/>
      <c r="SLN182" s="82"/>
      <c r="SLO182" s="82"/>
      <c r="SLP182" s="82"/>
      <c r="SLQ182" s="82"/>
      <c r="SLR182" s="82"/>
      <c r="SLS182" s="82"/>
      <c r="SLT182" s="82"/>
      <c r="SLU182" s="82"/>
      <c r="SLV182" s="82"/>
      <c r="SLW182" s="82"/>
      <c r="SLX182" s="82"/>
      <c r="SLY182" s="82"/>
      <c r="SLZ182" s="82"/>
      <c r="SMA182" s="82"/>
      <c r="SMB182" s="82"/>
      <c r="SMC182" s="82"/>
      <c r="SMD182" s="82"/>
      <c r="SME182" s="82"/>
      <c r="SMF182" s="82"/>
      <c r="SMG182" s="82"/>
      <c r="SMH182" s="82"/>
      <c r="SMI182" s="82"/>
      <c r="SMJ182" s="82"/>
      <c r="SMK182" s="82"/>
      <c r="SML182" s="82"/>
      <c r="SMM182" s="82"/>
      <c r="SMN182" s="82"/>
      <c r="SMO182" s="82"/>
      <c r="SMP182" s="82"/>
      <c r="SMQ182" s="82"/>
      <c r="SMR182" s="82"/>
      <c r="SMS182" s="82"/>
      <c r="SMT182" s="82"/>
      <c r="SMU182" s="82"/>
      <c r="SMV182" s="82"/>
      <c r="SMW182" s="82"/>
      <c r="SMX182" s="82"/>
      <c r="SMY182" s="82"/>
      <c r="SMZ182" s="82"/>
      <c r="SNA182" s="82"/>
      <c r="SNB182" s="82"/>
      <c r="SNC182" s="82"/>
      <c r="SND182" s="82"/>
      <c r="SNE182" s="82"/>
      <c r="SNF182" s="82"/>
      <c r="SNG182" s="82"/>
      <c r="SNH182" s="82"/>
      <c r="SNI182" s="82"/>
      <c r="SNJ182" s="82"/>
      <c r="SNK182" s="82"/>
      <c r="SNL182" s="82"/>
      <c r="SNM182" s="82"/>
      <c r="SNN182" s="82"/>
      <c r="SNO182" s="82"/>
      <c r="SNP182" s="82"/>
      <c r="SNQ182" s="82"/>
      <c r="SNR182" s="82"/>
      <c r="SNS182" s="82"/>
      <c r="SNT182" s="82"/>
      <c r="SNU182" s="82"/>
      <c r="SNV182" s="82"/>
      <c r="SNW182" s="82"/>
      <c r="SNX182" s="82"/>
      <c r="SNY182" s="82"/>
      <c r="SNZ182" s="82"/>
      <c r="SOA182" s="82"/>
      <c r="SOB182" s="82"/>
      <c r="SOC182" s="82"/>
      <c r="SOD182" s="82"/>
      <c r="SOE182" s="82"/>
      <c r="SOF182" s="82"/>
      <c r="SOG182" s="82"/>
      <c r="SOH182" s="82"/>
      <c r="SOI182" s="82"/>
      <c r="SOJ182" s="82"/>
      <c r="SOK182" s="82"/>
      <c r="SOL182" s="82"/>
      <c r="SOM182" s="82"/>
      <c r="SON182" s="82"/>
      <c r="SOO182" s="82"/>
      <c r="SOP182" s="82"/>
      <c r="SOQ182" s="82"/>
      <c r="SOR182" s="82"/>
      <c r="SOS182" s="82"/>
      <c r="SOT182" s="82"/>
      <c r="SOU182" s="82"/>
      <c r="SOV182" s="82"/>
      <c r="SOW182" s="82"/>
      <c r="SOX182" s="82"/>
      <c r="SOY182" s="82"/>
      <c r="SOZ182" s="82"/>
      <c r="SPA182" s="82"/>
      <c r="SPB182" s="82"/>
      <c r="SPC182" s="82"/>
      <c r="SPD182" s="82"/>
      <c r="SPE182" s="82"/>
      <c r="SPF182" s="82"/>
      <c r="SPG182" s="82"/>
      <c r="SPH182" s="82"/>
      <c r="SPI182" s="82"/>
      <c r="SPJ182" s="82"/>
      <c r="SPK182" s="82"/>
      <c r="SPL182" s="82"/>
      <c r="SPM182" s="82"/>
      <c r="SPN182" s="82"/>
      <c r="SPO182" s="82"/>
      <c r="SPP182" s="82"/>
      <c r="SPQ182" s="82"/>
      <c r="SPR182" s="82"/>
      <c r="SPS182" s="82"/>
      <c r="SPT182" s="82"/>
      <c r="SPU182" s="82"/>
      <c r="SPV182" s="82"/>
      <c r="SPW182" s="82"/>
      <c r="SPX182" s="82"/>
      <c r="SPY182" s="82"/>
      <c r="SPZ182" s="82"/>
      <c r="SQA182" s="82"/>
      <c r="SQB182" s="82"/>
      <c r="SQC182" s="82"/>
      <c r="SQD182" s="82"/>
      <c r="SQE182" s="82"/>
      <c r="SQF182" s="82"/>
      <c r="SQG182" s="82"/>
      <c r="SQH182" s="82"/>
      <c r="SQI182" s="82"/>
      <c r="SQJ182" s="82"/>
      <c r="SQK182" s="82"/>
      <c r="SQL182" s="82"/>
      <c r="SQM182" s="82"/>
      <c r="SQN182" s="82"/>
      <c r="SQO182" s="82"/>
      <c r="SQP182" s="82"/>
      <c r="SQQ182" s="82"/>
      <c r="SQR182" s="82"/>
      <c r="SQS182" s="82"/>
      <c r="SQT182" s="82"/>
      <c r="SQU182" s="82"/>
      <c r="SQV182" s="82"/>
      <c r="SQW182" s="82"/>
      <c r="SQX182" s="82"/>
      <c r="SQY182" s="82"/>
      <c r="SQZ182" s="82"/>
      <c r="SRA182" s="82"/>
      <c r="SRB182" s="82"/>
      <c r="SRC182" s="82"/>
      <c r="SRD182" s="82"/>
      <c r="SRE182" s="82"/>
      <c r="SRF182" s="82"/>
      <c r="SRG182" s="82"/>
      <c r="SRH182" s="82"/>
      <c r="SRI182" s="82"/>
      <c r="SRJ182" s="82"/>
      <c r="SRK182" s="82"/>
      <c r="SRL182" s="82"/>
      <c r="SRM182" s="82"/>
      <c r="SRN182" s="82"/>
      <c r="SRO182" s="82"/>
      <c r="SRP182" s="82"/>
      <c r="SRQ182" s="82"/>
      <c r="SRR182" s="82"/>
      <c r="SRS182" s="82"/>
      <c r="SRT182" s="82"/>
      <c r="SRU182" s="82"/>
      <c r="SRV182" s="82"/>
      <c r="SRW182" s="82"/>
      <c r="SRX182" s="82"/>
      <c r="SRY182" s="82"/>
      <c r="SRZ182" s="82"/>
      <c r="SSA182" s="82"/>
      <c r="SSB182" s="82"/>
      <c r="SSC182" s="82"/>
      <c r="SSD182" s="82"/>
      <c r="SSE182" s="82"/>
      <c r="SSF182" s="82"/>
      <c r="SSG182" s="82"/>
      <c r="SSH182" s="82"/>
      <c r="SSI182" s="82"/>
      <c r="SSJ182" s="82"/>
      <c r="SSK182" s="82"/>
      <c r="SSL182" s="82"/>
      <c r="SSM182" s="82"/>
      <c r="SSN182" s="82"/>
      <c r="SSO182" s="82"/>
      <c r="SSP182" s="82"/>
      <c r="SSQ182" s="82"/>
      <c r="SSR182" s="82"/>
      <c r="SSS182" s="82"/>
      <c r="SST182" s="82"/>
      <c r="SSU182" s="82"/>
      <c r="SSV182" s="82"/>
      <c r="SSW182" s="82"/>
      <c r="SSX182" s="82"/>
      <c r="SSY182" s="82"/>
      <c r="SSZ182" s="82"/>
      <c r="STA182" s="82"/>
      <c r="STB182" s="82"/>
      <c r="STC182" s="82"/>
      <c r="STD182" s="82"/>
      <c r="STE182" s="82"/>
      <c r="STF182" s="82"/>
      <c r="STG182" s="82"/>
      <c r="STH182" s="82"/>
      <c r="STI182" s="82"/>
      <c r="STJ182" s="82"/>
      <c r="STK182" s="82"/>
      <c r="STL182" s="82"/>
      <c r="STM182" s="82"/>
      <c r="STN182" s="82"/>
      <c r="STO182" s="82"/>
      <c r="STP182" s="82"/>
      <c r="STQ182" s="82"/>
      <c r="STR182" s="82"/>
      <c r="STS182" s="82"/>
      <c r="STT182" s="82"/>
      <c r="STU182" s="82"/>
      <c r="STV182" s="82"/>
      <c r="STW182" s="82"/>
      <c r="STX182" s="82"/>
      <c r="STY182" s="82"/>
      <c r="STZ182" s="82"/>
      <c r="SUA182" s="82"/>
      <c r="SUB182" s="82"/>
      <c r="SUC182" s="82"/>
      <c r="SUD182" s="82"/>
      <c r="SUE182" s="82"/>
      <c r="SUF182" s="82"/>
      <c r="SUG182" s="82"/>
      <c r="SUH182" s="82"/>
      <c r="SUI182" s="82"/>
      <c r="SUJ182" s="82"/>
      <c r="SUK182" s="82"/>
      <c r="SUL182" s="82"/>
      <c r="SUM182" s="82"/>
      <c r="SUN182" s="82"/>
      <c r="SUO182" s="82"/>
      <c r="SUP182" s="82"/>
      <c r="SUQ182" s="82"/>
      <c r="SUR182" s="82"/>
      <c r="SUS182" s="82"/>
      <c r="SUT182" s="82"/>
      <c r="SUU182" s="82"/>
      <c r="SUV182" s="82"/>
      <c r="SUW182" s="82"/>
      <c r="SUX182" s="82"/>
      <c r="SUY182" s="82"/>
      <c r="SUZ182" s="82"/>
      <c r="SVA182" s="82"/>
      <c r="SVB182" s="82"/>
      <c r="SVC182" s="82"/>
      <c r="SVD182" s="82"/>
      <c r="SVE182" s="82"/>
      <c r="SVF182" s="82"/>
      <c r="SVG182" s="82"/>
      <c r="SVH182" s="82"/>
      <c r="SVI182" s="82"/>
      <c r="SVJ182" s="82"/>
      <c r="SVK182" s="82"/>
      <c r="SVL182" s="82"/>
      <c r="SVM182" s="82"/>
      <c r="SVN182" s="82"/>
      <c r="SVO182" s="82"/>
      <c r="SVP182" s="82"/>
      <c r="SVQ182" s="82"/>
      <c r="SVR182" s="82"/>
      <c r="SVS182" s="82"/>
      <c r="SVT182" s="82"/>
      <c r="SVU182" s="82"/>
      <c r="SVV182" s="82"/>
      <c r="SVW182" s="82"/>
      <c r="SVX182" s="82"/>
      <c r="SVY182" s="82"/>
      <c r="SVZ182" s="82"/>
      <c r="SWA182" s="82"/>
      <c r="SWB182" s="82"/>
      <c r="SWC182" s="82"/>
      <c r="SWD182" s="82"/>
      <c r="SWE182" s="82"/>
      <c r="SWF182" s="82"/>
      <c r="SWG182" s="82"/>
      <c r="SWH182" s="82"/>
      <c r="SWI182" s="82"/>
      <c r="SWJ182" s="82"/>
      <c r="SWK182" s="82"/>
      <c r="SWL182" s="82"/>
      <c r="SWM182" s="82"/>
      <c r="SWN182" s="82"/>
      <c r="SWO182" s="82"/>
      <c r="SWP182" s="82"/>
      <c r="SWQ182" s="82"/>
      <c r="SWR182" s="82"/>
      <c r="SWS182" s="82"/>
      <c r="SWT182" s="82"/>
      <c r="SWU182" s="82"/>
      <c r="SWV182" s="82"/>
      <c r="SWW182" s="82"/>
      <c r="SWX182" s="82"/>
      <c r="SWY182" s="82"/>
      <c r="SWZ182" s="82"/>
      <c r="SXA182" s="82"/>
      <c r="SXB182" s="82"/>
      <c r="SXC182" s="82"/>
      <c r="SXD182" s="82"/>
      <c r="SXE182" s="82"/>
      <c r="SXF182" s="82"/>
      <c r="SXG182" s="82"/>
      <c r="SXH182" s="82"/>
      <c r="SXI182" s="82"/>
      <c r="SXJ182" s="82"/>
      <c r="SXK182" s="82"/>
      <c r="SXL182" s="82"/>
      <c r="SXM182" s="82"/>
      <c r="SXN182" s="82"/>
      <c r="SXO182" s="82"/>
      <c r="SXP182" s="82"/>
      <c r="SXQ182" s="82"/>
      <c r="SXR182" s="82"/>
      <c r="SXS182" s="82"/>
      <c r="SXT182" s="82"/>
      <c r="SXU182" s="82"/>
      <c r="SXV182" s="82"/>
      <c r="SXW182" s="82"/>
      <c r="SXX182" s="82"/>
      <c r="SXY182" s="82"/>
      <c r="SXZ182" s="82"/>
      <c r="SYA182" s="82"/>
      <c r="SYB182" s="82"/>
      <c r="SYC182" s="82"/>
      <c r="SYD182" s="82"/>
      <c r="SYE182" s="82"/>
      <c r="SYF182" s="82"/>
      <c r="SYG182" s="82"/>
      <c r="SYH182" s="82"/>
      <c r="SYI182" s="82"/>
      <c r="SYJ182" s="82"/>
      <c r="SYK182" s="82"/>
      <c r="SYL182" s="82"/>
      <c r="SYM182" s="82"/>
      <c r="SYN182" s="82"/>
      <c r="SYO182" s="82"/>
      <c r="SYP182" s="82"/>
      <c r="SYQ182" s="82"/>
      <c r="SYR182" s="82"/>
      <c r="SYS182" s="82"/>
      <c r="SYT182" s="82"/>
      <c r="SYU182" s="82"/>
      <c r="SYV182" s="82"/>
      <c r="SYW182" s="82"/>
      <c r="SYX182" s="82"/>
      <c r="SYY182" s="82"/>
      <c r="SYZ182" s="82"/>
      <c r="SZA182" s="82"/>
      <c r="SZB182" s="82"/>
      <c r="SZC182" s="82"/>
      <c r="SZD182" s="82"/>
      <c r="SZE182" s="82"/>
      <c r="SZF182" s="82"/>
      <c r="SZG182" s="82"/>
      <c r="SZH182" s="82"/>
      <c r="SZI182" s="82"/>
      <c r="SZJ182" s="82"/>
      <c r="SZK182" s="82"/>
      <c r="SZL182" s="82"/>
      <c r="SZM182" s="82"/>
      <c r="SZN182" s="82"/>
      <c r="SZO182" s="82"/>
      <c r="SZP182" s="82"/>
      <c r="SZQ182" s="82"/>
      <c r="SZR182" s="82"/>
      <c r="SZS182" s="82"/>
      <c r="SZT182" s="82"/>
      <c r="SZU182" s="82"/>
      <c r="SZV182" s="82"/>
      <c r="SZW182" s="82"/>
      <c r="SZX182" s="82"/>
      <c r="SZY182" s="82"/>
      <c r="SZZ182" s="82"/>
      <c r="TAA182" s="82"/>
      <c r="TAB182" s="82"/>
      <c r="TAC182" s="82"/>
      <c r="TAD182" s="82"/>
      <c r="TAE182" s="82"/>
      <c r="TAF182" s="82"/>
      <c r="TAG182" s="82"/>
      <c r="TAH182" s="82"/>
      <c r="TAI182" s="82"/>
      <c r="TAJ182" s="82"/>
      <c r="TAK182" s="82"/>
      <c r="TAL182" s="82"/>
      <c r="TAM182" s="82"/>
      <c r="TAN182" s="82"/>
      <c r="TAO182" s="82"/>
      <c r="TAP182" s="82"/>
      <c r="TAQ182" s="82"/>
      <c r="TAR182" s="82"/>
      <c r="TAS182" s="82"/>
      <c r="TAT182" s="82"/>
      <c r="TAU182" s="82"/>
      <c r="TAV182" s="82"/>
      <c r="TAW182" s="82"/>
      <c r="TAX182" s="82"/>
      <c r="TAY182" s="82"/>
      <c r="TAZ182" s="82"/>
      <c r="TBA182" s="82"/>
      <c r="TBB182" s="82"/>
      <c r="TBC182" s="82"/>
      <c r="TBD182" s="82"/>
      <c r="TBE182" s="82"/>
      <c r="TBF182" s="82"/>
      <c r="TBG182" s="82"/>
      <c r="TBH182" s="82"/>
      <c r="TBI182" s="82"/>
      <c r="TBJ182" s="82"/>
      <c r="TBK182" s="82"/>
      <c r="TBL182" s="82"/>
      <c r="TBM182" s="82"/>
      <c r="TBN182" s="82"/>
      <c r="TBO182" s="82"/>
      <c r="TBP182" s="82"/>
      <c r="TBQ182" s="82"/>
      <c r="TBR182" s="82"/>
      <c r="TBS182" s="82"/>
      <c r="TBT182" s="82"/>
      <c r="TBU182" s="82"/>
      <c r="TBV182" s="82"/>
      <c r="TBW182" s="82"/>
      <c r="TBX182" s="82"/>
      <c r="TBY182" s="82"/>
      <c r="TBZ182" s="82"/>
      <c r="TCA182" s="82"/>
      <c r="TCB182" s="82"/>
      <c r="TCC182" s="82"/>
      <c r="TCD182" s="82"/>
      <c r="TCE182" s="82"/>
      <c r="TCF182" s="82"/>
      <c r="TCG182" s="82"/>
      <c r="TCH182" s="82"/>
      <c r="TCI182" s="82"/>
      <c r="TCJ182" s="82"/>
      <c r="TCK182" s="82"/>
      <c r="TCL182" s="82"/>
      <c r="TCM182" s="82"/>
      <c r="TCN182" s="82"/>
      <c r="TCO182" s="82"/>
      <c r="TCP182" s="82"/>
      <c r="TCQ182" s="82"/>
      <c r="TCR182" s="82"/>
      <c r="TCS182" s="82"/>
      <c r="TCT182" s="82"/>
      <c r="TCU182" s="82"/>
      <c r="TCV182" s="82"/>
      <c r="TCW182" s="82"/>
      <c r="TCX182" s="82"/>
      <c r="TCY182" s="82"/>
      <c r="TCZ182" s="82"/>
      <c r="TDA182" s="82"/>
      <c r="TDB182" s="82"/>
      <c r="TDC182" s="82"/>
      <c r="TDD182" s="82"/>
      <c r="TDE182" s="82"/>
      <c r="TDF182" s="82"/>
      <c r="TDG182" s="82"/>
      <c r="TDH182" s="82"/>
      <c r="TDI182" s="82"/>
      <c r="TDJ182" s="82"/>
      <c r="TDK182" s="82"/>
      <c r="TDL182" s="82"/>
      <c r="TDM182" s="82"/>
      <c r="TDN182" s="82"/>
      <c r="TDO182" s="82"/>
      <c r="TDP182" s="82"/>
      <c r="TDQ182" s="82"/>
      <c r="TDR182" s="82"/>
      <c r="TDS182" s="82"/>
      <c r="TDT182" s="82"/>
      <c r="TDU182" s="82"/>
      <c r="TDV182" s="82"/>
      <c r="TDW182" s="82"/>
      <c r="TDX182" s="82"/>
      <c r="TDY182" s="82"/>
      <c r="TDZ182" s="82"/>
      <c r="TEA182" s="82"/>
      <c r="TEB182" s="82"/>
      <c r="TEC182" s="82"/>
      <c r="TED182" s="82"/>
      <c r="TEE182" s="82"/>
      <c r="TEF182" s="82"/>
      <c r="TEG182" s="82"/>
      <c r="TEH182" s="82"/>
      <c r="TEI182" s="82"/>
      <c r="TEJ182" s="82"/>
      <c r="TEK182" s="82"/>
      <c r="TEL182" s="82"/>
      <c r="TEM182" s="82"/>
      <c r="TEN182" s="82"/>
      <c r="TEO182" s="82"/>
      <c r="TEP182" s="82"/>
      <c r="TEQ182" s="82"/>
      <c r="TER182" s="82"/>
      <c r="TES182" s="82"/>
      <c r="TET182" s="82"/>
      <c r="TEU182" s="82"/>
      <c r="TEV182" s="82"/>
      <c r="TEW182" s="82"/>
      <c r="TEX182" s="82"/>
      <c r="TEY182" s="82"/>
      <c r="TEZ182" s="82"/>
      <c r="TFA182" s="82"/>
      <c r="TFB182" s="82"/>
      <c r="TFC182" s="82"/>
      <c r="TFD182" s="82"/>
      <c r="TFE182" s="82"/>
      <c r="TFF182" s="82"/>
      <c r="TFG182" s="82"/>
      <c r="TFH182" s="82"/>
      <c r="TFI182" s="82"/>
      <c r="TFJ182" s="82"/>
      <c r="TFK182" s="82"/>
      <c r="TFL182" s="82"/>
      <c r="TFM182" s="82"/>
      <c r="TFN182" s="82"/>
      <c r="TFO182" s="82"/>
      <c r="TFP182" s="82"/>
      <c r="TFQ182" s="82"/>
      <c r="TFR182" s="82"/>
      <c r="TFS182" s="82"/>
      <c r="TFT182" s="82"/>
      <c r="TFU182" s="82"/>
      <c r="TFV182" s="82"/>
      <c r="TFW182" s="82"/>
      <c r="TFX182" s="82"/>
      <c r="TFY182" s="82"/>
      <c r="TFZ182" s="82"/>
      <c r="TGA182" s="82"/>
      <c r="TGB182" s="82"/>
      <c r="TGC182" s="82"/>
      <c r="TGD182" s="82"/>
      <c r="TGE182" s="82"/>
      <c r="TGF182" s="82"/>
      <c r="TGG182" s="82"/>
      <c r="TGH182" s="82"/>
      <c r="TGI182" s="82"/>
      <c r="TGJ182" s="82"/>
      <c r="TGK182" s="82"/>
      <c r="TGL182" s="82"/>
      <c r="TGM182" s="82"/>
      <c r="TGN182" s="82"/>
      <c r="TGO182" s="82"/>
      <c r="TGP182" s="82"/>
      <c r="TGQ182" s="82"/>
      <c r="TGR182" s="82"/>
      <c r="TGS182" s="82"/>
      <c r="TGT182" s="82"/>
      <c r="TGU182" s="82"/>
      <c r="TGV182" s="82"/>
      <c r="TGW182" s="82"/>
      <c r="TGX182" s="82"/>
      <c r="TGY182" s="82"/>
      <c r="TGZ182" s="82"/>
      <c r="THA182" s="82"/>
      <c r="THB182" s="82"/>
      <c r="THC182" s="82"/>
      <c r="THD182" s="82"/>
      <c r="THE182" s="82"/>
      <c r="THF182" s="82"/>
      <c r="THG182" s="82"/>
      <c r="THH182" s="82"/>
      <c r="THI182" s="82"/>
      <c r="THJ182" s="82"/>
      <c r="THK182" s="82"/>
      <c r="THL182" s="82"/>
      <c r="THM182" s="82"/>
      <c r="THN182" s="82"/>
      <c r="THO182" s="82"/>
      <c r="THP182" s="82"/>
      <c r="THQ182" s="82"/>
      <c r="THR182" s="82"/>
      <c r="THS182" s="82"/>
      <c r="THT182" s="82"/>
      <c r="THU182" s="82"/>
      <c r="THV182" s="82"/>
      <c r="THW182" s="82"/>
      <c r="THX182" s="82"/>
      <c r="THY182" s="82"/>
      <c r="THZ182" s="82"/>
      <c r="TIA182" s="82"/>
      <c r="TIB182" s="82"/>
      <c r="TIC182" s="82"/>
      <c r="TID182" s="82"/>
      <c r="TIE182" s="82"/>
      <c r="TIF182" s="82"/>
      <c r="TIG182" s="82"/>
      <c r="TIH182" s="82"/>
      <c r="TII182" s="82"/>
      <c r="TIJ182" s="82"/>
      <c r="TIK182" s="82"/>
      <c r="TIL182" s="82"/>
      <c r="TIM182" s="82"/>
      <c r="TIN182" s="82"/>
      <c r="TIO182" s="82"/>
      <c r="TIP182" s="82"/>
      <c r="TIQ182" s="82"/>
      <c r="TIR182" s="82"/>
      <c r="TIS182" s="82"/>
      <c r="TIT182" s="82"/>
      <c r="TIU182" s="82"/>
      <c r="TIV182" s="82"/>
      <c r="TIW182" s="82"/>
      <c r="TIX182" s="82"/>
      <c r="TIY182" s="82"/>
      <c r="TIZ182" s="82"/>
      <c r="TJA182" s="82"/>
      <c r="TJB182" s="82"/>
      <c r="TJC182" s="82"/>
      <c r="TJD182" s="82"/>
      <c r="TJE182" s="82"/>
      <c r="TJF182" s="82"/>
      <c r="TJG182" s="82"/>
      <c r="TJH182" s="82"/>
      <c r="TJI182" s="82"/>
      <c r="TJJ182" s="82"/>
      <c r="TJK182" s="82"/>
      <c r="TJL182" s="82"/>
      <c r="TJM182" s="82"/>
      <c r="TJN182" s="82"/>
      <c r="TJO182" s="82"/>
      <c r="TJP182" s="82"/>
      <c r="TJQ182" s="82"/>
      <c r="TJR182" s="82"/>
      <c r="TJS182" s="82"/>
      <c r="TJT182" s="82"/>
      <c r="TJU182" s="82"/>
      <c r="TJV182" s="82"/>
      <c r="TJW182" s="82"/>
      <c r="TJX182" s="82"/>
      <c r="TJY182" s="82"/>
      <c r="TJZ182" s="82"/>
      <c r="TKA182" s="82"/>
      <c r="TKB182" s="82"/>
      <c r="TKC182" s="82"/>
      <c r="TKD182" s="82"/>
      <c r="TKE182" s="82"/>
      <c r="TKF182" s="82"/>
      <c r="TKG182" s="82"/>
      <c r="TKH182" s="82"/>
      <c r="TKI182" s="82"/>
      <c r="TKJ182" s="82"/>
      <c r="TKK182" s="82"/>
      <c r="TKL182" s="82"/>
      <c r="TKM182" s="82"/>
      <c r="TKN182" s="82"/>
      <c r="TKO182" s="82"/>
      <c r="TKP182" s="82"/>
      <c r="TKQ182" s="82"/>
      <c r="TKR182" s="82"/>
      <c r="TKS182" s="82"/>
      <c r="TKT182" s="82"/>
      <c r="TKU182" s="82"/>
      <c r="TKV182" s="82"/>
      <c r="TKW182" s="82"/>
      <c r="TKX182" s="82"/>
      <c r="TKY182" s="82"/>
      <c r="TKZ182" s="82"/>
      <c r="TLA182" s="82"/>
      <c r="TLB182" s="82"/>
      <c r="TLC182" s="82"/>
      <c r="TLD182" s="82"/>
      <c r="TLE182" s="82"/>
      <c r="TLF182" s="82"/>
      <c r="TLG182" s="82"/>
      <c r="TLH182" s="82"/>
      <c r="TLI182" s="82"/>
      <c r="TLJ182" s="82"/>
      <c r="TLK182" s="82"/>
      <c r="TLL182" s="82"/>
      <c r="TLM182" s="82"/>
      <c r="TLN182" s="82"/>
      <c r="TLO182" s="82"/>
      <c r="TLP182" s="82"/>
      <c r="TLQ182" s="82"/>
      <c r="TLR182" s="82"/>
      <c r="TLS182" s="82"/>
      <c r="TLT182" s="82"/>
      <c r="TLU182" s="82"/>
      <c r="TLV182" s="82"/>
      <c r="TLW182" s="82"/>
      <c r="TLX182" s="82"/>
      <c r="TLY182" s="82"/>
      <c r="TLZ182" s="82"/>
      <c r="TMA182" s="82"/>
      <c r="TMB182" s="82"/>
      <c r="TMC182" s="82"/>
      <c r="TMD182" s="82"/>
      <c r="TME182" s="82"/>
      <c r="TMF182" s="82"/>
      <c r="TMG182" s="82"/>
      <c r="TMH182" s="82"/>
      <c r="TMI182" s="82"/>
      <c r="TMJ182" s="82"/>
      <c r="TMK182" s="82"/>
      <c r="TML182" s="82"/>
      <c r="TMM182" s="82"/>
      <c r="TMN182" s="82"/>
      <c r="TMO182" s="82"/>
      <c r="TMP182" s="82"/>
      <c r="TMQ182" s="82"/>
      <c r="TMR182" s="82"/>
      <c r="TMS182" s="82"/>
      <c r="TMT182" s="82"/>
      <c r="TMU182" s="82"/>
      <c r="TMV182" s="82"/>
      <c r="TMW182" s="82"/>
      <c r="TMX182" s="82"/>
      <c r="TMY182" s="82"/>
      <c r="TMZ182" s="82"/>
      <c r="TNA182" s="82"/>
      <c r="TNB182" s="82"/>
      <c r="TNC182" s="82"/>
      <c r="TND182" s="82"/>
      <c r="TNE182" s="82"/>
      <c r="TNF182" s="82"/>
      <c r="TNG182" s="82"/>
      <c r="TNH182" s="82"/>
      <c r="TNI182" s="82"/>
      <c r="TNJ182" s="82"/>
      <c r="TNK182" s="82"/>
      <c r="TNL182" s="82"/>
      <c r="TNM182" s="82"/>
      <c r="TNN182" s="82"/>
      <c r="TNO182" s="82"/>
      <c r="TNP182" s="82"/>
      <c r="TNQ182" s="82"/>
      <c r="TNR182" s="82"/>
      <c r="TNS182" s="82"/>
      <c r="TNT182" s="82"/>
      <c r="TNU182" s="82"/>
      <c r="TNV182" s="82"/>
      <c r="TNW182" s="82"/>
      <c r="TNX182" s="82"/>
      <c r="TNY182" s="82"/>
      <c r="TNZ182" s="82"/>
      <c r="TOA182" s="82"/>
      <c r="TOB182" s="82"/>
      <c r="TOC182" s="82"/>
      <c r="TOD182" s="82"/>
      <c r="TOE182" s="82"/>
      <c r="TOF182" s="82"/>
      <c r="TOG182" s="82"/>
      <c r="TOH182" s="82"/>
      <c r="TOI182" s="82"/>
      <c r="TOJ182" s="82"/>
      <c r="TOK182" s="82"/>
      <c r="TOL182" s="82"/>
      <c r="TOM182" s="82"/>
      <c r="TON182" s="82"/>
      <c r="TOO182" s="82"/>
      <c r="TOP182" s="82"/>
      <c r="TOQ182" s="82"/>
      <c r="TOR182" s="82"/>
      <c r="TOS182" s="82"/>
      <c r="TOT182" s="82"/>
      <c r="TOU182" s="82"/>
      <c r="TOV182" s="82"/>
      <c r="TOW182" s="82"/>
      <c r="TOX182" s="82"/>
      <c r="TOY182" s="82"/>
      <c r="TOZ182" s="82"/>
      <c r="TPA182" s="82"/>
      <c r="TPB182" s="82"/>
      <c r="TPC182" s="82"/>
      <c r="TPD182" s="82"/>
      <c r="TPE182" s="82"/>
      <c r="TPF182" s="82"/>
      <c r="TPG182" s="82"/>
      <c r="TPH182" s="82"/>
      <c r="TPI182" s="82"/>
      <c r="TPJ182" s="82"/>
      <c r="TPK182" s="82"/>
      <c r="TPL182" s="82"/>
      <c r="TPM182" s="82"/>
      <c r="TPN182" s="82"/>
      <c r="TPO182" s="82"/>
      <c r="TPP182" s="82"/>
      <c r="TPQ182" s="82"/>
      <c r="TPR182" s="82"/>
      <c r="TPS182" s="82"/>
      <c r="TPT182" s="82"/>
      <c r="TPU182" s="82"/>
      <c r="TPV182" s="82"/>
      <c r="TPW182" s="82"/>
      <c r="TPX182" s="82"/>
      <c r="TPY182" s="82"/>
      <c r="TPZ182" s="82"/>
      <c r="TQA182" s="82"/>
      <c r="TQB182" s="82"/>
      <c r="TQC182" s="82"/>
      <c r="TQD182" s="82"/>
      <c r="TQE182" s="82"/>
      <c r="TQF182" s="82"/>
      <c r="TQG182" s="82"/>
      <c r="TQH182" s="82"/>
      <c r="TQI182" s="82"/>
      <c r="TQJ182" s="82"/>
      <c r="TQK182" s="82"/>
      <c r="TQL182" s="82"/>
      <c r="TQM182" s="82"/>
      <c r="TQN182" s="82"/>
      <c r="TQO182" s="82"/>
      <c r="TQP182" s="82"/>
      <c r="TQQ182" s="82"/>
      <c r="TQR182" s="82"/>
      <c r="TQS182" s="82"/>
      <c r="TQT182" s="82"/>
      <c r="TQU182" s="82"/>
      <c r="TQV182" s="82"/>
      <c r="TQW182" s="82"/>
      <c r="TQX182" s="82"/>
      <c r="TQY182" s="82"/>
      <c r="TQZ182" s="82"/>
      <c r="TRA182" s="82"/>
      <c r="TRB182" s="82"/>
      <c r="TRC182" s="82"/>
      <c r="TRD182" s="82"/>
      <c r="TRE182" s="82"/>
      <c r="TRF182" s="82"/>
      <c r="TRG182" s="82"/>
      <c r="TRH182" s="82"/>
      <c r="TRI182" s="82"/>
      <c r="TRJ182" s="82"/>
      <c r="TRK182" s="82"/>
      <c r="TRL182" s="82"/>
      <c r="TRM182" s="82"/>
      <c r="TRN182" s="82"/>
      <c r="TRO182" s="82"/>
      <c r="TRP182" s="82"/>
      <c r="TRQ182" s="82"/>
      <c r="TRR182" s="82"/>
      <c r="TRS182" s="82"/>
      <c r="TRT182" s="82"/>
      <c r="TRU182" s="82"/>
      <c r="TRV182" s="82"/>
      <c r="TRW182" s="82"/>
      <c r="TRX182" s="82"/>
      <c r="TRY182" s="82"/>
      <c r="TRZ182" s="82"/>
      <c r="TSA182" s="82"/>
      <c r="TSB182" s="82"/>
      <c r="TSC182" s="82"/>
      <c r="TSD182" s="82"/>
      <c r="TSE182" s="82"/>
      <c r="TSF182" s="82"/>
      <c r="TSG182" s="82"/>
      <c r="TSH182" s="82"/>
      <c r="TSI182" s="82"/>
      <c r="TSJ182" s="82"/>
      <c r="TSK182" s="82"/>
      <c r="TSL182" s="82"/>
      <c r="TSM182" s="82"/>
      <c r="TSN182" s="82"/>
      <c r="TSO182" s="82"/>
      <c r="TSP182" s="82"/>
      <c r="TSQ182" s="82"/>
      <c r="TSR182" s="82"/>
      <c r="TSS182" s="82"/>
      <c r="TST182" s="82"/>
      <c r="TSU182" s="82"/>
      <c r="TSV182" s="82"/>
      <c r="TSW182" s="82"/>
      <c r="TSX182" s="82"/>
      <c r="TSY182" s="82"/>
      <c r="TSZ182" s="82"/>
      <c r="TTA182" s="82"/>
      <c r="TTB182" s="82"/>
      <c r="TTC182" s="82"/>
      <c r="TTD182" s="82"/>
      <c r="TTE182" s="82"/>
      <c r="TTF182" s="82"/>
      <c r="TTG182" s="82"/>
      <c r="TTH182" s="82"/>
      <c r="TTI182" s="82"/>
      <c r="TTJ182" s="82"/>
      <c r="TTK182" s="82"/>
      <c r="TTL182" s="82"/>
      <c r="TTM182" s="82"/>
      <c r="TTN182" s="82"/>
      <c r="TTO182" s="82"/>
      <c r="TTP182" s="82"/>
      <c r="TTQ182" s="82"/>
      <c r="TTR182" s="82"/>
      <c r="TTS182" s="82"/>
      <c r="TTT182" s="82"/>
      <c r="TTU182" s="82"/>
      <c r="TTV182" s="82"/>
      <c r="TTW182" s="82"/>
      <c r="TTX182" s="82"/>
      <c r="TTY182" s="82"/>
      <c r="TTZ182" s="82"/>
      <c r="TUA182" s="82"/>
      <c r="TUB182" s="82"/>
      <c r="TUC182" s="82"/>
      <c r="TUD182" s="82"/>
      <c r="TUE182" s="82"/>
      <c r="TUF182" s="82"/>
      <c r="TUG182" s="82"/>
      <c r="TUH182" s="82"/>
      <c r="TUI182" s="82"/>
      <c r="TUJ182" s="82"/>
      <c r="TUK182" s="82"/>
      <c r="TUL182" s="82"/>
      <c r="TUM182" s="82"/>
      <c r="TUN182" s="82"/>
      <c r="TUO182" s="82"/>
      <c r="TUP182" s="82"/>
      <c r="TUQ182" s="82"/>
      <c r="TUR182" s="82"/>
      <c r="TUS182" s="82"/>
      <c r="TUT182" s="82"/>
      <c r="TUU182" s="82"/>
      <c r="TUV182" s="82"/>
      <c r="TUW182" s="82"/>
      <c r="TUX182" s="82"/>
      <c r="TUY182" s="82"/>
      <c r="TUZ182" s="82"/>
      <c r="TVA182" s="82"/>
      <c r="TVB182" s="82"/>
      <c r="TVC182" s="82"/>
      <c r="TVD182" s="82"/>
      <c r="TVE182" s="82"/>
      <c r="TVF182" s="82"/>
      <c r="TVG182" s="82"/>
      <c r="TVH182" s="82"/>
      <c r="TVI182" s="82"/>
      <c r="TVJ182" s="82"/>
      <c r="TVK182" s="82"/>
      <c r="TVL182" s="82"/>
      <c r="TVM182" s="82"/>
      <c r="TVN182" s="82"/>
      <c r="TVO182" s="82"/>
      <c r="TVP182" s="82"/>
      <c r="TVQ182" s="82"/>
      <c r="TVR182" s="82"/>
      <c r="TVS182" s="82"/>
      <c r="TVT182" s="82"/>
      <c r="TVU182" s="82"/>
      <c r="TVV182" s="82"/>
      <c r="TVW182" s="82"/>
      <c r="TVX182" s="82"/>
      <c r="TVY182" s="82"/>
      <c r="TVZ182" s="82"/>
      <c r="TWA182" s="82"/>
      <c r="TWB182" s="82"/>
      <c r="TWC182" s="82"/>
      <c r="TWD182" s="82"/>
      <c r="TWE182" s="82"/>
      <c r="TWF182" s="82"/>
      <c r="TWG182" s="82"/>
      <c r="TWH182" s="82"/>
      <c r="TWI182" s="82"/>
      <c r="TWJ182" s="82"/>
      <c r="TWK182" s="82"/>
      <c r="TWL182" s="82"/>
      <c r="TWM182" s="82"/>
      <c r="TWN182" s="82"/>
      <c r="TWO182" s="82"/>
      <c r="TWP182" s="82"/>
      <c r="TWQ182" s="82"/>
      <c r="TWR182" s="82"/>
      <c r="TWS182" s="82"/>
      <c r="TWT182" s="82"/>
      <c r="TWU182" s="82"/>
      <c r="TWV182" s="82"/>
      <c r="TWW182" s="82"/>
      <c r="TWX182" s="82"/>
      <c r="TWY182" s="82"/>
      <c r="TWZ182" s="82"/>
      <c r="TXA182" s="82"/>
      <c r="TXB182" s="82"/>
      <c r="TXC182" s="82"/>
      <c r="TXD182" s="82"/>
      <c r="TXE182" s="82"/>
      <c r="TXF182" s="82"/>
      <c r="TXG182" s="82"/>
      <c r="TXH182" s="82"/>
      <c r="TXI182" s="82"/>
      <c r="TXJ182" s="82"/>
      <c r="TXK182" s="82"/>
      <c r="TXL182" s="82"/>
      <c r="TXM182" s="82"/>
      <c r="TXN182" s="82"/>
      <c r="TXO182" s="82"/>
      <c r="TXP182" s="82"/>
      <c r="TXQ182" s="82"/>
      <c r="TXR182" s="82"/>
      <c r="TXS182" s="82"/>
      <c r="TXT182" s="82"/>
      <c r="TXU182" s="82"/>
      <c r="TXV182" s="82"/>
      <c r="TXW182" s="82"/>
      <c r="TXX182" s="82"/>
      <c r="TXY182" s="82"/>
      <c r="TXZ182" s="82"/>
      <c r="TYA182" s="82"/>
      <c r="TYB182" s="82"/>
      <c r="TYC182" s="82"/>
      <c r="TYD182" s="82"/>
      <c r="TYE182" s="82"/>
      <c r="TYF182" s="82"/>
      <c r="TYG182" s="82"/>
      <c r="TYH182" s="82"/>
      <c r="TYI182" s="82"/>
      <c r="TYJ182" s="82"/>
      <c r="TYK182" s="82"/>
      <c r="TYL182" s="82"/>
      <c r="TYM182" s="82"/>
      <c r="TYN182" s="82"/>
      <c r="TYO182" s="82"/>
      <c r="TYP182" s="82"/>
      <c r="TYQ182" s="82"/>
      <c r="TYR182" s="82"/>
      <c r="TYS182" s="82"/>
      <c r="TYT182" s="82"/>
      <c r="TYU182" s="82"/>
      <c r="TYV182" s="82"/>
      <c r="TYW182" s="82"/>
      <c r="TYX182" s="82"/>
      <c r="TYY182" s="82"/>
      <c r="TYZ182" s="82"/>
      <c r="TZA182" s="82"/>
      <c r="TZB182" s="82"/>
      <c r="TZC182" s="82"/>
      <c r="TZD182" s="82"/>
      <c r="TZE182" s="82"/>
      <c r="TZF182" s="82"/>
      <c r="TZG182" s="82"/>
      <c r="TZH182" s="82"/>
      <c r="TZI182" s="82"/>
      <c r="TZJ182" s="82"/>
      <c r="TZK182" s="82"/>
      <c r="TZL182" s="82"/>
      <c r="TZM182" s="82"/>
      <c r="TZN182" s="82"/>
      <c r="TZO182" s="82"/>
      <c r="TZP182" s="82"/>
      <c r="TZQ182" s="82"/>
      <c r="TZR182" s="82"/>
      <c r="TZS182" s="82"/>
      <c r="TZT182" s="82"/>
      <c r="TZU182" s="82"/>
      <c r="TZV182" s="82"/>
      <c r="TZW182" s="82"/>
      <c r="TZX182" s="82"/>
      <c r="TZY182" s="82"/>
      <c r="TZZ182" s="82"/>
      <c r="UAA182" s="82"/>
      <c r="UAB182" s="82"/>
      <c r="UAC182" s="82"/>
      <c r="UAD182" s="82"/>
      <c r="UAE182" s="82"/>
      <c r="UAF182" s="82"/>
      <c r="UAG182" s="82"/>
      <c r="UAH182" s="82"/>
      <c r="UAI182" s="82"/>
      <c r="UAJ182" s="82"/>
      <c r="UAK182" s="82"/>
      <c r="UAL182" s="82"/>
      <c r="UAM182" s="82"/>
      <c r="UAN182" s="82"/>
      <c r="UAO182" s="82"/>
      <c r="UAP182" s="82"/>
      <c r="UAQ182" s="82"/>
      <c r="UAR182" s="82"/>
      <c r="UAS182" s="82"/>
      <c r="UAT182" s="82"/>
      <c r="UAU182" s="82"/>
      <c r="UAV182" s="82"/>
      <c r="UAW182" s="82"/>
      <c r="UAX182" s="82"/>
      <c r="UAY182" s="82"/>
      <c r="UAZ182" s="82"/>
      <c r="UBA182" s="82"/>
      <c r="UBB182" s="82"/>
      <c r="UBC182" s="82"/>
      <c r="UBD182" s="82"/>
      <c r="UBE182" s="82"/>
      <c r="UBF182" s="82"/>
      <c r="UBG182" s="82"/>
      <c r="UBH182" s="82"/>
      <c r="UBI182" s="82"/>
      <c r="UBJ182" s="82"/>
      <c r="UBK182" s="82"/>
      <c r="UBL182" s="82"/>
      <c r="UBM182" s="82"/>
      <c r="UBN182" s="82"/>
      <c r="UBO182" s="82"/>
      <c r="UBP182" s="82"/>
      <c r="UBQ182" s="82"/>
      <c r="UBR182" s="82"/>
      <c r="UBS182" s="82"/>
      <c r="UBT182" s="82"/>
      <c r="UBU182" s="82"/>
      <c r="UBV182" s="82"/>
      <c r="UBW182" s="82"/>
      <c r="UBX182" s="82"/>
      <c r="UBY182" s="82"/>
      <c r="UBZ182" s="82"/>
      <c r="UCA182" s="82"/>
      <c r="UCB182" s="82"/>
      <c r="UCC182" s="82"/>
      <c r="UCD182" s="82"/>
      <c r="UCE182" s="82"/>
      <c r="UCF182" s="82"/>
      <c r="UCG182" s="82"/>
      <c r="UCH182" s="82"/>
      <c r="UCI182" s="82"/>
      <c r="UCJ182" s="82"/>
      <c r="UCK182" s="82"/>
      <c r="UCL182" s="82"/>
      <c r="UCM182" s="82"/>
      <c r="UCN182" s="82"/>
      <c r="UCO182" s="82"/>
      <c r="UCP182" s="82"/>
      <c r="UCQ182" s="82"/>
      <c r="UCR182" s="82"/>
      <c r="UCS182" s="82"/>
      <c r="UCT182" s="82"/>
      <c r="UCU182" s="82"/>
      <c r="UCV182" s="82"/>
      <c r="UCW182" s="82"/>
      <c r="UCX182" s="82"/>
      <c r="UCY182" s="82"/>
      <c r="UCZ182" s="82"/>
      <c r="UDA182" s="82"/>
      <c r="UDB182" s="82"/>
      <c r="UDC182" s="82"/>
      <c r="UDD182" s="82"/>
      <c r="UDE182" s="82"/>
      <c r="UDF182" s="82"/>
      <c r="UDG182" s="82"/>
      <c r="UDH182" s="82"/>
      <c r="UDI182" s="82"/>
      <c r="UDJ182" s="82"/>
      <c r="UDK182" s="82"/>
      <c r="UDL182" s="82"/>
      <c r="UDM182" s="82"/>
      <c r="UDN182" s="82"/>
      <c r="UDO182" s="82"/>
      <c r="UDP182" s="82"/>
      <c r="UDQ182" s="82"/>
      <c r="UDR182" s="82"/>
      <c r="UDS182" s="82"/>
      <c r="UDT182" s="82"/>
      <c r="UDU182" s="82"/>
      <c r="UDV182" s="82"/>
      <c r="UDW182" s="82"/>
      <c r="UDX182" s="82"/>
      <c r="UDY182" s="82"/>
      <c r="UDZ182" s="82"/>
      <c r="UEA182" s="82"/>
      <c r="UEB182" s="82"/>
      <c r="UEC182" s="82"/>
      <c r="UED182" s="82"/>
      <c r="UEE182" s="82"/>
      <c r="UEF182" s="82"/>
      <c r="UEG182" s="82"/>
      <c r="UEH182" s="82"/>
      <c r="UEI182" s="82"/>
      <c r="UEJ182" s="82"/>
      <c r="UEK182" s="82"/>
      <c r="UEL182" s="82"/>
      <c r="UEM182" s="82"/>
      <c r="UEN182" s="82"/>
      <c r="UEO182" s="82"/>
      <c r="UEP182" s="82"/>
      <c r="UEQ182" s="82"/>
      <c r="UER182" s="82"/>
      <c r="UES182" s="82"/>
      <c r="UET182" s="82"/>
      <c r="UEU182" s="82"/>
      <c r="UEV182" s="82"/>
      <c r="UEW182" s="82"/>
      <c r="UEX182" s="82"/>
      <c r="UEY182" s="82"/>
      <c r="UEZ182" s="82"/>
      <c r="UFA182" s="82"/>
      <c r="UFB182" s="82"/>
      <c r="UFC182" s="82"/>
      <c r="UFD182" s="82"/>
      <c r="UFE182" s="82"/>
      <c r="UFF182" s="82"/>
      <c r="UFG182" s="82"/>
      <c r="UFH182" s="82"/>
      <c r="UFI182" s="82"/>
      <c r="UFJ182" s="82"/>
      <c r="UFK182" s="82"/>
      <c r="UFL182" s="82"/>
      <c r="UFM182" s="82"/>
      <c r="UFN182" s="82"/>
      <c r="UFO182" s="82"/>
      <c r="UFP182" s="82"/>
      <c r="UFQ182" s="82"/>
      <c r="UFR182" s="82"/>
      <c r="UFS182" s="82"/>
      <c r="UFT182" s="82"/>
      <c r="UFU182" s="82"/>
      <c r="UFV182" s="82"/>
      <c r="UFW182" s="82"/>
      <c r="UFX182" s="82"/>
      <c r="UFY182" s="82"/>
      <c r="UFZ182" s="82"/>
      <c r="UGA182" s="82"/>
      <c r="UGB182" s="82"/>
      <c r="UGC182" s="82"/>
      <c r="UGD182" s="82"/>
      <c r="UGE182" s="82"/>
      <c r="UGF182" s="82"/>
      <c r="UGG182" s="82"/>
      <c r="UGH182" s="82"/>
      <c r="UGI182" s="82"/>
      <c r="UGJ182" s="82"/>
      <c r="UGK182" s="82"/>
      <c r="UGL182" s="82"/>
      <c r="UGM182" s="82"/>
      <c r="UGN182" s="82"/>
      <c r="UGO182" s="82"/>
      <c r="UGP182" s="82"/>
      <c r="UGQ182" s="82"/>
      <c r="UGR182" s="82"/>
      <c r="UGS182" s="82"/>
      <c r="UGT182" s="82"/>
      <c r="UGU182" s="82"/>
      <c r="UGV182" s="82"/>
      <c r="UGW182" s="82"/>
      <c r="UGX182" s="82"/>
      <c r="UGY182" s="82"/>
      <c r="UGZ182" s="82"/>
      <c r="UHA182" s="82"/>
      <c r="UHB182" s="82"/>
      <c r="UHC182" s="82"/>
      <c r="UHD182" s="82"/>
      <c r="UHE182" s="82"/>
      <c r="UHF182" s="82"/>
      <c r="UHG182" s="82"/>
      <c r="UHH182" s="82"/>
      <c r="UHI182" s="82"/>
      <c r="UHJ182" s="82"/>
      <c r="UHK182" s="82"/>
      <c r="UHL182" s="82"/>
      <c r="UHM182" s="82"/>
      <c r="UHN182" s="82"/>
      <c r="UHO182" s="82"/>
      <c r="UHP182" s="82"/>
      <c r="UHQ182" s="82"/>
      <c r="UHR182" s="82"/>
      <c r="UHS182" s="82"/>
      <c r="UHT182" s="82"/>
      <c r="UHU182" s="82"/>
      <c r="UHV182" s="82"/>
      <c r="UHW182" s="82"/>
      <c r="UHX182" s="82"/>
      <c r="UHY182" s="82"/>
      <c r="UHZ182" s="82"/>
      <c r="UIA182" s="82"/>
      <c r="UIB182" s="82"/>
      <c r="UIC182" s="82"/>
      <c r="UID182" s="82"/>
      <c r="UIE182" s="82"/>
      <c r="UIF182" s="82"/>
      <c r="UIG182" s="82"/>
      <c r="UIH182" s="82"/>
      <c r="UII182" s="82"/>
      <c r="UIJ182" s="82"/>
      <c r="UIK182" s="82"/>
      <c r="UIL182" s="82"/>
      <c r="UIM182" s="82"/>
      <c r="UIN182" s="82"/>
      <c r="UIO182" s="82"/>
      <c r="UIP182" s="82"/>
      <c r="UIQ182" s="82"/>
      <c r="UIR182" s="82"/>
      <c r="UIS182" s="82"/>
      <c r="UIT182" s="82"/>
      <c r="UIU182" s="82"/>
      <c r="UIV182" s="82"/>
      <c r="UIW182" s="82"/>
      <c r="UIX182" s="82"/>
      <c r="UIY182" s="82"/>
      <c r="UIZ182" s="82"/>
      <c r="UJA182" s="82"/>
      <c r="UJB182" s="82"/>
      <c r="UJC182" s="82"/>
      <c r="UJD182" s="82"/>
      <c r="UJE182" s="82"/>
      <c r="UJF182" s="82"/>
      <c r="UJG182" s="82"/>
      <c r="UJH182" s="82"/>
      <c r="UJI182" s="82"/>
      <c r="UJJ182" s="82"/>
      <c r="UJK182" s="82"/>
      <c r="UJL182" s="82"/>
      <c r="UJM182" s="82"/>
      <c r="UJN182" s="82"/>
      <c r="UJO182" s="82"/>
      <c r="UJP182" s="82"/>
      <c r="UJQ182" s="82"/>
      <c r="UJR182" s="82"/>
      <c r="UJS182" s="82"/>
      <c r="UJT182" s="82"/>
      <c r="UJU182" s="82"/>
      <c r="UJV182" s="82"/>
      <c r="UJW182" s="82"/>
      <c r="UJX182" s="82"/>
      <c r="UJY182" s="82"/>
      <c r="UJZ182" s="82"/>
      <c r="UKA182" s="82"/>
      <c r="UKB182" s="82"/>
      <c r="UKC182" s="82"/>
      <c r="UKD182" s="82"/>
      <c r="UKE182" s="82"/>
      <c r="UKF182" s="82"/>
      <c r="UKG182" s="82"/>
      <c r="UKH182" s="82"/>
      <c r="UKI182" s="82"/>
      <c r="UKJ182" s="82"/>
      <c r="UKK182" s="82"/>
      <c r="UKL182" s="82"/>
      <c r="UKM182" s="82"/>
      <c r="UKN182" s="82"/>
      <c r="UKO182" s="82"/>
      <c r="UKP182" s="82"/>
      <c r="UKQ182" s="82"/>
      <c r="UKR182" s="82"/>
      <c r="UKS182" s="82"/>
      <c r="UKT182" s="82"/>
      <c r="UKU182" s="82"/>
      <c r="UKV182" s="82"/>
      <c r="UKW182" s="82"/>
      <c r="UKX182" s="82"/>
      <c r="UKY182" s="82"/>
      <c r="UKZ182" s="82"/>
      <c r="ULA182" s="82"/>
      <c r="ULB182" s="82"/>
      <c r="ULC182" s="82"/>
      <c r="ULD182" s="82"/>
      <c r="ULE182" s="82"/>
      <c r="ULF182" s="82"/>
      <c r="ULG182" s="82"/>
      <c r="ULH182" s="82"/>
      <c r="ULI182" s="82"/>
      <c r="ULJ182" s="82"/>
      <c r="ULK182" s="82"/>
      <c r="ULL182" s="82"/>
      <c r="ULM182" s="82"/>
      <c r="ULN182" s="82"/>
      <c r="ULO182" s="82"/>
      <c r="ULP182" s="82"/>
      <c r="ULQ182" s="82"/>
      <c r="ULR182" s="82"/>
      <c r="ULS182" s="82"/>
      <c r="ULT182" s="82"/>
      <c r="ULU182" s="82"/>
      <c r="ULV182" s="82"/>
      <c r="ULW182" s="82"/>
      <c r="ULX182" s="82"/>
      <c r="ULY182" s="82"/>
      <c r="ULZ182" s="82"/>
      <c r="UMA182" s="82"/>
      <c r="UMB182" s="82"/>
      <c r="UMC182" s="82"/>
      <c r="UMD182" s="82"/>
      <c r="UME182" s="82"/>
      <c r="UMF182" s="82"/>
      <c r="UMG182" s="82"/>
      <c r="UMH182" s="82"/>
      <c r="UMI182" s="82"/>
      <c r="UMJ182" s="82"/>
      <c r="UMK182" s="82"/>
      <c r="UML182" s="82"/>
      <c r="UMM182" s="82"/>
      <c r="UMN182" s="82"/>
      <c r="UMO182" s="82"/>
      <c r="UMP182" s="82"/>
      <c r="UMQ182" s="82"/>
      <c r="UMR182" s="82"/>
      <c r="UMS182" s="82"/>
      <c r="UMT182" s="82"/>
      <c r="UMU182" s="82"/>
      <c r="UMV182" s="82"/>
      <c r="UMW182" s="82"/>
      <c r="UMX182" s="82"/>
      <c r="UMY182" s="82"/>
      <c r="UMZ182" s="82"/>
      <c r="UNA182" s="82"/>
      <c r="UNB182" s="82"/>
      <c r="UNC182" s="82"/>
      <c r="UND182" s="82"/>
      <c r="UNE182" s="82"/>
      <c r="UNF182" s="82"/>
      <c r="UNG182" s="82"/>
      <c r="UNH182" s="82"/>
      <c r="UNI182" s="82"/>
      <c r="UNJ182" s="82"/>
      <c r="UNK182" s="82"/>
      <c r="UNL182" s="82"/>
      <c r="UNM182" s="82"/>
      <c r="UNN182" s="82"/>
      <c r="UNO182" s="82"/>
      <c r="UNP182" s="82"/>
      <c r="UNQ182" s="82"/>
      <c r="UNR182" s="82"/>
      <c r="UNS182" s="82"/>
      <c r="UNT182" s="82"/>
      <c r="UNU182" s="82"/>
      <c r="UNV182" s="82"/>
      <c r="UNW182" s="82"/>
      <c r="UNX182" s="82"/>
      <c r="UNY182" s="82"/>
      <c r="UNZ182" s="82"/>
      <c r="UOA182" s="82"/>
      <c r="UOB182" s="82"/>
      <c r="UOC182" s="82"/>
      <c r="UOD182" s="82"/>
      <c r="UOE182" s="82"/>
      <c r="UOF182" s="82"/>
      <c r="UOG182" s="82"/>
      <c r="UOH182" s="82"/>
      <c r="UOI182" s="82"/>
      <c r="UOJ182" s="82"/>
      <c r="UOK182" s="82"/>
      <c r="UOL182" s="82"/>
      <c r="UOM182" s="82"/>
      <c r="UON182" s="82"/>
      <c r="UOO182" s="82"/>
      <c r="UOP182" s="82"/>
      <c r="UOQ182" s="82"/>
      <c r="UOR182" s="82"/>
      <c r="UOS182" s="82"/>
      <c r="UOT182" s="82"/>
      <c r="UOU182" s="82"/>
      <c r="UOV182" s="82"/>
      <c r="UOW182" s="82"/>
      <c r="UOX182" s="82"/>
      <c r="UOY182" s="82"/>
      <c r="UOZ182" s="82"/>
      <c r="UPA182" s="82"/>
      <c r="UPB182" s="82"/>
      <c r="UPC182" s="82"/>
      <c r="UPD182" s="82"/>
      <c r="UPE182" s="82"/>
      <c r="UPF182" s="82"/>
      <c r="UPG182" s="82"/>
      <c r="UPH182" s="82"/>
      <c r="UPI182" s="82"/>
      <c r="UPJ182" s="82"/>
      <c r="UPK182" s="82"/>
      <c r="UPL182" s="82"/>
      <c r="UPM182" s="82"/>
      <c r="UPN182" s="82"/>
      <c r="UPO182" s="82"/>
      <c r="UPP182" s="82"/>
      <c r="UPQ182" s="82"/>
      <c r="UPR182" s="82"/>
      <c r="UPS182" s="82"/>
      <c r="UPT182" s="82"/>
      <c r="UPU182" s="82"/>
      <c r="UPV182" s="82"/>
      <c r="UPW182" s="82"/>
      <c r="UPX182" s="82"/>
      <c r="UPY182" s="82"/>
      <c r="UPZ182" s="82"/>
      <c r="UQA182" s="82"/>
      <c r="UQB182" s="82"/>
      <c r="UQC182" s="82"/>
      <c r="UQD182" s="82"/>
      <c r="UQE182" s="82"/>
      <c r="UQF182" s="82"/>
      <c r="UQG182" s="82"/>
      <c r="UQH182" s="82"/>
      <c r="UQI182" s="82"/>
      <c r="UQJ182" s="82"/>
      <c r="UQK182" s="82"/>
      <c r="UQL182" s="82"/>
      <c r="UQM182" s="82"/>
      <c r="UQN182" s="82"/>
      <c r="UQO182" s="82"/>
      <c r="UQP182" s="82"/>
      <c r="UQQ182" s="82"/>
      <c r="UQR182" s="82"/>
      <c r="UQS182" s="82"/>
      <c r="UQT182" s="82"/>
      <c r="UQU182" s="82"/>
      <c r="UQV182" s="82"/>
      <c r="UQW182" s="82"/>
      <c r="UQX182" s="82"/>
      <c r="UQY182" s="82"/>
      <c r="UQZ182" s="82"/>
      <c r="URA182" s="82"/>
      <c r="URB182" s="82"/>
      <c r="URC182" s="82"/>
      <c r="URD182" s="82"/>
      <c r="URE182" s="82"/>
      <c r="URF182" s="82"/>
      <c r="URG182" s="82"/>
      <c r="URH182" s="82"/>
      <c r="URI182" s="82"/>
      <c r="URJ182" s="82"/>
      <c r="URK182" s="82"/>
      <c r="URL182" s="82"/>
      <c r="URM182" s="82"/>
      <c r="URN182" s="82"/>
      <c r="URO182" s="82"/>
      <c r="URP182" s="82"/>
      <c r="URQ182" s="82"/>
      <c r="URR182" s="82"/>
      <c r="URS182" s="82"/>
      <c r="URT182" s="82"/>
      <c r="URU182" s="82"/>
      <c r="URV182" s="82"/>
      <c r="URW182" s="82"/>
      <c r="URX182" s="82"/>
      <c r="URY182" s="82"/>
      <c r="URZ182" s="82"/>
      <c r="USA182" s="82"/>
      <c r="USB182" s="82"/>
      <c r="USC182" s="82"/>
      <c r="USD182" s="82"/>
      <c r="USE182" s="82"/>
      <c r="USF182" s="82"/>
      <c r="USG182" s="82"/>
      <c r="USH182" s="82"/>
      <c r="USI182" s="82"/>
      <c r="USJ182" s="82"/>
      <c r="USK182" s="82"/>
      <c r="USL182" s="82"/>
      <c r="USM182" s="82"/>
      <c r="USN182" s="82"/>
      <c r="USO182" s="82"/>
      <c r="USP182" s="82"/>
      <c r="USQ182" s="82"/>
      <c r="USR182" s="82"/>
      <c r="USS182" s="82"/>
      <c r="UST182" s="82"/>
      <c r="USU182" s="82"/>
      <c r="USV182" s="82"/>
      <c r="USW182" s="82"/>
      <c r="USX182" s="82"/>
      <c r="USY182" s="82"/>
      <c r="USZ182" s="82"/>
      <c r="UTA182" s="82"/>
      <c r="UTB182" s="82"/>
      <c r="UTC182" s="82"/>
      <c r="UTD182" s="82"/>
      <c r="UTE182" s="82"/>
      <c r="UTF182" s="82"/>
      <c r="UTG182" s="82"/>
      <c r="UTH182" s="82"/>
      <c r="UTI182" s="82"/>
      <c r="UTJ182" s="82"/>
      <c r="UTK182" s="82"/>
      <c r="UTL182" s="82"/>
      <c r="UTM182" s="82"/>
      <c r="UTN182" s="82"/>
      <c r="UTO182" s="82"/>
      <c r="UTP182" s="82"/>
      <c r="UTQ182" s="82"/>
      <c r="UTR182" s="82"/>
      <c r="UTS182" s="82"/>
      <c r="UTT182" s="82"/>
      <c r="UTU182" s="82"/>
      <c r="UTV182" s="82"/>
      <c r="UTW182" s="82"/>
      <c r="UTX182" s="82"/>
      <c r="UTY182" s="82"/>
      <c r="UTZ182" s="82"/>
      <c r="UUA182" s="82"/>
      <c r="UUB182" s="82"/>
      <c r="UUC182" s="82"/>
      <c r="UUD182" s="82"/>
      <c r="UUE182" s="82"/>
      <c r="UUF182" s="82"/>
      <c r="UUG182" s="82"/>
      <c r="UUH182" s="82"/>
      <c r="UUI182" s="82"/>
      <c r="UUJ182" s="82"/>
      <c r="UUK182" s="82"/>
      <c r="UUL182" s="82"/>
      <c r="UUM182" s="82"/>
      <c r="UUN182" s="82"/>
      <c r="UUO182" s="82"/>
      <c r="UUP182" s="82"/>
      <c r="UUQ182" s="82"/>
      <c r="UUR182" s="82"/>
      <c r="UUS182" s="82"/>
      <c r="UUT182" s="82"/>
      <c r="UUU182" s="82"/>
      <c r="UUV182" s="82"/>
      <c r="UUW182" s="82"/>
      <c r="UUX182" s="82"/>
      <c r="UUY182" s="82"/>
      <c r="UUZ182" s="82"/>
      <c r="UVA182" s="82"/>
      <c r="UVB182" s="82"/>
      <c r="UVC182" s="82"/>
      <c r="UVD182" s="82"/>
      <c r="UVE182" s="82"/>
      <c r="UVF182" s="82"/>
      <c r="UVG182" s="82"/>
      <c r="UVH182" s="82"/>
      <c r="UVI182" s="82"/>
      <c r="UVJ182" s="82"/>
      <c r="UVK182" s="82"/>
      <c r="UVL182" s="82"/>
      <c r="UVM182" s="82"/>
      <c r="UVN182" s="82"/>
      <c r="UVO182" s="82"/>
      <c r="UVP182" s="82"/>
      <c r="UVQ182" s="82"/>
      <c r="UVR182" s="82"/>
      <c r="UVS182" s="82"/>
      <c r="UVT182" s="82"/>
      <c r="UVU182" s="82"/>
      <c r="UVV182" s="82"/>
      <c r="UVW182" s="82"/>
      <c r="UVX182" s="82"/>
      <c r="UVY182" s="82"/>
      <c r="UVZ182" s="82"/>
      <c r="UWA182" s="82"/>
      <c r="UWB182" s="82"/>
      <c r="UWC182" s="82"/>
      <c r="UWD182" s="82"/>
      <c r="UWE182" s="82"/>
      <c r="UWF182" s="82"/>
      <c r="UWG182" s="82"/>
      <c r="UWH182" s="82"/>
      <c r="UWI182" s="82"/>
      <c r="UWJ182" s="82"/>
      <c r="UWK182" s="82"/>
      <c r="UWL182" s="82"/>
      <c r="UWM182" s="82"/>
      <c r="UWN182" s="82"/>
      <c r="UWO182" s="82"/>
      <c r="UWP182" s="82"/>
      <c r="UWQ182" s="82"/>
      <c r="UWR182" s="82"/>
      <c r="UWS182" s="82"/>
      <c r="UWT182" s="82"/>
      <c r="UWU182" s="82"/>
      <c r="UWV182" s="82"/>
      <c r="UWW182" s="82"/>
      <c r="UWX182" s="82"/>
      <c r="UWY182" s="82"/>
      <c r="UWZ182" s="82"/>
      <c r="UXA182" s="82"/>
      <c r="UXB182" s="82"/>
      <c r="UXC182" s="82"/>
      <c r="UXD182" s="82"/>
      <c r="UXE182" s="82"/>
      <c r="UXF182" s="82"/>
      <c r="UXG182" s="82"/>
      <c r="UXH182" s="82"/>
      <c r="UXI182" s="82"/>
      <c r="UXJ182" s="82"/>
      <c r="UXK182" s="82"/>
      <c r="UXL182" s="82"/>
      <c r="UXM182" s="82"/>
      <c r="UXN182" s="82"/>
      <c r="UXO182" s="82"/>
      <c r="UXP182" s="82"/>
      <c r="UXQ182" s="82"/>
      <c r="UXR182" s="82"/>
      <c r="UXS182" s="82"/>
      <c r="UXT182" s="82"/>
      <c r="UXU182" s="82"/>
      <c r="UXV182" s="82"/>
      <c r="UXW182" s="82"/>
      <c r="UXX182" s="82"/>
      <c r="UXY182" s="82"/>
      <c r="UXZ182" s="82"/>
      <c r="UYA182" s="82"/>
      <c r="UYB182" s="82"/>
      <c r="UYC182" s="82"/>
      <c r="UYD182" s="82"/>
      <c r="UYE182" s="82"/>
      <c r="UYF182" s="82"/>
      <c r="UYG182" s="82"/>
      <c r="UYH182" s="82"/>
      <c r="UYI182" s="82"/>
      <c r="UYJ182" s="82"/>
      <c r="UYK182" s="82"/>
      <c r="UYL182" s="82"/>
      <c r="UYM182" s="82"/>
      <c r="UYN182" s="82"/>
      <c r="UYO182" s="82"/>
      <c r="UYP182" s="82"/>
      <c r="UYQ182" s="82"/>
      <c r="UYR182" s="82"/>
      <c r="UYS182" s="82"/>
      <c r="UYT182" s="82"/>
      <c r="UYU182" s="82"/>
      <c r="UYV182" s="82"/>
      <c r="UYW182" s="82"/>
      <c r="UYX182" s="82"/>
      <c r="UYY182" s="82"/>
      <c r="UYZ182" s="82"/>
      <c r="UZA182" s="82"/>
      <c r="UZB182" s="82"/>
      <c r="UZC182" s="82"/>
      <c r="UZD182" s="82"/>
      <c r="UZE182" s="82"/>
      <c r="UZF182" s="82"/>
      <c r="UZG182" s="82"/>
      <c r="UZH182" s="82"/>
      <c r="UZI182" s="82"/>
      <c r="UZJ182" s="82"/>
      <c r="UZK182" s="82"/>
      <c r="UZL182" s="82"/>
      <c r="UZM182" s="82"/>
      <c r="UZN182" s="82"/>
      <c r="UZO182" s="82"/>
      <c r="UZP182" s="82"/>
      <c r="UZQ182" s="82"/>
      <c r="UZR182" s="82"/>
      <c r="UZS182" s="82"/>
      <c r="UZT182" s="82"/>
      <c r="UZU182" s="82"/>
      <c r="UZV182" s="82"/>
      <c r="UZW182" s="82"/>
      <c r="UZX182" s="82"/>
      <c r="UZY182" s="82"/>
      <c r="UZZ182" s="82"/>
      <c r="VAA182" s="82"/>
      <c r="VAB182" s="82"/>
      <c r="VAC182" s="82"/>
      <c r="VAD182" s="82"/>
      <c r="VAE182" s="82"/>
      <c r="VAF182" s="82"/>
      <c r="VAG182" s="82"/>
      <c r="VAH182" s="82"/>
      <c r="VAI182" s="82"/>
      <c r="VAJ182" s="82"/>
      <c r="VAK182" s="82"/>
      <c r="VAL182" s="82"/>
      <c r="VAM182" s="82"/>
      <c r="VAN182" s="82"/>
      <c r="VAO182" s="82"/>
      <c r="VAP182" s="82"/>
      <c r="VAQ182" s="82"/>
      <c r="VAR182" s="82"/>
      <c r="VAS182" s="82"/>
      <c r="VAT182" s="82"/>
      <c r="VAU182" s="82"/>
      <c r="VAV182" s="82"/>
      <c r="VAW182" s="82"/>
      <c r="VAX182" s="82"/>
      <c r="VAY182" s="82"/>
      <c r="VAZ182" s="82"/>
      <c r="VBA182" s="82"/>
      <c r="VBB182" s="82"/>
      <c r="VBC182" s="82"/>
      <c r="VBD182" s="82"/>
      <c r="VBE182" s="82"/>
      <c r="VBF182" s="82"/>
      <c r="VBG182" s="82"/>
      <c r="VBH182" s="82"/>
      <c r="VBI182" s="82"/>
      <c r="VBJ182" s="82"/>
      <c r="VBK182" s="82"/>
      <c r="VBL182" s="82"/>
      <c r="VBM182" s="82"/>
      <c r="VBN182" s="82"/>
      <c r="VBO182" s="82"/>
      <c r="VBP182" s="82"/>
      <c r="VBQ182" s="82"/>
      <c r="VBR182" s="82"/>
      <c r="VBS182" s="82"/>
      <c r="VBT182" s="82"/>
      <c r="VBU182" s="82"/>
      <c r="VBV182" s="82"/>
      <c r="VBW182" s="82"/>
      <c r="VBX182" s="82"/>
      <c r="VBY182" s="82"/>
      <c r="VBZ182" s="82"/>
      <c r="VCA182" s="82"/>
      <c r="VCB182" s="82"/>
      <c r="VCC182" s="82"/>
      <c r="VCD182" s="82"/>
      <c r="VCE182" s="82"/>
      <c r="VCF182" s="82"/>
      <c r="VCG182" s="82"/>
      <c r="VCH182" s="82"/>
      <c r="VCI182" s="82"/>
      <c r="VCJ182" s="82"/>
      <c r="VCK182" s="82"/>
      <c r="VCL182" s="82"/>
      <c r="VCM182" s="82"/>
      <c r="VCN182" s="82"/>
      <c r="VCO182" s="82"/>
      <c r="VCP182" s="82"/>
      <c r="VCQ182" s="82"/>
      <c r="VCR182" s="82"/>
      <c r="VCS182" s="82"/>
      <c r="VCT182" s="82"/>
      <c r="VCU182" s="82"/>
      <c r="VCV182" s="82"/>
      <c r="VCW182" s="82"/>
      <c r="VCX182" s="82"/>
      <c r="VCY182" s="82"/>
      <c r="VCZ182" s="82"/>
      <c r="VDA182" s="82"/>
      <c r="VDB182" s="82"/>
      <c r="VDC182" s="82"/>
      <c r="VDD182" s="82"/>
      <c r="VDE182" s="82"/>
      <c r="VDF182" s="82"/>
      <c r="VDG182" s="82"/>
      <c r="VDH182" s="82"/>
      <c r="VDI182" s="82"/>
      <c r="VDJ182" s="82"/>
      <c r="VDK182" s="82"/>
      <c r="VDL182" s="82"/>
      <c r="VDM182" s="82"/>
      <c r="VDN182" s="82"/>
      <c r="VDO182" s="82"/>
      <c r="VDP182" s="82"/>
      <c r="VDQ182" s="82"/>
      <c r="VDR182" s="82"/>
      <c r="VDS182" s="82"/>
      <c r="VDT182" s="82"/>
      <c r="VDU182" s="82"/>
      <c r="VDV182" s="82"/>
      <c r="VDW182" s="82"/>
      <c r="VDX182" s="82"/>
      <c r="VDY182" s="82"/>
      <c r="VDZ182" s="82"/>
      <c r="VEA182" s="82"/>
      <c r="VEB182" s="82"/>
      <c r="VEC182" s="82"/>
      <c r="VED182" s="82"/>
      <c r="VEE182" s="82"/>
      <c r="VEF182" s="82"/>
      <c r="VEG182" s="82"/>
      <c r="VEH182" s="82"/>
      <c r="VEI182" s="82"/>
      <c r="VEJ182" s="82"/>
      <c r="VEK182" s="82"/>
      <c r="VEL182" s="82"/>
      <c r="VEM182" s="82"/>
      <c r="VEN182" s="82"/>
      <c r="VEO182" s="82"/>
      <c r="VEP182" s="82"/>
      <c r="VEQ182" s="82"/>
      <c r="VER182" s="82"/>
      <c r="VES182" s="82"/>
      <c r="VET182" s="82"/>
      <c r="VEU182" s="82"/>
      <c r="VEV182" s="82"/>
      <c r="VEW182" s="82"/>
      <c r="VEX182" s="82"/>
      <c r="VEY182" s="82"/>
      <c r="VEZ182" s="82"/>
      <c r="VFA182" s="82"/>
      <c r="VFB182" s="82"/>
      <c r="VFC182" s="82"/>
      <c r="VFD182" s="82"/>
      <c r="VFE182" s="82"/>
      <c r="VFF182" s="82"/>
      <c r="VFG182" s="82"/>
      <c r="VFH182" s="82"/>
      <c r="VFI182" s="82"/>
      <c r="VFJ182" s="82"/>
      <c r="VFK182" s="82"/>
      <c r="VFL182" s="82"/>
      <c r="VFM182" s="82"/>
      <c r="VFN182" s="82"/>
      <c r="VFO182" s="82"/>
      <c r="VFP182" s="82"/>
      <c r="VFQ182" s="82"/>
      <c r="VFR182" s="82"/>
      <c r="VFS182" s="82"/>
      <c r="VFT182" s="82"/>
      <c r="VFU182" s="82"/>
      <c r="VFV182" s="82"/>
      <c r="VFW182" s="82"/>
      <c r="VFX182" s="82"/>
      <c r="VFY182" s="82"/>
      <c r="VFZ182" s="82"/>
      <c r="VGA182" s="82"/>
      <c r="VGB182" s="82"/>
      <c r="VGC182" s="82"/>
      <c r="VGD182" s="82"/>
      <c r="VGE182" s="82"/>
      <c r="VGF182" s="82"/>
      <c r="VGG182" s="82"/>
      <c r="VGH182" s="82"/>
      <c r="VGI182" s="82"/>
      <c r="VGJ182" s="82"/>
      <c r="VGK182" s="82"/>
      <c r="VGL182" s="82"/>
      <c r="VGM182" s="82"/>
      <c r="VGN182" s="82"/>
      <c r="VGO182" s="82"/>
      <c r="VGP182" s="82"/>
      <c r="VGQ182" s="82"/>
      <c r="VGR182" s="82"/>
      <c r="VGS182" s="82"/>
      <c r="VGT182" s="82"/>
      <c r="VGU182" s="82"/>
      <c r="VGV182" s="82"/>
      <c r="VGW182" s="82"/>
      <c r="VGX182" s="82"/>
      <c r="VGY182" s="82"/>
      <c r="VGZ182" s="82"/>
      <c r="VHA182" s="82"/>
      <c r="VHB182" s="82"/>
      <c r="VHC182" s="82"/>
      <c r="VHD182" s="82"/>
      <c r="VHE182" s="82"/>
      <c r="VHF182" s="82"/>
      <c r="VHG182" s="82"/>
      <c r="VHH182" s="82"/>
      <c r="VHI182" s="82"/>
      <c r="VHJ182" s="82"/>
      <c r="VHK182" s="82"/>
      <c r="VHL182" s="82"/>
      <c r="VHM182" s="82"/>
      <c r="VHN182" s="82"/>
      <c r="VHO182" s="82"/>
      <c r="VHP182" s="82"/>
      <c r="VHQ182" s="82"/>
      <c r="VHR182" s="82"/>
      <c r="VHS182" s="82"/>
      <c r="VHT182" s="82"/>
      <c r="VHU182" s="82"/>
      <c r="VHV182" s="82"/>
      <c r="VHW182" s="82"/>
      <c r="VHX182" s="82"/>
      <c r="VHY182" s="82"/>
      <c r="VHZ182" s="82"/>
      <c r="VIA182" s="82"/>
      <c r="VIB182" s="82"/>
      <c r="VIC182" s="82"/>
      <c r="VID182" s="82"/>
      <c r="VIE182" s="82"/>
      <c r="VIF182" s="82"/>
      <c r="VIG182" s="82"/>
      <c r="VIH182" s="82"/>
      <c r="VII182" s="82"/>
      <c r="VIJ182" s="82"/>
      <c r="VIK182" s="82"/>
      <c r="VIL182" s="82"/>
      <c r="VIM182" s="82"/>
      <c r="VIN182" s="82"/>
      <c r="VIO182" s="82"/>
      <c r="VIP182" s="82"/>
      <c r="VIQ182" s="82"/>
      <c r="VIR182" s="82"/>
      <c r="VIS182" s="82"/>
      <c r="VIT182" s="82"/>
      <c r="VIU182" s="82"/>
      <c r="VIV182" s="82"/>
      <c r="VIW182" s="82"/>
      <c r="VIX182" s="82"/>
      <c r="VIY182" s="82"/>
      <c r="VIZ182" s="82"/>
      <c r="VJA182" s="82"/>
      <c r="VJB182" s="82"/>
      <c r="VJC182" s="82"/>
      <c r="VJD182" s="82"/>
      <c r="VJE182" s="82"/>
      <c r="VJF182" s="82"/>
      <c r="VJG182" s="82"/>
      <c r="VJH182" s="82"/>
      <c r="VJI182" s="82"/>
      <c r="VJJ182" s="82"/>
      <c r="VJK182" s="82"/>
      <c r="VJL182" s="82"/>
      <c r="VJM182" s="82"/>
      <c r="VJN182" s="82"/>
      <c r="VJO182" s="82"/>
      <c r="VJP182" s="82"/>
      <c r="VJQ182" s="82"/>
      <c r="VJR182" s="82"/>
      <c r="VJS182" s="82"/>
      <c r="VJT182" s="82"/>
      <c r="VJU182" s="82"/>
      <c r="VJV182" s="82"/>
      <c r="VJW182" s="82"/>
      <c r="VJX182" s="82"/>
      <c r="VJY182" s="82"/>
      <c r="VJZ182" s="82"/>
      <c r="VKA182" s="82"/>
      <c r="VKB182" s="82"/>
      <c r="VKC182" s="82"/>
      <c r="VKD182" s="82"/>
      <c r="VKE182" s="82"/>
      <c r="VKF182" s="82"/>
      <c r="VKG182" s="82"/>
      <c r="VKH182" s="82"/>
      <c r="VKI182" s="82"/>
      <c r="VKJ182" s="82"/>
      <c r="VKK182" s="82"/>
      <c r="VKL182" s="82"/>
      <c r="VKM182" s="82"/>
      <c r="VKN182" s="82"/>
      <c r="VKO182" s="82"/>
      <c r="VKP182" s="82"/>
      <c r="VKQ182" s="82"/>
      <c r="VKR182" s="82"/>
      <c r="VKS182" s="82"/>
      <c r="VKT182" s="82"/>
      <c r="VKU182" s="82"/>
      <c r="VKV182" s="82"/>
      <c r="VKW182" s="82"/>
      <c r="VKX182" s="82"/>
      <c r="VKY182" s="82"/>
      <c r="VKZ182" s="82"/>
      <c r="VLA182" s="82"/>
      <c r="VLB182" s="82"/>
      <c r="VLC182" s="82"/>
      <c r="VLD182" s="82"/>
      <c r="VLE182" s="82"/>
      <c r="VLF182" s="82"/>
      <c r="VLG182" s="82"/>
      <c r="VLH182" s="82"/>
      <c r="VLI182" s="82"/>
      <c r="VLJ182" s="82"/>
      <c r="VLK182" s="82"/>
      <c r="VLL182" s="82"/>
      <c r="VLM182" s="82"/>
      <c r="VLN182" s="82"/>
      <c r="VLO182" s="82"/>
      <c r="VLP182" s="82"/>
      <c r="VLQ182" s="82"/>
      <c r="VLR182" s="82"/>
      <c r="VLS182" s="82"/>
      <c r="VLT182" s="82"/>
      <c r="VLU182" s="82"/>
      <c r="VLV182" s="82"/>
      <c r="VLW182" s="82"/>
      <c r="VLX182" s="82"/>
      <c r="VLY182" s="82"/>
      <c r="VLZ182" s="82"/>
      <c r="VMA182" s="82"/>
      <c r="VMB182" s="82"/>
      <c r="VMC182" s="82"/>
      <c r="VMD182" s="82"/>
      <c r="VME182" s="82"/>
      <c r="VMF182" s="82"/>
      <c r="VMG182" s="82"/>
      <c r="VMH182" s="82"/>
      <c r="VMI182" s="82"/>
      <c r="VMJ182" s="82"/>
      <c r="VMK182" s="82"/>
      <c r="VML182" s="82"/>
      <c r="VMM182" s="82"/>
      <c r="VMN182" s="82"/>
      <c r="VMO182" s="82"/>
      <c r="VMP182" s="82"/>
      <c r="VMQ182" s="82"/>
      <c r="VMR182" s="82"/>
      <c r="VMS182" s="82"/>
      <c r="VMT182" s="82"/>
      <c r="VMU182" s="82"/>
      <c r="VMV182" s="82"/>
      <c r="VMW182" s="82"/>
      <c r="VMX182" s="82"/>
      <c r="VMY182" s="82"/>
      <c r="VMZ182" s="82"/>
      <c r="VNA182" s="82"/>
      <c r="VNB182" s="82"/>
      <c r="VNC182" s="82"/>
      <c r="VND182" s="82"/>
      <c r="VNE182" s="82"/>
      <c r="VNF182" s="82"/>
      <c r="VNG182" s="82"/>
      <c r="VNH182" s="82"/>
      <c r="VNI182" s="82"/>
      <c r="VNJ182" s="82"/>
      <c r="VNK182" s="82"/>
      <c r="VNL182" s="82"/>
      <c r="VNM182" s="82"/>
      <c r="VNN182" s="82"/>
      <c r="VNO182" s="82"/>
      <c r="VNP182" s="82"/>
      <c r="VNQ182" s="82"/>
      <c r="VNR182" s="82"/>
      <c r="VNS182" s="82"/>
      <c r="VNT182" s="82"/>
      <c r="VNU182" s="82"/>
      <c r="VNV182" s="82"/>
      <c r="VNW182" s="82"/>
      <c r="VNX182" s="82"/>
      <c r="VNY182" s="82"/>
      <c r="VNZ182" s="82"/>
      <c r="VOA182" s="82"/>
      <c r="VOB182" s="82"/>
      <c r="VOC182" s="82"/>
      <c r="VOD182" s="82"/>
      <c r="VOE182" s="82"/>
      <c r="VOF182" s="82"/>
      <c r="VOG182" s="82"/>
      <c r="VOH182" s="82"/>
      <c r="VOI182" s="82"/>
      <c r="VOJ182" s="82"/>
      <c r="VOK182" s="82"/>
      <c r="VOL182" s="82"/>
      <c r="VOM182" s="82"/>
      <c r="VON182" s="82"/>
      <c r="VOO182" s="82"/>
      <c r="VOP182" s="82"/>
      <c r="VOQ182" s="82"/>
      <c r="VOR182" s="82"/>
      <c r="VOS182" s="82"/>
      <c r="VOT182" s="82"/>
      <c r="VOU182" s="82"/>
      <c r="VOV182" s="82"/>
      <c r="VOW182" s="82"/>
      <c r="VOX182" s="82"/>
      <c r="VOY182" s="82"/>
      <c r="VOZ182" s="82"/>
      <c r="VPA182" s="82"/>
      <c r="VPB182" s="82"/>
      <c r="VPC182" s="82"/>
      <c r="VPD182" s="82"/>
      <c r="VPE182" s="82"/>
      <c r="VPF182" s="82"/>
      <c r="VPG182" s="82"/>
      <c r="VPH182" s="82"/>
      <c r="VPI182" s="82"/>
      <c r="VPJ182" s="82"/>
      <c r="VPK182" s="82"/>
      <c r="VPL182" s="82"/>
      <c r="VPM182" s="82"/>
      <c r="VPN182" s="82"/>
      <c r="VPO182" s="82"/>
      <c r="VPP182" s="82"/>
      <c r="VPQ182" s="82"/>
      <c r="VPR182" s="82"/>
      <c r="VPS182" s="82"/>
      <c r="VPT182" s="82"/>
      <c r="VPU182" s="82"/>
      <c r="VPV182" s="82"/>
      <c r="VPW182" s="82"/>
      <c r="VPX182" s="82"/>
      <c r="VPY182" s="82"/>
      <c r="VPZ182" s="82"/>
      <c r="VQA182" s="82"/>
      <c r="VQB182" s="82"/>
      <c r="VQC182" s="82"/>
      <c r="VQD182" s="82"/>
      <c r="VQE182" s="82"/>
      <c r="VQF182" s="82"/>
      <c r="VQG182" s="82"/>
      <c r="VQH182" s="82"/>
      <c r="VQI182" s="82"/>
      <c r="VQJ182" s="82"/>
      <c r="VQK182" s="82"/>
      <c r="VQL182" s="82"/>
      <c r="VQM182" s="82"/>
      <c r="VQN182" s="82"/>
      <c r="VQO182" s="82"/>
      <c r="VQP182" s="82"/>
      <c r="VQQ182" s="82"/>
      <c r="VQR182" s="82"/>
      <c r="VQS182" s="82"/>
      <c r="VQT182" s="82"/>
      <c r="VQU182" s="82"/>
      <c r="VQV182" s="82"/>
      <c r="VQW182" s="82"/>
      <c r="VQX182" s="82"/>
      <c r="VQY182" s="82"/>
      <c r="VQZ182" s="82"/>
      <c r="VRA182" s="82"/>
      <c r="VRB182" s="82"/>
      <c r="VRC182" s="82"/>
      <c r="VRD182" s="82"/>
      <c r="VRE182" s="82"/>
      <c r="VRF182" s="82"/>
      <c r="VRG182" s="82"/>
      <c r="VRH182" s="82"/>
      <c r="VRI182" s="82"/>
      <c r="VRJ182" s="82"/>
      <c r="VRK182" s="82"/>
      <c r="VRL182" s="82"/>
      <c r="VRM182" s="82"/>
      <c r="VRN182" s="82"/>
      <c r="VRO182" s="82"/>
      <c r="VRP182" s="82"/>
      <c r="VRQ182" s="82"/>
      <c r="VRR182" s="82"/>
      <c r="VRS182" s="82"/>
      <c r="VRT182" s="82"/>
      <c r="VRU182" s="82"/>
      <c r="VRV182" s="82"/>
      <c r="VRW182" s="82"/>
      <c r="VRX182" s="82"/>
      <c r="VRY182" s="82"/>
      <c r="VRZ182" s="82"/>
      <c r="VSA182" s="82"/>
      <c r="VSB182" s="82"/>
      <c r="VSC182" s="82"/>
      <c r="VSD182" s="82"/>
      <c r="VSE182" s="82"/>
      <c r="VSF182" s="82"/>
      <c r="VSG182" s="82"/>
      <c r="VSH182" s="82"/>
      <c r="VSI182" s="82"/>
      <c r="VSJ182" s="82"/>
      <c r="VSK182" s="82"/>
      <c r="VSL182" s="82"/>
      <c r="VSM182" s="82"/>
      <c r="VSN182" s="82"/>
      <c r="VSO182" s="82"/>
      <c r="VSP182" s="82"/>
      <c r="VSQ182" s="82"/>
      <c r="VSR182" s="82"/>
      <c r="VSS182" s="82"/>
      <c r="VST182" s="82"/>
      <c r="VSU182" s="82"/>
      <c r="VSV182" s="82"/>
      <c r="VSW182" s="82"/>
      <c r="VSX182" s="82"/>
      <c r="VSY182" s="82"/>
      <c r="VSZ182" s="82"/>
      <c r="VTA182" s="82"/>
      <c r="VTB182" s="82"/>
      <c r="VTC182" s="82"/>
      <c r="VTD182" s="82"/>
      <c r="VTE182" s="82"/>
      <c r="VTF182" s="82"/>
      <c r="VTG182" s="82"/>
      <c r="VTH182" s="82"/>
      <c r="VTI182" s="82"/>
      <c r="VTJ182" s="82"/>
      <c r="VTK182" s="82"/>
      <c r="VTL182" s="82"/>
      <c r="VTM182" s="82"/>
      <c r="VTN182" s="82"/>
      <c r="VTO182" s="82"/>
      <c r="VTP182" s="82"/>
      <c r="VTQ182" s="82"/>
      <c r="VTR182" s="82"/>
      <c r="VTS182" s="82"/>
      <c r="VTT182" s="82"/>
      <c r="VTU182" s="82"/>
      <c r="VTV182" s="82"/>
      <c r="VTW182" s="82"/>
      <c r="VTX182" s="82"/>
      <c r="VTY182" s="82"/>
      <c r="VTZ182" s="82"/>
      <c r="VUA182" s="82"/>
      <c r="VUB182" s="82"/>
      <c r="VUC182" s="82"/>
      <c r="VUD182" s="82"/>
      <c r="VUE182" s="82"/>
      <c r="VUF182" s="82"/>
      <c r="VUG182" s="82"/>
      <c r="VUH182" s="82"/>
      <c r="VUI182" s="82"/>
      <c r="VUJ182" s="82"/>
      <c r="VUK182" s="82"/>
      <c r="VUL182" s="82"/>
      <c r="VUM182" s="82"/>
      <c r="VUN182" s="82"/>
      <c r="VUO182" s="82"/>
      <c r="VUP182" s="82"/>
      <c r="VUQ182" s="82"/>
      <c r="VUR182" s="82"/>
      <c r="VUS182" s="82"/>
      <c r="VUT182" s="82"/>
      <c r="VUU182" s="82"/>
      <c r="VUV182" s="82"/>
      <c r="VUW182" s="82"/>
      <c r="VUX182" s="82"/>
      <c r="VUY182" s="82"/>
      <c r="VUZ182" s="82"/>
      <c r="VVA182" s="82"/>
      <c r="VVB182" s="82"/>
      <c r="VVC182" s="82"/>
      <c r="VVD182" s="82"/>
      <c r="VVE182" s="82"/>
      <c r="VVF182" s="82"/>
      <c r="VVG182" s="82"/>
      <c r="VVH182" s="82"/>
      <c r="VVI182" s="82"/>
      <c r="VVJ182" s="82"/>
      <c r="VVK182" s="82"/>
      <c r="VVL182" s="82"/>
      <c r="VVM182" s="82"/>
      <c r="VVN182" s="82"/>
      <c r="VVO182" s="82"/>
      <c r="VVP182" s="82"/>
      <c r="VVQ182" s="82"/>
      <c r="VVR182" s="82"/>
      <c r="VVS182" s="82"/>
      <c r="VVT182" s="82"/>
      <c r="VVU182" s="82"/>
      <c r="VVV182" s="82"/>
      <c r="VVW182" s="82"/>
      <c r="VVX182" s="82"/>
      <c r="VVY182" s="82"/>
      <c r="VVZ182" s="82"/>
      <c r="VWA182" s="82"/>
      <c r="VWB182" s="82"/>
      <c r="VWC182" s="82"/>
      <c r="VWD182" s="82"/>
      <c r="VWE182" s="82"/>
      <c r="VWF182" s="82"/>
      <c r="VWG182" s="82"/>
      <c r="VWH182" s="82"/>
      <c r="VWI182" s="82"/>
      <c r="VWJ182" s="82"/>
      <c r="VWK182" s="82"/>
      <c r="VWL182" s="82"/>
      <c r="VWM182" s="82"/>
      <c r="VWN182" s="82"/>
      <c r="VWO182" s="82"/>
      <c r="VWP182" s="82"/>
      <c r="VWQ182" s="82"/>
      <c r="VWR182" s="82"/>
      <c r="VWS182" s="82"/>
      <c r="VWT182" s="82"/>
      <c r="VWU182" s="82"/>
      <c r="VWV182" s="82"/>
      <c r="VWW182" s="82"/>
      <c r="VWX182" s="82"/>
      <c r="VWY182" s="82"/>
      <c r="VWZ182" s="82"/>
      <c r="VXA182" s="82"/>
      <c r="VXB182" s="82"/>
      <c r="VXC182" s="82"/>
      <c r="VXD182" s="82"/>
      <c r="VXE182" s="82"/>
      <c r="VXF182" s="82"/>
      <c r="VXG182" s="82"/>
      <c r="VXH182" s="82"/>
      <c r="VXI182" s="82"/>
      <c r="VXJ182" s="82"/>
      <c r="VXK182" s="82"/>
      <c r="VXL182" s="82"/>
      <c r="VXM182" s="82"/>
      <c r="VXN182" s="82"/>
      <c r="VXO182" s="82"/>
      <c r="VXP182" s="82"/>
      <c r="VXQ182" s="82"/>
      <c r="VXR182" s="82"/>
      <c r="VXS182" s="82"/>
      <c r="VXT182" s="82"/>
      <c r="VXU182" s="82"/>
      <c r="VXV182" s="82"/>
      <c r="VXW182" s="82"/>
      <c r="VXX182" s="82"/>
      <c r="VXY182" s="82"/>
      <c r="VXZ182" s="82"/>
      <c r="VYA182" s="82"/>
      <c r="VYB182" s="82"/>
      <c r="VYC182" s="82"/>
      <c r="VYD182" s="82"/>
      <c r="VYE182" s="82"/>
      <c r="VYF182" s="82"/>
      <c r="VYG182" s="82"/>
      <c r="VYH182" s="82"/>
      <c r="VYI182" s="82"/>
      <c r="VYJ182" s="82"/>
      <c r="VYK182" s="82"/>
      <c r="VYL182" s="82"/>
      <c r="VYM182" s="82"/>
      <c r="VYN182" s="82"/>
      <c r="VYO182" s="82"/>
      <c r="VYP182" s="82"/>
      <c r="VYQ182" s="82"/>
      <c r="VYR182" s="82"/>
      <c r="VYS182" s="82"/>
      <c r="VYT182" s="82"/>
      <c r="VYU182" s="82"/>
      <c r="VYV182" s="82"/>
      <c r="VYW182" s="82"/>
      <c r="VYX182" s="82"/>
      <c r="VYY182" s="82"/>
      <c r="VYZ182" s="82"/>
      <c r="VZA182" s="82"/>
      <c r="VZB182" s="82"/>
      <c r="VZC182" s="82"/>
      <c r="VZD182" s="82"/>
      <c r="VZE182" s="82"/>
      <c r="VZF182" s="82"/>
      <c r="VZG182" s="82"/>
      <c r="VZH182" s="82"/>
      <c r="VZI182" s="82"/>
      <c r="VZJ182" s="82"/>
      <c r="VZK182" s="82"/>
      <c r="VZL182" s="82"/>
      <c r="VZM182" s="82"/>
      <c r="VZN182" s="82"/>
      <c r="VZO182" s="82"/>
      <c r="VZP182" s="82"/>
      <c r="VZQ182" s="82"/>
      <c r="VZR182" s="82"/>
      <c r="VZS182" s="82"/>
      <c r="VZT182" s="82"/>
      <c r="VZU182" s="82"/>
      <c r="VZV182" s="82"/>
      <c r="VZW182" s="82"/>
      <c r="VZX182" s="82"/>
      <c r="VZY182" s="82"/>
      <c r="VZZ182" s="82"/>
      <c r="WAA182" s="82"/>
      <c r="WAB182" s="82"/>
      <c r="WAC182" s="82"/>
      <c r="WAD182" s="82"/>
      <c r="WAE182" s="82"/>
      <c r="WAF182" s="82"/>
      <c r="WAG182" s="82"/>
      <c r="WAH182" s="82"/>
      <c r="WAI182" s="82"/>
      <c r="WAJ182" s="82"/>
      <c r="WAK182" s="82"/>
      <c r="WAL182" s="82"/>
      <c r="WAM182" s="82"/>
      <c r="WAN182" s="82"/>
      <c r="WAO182" s="82"/>
      <c r="WAP182" s="82"/>
      <c r="WAQ182" s="82"/>
      <c r="WAR182" s="82"/>
      <c r="WAS182" s="82"/>
      <c r="WAT182" s="82"/>
      <c r="WAU182" s="82"/>
      <c r="WAV182" s="82"/>
      <c r="WAW182" s="82"/>
      <c r="WAX182" s="82"/>
      <c r="WAY182" s="82"/>
      <c r="WAZ182" s="82"/>
      <c r="WBA182" s="82"/>
      <c r="WBB182" s="82"/>
      <c r="WBC182" s="82"/>
      <c r="WBD182" s="82"/>
      <c r="WBE182" s="82"/>
      <c r="WBF182" s="82"/>
      <c r="WBG182" s="82"/>
      <c r="WBH182" s="82"/>
      <c r="WBI182" s="82"/>
      <c r="WBJ182" s="82"/>
      <c r="WBK182" s="82"/>
      <c r="WBL182" s="82"/>
      <c r="WBM182" s="82"/>
      <c r="WBN182" s="82"/>
      <c r="WBO182" s="82"/>
      <c r="WBP182" s="82"/>
      <c r="WBQ182" s="82"/>
      <c r="WBR182" s="82"/>
      <c r="WBS182" s="82"/>
      <c r="WBT182" s="82"/>
      <c r="WBU182" s="82"/>
      <c r="WBV182" s="82"/>
      <c r="WBW182" s="82"/>
      <c r="WBX182" s="82"/>
      <c r="WBY182" s="82"/>
      <c r="WBZ182" s="82"/>
      <c r="WCA182" s="82"/>
      <c r="WCB182" s="82"/>
      <c r="WCC182" s="82"/>
      <c r="WCD182" s="82"/>
      <c r="WCE182" s="82"/>
      <c r="WCF182" s="82"/>
      <c r="WCG182" s="82"/>
      <c r="WCH182" s="82"/>
      <c r="WCI182" s="82"/>
      <c r="WCJ182" s="82"/>
      <c r="WCK182" s="82"/>
      <c r="WCL182" s="82"/>
      <c r="WCM182" s="82"/>
      <c r="WCN182" s="82"/>
      <c r="WCO182" s="82"/>
      <c r="WCP182" s="82"/>
      <c r="WCQ182" s="82"/>
      <c r="WCR182" s="82"/>
      <c r="WCS182" s="82"/>
      <c r="WCT182" s="82"/>
      <c r="WCU182" s="82"/>
      <c r="WCV182" s="82"/>
      <c r="WCW182" s="82"/>
      <c r="WCX182" s="82"/>
      <c r="WCY182" s="82"/>
      <c r="WCZ182" s="82"/>
      <c r="WDA182" s="82"/>
      <c r="WDB182" s="82"/>
      <c r="WDC182" s="82"/>
      <c r="WDD182" s="82"/>
      <c r="WDE182" s="82"/>
      <c r="WDF182" s="82"/>
      <c r="WDG182" s="82"/>
      <c r="WDH182" s="82"/>
      <c r="WDI182" s="82"/>
      <c r="WDJ182" s="82"/>
      <c r="WDK182" s="82"/>
      <c r="WDL182" s="82"/>
      <c r="WDM182" s="82"/>
      <c r="WDN182" s="82"/>
      <c r="WDO182" s="82"/>
      <c r="WDP182" s="82"/>
      <c r="WDQ182" s="82"/>
      <c r="WDR182" s="82"/>
      <c r="WDS182" s="82"/>
      <c r="WDT182" s="82"/>
      <c r="WDU182" s="82"/>
      <c r="WDV182" s="82"/>
      <c r="WDW182" s="82"/>
      <c r="WDX182" s="82"/>
      <c r="WDY182" s="82"/>
      <c r="WDZ182" s="82"/>
      <c r="WEA182" s="82"/>
      <c r="WEB182" s="82"/>
      <c r="WEC182" s="82"/>
      <c r="WED182" s="82"/>
      <c r="WEE182" s="82"/>
      <c r="WEF182" s="82"/>
      <c r="WEG182" s="82"/>
      <c r="WEH182" s="82"/>
      <c r="WEI182" s="82"/>
      <c r="WEJ182" s="82"/>
      <c r="WEK182" s="82"/>
      <c r="WEL182" s="82"/>
      <c r="WEM182" s="82"/>
      <c r="WEN182" s="82"/>
      <c r="WEO182" s="82"/>
      <c r="WEP182" s="82"/>
      <c r="WEQ182" s="82"/>
      <c r="WER182" s="82"/>
      <c r="WES182" s="82"/>
      <c r="WET182" s="82"/>
      <c r="WEU182" s="82"/>
      <c r="WEV182" s="82"/>
      <c r="WEW182" s="82"/>
      <c r="WEX182" s="82"/>
      <c r="WEY182" s="82"/>
      <c r="WEZ182" s="82"/>
      <c r="WFA182" s="82"/>
      <c r="WFB182" s="82"/>
      <c r="WFC182" s="82"/>
      <c r="WFD182" s="82"/>
      <c r="WFE182" s="82"/>
      <c r="WFF182" s="82"/>
      <c r="WFG182" s="82"/>
      <c r="WFH182" s="82"/>
      <c r="WFI182" s="82"/>
      <c r="WFJ182" s="82"/>
      <c r="WFK182" s="82"/>
      <c r="WFL182" s="82"/>
      <c r="WFM182" s="82"/>
      <c r="WFN182" s="82"/>
      <c r="WFO182" s="82"/>
      <c r="WFP182" s="82"/>
      <c r="WFQ182" s="82"/>
      <c r="WFR182" s="82"/>
      <c r="WFS182" s="82"/>
      <c r="WFT182" s="82"/>
      <c r="WFU182" s="82"/>
      <c r="WFV182" s="82"/>
      <c r="WFW182" s="82"/>
      <c r="WFX182" s="82"/>
      <c r="WFY182" s="82"/>
      <c r="WFZ182" s="82"/>
      <c r="WGA182" s="82"/>
      <c r="WGB182" s="82"/>
      <c r="WGC182" s="82"/>
      <c r="WGD182" s="82"/>
      <c r="WGE182" s="82"/>
      <c r="WGF182" s="82"/>
      <c r="WGG182" s="82"/>
      <c r="WGH182" s="82"/>
      <c r="WGI182" s="82"/>
      <c r="WGJ182" s="82"/>
      <c r="WGK182" s="82"/>
      <c r="WGL182" s="82"/>
      <c r="WGM182" s="82"/>
      <c r="WGN182" s="82"/>
      <c r="WGO182" s="82"/>
      <c r="WGP182" s="82"/>
      <c r="WGQ182" s="82"/>
      <c r="WGR182" s="82"/>
      <c r="WGS182" s="82"/>
      <c r="WGT182" s="82"/>
      <c r="WGU182" s="82"/>
      <c r="WGV182" s="82"/>
      <c r="WGW182" s="82"/>
      <c r="WGX182" s="82"/>
      <c r="WGY182" s="82"/>
      <c r="WGZ182" s="82"/>
      <c r="WHA182" s="82"/>
      <c r="WHB182" s="82"/>
      <c r="WHC182" s="82"/>
      <c r="WHD182" s="82"/>
      <c r="WHE182" s="82"/>
      <c r="WHF182" s="82"/>
      <c r="WHG182" s="82"/>
      <c r="WHH182" s="82"/>
      <c r="WHI182" s="82"/>
      <c r="WHJ182" s="82"/>
      <c r="WHK182" s="82"/>
      <c r="WHL182" s="82"/>
      <c r="WHM182" s="82"/>
      <c r="WHN182" s="82"/>
      <c r="WHO182" s="82"/>
      <c r="WHP182" s="82"/>
      <c r="WHQ182" s="82"/>
      <c r="WHR182" s="82"/>
      <c r="WHS182" s="82"/>
      <c r="WHT182" s="82"/>
      <c r="WHU182" s="82"/>
      <c r="WHV182" s="82"/>
      <c r="WHW182" s="82"/>
      <c r="WHX182" s="82"/>
      <c r="WHY182" s="82"/>
      <c r="WHZ182" s="82"/>
      <c r="WIA182" s="82"/>
      <c r="WIB182" s="82"/>
      <c r="WIC182" s="82"/>
      <c r="WID182" s="82"/>
      <c r="WIE182" s="82"/>
      <c r="WIF182" s="82"/>
      <c r="WIG182" s="82"/>
      <c r="WIH182" s="82"/>
      <c r="WII182" s="82"/>
      <c r="WIJ182" s="82"/>
      <c r="WIK182" s="82"/>
      <c r="WIL182" s="82"/>
      <c r="WIM182" s="82"/>
      <c r="WIN182" s="82"/>
      <c r="WIO182" s="82"/>
      <c r="WIP182" s="82"/>
      <c r="WIQ182" s="82"/>
      <c r="WIR182" s="82"/>
      <c r="WIS182" s="82"/>
      <c r="WIT182" s="82"/>
      <c r="WIU182" s="82"/>
      <c r="WIV182" s="82"/>
      <c r="WIW182" s="82"/>
      <c r="WIX182" s="82"/>
      <c r="WIY182" s="82"/>
      <c r="WIZ182" s="82"/>
      <c r="WJA182" s="82"/>
      <c r="WJB182" s="82"/>
      <c r="WJC182" s="82"/>
      <c r="WJD182" s="82"/>
      <c r="WJE182" s="82"/>
      <c r="WJF182" s="82"/>
      <c r="WJG182" s="82"/>
      <c r="WJH182" s="82"/>
      <c r="WJI182" s="82"/>
      <c r="WJJ182" s="82"/>
      <c r="WJK182" s="82"/>
      <c r="WJL182" s="82"/>
      <c r="WJM182" s="82"/>
      <c r="WJN182" s="82"/>
      <c r="WJO182" s="82"/>
      <c r="WJP182" s="82"/>
      <c r="WJQ182" s="82"/>
      <c r="WJR182" s="82"/>
      <c r="WJS182" s="82"/>
      <c r="WJT182" s="82"/>
      <c r="WJU182" s="82"/>
      <c r="WJV182" s="82"/>
      <c r="WJW182" s="82"/>
      <c r="WJX182" s="82"/>
      <c r="WJY182" s="82"/>
      <c r="WJZ182" s="82"/>
      <c r="WKA182" s="82"/>
      <c r="WKB182" s="82"/>
      <c r="WKC182" s="82"/>
      <c r="WKD182" s="82"/>
      <c r="WKE182" s="82"/>
      <c r="WKF182" s="82"/>
      <c r="WKG182" s="82"/>
      <c r="WKH182" s="82"/>
      <c r="WKI182" s="82"/>
      <c r="WKJ182" s="82"/>
      <c r="WKK182" s="82"/>
      <c r="WKL182" s="82"/>
      <c r="WKM182" s="82"/>
      <c r="WKN182" s="82"/>
      <c r="WKO182" s="82"/>
      <c r="WKP182" s="82"/>
      <c r="WKQ182" s="82"/>
      <c r="WKR182" s="82"/>
      <c r="WKS182" s="82"/>
      <c r="WKT182" s="82"/>
      <c r="WKU182" s="82"/>
      <c r="WKV182" s="82"/>
      <c r="WKW182" s="82"/>
      <c r="WKX182" s="82"/>
      <c r="WKY182" s="82"/>
      <c r="WKZ182" s="82"/>
      <c r="WLA182" s="82"/>
      <c r="WLB182" s="82"/>
      <c r="WLC182" s="82"/>
      <c r="WLD182" s="82"/>
      <c r="WLE182" s="82"/>
      <c r="WLF182" s="82"/>
      <c r="WLG182" s="82"/>
      <c r="WLH182" s="82"/>
      <c r="WLI182" s="82"/>
      <c r="WLJ182" s="82"/>
      <c r="WLK182" s="82"/>
      <c r="WLL182" s="82"/>
      <c r="WLM182" s="82"/>
      <c r="WLN182" s="82"/>
      <c r="WLO182" s="82"/>
      <c r="WLP182" s="82"/>
      <c r="WLQ182" s="82"/>
      <c r="WLR182" s="82"/>
      <c r="WLS182" s="82"/>
      <c r="WLT182" s="82"/>
      <c r="WLU182" s="82"/>
      <c r="WLV182" s="82"/>
      <c r="WLW182" s="82"/>
      <c r="WLX182" s="82"/>
      <c r="WLY182" s="82"/>
      <c r="WLZ182" s="82"/>
      <c r="WMA182" s="82"/>
      <c r="WMB182" s="82"/>
      <c r="WMC182" s="82"/>
      <c r="WMD182" s="82"/>
      <c r="WME182" s="82"/>
      <c r="WMF182" s="82"/>
      <c r="WMG182" s="82"/>
      <c r="WMH182" s="82"/>
      <c r="WMI182" s="82"/>
      <c r="WMJ182" s="82"/>
      <c r="WMK182" s="82"/>
      <c r="WML182" s="82"/>
      <c r="WMM182" s="82"/>
      <c r="WMN182" s="82"/>
      <c r="WMO182" s="82"/>
      <c r="WMP182" s="82"/>
      <c r="WMQ182" s="82"/>
      <c r="WMR182" s="82"/>
      <c r="WMS182" s="82"/>
      <c r="WMT182" s="82"/>
      <c r="WMU182" s="82"/>
      <c r="WMV182" s="82"/>
      <c r="WMW182" s="82"/>
      <c r="WMX182" s="82"/>
      <c r="WMY182" s="82"/>
      <c r="WMZ182" s="82"/>
      <c r="WNA182" s="82"/>
      <c r="WNB182" s="82"/>
      <c r="WNC182" s="82"/>
      <c r="WND182" s="82"/>
      <c r="WNE182" s="82"/>
      <c r="WNF182" s="82"/>
      <c r="WNG182" s="82"/>
      <c r="WNH182" s="82"/>
      <c r="WNI182" s="82"/>
      <c r="WNJ182" s="82"/>
      <c r="WNK182" s="82"/>
      <c r="WNL182" s="82"/>
      <c r="WNM182" s="82"/>
      <c r="WNN182" s="82"/>
      <c r="WNO182" s="82"/>
      <c r="WNP182" s="82"/>
      <c r="WNQ182" s="82"/>
      <c r="WNR182" s="82"/>
      <c r="WNS182" s="82"/>
      <c r="WNT182" s="82"/>
      <c r="WNU182" s="82"/>
      <c r="WNV182" s="82"/>
      <c r="WNW182" s="82"/>
      <c r="WNX182" s="82"/>
      <c r="WNY182" s="82"/>
      <c r="WNZ182" s="82"/>
      <c r="WOA182" s="82"/>
      <c r="WOB182" s="82"/>
      <c r="WOC182" s="82"/>
      <c r="WOD182" s="82"/>
      <c r="WOE182" s="82"/>
      <c r="WOF182" s="82"/>
      <c r="WOG182" s="82"/>
      <c r="WOH182" s="82"/>
      <c r="WOI182" s="82"/>
      <c r="WOJ182" s="82"/>
      <c r="WOK182" s="82"/>
      <c r="WOL182" s="82"/>
      <c r="WOM182" s="82"/>
      <c r="WON182" s="82"/>
      <c r="WOO182" s="82"/>
      <c r="WOP182" s="82"/>
      <c r="WOQ182" s="82"/>
      <c r="WOR182" s="82"/>
      <c r="WOS182" s="82"/>
      <c r="WOT182" s="82"/>
      <c r="WOU182" s="82"/>
      <c r="WOV182" s="82"/>
      <c r="WOW182" s="82"/>
      <c r="WOX182" s="82"/>
      <c r="WOY182" s="82"/>
      <c r="WOZ182" s="82"/>
      <c r="WPA182" s="82"/>
      <c r="WPB182" s="82"/>
      <c r="WPC182" s="82"/>
      <c r="WPD182" s="82"/>
      <c r="WPE182" s="82"/>
      <c r="WPF182" s="82"/>
      <c r="WPG182" s="82"/>
      <c r="WPH182" s="82"/>
      <c r="WPI182" s="82"/>
      <c r="WPJ182" s="82"/>
      <c r="WPK182" s="82"/>
      <c r="WPL182" s="82"/>
      <c r="WPM182" s="82"/>
      <c r="WPN182" s="82"/>
      <c r="WPO182" s="82"/>
      <c r="WPP182" s="82"/>
      <c r="WPQ182" s="82"/>
      <c r="WPR182" s="82"/>
      <c r="WPS182" s="82"/>
      <c r="WPT182" s="82"/>
      <c r="WPU182" s="82"/>
      <c r="WPV182" s="82"/>
      <c r="WPW182" s="82"/>
      <c r="WPX182" s="82"/>
      <c r="WPY182" s="82"/>
      <c r="WPZ182" s="82"/>
      <c r="WQA182" s="82"/>
      <c r="WQB182" s="82"/>
      <c r="WQC182" s="82"/>
      <c r="WQD182" s="82"/>
      <c r="WQE182" s="82"/>
      <c r="WQF182" s="82"/>
      <c r="WQG182" s="82"/>
      <c r="WQH182" s="82"/>
      <c r="WQI182" s="82"/>
      <c r="WQJ182" s="82"/>
      <c r="WQK182" s="82"/>
      <c r="WQL182" s="82"/>
      <c r="WQM182" s="82"/>
      <c r="WQN182" s="82"/>
      <c r="WQO182" s="82"/>
      <c r="WQP182" s="82"/>
      <c r="WQQ182" s="82"/>
      <c r="WQR182" s="82"/>
      <c r="WQS182" s="82"/>
      <c r="WQT182" s="82"/>
      <c r="WQU182" s="82"/>
      <c r="WQV182" s="82"/>
      <c r="WQW182" s="82"/>
      <c r="WQX182" s="82"/>
      <c r="WQY182" s="82"/>
      <c r="WQZ182" s="82"/>
      <c r="WRA182" s="82"/>
      <c r="WRB182" s="82"/>
      <c r="WRC182" s="82"/>
      <c r="WRD182" s="82"/>
      <c r="WRE182" s="82"/>
      <c r="WRF182" s="82"/>
      <c r="WRG182" s="82"/>
      <c r="WRH182" s="82"/>
      <c r="WRI182" s="82"/>
      <c r="WRJ182" s="82"/>
      <c r="WRK182" s="82"/>
      <c r="WRL182" s="82"/>
      <c r="WRM182" s="82"/>
      <c r="WRN182" s="82"/>
      <c r="WRO182" s="82"/>
      <c r="WRP182" s="82"/>
      <c r="WRQ182" s="82"/>
      <c r="WRR182" s="82"/>
      <c r="WRS182" s="82"/>
      <c r="WRT182" s="82"/>
      <c r="WRU182" s="82"/>
      <c r="WRV182" s="82"/>
      <c r="WRW182" s="82"/>
      <c r="WRX182" s="82"/>
      <c r="WRY182" s="82"/>
      <c r="WRZ182" s="82"/>
      <c r="WSA182" s="82"/>
      <c r="WSB182" s="82"/>
      <c r="WSC182" s="82"/>
      <c r="WSD182" s="82"/>
      <c r="WSE182" s="82"/>
      <c r="WSF182" s="82"/>
      <c r="WSG182" s="82"/>
      <c r="WSH182" s="82"/>
      <c r="WSI182" s="82"/>
      <c r="WSJ182" s="82"/>
      <c r="WSK182" s="82"/>
      <c r="WSL182" s="82"/>
      <c r="WSM182" s="82"/>
      <c r="WSN182" s="82"/>
      <c r="WSO182" s="82"/>
      <c r="WSP182" s="82"/>
      <c r="WSQ182" s="82"/>
      <c r="WSR182" s="82"/>
      <c r="WSS182" s="82"/>
      <c r="WST182" s="82"/>
      <c r="WSU182" s="82"/>
      <c r="WSV182" s="82"/>
      <c r="WSW182" s="82"/>
      <c r="WSX182" s="82"/>
      <c r="WSY182" s="82"/>
      <c r="WSZ182" s="82"/>
      <c r="WTA182" s="82"/>
      <c r="WTB182" s="82"/>
      <c r="WTC182" s="82"/>
      <c r="WTD182" s="82"/>
      <c r="WTE182" s="82"/>
      <c r="WTF182" s="82"/>
      <c r="WTG182" s="82"/>
      <c r="WTH182" s="82"/>
      <c r="WTI182" s="82"/>
      <c r="WTJ182" s="82"/>
      <c r="WTK182" s="82"/>
      <c r="WTL182" s="82"/>
      <c r="WTM182" s="82"/>
      <c r="WTN182" s="82"/>
      <c r="WTO182" s="82"/>
      <c r="WTP182" s="82"/>
      <c r="WTQ182" s="82"/>
      <c r="WTR182" s="82"/>
      <c r="WTS182" s="82"/>
      <c r="WTT182" s="82"/>
      <c r="WTU182" s="82"/>
      <c r="WTV182" s="82"/>
      <c r="WTW182" s="82"/>
      <c r="WTX182" s="82"/>
      <c r="WTY182" s="82"/>
      <c r="WTZ182" s="82"/>
      <c r="WUA182" s="82"/>
      <c r="WUB182" s="82"/>
      <c r="WUC182" s="82"/>
      <c r="WUD182" s="82"/>
      <c r="WUE182" s="82"/>
      <c r="WUF182" s="82"/>
      <c r="WUG182" s="82"/>
      <c r="WUH182" s="82"/>
      <c r="WUI182" s="82"/>
      <c r="WUJ182" s="82"/>
      <c r="WUK182" s="82"/>
      <c r="WUL182" s="82"/>
      <c r="WUM182" s="82"/>
      <c r="WUN182" s="82"/>
      <c r="WUO182" s="82"/>
      <c r="WUP182" s="82"/>
      <c r="WUQ182" s="82"/>
      <c r="WUR182" s="82"/>
      <c r="WUS182" s="82"/>
      <c r="WUT182" s="82"/>
      <c r="WUU182" s="82"/>
      <c r="WUV182" s="82"/>
      <c r="WUW182" s="82"/>
      <c r="WUX182" s="82"/>
      <c r="WUY182" s="82"/>
      <c r="WUZ182" s="82"/>
      <c r="WVA182" s="82"/>
      <c r="WVB182" s="82"/>
      <c r="WVC182" s="82"/>
      <c r="WVD182" s="82"/>
      <c r="WVE182" s="82"/>
      <c r="WVF182" s="82"/>
      <c r="WVG182" s="82"/>
      <c r="WVH182" s="82"/>
      <c r="WVI182" s="82"/>
      <c r="WVJ182" s="82"/>
      <c r="WVK182" s="82"/>
      <c r="WVL182" s="82"/>
      <c r="WVM182" s="82"/>
      <c r="WVN182" s="82"/>
      <c r="WVO182" s="82"/>
      <c r="WVP182" s="82"/>
      <c r="WVQ182" s="82"/>
      <c r="WVR182" s="82"/>
      <c r="WVS182" s="82"/>
      <c r="WVT182" s="82"/>
      <c r="WVU182" s="82"/>
      <c r="WVV182" s="82"/>
      <c r="WVW182" s="82"/>
      <c r="WVX182" s="82"/>
      <c r="WVY182" s="82"/>
      <c r="WVZ182" s="82"/>
      <c r="WWA182" s="82"/>
      <c r="WWB182" s="82"/>
      <c r="WWC182" s="82"/>
      <c r="WWD182" s="82"/>
      <c r="WWE182" s="82"/>
      <c r="WWF182" s="82"/>
      <c r="WWG182" s="82"/>
      <c r="WWH182" s="82"/>
      <c r="WWI182" s="82"/>
      <c r="WWJ182" s="82"/>
      <c r="WWK182" s="82"/>
      <c r="WWL182" s="82"/>
      <c r="WWM182" s="82"/>
      <c r="WWN182" s="82"/>
      <c r="WWO182" s="82"/>
      <c r="WWP182" s="82"/>
      <c r="WWQ182" s="82"/>
      <c r="WWR182" s="82"/>
      <c r="WWS182" s="82"/>
      <c r="WWT182" s="82"/>
      <c r="WWU182" s="82"/>
      <c r="WWV182" s="82"/>
      <c r="WWW182" s="82"/>
      <c r="WWX182" s="82"/>
      <c r="WWY182" s="82"/>
      <c r="WWZ182" s="82"/>
      <c r="WXA182" s="82"/>
      <c r="WXB182" s="82"/>
      <c r="WXC182" s="82"/>
      <c r="WXD182" s="82"/>
      <c r="WXE182" s="82"/>
      <c r="WXF182" s="82"/>
      <c r="WXG182" s="82"/>
      <c r="WXH182" s="82"/>
      <c r="WXI182" s="82"/>
      <c r="WXJ182" s="82"/>
      <c r="WXK182" s="82"/>
      <c r="WXL182" s="82"/>
      <c r="WXM182" s="82"/>
      <c r="WXN182" s="82"/>
      <c r="WXO182" s="82"/>
      <c r="WXP182" s="82"/>
      <c r="WXQ182" s="82"/>
      <c r="WXR182" s="82"/>
      <c r="WXS182" s="82"/>
      <c r="WXT182" s="82"/>
      <c r="WXU182" s="82"/>
      <c r="WXV182" s="82"/>
      <c r="WXW182" s="82"/>
      <c r="WXX182" s="82"/>
      <c r="WXY182" s="82"/>
      <c r="WXZ182" s="82"/>
      <c r="WYA182" s="82"/>
      <c r="WYB182" s="82"/>
      <c r="WYC182" s="82"/>
      <c r="WYD182" s="82"/>
      <c r="WYE182" s="82"/>
      <c r="WYF182" s="82"/>
      <c r="WYG182" s="82"/>
      <c r="WYH182" s="82"/>
      <c r="WYI182" s="82"/>
      <c r="WYJ182" s="82"/>
      <c r="WYK182" s="82"/>
      <c r="WYL182" s="82"/>
      <c r="WYM182" s="82"/>
      <c r="WYN182" s="82"/>
      <c r="WYO182" s="82"/>
      <c r="WYP182" s="82"/>
      <c r="WYQ182" s="82"/>
      <c r="WYR182" s="82"/>
      <c r="WYS182" s="82"/>
      <c r="WYT182" s="82"/>
      <c r="WYU182" s="82"/>
      <c r="WYV182" s="82"/>
      <c r="WYW182" s="82"/>
      <c r="WYX182" s="82"/>
      <c r="WYY182" s="82"/>
      <c r="WYZ182" s="82"/>
      <c r="WZA182" s="82"/>
      <c r="WZB182" s="82"/>
      <c r="WZC182" s="82"/>
      <c r="WZD182" s="82"/>
      <c r="WZE182" s="82"/>
      <c r="WZF182" s="82"/>
      <c r="WZG182" s="82"/>
      <c r="WZH182" s="82"/>
      <c r="WZI182" s="82"/>
      <c r="WZJ182" s="82"/>
      <c r="WZK182" s="82"/>
      <c r="WZL182" s="82"/>
      <c r="WZM182" s="82"/>
      <c r="WZN182" s="82"/>
      <c r="WZO182" s="82"/>
      <c r="WZP182" s="82"/>
      <c r="WZQ182" s="82"/>
      <c r="WZR182" s="82"/>
      <c r="WZS182" s="82"/>
      <c r="WZT182" s="82"/>
      <c r="WZU182" s="82"/>
      <c r="WZV182" s="82"/>
      <c r="WZW182" s="82"/>
      <c r="WZX182" s="82"/>
      <c r="WZY182" s="82"/>
      <c r="WZZ182" s="82"/>
      <c r="XAA182" s="82"/>
      <c r="XAB182" s="82"/>
      <c r="XAC182" s="82"/>
      <c r="XAD182" s="82"/>
      <c r="XAE182" s="82"/>
      <c r="XAF182" s="82"/>
      <c r="XAG182" s="82"/>
      <c r="XAH182" s="82"/>
      <c r="XAI182" s="82"/>
      <c r="XAJ182" s="82"/>
      <c r="XAK182" s="82"/>
      <c r="XAL182" s="82"/>
      <c r="XAM182" s="82"/>
      <c r="XAN182" s="82"/>
      <c r="XAO182" s="82"/>
      <c r="XAP182" s="82"/>
      <c r="XAQ182" s="82"/>
      <c r="XAR182" s="82"/>
      <c r="XAS182" s="82"/>
      <c r="XAT182" s="82"/>
      <c r="XAU182" s="82"/>
      <c r="XAV182" s="82"/>
      <c r="XAW182" s="82"/>
      <c r="XAX182" s="82"/>
      <c r="XAY182" s="82"/>
      <c r="XAZ182" s="82"/>
      <c r="XBA182" s="82"/>
      <c r="XBB182" s="82"/>
      <c r="XBC182" s="82"/>
      <c r="XBD182" s="82"/>
      <c r="XBE182" s="82"/>
      <c r="XBF182" s="82"/>
      <c r="XBG182" s="82"/>
      <c r="XBH182" s="82"/>
      <c r="XBI182" s="82"/>
      <c r="XBJ182" s="82"/>
      <c r="XBK182" s="82"/>
      <c r="XBL182" s="82"/>
      <c r="XBM182" s="82"/>
      <c r="XBN182" s="82"/>
      <c r="XBO182" s="82"/>
      <c r="XBP182" s="82"/>
      <c r="XBQ182" s="82"/>
      <c r="XBR182" s="82"/>
      <c r="XBS182" s="82"/>
      <c r="XBT182" s="82"/>
      <c r="XBU182" s="82"/>
      <c r="XBV182" s="82"/>
      <c r="XBW182" s="82"/>
      <c r="XBX182" s="82"/>
      <c r="XBY182" s="82"/>
      <c r="XBZ182" s="82"/>
      <c r="XCA182" s="82"/>
      <c r="XCB182" s="82"/>
      <c r="XCC182" s="82"/>
      <c r="XCD182" s="82"/>
      <c r="XCE182" s="82"/>
      <c r="XCF182" s="82"/>
      <c r="XCG182" s="82"/>
      <c r="XCH182" s="82"/>
      <c r="XCI182" s="82"/>
      <c r="XCJ182" s="82"/>
      <c r="XCK182" s="82"/>
      <c r="XCL182" s="82"/>
      <c r="XCM182" s="82"/>
      <c r="XCN182" s="82"/>
      <c r="XCO182" s="82"/>
      <c r="XCP182" s="82"/>
      <c r="XCQ182" s="82"/>
      <c r="XCR182" s="82"/>
      <c r="XCS182" s="82"/>
      <c r="XCT182" s="82"/>
      <c r="XCU182" s="82"/>
      <c r="XCV182" s="82"/>
      <c r="XCW182" s="82"/>
      <c r="XCX182" s="82"/>
      <c r="XCY182" s="82"/>
      <c r="XCZ182" s="82"/>
      <c r="XDA182" s="82"/>
      <c r="XDB182" s="82"/>
      <c r="XDC182" s="82"/>
      <c r="XDD182" s="82"/>
      <c r="XDE182" s="82"/>
      <c r="XDF182" s="82"/>
      <c r="XDG182" s="82"/>
      <c r="XDH182" s="82"/>
      <c r="XDI182" s="82"/>
      <c r="XDJ182" s="82"/>
      <c r="XDK182" s="82"/>
      <c r="XDL182" s="82"/>
      <c r="XDM182" s="82"/>
      <c r="XDN182" s="82"/>
      <c r="XDO182" s="82"/>
      <c r="XDP182" s="82"/>
      <c r="XDQ182" s="82"/>
      <c r="XDR182" s="82"/>
      <c r="XDS182" s="82"/>
      <c r="XDT182" s="82"/>
      <c r="XDU182" s="82"/>
      <c r="XDV182" s="82"/>
      <c r="XDW182" s="82"/>
      <c r="XDX182" s="82"/>
      <c r="XDY182" s="82"/>
      <c r="XDZ182" s="82"/>
      <c r="XEA182" s="82"/>
      <c r="XEB182" s="82"/>
      <c r="XEC182" s="82"/>
      <c r="XED182" s="82"/>
      <c r="XEE182" s="82"/>
      <c r="XEF182" s="82"/>
      <c r="XEG182" s="82"/>
      <c r="XEH182" s="82"/>
      <c r="XEI182" s="82"/>
      <c r="XEJ182" s="82"/>
      <c r="XEK182" s="82"/>
      <c r="XEL182" s="82"/>
      <c r="XEM182" s="82"/>
      <c r="XEN182" s="82"/>
      <c r="XEO182" s="82"/>
      <c r="XEP182" s="82"/>
      <c r="XEQ182" s="82"/>
      <c r="XER182" s="82"/>
      <c r="XES182" s="82"/>
      <c r="XET182" s="82"/>
      <c r="XEU182" s="82"/>
      <c r="XEV182" s="82"/>
      <c r="XEW182" s="82"/>
      <c r="XEX182" s="82"/>
      <c r="XEY182" s="82"/>
      <c r="XEZ182" s="82"/>
      <c r="XFA182" s="82"/>
      <c r="XFB182" s="82"/>
      <c r="XFC182" s="82"/>
      <c r="XFD182" s="82"/>
    </row>
    <row r="183" spans="2:16384" ht="15" customHeight="1">
      <c r="B183" s="83"/>
      <c r="C183" s="83"/>
      <c r="D183" s="83"/>
      <c r="E183" s="330"/>
      <c r="F183" s="331"/>
      <c r="G183" s="330"/>
      <c r="H183" s="331"/>
      <c r="I183" s="327"/>
      <c r="J183" s="327"/>
      <c r="L183" s="332"/>
      <c r="M183" s="333"/>
      <c r="N183" s="334"/>
      <c r="O183" s="334"/>
      <c r="P183" s="334"/>
      <c r="Q183" s="82"/>
      <c r="W183" s="82"/>
      <c r="X183" s="82"/>
      <c r="Y183" s="82"/>
      <c r="Z183" s="82"/>
      <c r="AA183" s="82"/>
      <c r="AB183" s="82"/>
      <c r="AC183" s="82"/>
      <c r="AD183" s="82"/>
      <c r="AE183" s="82"/>
      <c r="AF183" s="82"/>
      <c r="AG183" s="82"/>
      <c r="AH183" s="82"/>
      <c r="AI183" s="82"/>
      <c r="AJ183" s="82"/>
      <c r="AK183" s="82"/>
      <c r="AL183" s="82"/>
      <c r="AM183" s="82"/>
      <c r="AN183" s="82"/>
      <c r="AO183" s="82"/>
      <c r="AP183" s="82"/>
      <c r="AQ183" s="82"/>
      <c r="AR183" s="82"/>
      <c r="AS183" s="82"/>
      <c r="AT183" s="82"/>
      <c r="AU183" s="82"/>
      <c r="AV183" s="82"/>
      <c r="AW183" s="82"/>
      <c r="AX183" s="82"/>
      <c r="AY183" s="82"/>
      <c r="AZ183" s="82"/>
      <c r="BA183" s="82"/>
      <c r="BB183" s="82"/>
      <c r="BC183" s="82"/>
      <c r="BD183" s="82"/>
      <c r="BE183" s="82"/>
      <c r="BF183" s="82"/>
      <c r="BG183" s="82"/>
      <c r="BH183" s="82"/>
      <c r="BI183" s="82"/>
      <c r="BJ183" s="82"/>
      <c r="BK183" s="82"/>
      <c r="BL183" s="82"/>
      <c r="BM183" s="82"/>
      <c r="BN183" s="82"/>
      <c r="BO183" s="82"/>
      <c r="BP183" s="82"/>
      <c r="BQ183" s="82"/>
      <c r="BR183" s="82"/>
      <c r="BS183" s="82"/>
      <c r="BT183" s="82"/>
      <c r="BU183" s="82"/>
      <c r="BV183" s="82"/>
      <c r="BW183" s="82"/>
      <c r="BX183" s="82"/>
      <c r="BY183" s="82"/>
      <c r="BZ183" s="82"/>
      <c r="CA183" s="82"/>
      <c r="CB183" s="82"/>
      <c r="CC183" s="82"/>
      <c r="CD183" s="82"/>
      <c r="CE183" s="82"/>
      <c r="CF183" s="82"/>
      <c r="CG183" s="82"/>
      <c r="CH183" s="82"/>
      <c r="CI183" s="82"/>
      <c r="CJ183" s="82"/>
      <c r="CK183" s="82"/>
      <c r="CL183" s="82"/>
      <c r="CM183" s="82"/>
      <c r="CN183" s="82"/>
      <c r="CO183" s="82"/>
      <c r="CP183" s="82"/>
      <c r="CQ183" s="82"/>
      <c r="CR183" s="82"/>
      <c r="CS183" s="82"/>
      <c r="CT183" s="82"/>
      <c r="CU183" s="82"/>
      <c r="CV183" s="82"/>
      <c r="CW183" s="82"/>
      <c r="CX183" s="82"/>
      <c r="CY183" s="82"/>
      <c r="CZ183" s="82"/>
      <c r="DA183" s="82"/>
      <c r="DB183" s="82"/>
      <c r="DC183" s="82"/>
      <c r="DD183" s="82"/>
      <c r="DE183" s="82"/>
      <c r="DF183" s="82"/>
      <c r="DG183" s="82"/>
      <c r="DH183" s="82"/>
      <c r="DI183" s="82"/>
      <c r="DJ183" s="82"/>
      <c r="DK183" s="82"/>
      <c r="DL183" s="82"/>
      <c r="DM183" s="82"/>
      <c r="DN183" s="82"/>
      <c r="DO183" s="82"/>
      <c r="DP183" s="82"/>
      <c r="DQ183" s="82"/>
      <c r="DR183" s="82"/>
      <c r="DS183" s="82"/>
      <c r="DT183" s="82"/>
      <c r="DU183" s="82"/>
      <c r="DV183" s="82"/>
      <c r="DW183" s="82"/>
      <c r="DX183" s="82"/>
      <c r="DY183" s="82"/>
      <c r="DZ183" s="82"/>
      <c r="EA183" s="82"/>
      <c r="EB183" s="82"/>
      <c r="EC183" s="82"/>
      <c r="ED183" s="82"/>
      <c r="EE183" s="82"/>
      <c r="EF183" s="82"/>
      <c r="EG183" s="82"/>
      <c r="EH183" s="82"/>
      <c r="EI183" s="82"/>
      <c r="EJ183" s="82"/>
      <c r="EK183" s="82"/>
      <c r="EL183" s="82"/>
      <c r="EM183" s="82"/>
      <c r="EN183" s="82"/>
      <c r="EO183" s="82"/>
      <c r="EP183" s="82"/>
      <c r="EQ183" s="82"/>
      <c r="ER183" s="82"/>
      <c r="ES183" s="82"/>
      <c r="ET183" s="82"/>
      <c r="EU183" s="82"/>
      <c r="EV183" s="82"/>
      <c r="EW183" s="82"/>
      <c r="EX183" s="82"/>
      <c r="EY183" s="82"/>
      <c r="EZ183" s="82"/>
      <c r="FA183" s="82"/>
      <c r="FB183" s="82"/>
      <c r="FC183" s="82"/>
      <c r="FD183" s="82"/>
      <c r="FE183" s="82"/>
      <c r="FF183" s="82"/>
      <c r="FG183" s="82"/>
      <c r="FH183" s="82"/>
      <c r="FI183" s="82"/>
      <c r="FJ183" s="82"/>
      <c r="FK183" s="82"/>
      <c r="FL183" s="82"/>
      <c r="FM183" s="82"/>
      <c r="FN183" s="82"/>
      <c r="FO183" s="82"/>
      <c r="FP183" s="82"/>
      <c r="FQ183" s="82"/>
      <c r="FR183" s="82"/>
      <c r="FS183" s="82"/>
      <c r="FT183" s="82"/>
      <c r="FU183" s="82"/>
      <c r="FV183" s="82"/>
      <c r="FW183" s="82"/>
      <c r="FX183" s="82"/>
      <c r="FY183" s="82"/>
      <c r="FZ183" s="82"/>
      <c r="GA183" s="82"/>
      <c r="GB183" s="82"/>
      <c r="GC183" s="82"/>
      <c r="GD183" s="82"/>
      <c r="GE183" s="82"/>
      <c r="GF183" s="82"/>
      <c r="GG183" s="82"/>
      <c r="GH183" s="82"/>
      <c r="GI183" s="82"/>
      <c r="GJ183" s="82"/>
      <c r="GK183" s="82"/>
      <c r="GL183" s="82"/>
      <c r="GM183" s="82"/>
      <c r="GN183" s="82"/>
      <c r="GO183" s="82"/>
      <c r="GP183" s="82"/>
      <c r="GQ183" s="82"/>
      <c r="GR183" s="82"/>
      <c r="GS183" s="82"/>
      <c r="GT183" s="82"/>
      <c r="GU183" s="82"/>
      <c r="GV183" s="82"/>
      <c r="GW183" s="82"/>
      <c r="GX183" s="82"/>
      <c r="GY183" s="82"/>
      <c r="GZ183" s="82"/>
      <c r="HA183" s="82"/>
      <c r="HB183" s="82"/>
      <c r="HC183" s="82"/>
      <c r="HD183" s="82"/>
      <c r="HE183" s="82"/>
      <c r="HF183" s="82"/>
      <c r="HG183" s="82"/>
      <c r="HH183" s="82"/>
      <c r="HI183" s="82"/>
      <c r="HJ183" s="82"/>
      <c r="HK183" s="82"/>
      <c r="HL183" s="82"/>
      <c r="HM183" s="82"/>
      <c r="HN183" s="82"/>
      <c r="HO183" s="82"/>
      <c r="HP183" s="82"/>
      <c r="HQ183" s="82"/>
      <c r="HR183" s="82"/>
      <c r="HS183" s="82"/>
      <c r="HT183" s="82"/>
      <c r="HU183" s="82"/>
      <c r="HV183" s="82"/>
      <c r="HW183" s="82"/>
      <c r="HX183" s="82"/>
      <c r="HY183" s="82"/>
      <c r="HZ183" s="82"/>
      <c r="IA183" s="82"/>
      <c r="IB183" s="82"/>
      <c r="IC183" s="82"/>
      <c r="ID183" s="82"/>
      <c r="IE183" s="82"/>
      <c r="IF183" s="82"/>
      <c r="IG183" s="82"/>
      <c r="IH183" s="82"/>
      <c r="II183" s="82"/>
      <c r="IJ183" s="82"/>
      <c r="IK183" s="82"/>
      <c r="IL183" s="82"/>
      <c r="IM183" s="82"/>
      <c r="IN183" s="82"/>
      <c r="IO183" s="82"/>
      <c r="IP183" s="82"/>
      <c r="IQ183" s="82"/>
      <c r="IR183" s="82"/>
      <c r="IS183" s="82"/>
      <c r="IT183" s="82"/>
      <c r="IU183" s="82"/>
      <c r="IV183" s="82"/>
      <c r="IW183" s="82"/>
      <c r="IX183" s="82"/>
      <c r="IY183" s="82"/>
      <c r="IZ183" s="82"/>
      <c r="JA183" s="82"/>
      <c r="JB183" s="82"/>
      <c r="JC183" s="82"/>
      <c r="JD183" s="82"/>
      <c r="JE183" s="82"/>
      <c r="JF183" s="82"/>
      <c r="JG183" s="82"/>
      <c r="JH183" s="82"/>
      <c r="JI183" s="82"/>
      <c r="JJ183" s="82"/>
      <c r="JK183" s="82"/>
      <c r="JL183" s="82"/>
      <c r="JM183" s="82"/>
      <c r="JN183" s="82"/>
      <c r="JO183" s="82"/>
      <c r="JP183" s="82"/>
      <c r="JQ183" s="82"/>
      <c r="JR183" s="82"/>
      <c r="JS183" s="82"/>
      <c r="JT183" s="82"/>
      <c r="JU183" s="82"/>
      <c r="JV183" s="82"/>
      <c r="JW183" s="82"/>
      <c r="JX183" s="82"/>
      <c r="JY183" s="82"/>
      <c r="JZ183" s="82"/>
      <c r="KA183" s="82"/>
      <c r="KB183" s="82"/>
      <c r="KC183" s="82"/>
      <c r="KD183" s="82"/>
      <c r="KE183" s="82"/>
      <c r="KF183" s="82"/>
      <c r="KG183" s="82"/>
      <c r="KH183" s="82"/>
      <c r="KI183" s="82"/>
      <c r="KJ183" s="82"/>
      <c r="KK183" s="82"/>
      <c r="KL183" s="82"/>
      <c r="KM183" s="82"/>
      <c r="KN183" s="82"/>
      <c r="KO183" s="82"/>
      <c r="KP183" s="82"/>
      <c r="KQ183" s="82"/>
      <c r="KR183" s="82"/>
      <c r="KS183" s="82"/>
      <c r="KT183" s="82"/>
      <c r="KU183" s="82"/>
      <c r="KV183" s="82"/>
      <c r="KW183" s="82"/>
      <c r="KX183" s="82"/>
      <c r="KY183" s="82"/>
      <c r="KZ183" s="82"/>
      <c r="LA183" s="82"/>
      <c r="LB183" s="82"/>
      <c r="LC183" s="82"/>
      <c r="LD183" s="82"/>
      <c r="LE183" s="82"/>
      <c r="LF183" s="82"/>
      <c r="LG183" s="82"/>
      <c r="LH183" s="82"/>
      <c r="LI183" s="82"/>
      <c r="LJ183" s="82"/>
      <c r="LK183" s="82"/>
      <c r="LL183" s="82"/>
      <c r="LM183" s="82"/>
      <c r="LN183" s="82"/>
      <c r="LO183" s="82"/>
      <c r="LP183" s="82"/>
      <c r="LQ183" s="82"/>
      <c r="LR183" s="82"/>
      <c r="LS183" s="82"/>
      <c r="LT183" s="82"/>
      <c r="LU183" s="82"/>
      <c r="LV183" s="82"/>
      <c r="LW183" s="82"/>
      <c r="LX183" s="82"/>
      <c r="LY183" s="82"/>
      <c r="LZ183" s="82"/>
      <c r="MA183" s="82"/>
      <c r="MB183" s="82"/>
      <c r="MC183" s="82"/>
      <c r="MD183" s="82"/>
      <c r="ME183" s="82"/>
      <c r="MF183" s="82"/>
      <c r="MG183" s="82"/>
      <c r="MH183" s="82"/>
      <c r="MI183" s="82"/>
      <c r="MJ183" s="82"/>
      <c r="MK183" s="82"/>
      <c r="ML183" s="82"/>
      <c r="MM183" s="82"/>
      <c r="MN183" s="82"/>
      <c r="MO183" s="82"/>
      <c r="MP183" s="82"/>
      <c r="MQ183" s="82"/>
      <c r="MR183" s="82"/>
      <c r="MS183" s="82"/>
      <c r="MT183" s="82"/>
      <c r="MU183" s="82"/>
      <c r="MV183" s="82"/>
      <c r="MW183" s="82"/>
      <c r="MX183" s="82"/>
      <c r="MY183" s="82"/>
      <c r="MZ183" s="82"/>
      <c r="NA183" s="82"/>
      <c r="NB183" s="82"/>
      <c r="NC183" s="82"/>
      <c r="ND183" s="82"/>
      <c r="NE183" s="82"/>
      <c r="NF183" s="82"/>
      <c r="NG183" s="82"/>
      <c r="NH183" s="82"/>
      <c r="NI183" s="82"/>
      <c r="NJ183" s="82"/>
      <c r="NK183" s="82"/>
      <c r="NL183" s="82"/>
      <c r="NM183" s="82"/>
      <c r="NN183" s="82"/>
      <c r="NO183" s="82"/>
      <c r="NP183" s="82"/>
      <c r="NQ183" s="82"/>
      <c r="NR183" s="82"/>
      <c r="NS183" s="82"/>
      <c r="NT183" s="82"/>
      <c r="NU183" s="82"/>
      <c r="NV183" s="82"/>
      <c r="NW183" s="82"/>
      <c r="NX183" s="82"/>
      <c r="NY183" s="82"/>
      <c r="NZ183" s="82"/>
      <c r="OA183" s="82"/>
      <c r="OB183" s="82"/>
      <c r="OC183" s="82"/>
      <c r="OD183" s="82"/>
      <c r="OE183" s="82"/>
      <c r="OF183" s="82"/>
      <c r="OG183" s="82"/>
      <c r="OH183" s="82"/>
      <c r="OI183" s="82"/>
      <c r="OJ183" s="82"/>
      <c r="OK183" s="82"/>
      <c r="OL183" s="82"/>
      <c r="OM183" s="82"/>
      <c r="ON183" s="82"/>
      <c r="OO183" s="82"/>
      <c r="OP183" s="82"/>
      <c r="OQ183" s="82"/>
      <c r="OR183" s="82"/>
      <c r="OS183" s="82"/>
      <c r="OT183" s="82"/>
      <c r="OU183" s="82"/>
      <c r="OV183" s="82"/>
      <c r="OW183" s="82"/>
      <c r="OX183" s="82"/>
      <c r="OY183" s="82"/>
      <c r="OZ183" s="82"/>
      <c r="PA183" s="82"/>
      <c r="PB183" s="82"/>
      <c r="PC183" s="82"/>
      <c r="PD183" s="82"/>
      <c r="PE183" s="82"/>
      <c r="PF183" s="82"/>
      <c r="PG183" s="82"/>
      <c r="PH183" s="82"/>
      <c r="PI183" s="82"/>
      <c r="PJ183" s="82"/>
      <c r="PK183" s="82"/>
      <c r="PL183" s="82"/>
      <c r="PM183" s="82"/>
      <c r="PN183" s="82"/>
      <c r="PO183" s="82"/>
      <c r="PP183" s="82"/>
      <c r="PQ183" s="82"/>
      <c r="PR183" s="82"/>
      <c r="PS183" s="82"/>
      <c r="PT183" s="82"/>
      <c r="PU183" s="82"/>
      <c r="PV183" s="82"/>
      <c r="PW183" s="82"/>
      <c r="PX183" s="82"/>
      <c r="PY183" s="82"/>
      <c r="PZ183" s="82"/>
      <c r="QA183" s="82"/>
      <c r="QB183" s="82"/>
      <c r="QC183" s="82"/>
      <c r="QD183" s="82"/>
      <c r="QE183" s="82"/>
      <c r="QF183" s="82"/>
      <c r="QG183" s="82"/>
      <c r="QH183" s="82"/>
      <c r="QI183" s="82"/>
      <c r="QJ183" s="82"/>
      <c r="QK183" s="82"/>
      <c r="QL183" s="82"/>
      <c r="QM183" s="82"/>
      <c r="QN183" s="82"/>
      <c r="QO183" s="82"/>
      <c r="QP183" s="82"/>
      <c r="QQ183" s="82"/>
      <c r="QR183" s="82"/>
      <c r="QS183" s="82"/>
      <c r="QT183" s="82"/>
      <c r="QU183" s="82"/>
      <c r="QV183" s="82"/>
      <c r="QW183" s="82"/>
      <c r="QX183" s="82"/>
      <c r="QY183" s="82"/>
      <c r="QZ183" s="82"/>
      <c r="RA183" s="82"/>
      <c r="RB183" s="82"/>
      <c r="RC183" s="82"/>
      <c r="RD183" s="82"/>
      <c r="RE183" s="82"/>
      <c r="RF183" s="82"/>
      <c r="RG183" s="82"/>
      <c r="RH183" s="82"/>
      <c r="RI183" s="82"/>
      <c r="RJ183" s="82"/>
      <c r="RK183" s="82"/>
      <c r="RL183" s="82"/>
      <c r="RM183" s="82"/>
      <c r="RN183" s="82"/>
      <c r="RO183" s="82"/>
      <c r="RP183" s="82"/>
      <c r="RQ183" s="82"/>
      <c r="RR183" s="82"/>
      <c r="RS183" s="82"/>
      <c r="RT183" s="82"/>
      <c r="RU183" s="82"/>
      <c r="RV183" s="82"/>
      <c r="RW183" s="82"/>
      <c r="RX183" s="82"/>
      <c r="RY183" s="82"/>
      <c r="RZ183" s="82"/>
      <c r="SA183" s="82"/>
      <c r="SB183" s="82"/>
      <c r="SC183" s="82"/>
      <c r="SD183" s="82"/>
      <c r="SE183" s="82"/>
      <c r="SF183" s="82"/>
      <c r="SG183" s="82"/>
      <c r="SH183" s="82"/>
      <c r="SI183" s="82"/>
      <c r="SJ183" s="82"/>
      <c r="SK183" s="82"/>
      <c r="SL183" s="82"/>
      <c r="SM183" s="82"/>
      <c r="SN183" s="82"/>
      <c r="SO183" s="82"/>
      <c r="SP183" s="82"/>
      <c r="SQ183" s="82"/>
      <c r="SR183" s="82"/>
      <c r="SS183" s="82"/>
      <c r="ST183" s="82"/>
      <c r="SU183" s="82"/>
      <c r="SV183" s="82"/>
      <c r="SW183" s="82"/>
      <c r="SX183" s="82"/>
      <c r="SY183" s="82"/>
      <c r="SZ183" s="82"/>
      <c r="TA183" s="82"/>
      <c r="TB183" s="82"/>
      <c r="TC183" s="82"/>
      <c r="TD183" s="82"/>
      <c r="TE183" s="82"/>
      <c r="TF183" s="82"/>
      <c r="TG183" s="82"/>
      <c r="TH183" s="82"/>
      <c r="TI183" s="82"/>
      <c r="TJ183" s="82"/>
      <c r="TK183" s="82"/>
      <c r="TL183" s="82"/>
      <c r="TM183" s="82"/>
      <c r="TN183" s="82"/>
      <c r="TO183" s="82"/>
      <c r="TP183" s="82"/>
      <c r="TQ183" s="82"/>
      <c r="TR183" s="82"/>
      <c r="TS183" s="82"/>
      <c r="TT183" s="82"/>
      <c r="TU183" s="82"/>
      <c r="TV183" s="82"/>
      <c r="TW183" s="82"/>
      <c r="TX183" s="82"/>
      <c r="TY183" s="82"/>
      <c r="TZ183" s="82"/>
      <c r="UA183" s="82"/>
      <c r="UB183" s="82"/>
      <c r="UC183" s="82"/>
      <c r="UD183" s="82"/>
      <c r="UE183" s="82"/>
      <c r="UF183" s="82"/>
      <c r="UG183" s="82"/>
      <c r="UH183" s="82"/>
      <c r="UI183" s="82"/>
      <c r="UJ183" s="82"/>
      <c r="UK183" s="82"/>
      <c r="UL183" s="82"/>
      <c r="UM183" s="82"/>
      <c r="UN183" s="82"/>
      <c r="UO183" s="82"/>
      <c r="UP183" s="82"/>
      <c r="UQ183" s="82"/>
      <c r="UR183" s="82"/>
      <c r="US183" s="82"/>
      <c r="UT183" s="82"/>
      <c r="UU183" s="82"/>
      <c r="UV183" s="82"/>
      <c r="UW183" s="82"/>
      <c r="UX183" s="82"/>
      <c r="UY183" s="82"/>
      <c r="UZ183" s="82"/>
      <c r="VA183" s="82"/>
      <c r="VB183" s="82"/>
      <c r="VC183" s="82"/>
      <c r="VD183" s="82"/>
      <c r="VE183" s="82"/>
      <c r="VF183" s="82"/>
      <c r="VG183" s="82"/>
      <c r="VH183" s="82"/>
      <c r="VI183" s="82"/>
      <c r="VJ183" s="82"/>
      <c r="VK183" s="82"/>
      <c r="VL183" s="82"/>
      <c r="VM183" s="82"/>
      <c r="VN183" s="82"/>
      <c r="VO183" s="82"/>
      <c r="VP183" s="82"/>
      <c r="VQ183" s="82"/>
      <c r="VR183" s="82"/>
      <c r="VS183" s="82"/>
      <c r="VT183" s="82"/>
      <c r="VU183" s="82"/>
      <c r="VV183" s="82"/>
      <c r="VW183" s="82"/>
      <c r="VX183" s="82"/>
      <c r="VY183" s="82"/>
      <c r="VZ183" s="82"/>
      <c r="WA183" s="82"/>
      <c r="WB183" s="82"/>
      <c r="WC183" s="82"/>
      <c r="WD183" s="82"/>
      <c r="WE183" s="82"/>
      <c r="WF183" s="82"/>
      <c r="WG183" s="82"/>
      <c r="WH183" s="82"/>
      <c r="WI183" s="82"/>
      <c r="WJ183" s="82"/>
      <c r="WK183" s="82"/>
      <c r="WL183" s="82"/>
      <c r="WM183" s="82"/>
      <c r="WN183" s="82"/>
      <c r="WO183" s="82"/>
      <c r="WP183" s="82"/>
      <c r="WQ183" s="82"/>
      <c r="WR183" s="82"/>
      <c r="WS183" s="82"/>
      <c r="WT183" s="82"/>
      <c r="WU183" s="82"/>
      <c r="WV183" s="82"/>
      <c r="WW183" s="82"/>
      <c r="WX183" s="82"/>
      <c r="WY183" s="82"/>
      <c r="WZ183" s="82"/>
      <c r="XA183" s="82"/>
      <c r="XB183" s="82"/>
      <c r="XC183" s="82"/>
      <c r="XD183" s="82"/>
      <c r="XE183" s="82"/>
      <c r="XF183" s="82"/>
      <c r="XG183" s="82"/>
      <c r="XH183" s="82"/>
      <c r="XI183" s="82"/>
      <c r="XJ183" s="82"/>
      <c r="XK183" s="82"/>
      <c r="XL183" s="82"/>
      <c r="XM183" s="82"/>
      <c r="XN183" s="82"/>
      <c r="XO183" s="82"/>
      <c r="XP183" s="82"/>
      <c r="XQ183" s="82"/>
      <c r="XR183" s="82"/>
      <c r="XS183" s="82"/>
      <c r="XT183" s="82"/>
      <c r="XU183" s="82"/>
      <c r="XV183" s="82"/>
      <c r="XW183" s="82"/>
      <c r="XX183" s="82"/>
      <c r="XY183" s="82"/>
      <c r="XZ183" s="82"/>
      <c r="YA183" s="82"/>
      <c r="YB183" s="82"/>
      <c r="YC183" s="82"/>
      <c r="YD183" s="82"/>
      <c r="YE183" s="82"/>
      <c r="YF183" s="82"/>
      <c r="YG183" s="82"/>
      <c r="YH183" s="82"/>
      <c r="YI183" s="82"/>
      <c r="YJ183" s="82"/>
      <c r="YK183" s="82"/>
      <c r="YL183" s="82"/>
      <c r="YM183" s="82"/>
      <c r="YN183" s="82"/>
      <c r="YO183" s="82"/>
      <c r="YP183" s="82"/>
      <c r="YQ183" s="82"/>
      <c r="YR183" s="82"/>
      <c r="YS183" s="82"/>
      <c r="YT183" s="82"/>
      <c r="YU183" s="82"/>
      <c r="YV183" s="82"/>
      <c r="YW183" s="82"/>
      <c r="YX183" s="82"/>
      <c r="YY183" s="82"/>
      <c r="YZ183" s="82"/>
      <c r="ZA183" s="82"/>
      <c r="ZB183" s="82"/>
      <c r="ZC183" s="82"/>
      <c r="ZD183" s="82"/>
      <c r="ZE183" s="82"/>
      <c r="ZF183" s="82"/>
      <c r="ZG183" s="82"/>
      <c r="ZH183" s="82"/>
      <c r="ZI183" s="82"/>
      <c r="ZJ183" s="82"/>
      <c r="ZK183" s="82"/>
      <c r="ZL183" s="82"/>
      <c r="ZM183" s="82"/>
      <c r="ZN183" s="82"/>
      <c r="ZO183" s="82"/>
      <c r="ZP183" s="82"/>
      <c r="ZQ183" s="82"/>
      <c r="ZR183" s="82"/>
      <c r="ZS183" s="82"/>
      <c r="ZT183" s="82"/>
      <c r="ZU183" s="82"/>
      <c r="ZV183" s="82"/>
      <c r="ZW183" s="82"/>
      <c r="ZX183" s="82"/>
      <c r="ZY183" s="82"/>
      <c r="ZZ183" s="82"/>
      <c r="AAA183" s="82"/>
      <c r="AAB183" s="82"/>
      <c r="AAC183" s="82"/>
      <c r="AAD183" s="82"/>
      <c r="AAE183" s="82"/>
      <c r="AAF183" s="82"/>
      <c r="AAG183" s="82"/>
      <c r="AAH183" s="82"/>
      <c r="AAI183" s="82"/>
      <c r="AAJ183" s="82"/>
      <c r="AAK183" s="82"/>
      <c r="AAL183" s="82"/>
      <c r="AAM183" s="82"/>
      <c r="AAN183" s="82"/>
      <c r="AAO183" s="82"/>
      <c r="AAP183" s="82"/>
      <c r="AAQ183" s="82"/>
      <c r="AAR183" s="82"/>
      <c r="AAS183" s="82"/>
      <c r="AAT183" s="82"/>
      <c r="AAU183" s="82"/>
      <c r="AAV183" s="82"/>
      <c r="AAW183" s="82"/>
      <c r="AAX183" s="82"/>
      <c r="AAY183" s="82"/>
      <c r="AAZ183" s="82"/>
      <c r="ABA183" s="82"/>
      <c r="ABB183" s="82"/>
      <c r="ABC183" s="82"/>
      <c r="ABD183" s="82"/>
      <c r="ABE183" s="82"/>
      <c r="ABF183" s="82"/>
      <c r="ABG183" s="82"/>
      <c r="ABH183" s="82"/>
      <c r="ABI183" s="82"/>
      <c r="ABJ183" s="82"/>
      <c r="ABK183" s="82"/>
      <c r="ABL183" s="82"/>
      <c r="ABM183" s="82"/>
      <c r="ABN183" s="82"/>
      <c r="ABO183" s="82"/>
      <c r="ABP183" s="82"/>
      <c r="ABQ183" s="82"/>
      <c r="ABR183" s="82"/>
      <c r="ABS183" s="82"/>
      <c r="ABT183" s="82"/>
      <c r="ABU183" s="82"/>
      <c r="ABV183" s="82"/>
      <c r="ABW183" s="82"/>
      <c r="ABX183" s="82"/>
      <c r="ABY183" s="82"/>
      <c r="ABZ183" s="82"/>
      <c r="ACA183" s="82"/>
      <c r="ACB183" s="82"/>
      <c r="ACC183" s="82"/>
      <c r="ACD183" s="82"/>
      <c r="ACE183" s="82"/>
      <c r="ACF183" s="82"/>
      <c r="ACG183" s="82"/>
      <c r="ACH183" s="82"/>
      <c r="ACI183" s="82"/>
      <c r="ACJ183" s="82"/>
      <c r="ACK183" s="82"/>
      <c r="ACL183" s="82"/>
      <c r="ACM183" s="82"/>
      <c r="ACN183" s="82"/>
      <c r="ACO183" s="82"/>
      <c r="ACP183" s="82"/>
      <c r="ACQ183" s="82"/>
      <c r="ACR183" s="82"/>
      <c r="ACS183" s="82"/>
      <c r="ACT183" s="82"/>
      <c r="ACU183" s="82"/>
      <c r="ACV183" s="82"/>
      <c r="ACW183" s="82"/>
      <c r="ACX183" s="82"/>
      <c r="ACY183" s="82"/>
      <c r="ACZ183" s="82"/>
      <c r="ADA183" s="82"/>
      <c r="ADB183" s="82"/>
      <c r="ADC183" s="82"/>
      <c r="ADD183" s="82"/>
      <c r="ADE183" s="82"/>
      <c r="ADF183" s="82"/>
      <c r="ADG183" s="82"/>
      <c r="ADH183" s="82"/>
      <c r="ADI183" s="82"/>
      <c r="ADJ183" s="82"/>
      <c r="ADK183" s="82"/>
      <c r="ADL183" s="82"/>
      <c r="ADM183" s="82"/>
      <c r="ADN183" s="82"/>
      <c r="ADO183" s="82"/>
      <c r="ADP183" s="82"/>
      <c r="ADQ183" s="82"/>
      <c r="ADR183" s="82"/>
      <c r="ADS183" s="82"/>
      <c r="ADT183" s="82"/>
      <c r="ADU183" s="82"/>
      <c r="ADV183" s="82"/>
      <c r="ADW183" s="82"/>
      <c r="ADX183" s="82"/>
      <c r="ADY183" s="82"/>
      <c r="ADZ183" s="82"/>
      <c r="AEA183" s="82"/>
      <c r="AEB183" s="82"/>
      <c r="AEC183" s="82"/>
      <c r="AED183" s="82"/>
      <c r="AEE183" s="82"/>
      <c r="AEF183" s="82"/>
      <c r="AEG183" s="82"/>
      <c r="AEH183" s="82"/>
      <c r="AEI183" s="82"/>
      <c r="AEJ183" s="82"/>
      <c r="AEK183" s="82"/>
      <c r="AEL183" s="82"/>
      <c r="AEM183" s="82"/>
      <c r="AEN183" s="82"/>
      <c r="AEO183" s="82"/>
      <c r="AEP183" s="82"/>
      <c r="AEQ183" s="82"/>
      <c r="AER183" s="82"/>
      <c r="AES183" s="82"/>
      <c r="AET183" s="82"/>
      <c r="AEU183" s="82"/>
      <c r="AEV183" s="82"/>
      <c r="AEW183" s="82"/>
      <c r="AEX183" s="82"/>
      <c r="AEY183" s="82"/>
      <c r="AEZ183" s="82"/>
      <c r="AFA183" s="82"/>
      <c r="AFB183" s="82"/>
      <c r="AFC183" s="82"/>
      <c r="AFD183" s="82"/>
      <c r="AFE183" s="82"/>
      <c r="AFF183" s="82"/>
      <c r="AFG183" s="82"/>
      <c r="AFH183" s="82"/>
      <c r="AFI183" s="82"/>
      <c r="AFJ183" s="82"/>
      <c r="AFK183" s="82"/>
      <c r="AFL183" s="82"/>
      <c r="AFM183" s="82"/>
      <c r="AFN183" s="82"/>
      <c r="AFO183" s="82"/>
      <c r="AFP183" s="82"/>
      <c r="AFQ183" s="82"/>
      <c r="AFR183" s="82"/>
      <c r="AFS183" s="82"/>
      <c r="AFT183" s="82"/>
      <c r="AFU183" s="82"/>
      <c r="AFV183" s="82"/>
      <c r="AFW183" s="82"/>
      <c r="AFX183" s="82"/>
      <c r="AFY183" s="82"/>
      <c r="AFZ183" s="82"/>
      <c r="AGA183" s="82"/>
      <c r="AGB183" s="82"/>
      <c r="AGC183" s="82"/>
      <c r="AGD183" s="82"/>
      <c r="AGE183" s="82"/>
      <c r="AGF183" s="82"/>
      <c r="AGG183" s="82"/>
      <c r="AGH183" s="82"/>
      <c r="AGI183" s="82"/>
      <c r="AGJ183" s="82"/>
      <c r="AGK183" s="82"/>
      <c r="AGL183" s="82"/>
      <c r="AGM183" s="82"/>
      <c r="AGN183" s="82"/>
      <c r="AGO183" s="82"/>
      <c r="AGP183" s="82"/>
      <c r="AGQ183" s="82"/>
      <c r="AGR183" s="82"/>
      <c r="AGS183" s="82"/>
      <c r="AGT183" s="82"/>
      <c r="AGU183" s="82"/>
      <c r="AGV183" s="82"/>
      <c r="AGW183" s="82"/>
      <c r="AGX183" s="82"/>
      <c r="AGY183" s="82"/>
      <c r="AGZ183" s="82"/>
      <c r="AHA183" s="82"/>
      <c r="AHB183" s="82"/>
      <c r="AHC183" s="82"/>
      <c r="AHD183" s="82"/>
      <c r="AHE183" s="82"/>
      <c r="AHF183" s="82"/>
      <c r="AHG183" s="82"/>
      <c r="AHH183" s="82"/>
      <c r="AHI183" s="82"/>
      <c r="AHJ183" s="82"/>
      <c r="AHK183" s="82"/>
      <c r="AHL183" s="82"/>
      <c r="AHM183" s="82"/>
      <c r="AHN183" s="82"/>
      <c r="AHO183" s="82"/>
      <c r="AHP183" s="82"/>
      <c r="AHQ183" s="82"/>
      <c r="AHR183" s="82"/>
      <c r="AHS183" s="82"/>
      <c r="AHT183" s="82"/>
      <c r="AHU183" s="82"/>
      <c r="AHV183" s="82"/>
      <c r="AHW183" s="82"/>
      <c r="AHX183" s="82"/>
      <c r="AHY183" s="82"/>
      <c r="AHZ183" s="82"/>
      <c r="AIA183" s="82"/>
      <c r="AIB183" s="82"/>
      <c r="AIC183" s="82"/>
      <c r="AID183" s="82"/>
      <c r="AIE183" s="82"/>
      <c r="AIF183" s="82"/>
      <c r="AIG183" s="82"/>
      <c r="AIH183" s="82"/>
      <c r="AII183" s="82"/>
      <c r="AIJ183" s="82"/>
      <c r="AIK183" s="82"/>
      <c r="AIL183" s="82"/>
      <c r="AIM183" s="82"/>
      <c r="AIN183" s="82"/>
      <c r="AIO183" s="82"/>
      <c r="AIP183" s="82"/>
      <c r="AIQ183" s="82"/>
      <c r="AIR183" s="82"/>
      <c r="AIS183" s="82"/>
      <c r="AIT183" s="82"/>
      <c r="AIU183" s="82"/>
      <c r="AIV183" s="82"/>
      <c r="AIW183" s="82"/>
      <c r="AIX183" s="82"/>
      <c r="AIY183" s="82"/>
      <c r="AIZ183" s="82"/>
      <c r="AJA183" s="82"/>
      <c r="AJB183" s="82"/>
      <c r="AJC183" s="82"/>
      <c r="AJD183" s="82"/>
      <c r="AJE183" s="82"/>
      <c r="AJF183" s="82"/>
      <c r="AJG183" s="82"/>
      <c r="AJH183" s="82"/>
      <c r="AJI183" s="82"/>
      <c r="AJJ183" s="82"/>
      <c r="AJK183" s="82"/>
      <c r="AJL183" s="82"/>
      <c r="AJM183" s="82"/>
      <c r="AJN183" s="82"/>
      <c r="AJO183" s="82"/>
      <c r="AJP183" s="82"/>
      <c r="AJQ183" s="82"/>
      <c r="AJR183" s="82"/>
      <c r="AJS183" s="82"/>
      <c r="AJT183" s="82"/>
      <c r="AJU183" s="82"/>
      <c r="AJV183" s="82"/>
      <c r="AJW183" s="82"/>
      <c r="AJX183" s="82"/>
      <c r="AJY183" s="82"/>
      <c r="AJZ183" s="82"/>
      <c r="AKA183" s="82"/>
      <c r="AKB183" s="82"/>
      <c r="AKC183" s="82"/>
      <c r="AKD183" s="82"/>
      <c r="AKE183" s="82"/>
      <c r="AKF183" s="82"/>
      <c r="AKG183" s="82"/>
      <c r="AKH183" s="82"/>
      <c r="AKI183" s="82"/>
      <c r="AKJ183" s="82"/>
      <c r="AKK183" s="82"/>
      <c r="AKL183" s="82"/>
      <c r="AKM183" s="82"/>
      <c r="AKN183" s="82"/>
      <c r="AKO183" s="82"/>
      <c r="AKP183" s="82"/>
      <c r="AKQ183" s="82"/>
      <c r="AKR183" s="82"/>
      <c r="AKS183" s="82"/>
      <c r="AKT183" s="82"/>
      <c r="AKU183" s="82"/>
      <c r="AKV183" s="82"/>
      <c r="AKW183" s="82"/>
      <c r="AKX183" s="82"/>
      <c r="AKY183" s="82"/>
      <c r="AKZ183" s="82"/>
      <c r="ALA183" s="82"/>
      <c r="ALB183" s="82"/>
      <c r="ALC183" s="82"/>
      <c r="ALD183" s="82"/>
      <c r="ALE183" s="82"/>
      <c r="ALF183" s="82"/>
      <c r="ALG183" s="82"/>
      <c r="ALH183" s="82"/>
      <c r="ALI183" s="82"/>
      <c r="ALJ183" s="82"/>
      <c r="ALK183" s="82"/>
      <c r="ALL183" s="82"/>
      <c r="ALM183" s="82"/>
      <c r="ALN183" s="82"/>
      <c r="ALO183" s="82"/>
      <c r="ALP183" s="82"/>
      <c r="ALQ183" s="82"/>
      <c r="ALR183" s="82"/>
      <c r="ALS183" s="82"/>
      <c r="ALT183" s="82"/>
      <c r="ALU183" s="82"/>
      <c r="ALV183" s="82"/>
      <c r="ALW183" s="82"/>
      <c r="ALX183" s="82"/>
      <c r="ALY183" s="82"/>
      <c r="ALZ183" s="82"/>
      <c r="AMA183" s="82"/>
      <c r="AMB183" s="82"/>
      <c r="AMC183" s="82"/>
      <c r="AMD183" s="82"/>
      <c r="AME183" s="82"/>
      <c r="AMF183" s="82"/>
      <c r="AMG183" s="82"/>
      <c r="AMH183" s="82"/>
      <c r="AMI183" s="82"/>
      <c r="AMJ183" s="82"/>
      <c r="AMK183" s="82"/>
      <c r="AML183" s="82"/>
      <c r="AMM183" s="82"/>
      <c r="AMN183" s="82"/>
      <c r="AMO183" s="82"/>
      <c r="AMP183" s="82"/>
      <c r="AMQ183" s="82"/>
      <c r="AMR183" s="82"/>
      <c r="AMS183" s="82"/>
      <c r="AMT183" s="82"/>
      <c r="AMU183" s="82"/>
      <c r="AMV183" s="82"/>
      <c r="AMW183" s="82"/>
      <c r="AMX183" s="82"/>
      <c r="AMY183" s="82"/>
      <c r="AMZ183" s="82"/>
      <c r="ANA183" s="82"/>
      <c r="ANB183" s="82"/>
      <c r="ANC183" s="82"/>
      <c r="AND183" s="82"/>
      <c r="ANE183" s="82"/>
      <c r="ANF183" s="82"/>
      <c r="ANG183" s="82"/>
      <c r="ANH183" s="82"/>
      <c r="ANI183" s="82"/>
      <c r="ANJ183" s="82"/>
      <c r="ANK183" s="82"/>
      <c r="ANL183" s="82"/>
      <c r="ANM183" s="82"/>
      <c r="ANN183" s="82"/>
      <c r="ANO183" s="82"/>
      <c r="ANP183" s="82"/>
      <c r="ANQ183" s="82"/>
      <c r="ANR183" s="82"/>
      <c r="ANS183" s="82"/>
      <c r="ANT183" s="82"/>
      <c r="ANU183" s="82"/>
      <c r="ANV183" s="82"/>
      <c r="ANW183" s="82"/>
      <c r="ANX183" s="82"/>
      <c r="ANY183" s="82"/>
      <c r="ANZ183" s="82"/>
      <c r="AOA183" s="82"/>
      <c r="AOB183" s="82"/>
      <c r="AOC183" s="82"/>
      <c r="AOD183" s="82"/>
      <c r="AOE183" s="82"/>
      <c r="AOF183" s="82"/>
      <c r="AOG183" s="82"/>
      <c r="AOH183" s="82"/>
      <c r="AOI183" s="82"/>
      <c r="AOJ183" s="82"/>
      <c r="AOK183" s="82"/>
      <c r="AOL183" s="82"/>
      <c r="AOM183" s="82"/>
      <c r="AON183" s="82"/>
      <c r="AOO183" s="82"/>
      <c r="AOP183" s="82"/>
      <c r="AOQ183" s="82"/>
      <c r="AOR183" s="82"/>
      <c r="AOS183" s="82"/>
      <c r="AOT183" s="82"/>
      <c r="AOU183" s="82"/>
      <c r="AOV183" s="82"/>
      <c r="AOW183" s="82"/>
      <c r="AOX183" s="82"/>
      <c r="AOY183" s="82"/>
      <c r="AOZ183" s="82"/>
      <c r="APA183" s="82"/>
      <c r="APB183" s="82"/>
      <c r="APC183" s="82"/>
      <c r="APD183" s="82"/>
      <c r="APE183" s="82"/>
      <c r="APF183" s="82"/>
      <c r="APG183" s="82"/>
      <c r="APH183" s="82"/>
      <c r="API183" s="82"/>
      <c r="APJ183" s="82"/>
      <c r="APK183" s="82"/>
      <c r="APL183" s="82"/>
      <c r="APM183" s="82"/>
      <c r="APN183" s="82"/>
      <c r="APO183" s="82"/>
      <c r="APP183" s="82"/>
      <c r="APQ183" s="82"/>
      <c r="APR183" s="82"/>
      <c r="APS183" s="82"/>
      <c r="APT183" s="82"/>
      <c r="APU183" s="82"/>
      <c r="APV183" s="82"/>
      <c r="APW183" s="82"/>
      <c r="APX183" s="82"/>
      <c r="APY183" s="82"/>
      <c r="APZ183" s="82"/>
      <c r="AQA183" s="82"/>
      <c r="AQB183" s="82"/>
      <c r="AQC183" s="82"/>
      <c r="AQD183" s="82"/>
      <c r="AQE183" s="82"/>
      <c r="AQF183" s="82"/>
      <c r="AQG183" s="82"/>
      <c r="AQH183" s="82"/>
      <c r="AQI183" s="82"/>
      <c r="AQJ183" s="82"/>
      <c r="AQK183" s="82"/>
      <c r="AQL183" s="82"/>
      <c r="AQM183" s="82"/>
      <c r="AQN183" s="82"/>
      <c r="AQO183" s="82"/>
      <c r="AQP183" s="82"/>
      <c r="AQQ183" s="82"/>
      <c r="AQR183" s="82"/>
      <c r="AQS183" s="82"/>
      <c r="AQT183" s="82"/>
      <c r="AQU183" s="82"/>
      <c r="AQV183" s="82"/>
      <c r="AQW183" s="82"/>
      <c r="AQX183" s="82"/>
      <c r="AQY183" s="82"/>
      <c r="AQZ183" s="82"/>
      <c r="ARA183" s="82"/>
      <c r="ARB183" s="82"/>
      <c r="ARC183" s="82"/>
      <c r="ARD183" s="82"/>
      <c r="ARE183" s="82"/>
      <c r="ARF183" s="82"/>
      <c r="ARG183" s="82"/>
      <c r="ARH183" s="82"/>
      <c r="ARI183" s="82"/>
      <c r="ARJ183" s="82"/>
      <c r="ARK183" s="82"/>
      <c r="ARL183" s="82"/>
      <c r="ARM183" s="82"/>
      <c r="ARN183" s="82"/>
      <c r="ARO183" s="82"/>
      <c r="ARP183" s="82"/>
      <c r="ARQ183" s="82"/>
      <c r="ARR183" s="82"/>
      <c r="ARS183" s="82"/>
      <c r="ART183" s="82"/>
      <c r="ARU183" s="82"/>
      <c r="ARV183" s="82"/>
      <c r="ARW183" s="82"/>
      <c r="ARX183" s="82"/>
      <c r="ARY183" s="82"/>
      <c r="ARZ183" s="82"/>
      <c r="ASA183" s="82"/>
      <c r="ASB183" s="82"/>
      <c r="ASC183" s="82"/>
      <c r="ASD183" s="82"/>
      <c r="ASE183" s="82"/>
      <c r="ASF183" s="82"/>
      <c r="ASG183" s="82"/>
      <c r="ASH183" s="82"/>
      <c r="ASI183" s="82"/>
      <c r="ASJ183" s="82"/>
      <c r="ASK183" s="82"/>
      <c r="ASL183" s="82"/>
      <c r="ASM183" s="82"/>
      <c r="ASN183" s="82"/>
      <c r="ASO183" s="82"/>
      <c r="ASP183" s="82"/>
      <c r="ASQ183" s="82"/>
      <c r="ASR183" s="82"/>
      <c r="ASS183" s="82"/>
      <c r="AST183" s="82"/>
      <c r="ASU183" s="82"/>
      <c r="ASV183" s="82"/>
      <c r="ASW183" s="82"/>
      <c r="ASX183" s="82"/>
      <c r="ASY183" s="82"/>
      <c r="ASZ183" s="82"/>
      <c r="ATA183" s="82"/>
      <c r="ATB183" s="82"/>
      <c r="ATC183" s="82"/>
      <c r="ATD183" s="82"/>
      <c r="ATE183" s="82"/>
      <c r="ATF183" s="82"/>
      <c r="ATG183" s="82"/>
      <c r="ATH183" s="82"/>
      <c r="ATI183" s="82"/>
      <c r="ATJ183" s="82"/>
      <c r="ATK183" s="82"/>
      <c r="ATL183" s="82"/>
      <c r="ATM183" s="82"/>
      <c r="ATN183" s="82"/>
      <c r="ATO183" s="82"/>
      <c r="ATP183" s="82"/>
      <c r="ATQ183" s="82"/>
      <c r="ATR183" s="82"/>
      <c r="ATS183" s="82"/>
      <c r="ATT183" s="82"/>
      <c r="ATU183" s="82"/>
      <c r="ATV183" s="82"/>
      <c r="ATW183" s="82"/>
      <c r="ATX183" s="82"/>
      <c r="ATY183" s="82"/>
      <c r="ATZ183" s="82"/>
      <c r="AUA183" s="82"/>
      <c r="AUB183" s="82"/>
      <c r="AUC183" s="82"/>
      <c r="AUD183" s="82"/>
      <c r="AUE183" s="82"/>
      <c r="AUF183" s="82"/>
      <c r="AUG183" s="82"/>
      <c r="AUH183" s="82"/>
      <c r="AUI183" s="82"/>
      <c r="AUJ183" s="82"/>
      <c r="AUK183" s="82"/>
      <c r="AUL183" s="82"/>
      <c r="AUM183" s="82"/>
      <c r="AUN183" s="82"/>
      <c r="AUO183" s="82"/>
      <c r="AUP183" s="82"/>
      <c r="AUQ183" s="82"/>
      <c r="AUR183" s="82"/>
      <c r="AUS183" s="82"/>
      <c r="AUT183" s="82"/>
      <c r="AUU183" s="82"/>
      <c r="AUV183" s="82"/>
      <c r="AUW183" s="82"/>
      <c r="AUX183" s="82"/>
      <c r="AUY183" s="82"/>
      <c r="AUZ183" s="82"/>
      <c r="AVA183" s="82"/>
      <c r="AVB183" s="82"/>
      <c r="AVC183" s="82"/>
      <c r="AVD183" s="82"/>
      <c r="AVE183" s="82"/>
      <c r="AVF183" s="82"/>
      <c r="AVG183" s="82"/>
      <c r="AVH183" s="82"/>
      <c r="AVI183" s="82"/>
      <c r="AVJ183" s="82"/>
      <c r="AVK183" s="82"/>
      <c r="AVL183" s="82"/>
      <c r="AVM183" s="82"/>
      <c r="AVN183" s="82"/>
      <c r="AVO183" s="82"/>
      <c r="AVP183" s="82"/>
      <c r="AVQ183" s="82"/>
      <c r="AVR183" s="82"/>
      <c r="AVS183" s="82"/>
      <c r="AVT183" s="82"/>
      <c r="AVU183" s="82"/>
      <c r="AVV183" s="82"/>
      <c r="AVW183" s="82"/>
      <c r="AVX183" s="82"/>
      <c r="AVY183" s="82"/>
      <c r="AVZ183" s="82"/>
      <c r="AWA183" s="82"/>
      <c r="AWB183" s="82"/>
      <c r="AWC183" s="82"/>
      <c r="AWD183" s="82"/>
      <c r="AWE183" s="82"/>
      <c r="AWF183" s="82"/>
      <c r="AWG183" s="82"/>
      <c r="AWH183" s="82"/>
      <c r="AWI183" s="82"/>
      <c r="AWJ183" s="82"/>
      <c r="AWK183" s="82"/>
      <c r="AWL183" s="82"/>
      <c r="AWM183" s="82"/>
      <c r="AWN183" s="82"/>
      <c r="AWO183" s="82"/>
      <c r="AWP183" s="82"/>
      <c r="AWQ183" s="82"/>
      <c r="AWR183" s="82"/>
      <c r="AWS183" s="82"/>
      <c r="AWT183" s="82"/>
      <c r="AWU183" s="82"/>
      <c r="AWV183" s="82"/>
      <c r="AWW183" s="82"/>
      <c r="AWX183" s="82"/>
      <c r="AWY183" s="82"/>
      <c r="AWZ183" s="82"/>
      <c r="AXA183" s="82"/>
      <c r="AXB183" s="82"/>
      <c r="AXC183" s="82"/>
      <c r="AXD183" s="82"/>
      <c r="AXE183" s="82"/>
      <c r="AXF183" s="82"/>
      <c r="AXG183" s="82"/>
      <c r="AXH183" s="82"/>
      <c r="AXI183" s="82"/>
      <c r="AXJ183" s="82"/>
      <c r="AXK183" s="82"/>
      <c r="AXL183" s="82"/>
      <c r="AXM183" s="82"/>
      <c r="AXN183" s="82"/>
      <c r="AXO183" s="82"/>
      <c r="AXP183" s="82"/>
      <c r="AXQ183" s="82"/>
      <c r="AXR183" s="82"/>
      <c r="AXS183" s="82"/>
      <c r="AXT183" s="82"/>
      <c r="AXU183" s="82"/>
      <c r="AXV183" s="82"/>
      <c r="AXW183" s="82"/>
      <c r="AXX183" s="82"/>
      <c r="AXY183" s="82"/>
      <c r="AXZ183" s="82"/>
      <c r="AYA183" s="82"/>
      <c r="AYB183" s="82"/>
      <c r="AYC183" s="82"/>
      <c r="AYD183" s="82"/>
      <c r="AYE183" s="82"/>
      <c r="AYF183" s="82"/>
      <c r="AYG183" s="82"/>
      <c r="AYH183" s="82"/>
      <c r="AYI183" s="82"/>
      <c r="AYJ183" s="82"/>
      <c r="AYK183" s="82"/>
      <c r="AYL183" s="82"/>
      <c r="AYM183" s="82"/>
      <c r="AYN183" s="82"/>
      <c r="AYO183" s="82"/>
      <c r="AYP183" s="82"/>
      <c r="AYQ183" s="82"/>
      <c r="AYR183" s="82"/>
      <c r="AYS183" s="82"/>
      <c r="AYT183" s="82"/>
      <c r="AYU183" s="82"/>
      <c r="AYV183" s="82"/>
      <c r="AYW183" s="82"/>
      <c r="AYX183" s="82"/>
      <c r="AYY183" s="82"/>
      <c r="AYZ183" s="82"/>
      <c r="AZA183" s="82"/>
      <c r="AZB183" s="82"/>
      <c r="AZC183" s="82"/>
      <c r="AZD183" s="82"/>
      <c r="AZE183" s="82"/>
      <c r="AZF183" s="82"/>
      <c r="AZG183" s="82"/>
      <c r="AZH183" s="82"/>
      <c r="AZI183" s="82"/>
      <c r="AZJ183" s="82"/>
      <c r="AZK183" s="82"/>
      <c r="AZL183" s="82"/>
      <c r="AZM183" s="82"/>
      <c r="AZN183" s="82"/>
      <c r="AZO183" s="82"/>
      <c r="AZP183" s="82"/>
      <c r="AZQ183" s="82"/>
      <c r="AZR183" s="82"/>
      <c r="AZS183" s="82"/>
      <c r="AZT183" s="82"/>
      <c r="AZU183" s="82"/>
      <c r="AZV183" s="82"/>
      <c r="AZW183" s="82"/>
      <c r="AZX183" s="82"/>
      <c r="AZY183" s="82"/>
      <c r="AZZ183" s="82"/>
      <c r="BAA183" s="82"/>
      <c r="BAB183" s="82"/>
      <c r="BAC183" s="82"/>
      <c r="BAD183" s="82"/>
      <c r="BAE183" s="82"/>
      <c r="BAF183" s="82"/>
      <c r="BAG183" s="82"/>
      <c r="BAH183" s="82"/>
      <c r="BAI183" s="82"/>
      <c r="BAJ183" s="82"/>
      <c r="BAK183" s="82"/>
      <c r="BAL183" s="82"/>
      <c r="BAM183" s="82"/>
      <c r="BAN183" s="82"/>
      <c r="BAO183" s="82"/>
      <c r="BAP183" s="82"/>
      <c r="BAQ183" s="82"/>
      <c r="BAR183" s="82"/>
      <c r="BAS183" s="82"/>
      <c r="BAT183" s="82"/>
      <c r="BAU183" s="82"/>
      <c r="BAV183" s="82"/>
      <c r="BAW183" s="82"/>
      <c r="BAX183" s="82"/>
      <c r="BAY183" s="82"/>
      <c r="BAZ183" s="82"/>
      <c r="BBA183" s="82"/>
      <c r="BBB183" s="82"/>
      <c r="BBC183" s="82"/>
      <c r="BBD183" s="82"/>
      <c r="BBE183" s="82"/>
      <c r="BBF183" s="82"/>
      <c r="BBG183" s="82"/>
      <c r="BBH183" s="82"/>
      <c r="BBI183" s="82"/>
      <c r="BBJ183" s="82"/>
      <c r="BBK183" s="82"/>
      <c r="BBL183" s="82"/>
      <c r="BBM183" s="82"/>
      <c r="BBN183" s="82"/>
      <c r="BBO183" s="82"/>
      <c r="BBP183" s="82"/>
      <c r="BBQ183" s="82"/>
      <c r="BBR183" s="82"/>
      <c r="BBS183" s="82"/>
      <c r="BBT183" s="82"/>
      <c r="BBU183" s="82"/>
      <c r="BBV183" s="82"/>
      <c r="BBW183" s="82"/>
      <c r="BBX183" s="82"/>
      <c r="BBY183" s="82"/>
      <c r="BBZ183" s="82"/>
      <c r="BCA183" s="82"/>
      <c r="BCB183" s="82"/>
      <c r="BCC183" s="82"/>
      <c r="BCD183" s="82"/>
      <c r="BCE183" s="82"/>
      <c r="BCF183" s="82"/>
      <c r="BCG183" s="82"/>
      <c r="BCH183" s="82"/>
      <c r="BCI183" s="82"/>
      <c r="BCJ183" s="82"/>
      <c r="BCK183" s="82"/>
      <c r="BCL183" s="82"/>
      <c r="BCM183" s="82"/>
      <c r="BCN183" s="82"/>
      <c r="BCO183" s="82"/>
      <c r="BCP183" s="82"/>
      <c r="BCQ183" s="82"/>
      <c r="BCR183" s="82"/>
      <c r="BCS183" s="82"/>
      <c r="BCT183" s="82"/>
      <c r="BCU183" s="82"/>
      <c r="BCV183" s="82"/>
      <c r="BCW183" s="82"/>
      <c r="BCX183" s="82"/>
      <c r="BCY183" s="82"/>
      <c r="BCZ183" s="82"/>
      <c r="BDA183" s="82"/>
      <c r="BDB183" s="82"/>
      <c r="BDC183" s="82"/>
      <c r="BDD183" s="82"/>
      <c r="BDE183" s="82"/>
      <c r="BDF183" s="82"/>
      <c r="BDG183" s="82"/>
      <c r="BDH183" s="82"/>
      <c r="BDI183" s="82"/>
      <c r="BDJ183" s="82"/>
      <c r="BDK183" s="82"/>
      <c r="BDL183" s="82"/>
      <c r="BDM183" s="82"/>
      <c r="BDN183" s="82"/>
      <c r="BDO183" s="82"/>
      <c r="BDP183" s="82"/>
      <c r="BDQ183" s="82"/>
      <c r="BDR183" s="82"/>
      <c r="BDS183" s="82"/>
      <c r="BDT183" s="82"/>
      <c r="BDU183" s="82"/>
      <c r="BDV183" s="82"/>
      <c r="BDW183" s="82"/>
      <c r="BDX183" s="82"/>
      <c r="BDY183" s="82"/>
      <c r="BDZ183" s="82"/>
      <c r="BEA183" s="82"/>
      <c r="BEB183" s="82"/>
      <c r="BEC183" s="82"/>
      <c r="BED183" s="82"/>
      <c r="BEE183" s="82"/>
      <c r="BEF183" s="82"/>
      <c r="BEG183" s="82"/>
      <c r="BEH183" s="82"/>
      <c r="BEI183" s="82"/>
      <c r="BEJ183" s="82"/>
      <c r="BEK183" s="82"/>
      <c r="BEL183" s="82"/>
      <c r="BEM183" s="82"/>
      <c r="BEN183" s="82"/>
      <c r="BEO183" s="82"/>
      <c r="BEP183" s="82"/>
      <c r="BEQ183" s="82"/>
      <c r="BER183" s="82"/>
      <c r="BES183" s="82"/>
      <c r="BET183" s="82"/>
      <c r="BEU183" s="82"/>
      <c r="BEV183" s="82"/>
      <c r="BEW183" s="82"/>
      <c r="BEX183" s="82"/>
      <c r="BEY183" s="82"/>
      <c r="BEZ183" s="82"/>
      <c r="BFA183" s="82"/>
      <c r="BFB183" s="82"/>
      <c r="BFC183" s="82"/>
      <c r="BFD183" s="82"/>
      <c r="BFE183" s="82"/>
      <c r="BFF183" s="82"/>
      <c r="BFG183" s="82"/>
      <c r="BFH183" s="82"/>
      <c r="BFI183" s="82"/>
      <c r="BFJ183" s="82"/>
      <c r="BFK183" s="82"/>
      <c r="BFL183" s="82"/>
      <c r="BFM183" s="82"/>
      <c r="BFN183" s="82"/>
      <c r="BFO183" s="82"/>
      <c r="BFP183" s="82"/>
      <c r="BFQ183" s="82"/>
      <c r="BFR183" s="82"/>
      <c r="BFS183" s="82"/>
      <c r="BFT183" s="82"/>
      <c r="BFU183" s="82"/>
      <c r="BFV183" s="82"/>
      <c r="BFW183" s="82"/>
      <c r="BFX183" s="82"/>
      <c r="BFY183" s="82"/>
      <c r="BFZ183" s="82"/>
      <c r="BGA183" s="82"/>
      <c r="BGB183" s="82"/>
      <c r="BGC183" s="82"/>
      <c r="BGD183" s="82"/>
      <c r="BGE183" s="82"/>
      <c r="BGF183" s="82"/>
      <c r="BGG183" s="82"/>
      <c r="BGH183" s="82"/>
      <c r="BGI183" s="82"/>
      <c r="BGJ183" s="82"/>
      <c r="BGK183" s="82"/>
      <c r="BGL183" s="82"/>
      <c r="BGM183" s="82"/>
      <c r="BGN183" s="82"/>
      <c r="BGO183" s="82"/>
      <c r="BGP183" s="82"/>
      <c r="BGQ183" s="82"/>
      <c r="BGR183" s="82"/>
      <c r="BGS183" s="82"/>
      <c r="BGT183" s="82"/>
      <c r="BGU183" s="82"/>
      <c r="BGV183" s="82"/>
      <c r="BGW183" s="82"/>
      <c r="BGX183" s="82"/>
      <c r="BGY183" s="82"/>
      <c r="BGZ183" s="82"/>
      <c r="BHA183" s="82"/>
      <c r="BHB183" s="82"/>
      <c r="BHC183" s="82"/>
      <c r="BHD183" s="82"/>
      <c r="BHE183" s="82"/>
      <c r="BHF183" s="82"/>
      <c r="BHG183" s="82"/>
      <c r="BHH183" s="82"/>
      <c r="BHI183" s="82"/>
      <c r="BHJ183" s="82"/>
      <c r="BHK183" s="82"/>
      <c r="BHL183" s="82"/>
      <c r="BHM183" s="82"/>
      <c r="BHN183" s="82"/>
      <c r="BHO183" s="82"/>
      <c r="BHP183" s="82"/>
      <c r="BHQ183" s="82"/>
      <c r="BHR183" s="82"/>
      <c r="BHS183" s="82"/>
      <c r="BHT183" s="82"/>
      <c r="BHU183" s="82"/>
      <c r="BHV183" s="82"/>
      <c r="BHW183" s="82"/>
      <c r="BHX183" s="82"/>
      <c r="BHY183" s="82"/>
      <c r="BHZ183" s="82"/>
      <c r="BIA183" s="82"/>
      <c r="BIB183" s="82"/>
      <c r="BIC183" s="82"/>
      <c r="BID183" s="82"/>
      <c r="BIE183" s="82"/>
      <c r="BIF183" s="82"/>
      <c r="BIG183" s="82"/>
      <c r="BIH183" s="82"/>
      <c r="BII183" s="82"/>
      <c r="BIJ183" s="82"/>
      <c r="BIK183" s="82"/>
      <c r="BIL183" s="82"/>
      <c r="BIM183" s="82"/>
      <c r="BIN183" s="82"/>
      <c r="BIO183" s="82"/>
      <c r="BIP183" s="82"/>
      <c r="BIQ183" s="82"/>
      <c r="BIR183" s="82"/>
      <c r="BIS183" s="82"/>
      <c r="BIT183" s="82"/>
      <c r="BIU183" s="82"/>
      <c r="BIV183" s="82"/>
      <c r="BIW183" s="82"/>
      <c r="BIX183" s="82"/>
      <c r="BIY183" s="82"/>
      <c r="BIZ183" s="82"/>
      <c r="BJA183" s="82"/>
      <c r="BJB183" s="82"/>
      <c r="BJC183" s="82"/>
      <c r="BJD183" s="82"/>
      <c r="BJE183" s="82"/>
      <c r="BJF183" s="82"/>
      <c r="BJG183" s="82"/>
      <c r="BJH183" s="82"/>
      <c r="BJI183" s="82"/>
      <c r="BJJ183" s="82"/>
      <c r="BJK183" s="82"/>
      <c r="BJL183" s="82"/>
      <c r="BJM183" s="82"/>
      <c r="BJN183" s="82"/>
      <c r="BJO183" s="82"/>
      <c r="BJP183" s="82"/>
      <c r="BJQ183" s="82"/>
      <c r="BJR183" s="82"/>
      <c r="BJS183" s="82"/>
      <c r="BJT183" s="82"/>
      <c r="BJU183" s="82"/>
      <c r="BJV183" s="82"/>
      <c r="BJW183" s="82"/>
      <c r="BJX183" s="82"/>
      <c r="BJY183" s="82"/>
      <c r="BJZ183" s="82"/>
      <c r="BKA183" s="82"/>
      <c r="BKB183" s="82"/>
      <c r="BKC183" s="82"/>
      <c r="BKD183" s="82"/>
      <c r="BKE183" s="82"/>
      <c r="BKF183" s="82"/>
      <c r="BKG183" s="82"/>
      <c r="BKH183" s="82"/>
      <c r="BKI183" s="82"/>
      <c r="BKJ183" s="82"/>
      <c r="BKK183" s="82"/>
      <c r="BKL183" s="82"/>
      <c r="BKM183" s="82"/>
      <c r="BKN183" s="82"/>
      <c r="BKO183" s="82"/>
      <c r="BKP183" s="82"/>
      <c r="BKQ183" s="82"/>
      <c r="BKR183" s="82"/>
      <c r="BKS183" s="82"/>
      <c r="BKT183" s="82"/>
      <c r="BKU183" s="82"/>
      <c r="BKV183" s="82"/>
      <c r="BKW183" s="82"/>
      <c r="BKX183" s="82"/>
      <c r="BKY183" s="82"/>
      <c r="BKZ183" s="82"/>
      <c r="BLA183" s="82"/>
      <c r="BLB183" s="82"/>
      <c r="BLC183" s="82"/>
      <c r="BLD183" s="82"/>
      <c r="BLE183" s="82"/>
      <c r="BLF183" s="82"/>
      <c r="BLG183" s="82"/>
      <c r="BLH183" s="82"/>
      <c r="BLI183" s="82"/>
      <c r="BLJ183" s="82"/>
      <c r="BLK183" s="82"/>
      <c r="BLL183" s="82"/>
      <c r="BLM183" s="82"/>
      <c r="BLN183" s="82"/>
      <c r="BLO183" s="82"/>
      <c r="BLP183" s="82"/>
      <c r="BLQ183" s="82"/>
      <c r="BLR183" s="82"/>
      <c r="BLS183" s="82"/>
      <c r="BLT183" s="82"/>
      <c r="BLU183" s="82"/>
      <c r="BLV183" s="82"/>
      <c r="BLW183" s="82"/>
      <c r="BLX183" s="82"/>
      <c r="BLY183" s="82"/>
      <c r="BLZ183" s="82"/>
      <c r="BMA183" s="82"/>
      <c r="BMB183" s="82"/>
      <c r="BMC183" s="82"/>
      <c r="BMD183" s="82"/>
      <c r="BME183" s="82"/>
      <c r="BMF183" s="82"/>
      <c r="BMG183" s="82"/>
      <c r="BMH183" s="82"/>
      <c r="BMI183" s="82"/>
      <c r="BMJ183" s="82"/>
      <c r="BMK183" s="82"/>
      <c r="BML183" s="82"/>
      <c r="BMM183" s="82"/>
      <c r="BMN183" s="82"/>
      <c r="BMO183" s="82"/>
      <c r="BMP183" s="82"/>
      <c r="BMQ183" s="82"/>
      <c r="BMR183" s="82"/>
      <c r="BMS183" s="82"/>
      <c r="BMT183" s="82"/>
      <c r="BMU183" s="82"/>
      <c r="BMV183" s="82"/>
      <c r="BMW183" s="82"/>
      <c r="BMX183" s="82"/>
      <c r="BMY183" s="82"/>
      <c r="BMZ183" s="82"/>
      <c r="BNA183" s="82"/>
      <c r="BNB183" s="82"/>
      <c r="BNC183" s="82"/>
      <c r="BND183" s="82"/>
      <c r="BNE183" s="82"/>
      <c r="BNF183" s="82"/>
      <c r="BNG183" s="82"/>
      <c r="BNH183" s="82"/>
      <c r="BNI183" s="82"/>
      <c r="BNJ183" s="82"/>
      <c r="BNK183" s="82"/>
      <c r="BNL183" s="82"/>
      <c r="BNM183" s="82"/>
      <c r="BNN183" s="82"/>
      <c r="BNO183" s="82"/>
      <c r="BNP183" s="82"/>
      <c r="BNQ183" s="82"/>
      <c r="BNR183" s="82"/>
      <c r="BNS183" s="82"/>
      <c r="BNT183" s="82"/>
      <c r="BNU183" s="82"/>
      <c r="BNV183" s="82"/>
      <c r="BNW183" s="82"/>
      <c r="BNX183" s="82"/>
      <c r="BNY183" s="82"/>
      <c r="BNZ183" s="82"/>
      <c r="BOA183" s="82"/>
      <c r="BOB183" s="82"/>
      <c r="BOC183" s="82"/>
      <c r="BOD183" s="82"/>
      <c r="BOE183" s="82"/>
      <c r="BOF183" s="82"/>
      <c r="BOG183" s="82"/>
      <c r="BOH183" s="82"/>
      <c r="BOI183" s="82"/>
      <c r="BOJ183" s="82"/>
      <c r="BOK183" s="82"/>
      <c r="BOL183" s="82"/>
      <c r="BOM183" s="82"/>
      <c r="BON183" s="82"/>
      <c r="BOO183" s="82"/>
      <c r="BOP183" s="82"/>
      <c r="BOQ183" s="82"/>
      <c r="BOR183" s="82"/>
      <c r="BOS183" s="82"/>
      <c r="BOT183" s="82"/>
      <c r="BOU183" s="82"/>
      <c r="BOV183" s="82"/>
      <c r="BOW183" s="82"/>
      <c r="BOX183" s="82"/>
      <c r="BOY183" s="82"/>
      <c r="BOZ183" s="82"/>
      <c r="BPA183" s="82"/>
      <c r="BPB183" s="82"/>
      <c r="BPC183" s="82"/>
      <c r="BPD183" s="82"/>
      <c r="BPE183" s="82"/>
      <c r="BPF183" s="82"/>
      <c r="BPG183" s="82"/>
      <c r="BPH183" s="82"/>
      <c r="BPI183" s="82"/>
      <c r="BPJ183" s="82"/>
      <c r="BPK183" s="82"/>
      <c r="BPL183" s="82"/>
      <c r="BPM183" s="82"/>
      <c r="BPN183" s="82"/>
      <c r="BPO183" s="82"/>
      <c r="BPP183" s="82"/>
      <c r="BPQ183" s="82"/>
      <c r="BPR183" s="82"/>
      <c r="BPS183" s="82"/>
      <c r="BPT183" s="82"/>
      <c r="BPU183" s="82"/>
      <c r="BPV183" s="82"/>
      <c r="BPW183" s="82"/>
      <c r="BPX183" s="82"/>
      <c r="BPY183" s="82"/>
      <c r="BPZ183" s="82"/>
      <c r="BQA183" s="82"/>
      <c r="BQB183" s="82"/>
      <c r="BQC183" s="82"/>
      <c r="BQD183" s="82"/>
      <c r="BQE183" s="82"/>
      <c r="BQF183" s="82"/>
      <c r="BQG183" s="82"/>
      <c r="BQH183" s="82"/>
      <c r="BQI183" s="82"/>
      <c r="BQJ183" s="82"/>
      <c r="BQK183" s="82"/>
      <c r="BQL183" s="82"/>
      <c r="BQM183" s="82"/>
      <c r="BQN183" s="82"/>
      <c r="BQO183" s="82"/>
      <c r="BQP183" s="82"/>
      <c r="BQQ183" s="82"/>
      <c r="BQR183" s="82"/>
      <c r="BQS183" s="82"/>
      <c r="BQT183" s="82"/>
      <c r="BQU183" s="82"/>
      <c r="BQV183" s="82"/>
      <c r="BQW183" s="82"/>
      <c r="BQX183" s="82"/>
      <c r="BQY183" s="82"/>
      <c r="BQZ183" s="82"/>
      <c r="BRA183" s="82"/>
      <c r="BRB183" s="82"/>
      <c r="BRC183" s="82"/>
      <c r="BRD183" s="82"/>
      <c r="BRE183" s="82"/>
      <c r="BRF183" s="82"/>
      <c r="BRG183" s="82"/>
      <c r="BRH183" s="82"/>
      <c r="BRI183" s="82"/>
      <c r="BRJ183" s="82"/>
      <c r="BRK183" s="82"/>
      <c r="BRL183" s="82"/>
      <c r="BRM183" s="82"/>
      <c r="BRN183" s="82"/>
      <c r="BRO183" s="82"/>
      <c r="BRP183" s="82"/>
      <c r="BRQ183" s="82"/>
      <c r="BRR183" s="82"/>
      <c r="BRS183" s="82"/>
      <c r="BRT183" s="82"/>
      <c r="BRU183" s="82"/>
      <c r="BRV183" s="82"/>
      <c r="BRW183" s="82"/>
      <c r="BRX183" s="82"/>
      <c r="BRY183" s="82"/>
      <c r="BRZ183" s="82"/>
      <c r="BSA183" s="82"/>
      <c r="BSB183" s="82"/>
      <c r="BSC183" s="82"/>
      <c r="BSD183" s="82"/>
      <c r="BSE183" s="82"/>
      <c r="BSF183" s="82"/>
      <c r="BSG183" s="82"/>
      <c r="BSH183" s="82"/>
      <c r="BSI183" s="82"/>
      <c r="BSJ183" s="82"/>
      <c r="BSK183" s="82"/>
      <c r="BSL183" s="82"/>
      <c r="BSM183" s="82"/>
      <c r="BSN183" s="82"/>
      <c r="BSO183" s="82"/>
      <c r="BSP183" s="82"/>
      <c r="BSQ183" s="82"/>
      <c r="BSR183" s="82"/>
      <c r="BSS183" s="82"/>
      <c r="BST183" s="82"/>
      <c r="BSU183" s="82"/>
      <c r="BSV183" s="82"/>
      <c r="BSW183" s="82"/>
      <c r="BSX183" s="82"/>
      <c r="BSY183" s="82"/>
      <c r="BSZ183" s="82"/>
      <c r="BTA183" s="82"/>
      <c r="BTB183" s="82"/>
      <c r="BTC183" s="82"/>
      <c r="BTD183" s="82"/>
      <c r="BTE183" s="82"/>
      <c r="BTF183" s="82"/>
      <c r="BTG183" s="82"/>
      <c r="BTH183" s="82"/>
      <c r="BTI183" s="82"/>
      <c r="BTJ183" s="82"/>
      <c r="BTK183" s="82"/>
      <c r="BTL183" s="82"/>
      <c r="BTM183" s="82"/>
      <c r="BTN183" s="82"/>
      <c r="BTO183" s="82"/>
      <c r="BTP183" s="82"/>
      <c r="BTQ183" s="82"/>
      <c r="BTR183" s="82"/>
      <c r="BTS183" s="82"/>
      <c r="BTT183" s="82"/>
      <c r="BTU183" s="82"/>
      <c r="BTV183" s="82"/>
      <c r="BTW183" s="82"/>
      <c r="BTX183" s="82"/>
      <c r="BTY183" s="82"/>
      <c r="BTZ183" s="82"/>
      <c r="BUA183" s="82"/>
      <c r="BUB183" s="82"/>
      <c r="BUC183" s="82"/>
      <c r="BUD183" s="82"/>
      <c r="BUE183" s="82"/>
      <c r="BUF183" s="82"/>
      <c r="BUG183" s="82"/>
      <c r="BUH183" s="82"/>
      <c r="BUI183" s="82"/>
      <c r="BUJ183" s="82"/>
      <c r="BUK183" s="82"/>
      <c r="BUL183" s="82"/>
      <c r="BUM183" s="82"/>
      <c r="BUN183" s="82"/>
      <c r="BUO183" s="82"/>
      <c r="BUP183" s="82"/>
      <c r="BUQ183" s="82"/>
      <c r="BUR183" s="82"/>
      <c r="BUS183" s="82"/>
      <c r="BUT183" s="82"/>
      <c r="BUU183" s="82"/>
      <c r="BUV183" s="82"/>
      <c r="BUW183" s="82"/>
      <c r="BUX183" s="82"/>
      <c r="BUY183" s="82"/>
      <c r="BUZ183" s="82"/>
      <c r="BVA183" s="82"/>
      <c r="BVB183" s="82"/>
      <c r="BVC183" s="82"/>
      <c r="BVD183" s="82"/>
      <c r="BVE183" s="82"/>
      <c r="BVF183" s="82"/>
      <c r="BVG183" s="82"/>
      <c r="BVH183" s="82"/>
      <c r="BVI183" s="82"/>
      <c r="BVJ183" s="82"/>
      <c r="BVK183" s="82"/>
      <c r="BVL183" s="82"/>
      <c r="BVM183" s="82"/>
      <c r="BVN183" s="82"/>
      <c r="BVO183" s="82"/>
      <c r="BVP183" s="82"/>
      <c r="BVQ183" s="82"/>
      <c r="BVR183" s="82"/>
      <c r="BVS183" s="82"/>
      <c r="BVT183" s="82"/>
      <c r="BVU183" s="82"/>
      <c r="BVV183" s="82"/>
      <c r="BVW183" s="82"/>
      <c r="BVX183" s="82"/>
      <c r="BVY183" s="82"/>
      <c r="BVZ183" s="82"/>
      <c r="BWA183" s="82"/>
      <c r="BWB183" s="82"/>
      <c r="BWC183" s="82"/>
      <c r="BWD183" s="82"/>
      <c r="BWE183" s="82"/>
      <c r="BWF183" s="82"/>
      <c r="BWG183" s="82"/>
      <c r="BWH183" s="82"/>
      <c r="BWI183" s="82"/>
      <c r="BWJ183" s="82"/>
      <c r="BWK183" s="82"/>
      <c r="BWL183" s="82"/>
      <c r="BWM183" s="82"/>
      <c r="BWN183" s="82"/>
      <c r="BWO183" s="82"/>
      <c r="BWP183" s="82"/>
      <c r="BWQ183" s="82"/>
      <c r="BWR183" s="82"/>
      <c r="BWS183" s="82"/>
      <c r="BWT183" s="82"/>
      <c r="BWU183" s="82"/>
      <c r="BWV183" s="82"/>
      <c r="BWW183" s="82"/>
      <c r="BWX183" s="82"/>
      <c r="BWY183" s="82"/>
      <c r="BWZ183" s="82"/>
      <c r="BXA183" s="82"/>
      <c r="BXB183" s="82"/>
      <c r="BXC183" s="82"/>
      <c r="BXD183" s="82"/>
      <c r="BXE183" s="82"/>
      <c r="BXF183" s="82"/>
      <c r="BXG183" s="82"/>
      <c r="BXH183" s="82"/>
      <c r="BXI183" s="82"/>
      <c r="BXJ183" s="82"/>
      <c r="BXK183" s="82"/>
      <c r="BXL183" s="82"/>
      <c r="BXM183" s="82"/>
      <c r="BXN183" s="82"/>
      <c r="BXO183" s="82"/>
      <c r="BXP183" s="82"/>
      <c r="BXQ183" s="82"/>
      <c r="BXR183" s="82"/>
      <c r="BXS183" s="82"/>
      <c r="BXT183" s="82"/>
      <c r="BXU183" s="82"/>
      <c r="BXV183" s="82"/>
      <c r="BXW183" s="82"/>
      <c r="BXX183" s="82"/>
      <c r="BXY183" s="82"/>
      <c r="BXZ183" s="82"/>
      <c r="BYA183" s="82"/>
      <c r="BYB183" s="82"/>
      <c r="BYC183" s="82"/>
      <c r="BYD183" s="82"/>
      <c r="BYE183" s="82"/>
      <c r="BYF183" s="82"/>
      <c r="BYG183" s="82"/>
      <c r="BYH183" s="82"/>
      <c r="BYI183" s="82"/>
      <c r="BYJ183" s="82"/>
      <c r="BYK183" s="82"/>
      <c r="BYL183" s="82"/>
      <c r="BYM183" s="82"/>
      <c r="BYN183" s="82"/>
      <c r="BYO183" s="82"/>
      <c r="BYP183" s="82"/>
      <c r="BYQ183" s="82"/>
      <c r="BYR183" s="82"/>
      <c r="BYS183" s="82"/>
      <c r="BYT183" s="82"/>
      <c r="BYU183" s="82"/>
      <c r="BYV183" s="82"/>
      <c r="BYW183" s="82"/>
      <c r="BYX183" s="82"/>
      <c r="BYY183" s="82"/>
      <c r="BYZ183" s="82"/>
      <c r="BZA183" s="82"/>
      <c r="BZB183" s="82"/>
      <c r="BZC183" s="82"/>
      <c r="BZD183" s="82"/>
      <c r="BZE183" s="82"/>
      <c r="BZF183" s="82"/>
      <c r="BZG183" s="82"/>
      <c r="BZH183" s="82"/>
      <c r="BZI183" s="82"/>
      <c r="BZJ183" s="82"/>
      <c r="BZK183" s="82"/>
      <c r="BZL183" s="82"/>
      <c r="BZM183" s="82"/>
      <c r="BZN183" s="82"/>
      <c r="BZO183" s="82"/>
      <c r="BZP183" s="82"/>
      <c r="BZQ183" s="82"/>
      <c r="BZR183" s="82"/>
      <c r="BZS183" s="82"/>
      <c r="BZT183" s="82"/>
      <c r="BZU183" s="82"/>
      <c r="BZV183" s="82"/>
      <c r="BZW183" s="82"/>
      <c r="BZX183" s="82"/>
      <c r="BZY183" s="82"/>
      <c r="BZZ183" s="82"/>
      <c r="CAA183" s="82"/>
      <c r="CAB183" s="82"/>
      <c r="CAC183" s="82"/>
      <c r="CAD183" s="82"/>
      <c r="CAE183" s="82"/>
      <c r="CAF183" s="82"/>
      <c r="CAG183" s="82"/>
      <c r="CAH183" s="82"/>
      <c r="CAI183" s="82"/>
      <c r="CAJ183" s="82"/>
      <c r="CAK183" s="82"/>
      <c r="CAL183" s="82"/>
      <c r="CAM183" s="82"/>
      <c r="CAN183" s="82"/>
      <c r="CAO183" s="82"/>
      <c r="CAP183" s="82"/>
      <c r="CAQ183" s="82"/>
      <c r="CAR183" s="82"/>
      <c r="CAS183" s="82"/>
      <c r="CAT183" s="82"/>
      <c r="CAU183" s="82"/>
      <c r="CAV183" s="82"/>
      <c r="CAW183" s="82"/>
      <c r="CAX183" s="82"/>
      <c r="CAY183" s="82"/>
      <c r="CAZ183" s="82"/>
      <c r="CBA183" s="82"/>
      <c r="CBB183" s="82"/>
      <c r="CBC183" s="82"/>
      <c r="CBD183" s="82"/>
      <c r="CBE183" s="82"/>
      <c r="CBF183" s="82"/>
      <c r="CBG183" s="82"/>
      <c r="CBH183" s="82"/>
      <c r="CBI183" s="82"/>
      <c r="CBJ183" s="82"/>
      <c r="CBK183" s="82"/>
      <c r="CBL183" s="82"/>
      <c r="CBM183" s="82"/>
      <c r="CBN183" s="82"/>
      <c r="CBO183" s="82"/>
      <c r="CBP183" s="82"/>
      <c r="CBQ183" s="82"/>
      <c r="CBR183" s="82"/>
      <c r="CBS183" s="82"/>
      <c r="CBT183" s="82"/>
      <c r="CBU183" s="82"/>
      <c r="CBV183" s="82"/>
      <c r="CBW183" s="82"/>
      <c r="CBX183" s="82"/>
      <c r="CBY183" s="82"/>
      <c r="CBZ183" s="82"/>
      <c r="CCA183" s="82"/>
      <c r="CCB183" s="82"/>
      <c r="CCC183" s="82"/>
      <c r="CCD183" s="82"/>
      <c r="CCE183" s="82"/>
      <c r="CCF183" s="82"/>
      <c r="CCG183" s="82"/>
      <c r="CCH183" s="82"/>
      <c r="CCI183" s="82"/>
      <c r="CCJ183" s="82"/>
      <c r="CCK183" s="82"/>
      <c r="CCL183" s="82"/>
      <c r="CCM183" s="82"/>
      <c r="CCN183" s="82"/>
      <c r="CCO183" s="82"/>
      <c r="CCP183" s="82"/>
      <c r="CCQ183" s="82"/>
      <c r="CCR183" s="82"/>
      <c r="CCS183" s="82"/>
      <c r="CCT183" s="82"/>
      <c r="CCU183" s="82"/>
      <c r="CCV183" s="82"/>
      <c r="CCW183" s="82"/>
      <c r="CCX183" s="82"/>
      <c r="CCY183" s="82"/>
      <c r="CCZ183" s="82"/>
      <c r="CDA183" s="82"/>
      <c r="CDB183" s="82"/>
      <c r="CDC183" s="82"/>
      <c r="CDD183" s="82"/>
      <c r="CDE183" s="82"/>
      <c r="CDF183" s="82"/>
      <c r="CDG183" s="82"/>
      <c r="CDH183" s="82"/>
      <c r="CDI183" s="82"/>
      <c r="CDJ183" s="82"/>
      <c r="CDK183" s="82"/>
      <c r="CDL183" s="82"/>
      <c r="CDM183" s="82"/>
      <c r="CDN183" s="82"/>
      <c r="CDO183" s="82"/>
      <c r="CDP183" s="82"/>
      <c r="CDQ183" s="82"/>
      <c r="CDR183" s="82"/>
      <c r="CDS183" s="82"/>
      <c r="CDT183" s="82"/>
      <c r="CDU183" s="82"/>
      <c r="CDV183" s="82"/>
      <c r="CDW183" s="82"/>
      <c r="CDX183" s="82"/>
      <c r="CDY183" s="82"/>
      <c r="CDZ183" s="82"/>
      <c r="CEA183" s="82"/>
      <c r="CEB183" s="82"/>
      <c r="CEC183" s="82"/>
      <c r="CED183" s="82"/>
      <c r="CEE183" s="82"/>
      <c r="CEF183" s="82"/>
      <c r="CEG183" s="82"/>
      <c r="CEH183" s="82"/>
      <c r="CEI183" s="82"/>
      <c r="CEJ183" s="82"/>
      <c r="CEK183" s="82"/>
      <c r="CEL183" s="82"/>
      <c r="CEM183" s="82"/>
      <c r="CEN183" s="82"/>
      <c r="CEO183" s="82"/>
      <c r="CEP183" s="82"/>
      <c r="CEQ183" s="82"/>
      <c r="CER183" s="82"/>
      <c r="CES183" s="82"/>
      <c r="CET183" s="82"/>
      <c r="CEU183" s="82"/>
      <c r="CEV183" s="82"/>
      <c r="CEW183" s="82"/>
      <c r="CEX183" s="82"/>
      <c r="CEY183" s="82"/>
      <c r="CEZ183" s="82"/>
      <c r="CFA183" s="82"/>
      <c r="CFB183" s="82"/>
      <c r="CFC183" s="82"/>
      <c r="CFD183" s="82"/>
      <c r="CFE183" s="82"/>
      <c r="CFF183" s="82"/>
      <c r="CFG183" s="82"/>
      <c r="CFH183" s="82"/>
      <c r="CFI183" s="82"/>
      <c r="CFJ183" s="82"/>
      <c r="CFK183" s="82"/>
      <c r="CFL183" s="82"/>
      <c r="CFM183" s="82"/>
      <c r="CFN183" s="82"/>
      <c r="CFO183" s="82"/>
      <c r="CFP183" s="82"/>
      <c r="CFQ183" s="82"/>
      <c r="CFR183" s="82"/>
      <c r="CFS183" s="82"/>
      <c r="CFT183" s="82"/>
      <c r="CFU183" s="82"/>
      <c r="CFV183" s="82"/>
      <c r="CFW183" s="82"/>
      <c r="CFX183" s="82"/>
      <c r="CFY183" s="82"/>
      <c r="CFZ183" s="82"/>
      <c r="CGA183" s="82"/>
      <c r="CGB183" s="82"/>
      <c r="CGC183" s="82"/>
      <c r="CGD183" s="82"/>
      <c r="CGE183" s="82"/>
      <c r="CGF183" s="82"/>
      <c r="CGG183" s="82"/>
      <c r="CGH183" s="82"/>
      <c r="CGI183" s="82"/>
      <c r="CGJ183" s="82"/>
      <c r="CGK183" s="82"/>
      <c r="CGL183" s="82"/>
      <c r="CGM183" s="82"/>
      <c r="CGN183" s="82"/>
      <c r="CGO183" s="82"/>
      <c r="CGP183" s="82"/>
      <c r="CGQ183" s="82"/>
      <c r="CGR183" s="82"/>
      <c r="CGS183" s="82"/>
      <c r="CGT183" s="82"/>
      <c r="CGU183" s="82"/>
      <c r="CGV183" s="82"/>
      <c r="CGW183" s="82"/>
      <c r="CGX183" s="82"/>
      <c r="CGY183" s="82"/>
      <c r="CGZ183" s="82"/>
      <c r="CHA183" s="82"/>
      <c r="CHB183" s="82"/>
      <c r="CHC183" s="82"/>
      <c r="CHD183" s="82"/>
      <c r="CHE183" s="82"/>
      <c r="CHF183" s="82"/>
      <c r="CHG183" s="82"/>
      <c r="CHH183" s="82"/>
      <c r="CHI183" s="82"/>
      <c r="CHJ183" s="82"/>
      <c r="CHK183" s="82"/>
      <c r="CHL183" s="82"/>
      <c r="CHM183" s="82"/>
      <c r="CHN183" s="82"/>
      <c r="CHO183" s="82"/>
      <c r="CHP183" s="82"/>
      <c r="CHQ183" s="82"/>
      <c r="CHR183" s="82"/>
      <c r="CHS183" s="82"/>
      <c r="CHT183" s="82"/>
      <c r="CHU183" s="82"/>
      <c r="CHV183" s="82"/>
      <c r="CHW183" s="82"/>
      <c r="CHX183" s="82"/>
      <c r="CHY183" s="82"/>
      <c r="CHZ183" s="82"/>
      <c r="CIA183" s="82"/>
      <c r="CIB183" s="82"/>
      <c r="CIC183" s="82"/>
      <c r="CID183" s="82"/>
      <c r="CIE183" s="82"/>
      <c r="CIF183" s="82"/>
      <c r="CIG183" s="82"/>
      <c r="CIH183" s="82"/>
      <c r="CII183" s="82"/>
      <c r="CIJ183" s="82"/>
      <c r="CIK183" s="82"/>
      <c r="CIL183" s="82"/>
      <c r="CIM183" s="82"/>
      <c r="CIN183" s="82"/>
      <c r="CIO183" s="82"/>
      <c r="CIP183" s="82"/>
      <c r="CIQ183" s="82"/>
      <c r="CIR183" s="82"/>
      <c r="CIS183" s="82"/>
      <c r="CIT183" s="82"/>
      <c r="CIU183" s="82"/>
      <c r="CIV183" s="82"/>
      <c r="CIW183" s="82"/>
      <c r="CIX183" s="82"/>
      <c r="CIY183" s="82"/>
      <c r="CIZ183" s="82"/>
      <c r="CJA183" s="82"/>
      <c r="CJB183" s="82"/>
      <c r="CJC183" s="82"/>
      <c r="CJD183" s="82"/>
      <c r="CJE183" s="82"/>
      <c r="CJF183" s="82"/>
      <c r="CJG183" s="82"/>
      <c r="CJH183" s="82"/>
      <c r="CJI183" s="82"/>
      <c r="CJJ183" s="82"/>
      <c r="CJK183" s="82"/>
      <c r="CJL183" s="82"/>
      <c r="CJM183" s="82"/>
      <c r="CJN183" s="82"/>
      <c r="CJO183" s="82"/>
      <c r="CJP183" s="82"/>
      <c r="CJQ183" s="82"/>
      <c r="CJR183" s="82"/>
      <c r="CJS183" s="82"/>
      <c r="CJT183" s="82"/>
      <c r="CJU183" s="82"/>
      <c r="CJV183" s="82"/>
      <c r="CJW183" s="82"/>
      <c r="CJX183" s="82"/>
      <c r="CJY183" s="82"/>
      <c r="CJZ183" s="82"/>
      <c r="CKA183" s="82"/>
      <c r="CKB183" s="82"/>
      <c r="CKC183" s="82"/>
      <c r="CKD183" s="82"/>
      <c r="CKE183" s="82"/>
      <c r="CKF183" s="82"/>
      <c r="CKG183" s="82"/>
      <c r="CKH183" s="82"/>
      <c r="CKI183" s="82"/>
      <c r="CKJ183" s="82"/>
      <c r="CKK183" s="82"/>
      <c r="CKL183" s="82"/>
      <c r="CKM183" s="82"/>
      <c r="CKN183" s="82"/>
      <c r="CKO183" s="82"/>
      <c r="CKP183" s="82"/>
      <c r="CKQ183" s="82"/>
      <c r="CKR183" s="82"/>
      <c r="CKS183" s="82"/>
      <c r="CKT183" s="82"/>
      <c r="CKU183" s="82"/>
      <c r="CKV183" s="82"/>
      <c r="CKW183" s="82"/>
      <c r="CKX183" s="82"/>
      <c r="CKY183" s="82"/>
      <c r="CKZ183" s="82"/>
      <c r="CLA183" s="82"/>
      <c r="CLB183" s="82"/>
      <c r="CLC183" s="82"/>
      <c r="CLD183" s="82"/>
      <c r="CLE183" s="82"/>
      <c r="CLF183" s="82"/>
      <c r="CLG183" s="82"/>
      <c r="CLH183" s="82"/>
      <c r="CLI183" s="82"/>
      <c r="CLJ183" s="82"/>
      <c r="CLK183" s="82"/>
      <c r="CLL183" s="82"/>
      <c r="CLM183" s="82"/>
      <c r="CLN183" s="82"/>
      <c r="CLO183" s="82"/>
      <c r="CLP183" s="82"/>
      <c r="CLQ183" s="82"/>
      <c r="CLR183" s="82"/>
      <c r="CLS183" s="82"/>
      <c r="CLT183" s="82"/>
      <c r="CLU183" s="82"/>
      <c r="CLV183" s="82"/>
      <c r="CLW183" s="82"/>
      <c r="CLX183" s="82"/>
      <c r="CLY183" s="82"/>
      <c r="CLZ183" s="82"/>
      <c r="CMA183" s="82"/>
      <c r="CMB183" s="82"/>
      <c r="CMC183" s="82"/>
      <c r="CMD183" s="82"/>
      <c r="CME183" s="82"/>
      <c r="CMF183" s="82"/>
      <c r="CMG183" s="82"/>
      <c r="CMH183" s="82"/>
      <c r="CMI183" s="82"/>
      <c r="CMJ183" s="82"/>
      <c r="CMK183" s="82"/>
      <c r="CML183" s="82"/>
      <c r="CMM183" s="82"/>
      <c r="CMN183" s="82"/>
      <c r="CMO183" s="82"/>
      <c r="CMP183" s="82"/>
      <c r="CMQ183" s="82"/>
      <c r="CMR183" s="82"/>
      <c r="CMS183" s="82"/>
      <c r="CMT183" s="82"/>
      <c r="CMU183" s="82"/>
      <c r="CMV183" s="82"/>
      <c r="CMW183" s="82"/>
      <c r="CMX183" s="82"/>
      <c r="CMY183" s="82"/>
      <c r="CMZ183" s="82"/>
      <c r="CNA183" s="82"/>
      <c r="CNB183" s="82"/>
      <c r="CNC183" s="82"/>
      <c r="CND183" s="82"/>
      <c r="CNE183" s="82"/>
      <c r="CNF183" s="82"/>
      <c r="CNG183" s="82"/>
      <c r="CNH183" s="82"/>
      <c r="CNI183" s="82"/>
      <c r="CNJ183" s="82"/>
      <c r="CNK183" s="82"/>
      <c r="CNL183" s="82"/>
      <c r="CNM183" s="82"/>
      <c r="CNN183" s="82"/>
      <c r="CNO183" s="82"/>
      <c r="CNP183" s="82"/>
      <c r="CNQ183" s="82"/>
      <c r="CNR183" s="82"/>
      <c r="CNS183" s="82"/>
      <c r="CNT183" s="82"/>
      <c r="CNU183" s="82"/>
      <c r="CNV183" s="82"/>
      <c r="CNW183" s="82"/>
      <c r="CNX183" s="82"/>
      <c r="CNY183" s="82"/>
      <c r="CNZ183" s="82"/>
      <c r="COA183" s="82"/>
      <c r="COB183" s="82"/>
      <c r="COC183" s="82"/>
      <c r="COD183" s="82"/>
      <c r="COE183" s="82"/>
      <c r="COF183" s="82"/>
      <c r="COG183" s="82"/>
      <c r="COH183" s="82"/>
      <c r="COI183" s="82"/>
      <c r="COJ183" s="82"/>
      <c r="COK183" s="82"/>
      <c r="COL183" s="82"/>
      <c r="COM183" s="82"/>
      <c r="CON183" s="82"/>
      <c r="COO183" s="82"/>
      <c r="COP183" s="82"/>
      <c r="COQ183" s="82"/>
      <c r="COR183" s="82"/>
      <c r="COS183" s="82"/>
      <c r="COT183" s="82"/>
      <c r="COU183" s="82"/>
      <c r="COV183" s="82"/>
      <c r="COW183" s="82"/>
      <c r="COX183" s="82"/>
      <c r="COY183" s="82"/>
      <c r="COZ183" s="82"/>
      <c r="CPA183" s="82"/>
      <c r="CPB183" s="82"/>
      <c r="CPC183" s="82"/>
      <c r="CPD183" s="82"/>
      <c r="CPE183" s="82"/>
      <c r="CPF183" s="82"/>
      <c r="CPG183" s="82"/>
      <c r="CPH183" s="82"/>
      <c r="CPI183" s="82"/>
      <c r="CPJ183" s="82"/>
      <c r="CPK183" s="82"/>
      <c r="CPL183" s="82"/>
      <c r="CPM183" s="82"/>
      <c r="CPN183" s="82"/>
      <c r="CPO183" s="82"/>
      <c r="CPP183" s="82"/>
      <c r="CPQ183" s="82"/>
      <c r="CPR183" s="82"/>
      <c r="CPS183" s="82"/>
      <c r="CPT183" s="82"/>
      <c r="CPU183" s="82"/>
      <c r="CPV183" s="82"/>
      <c r="CPW183" s="82"/>
      <c r="CPX183" s="82"/>
      <c r="CPY183" s="82"/>
      <c r="CPZ183" s="82"/>
      <c r="CQA183" s="82"/>
      <c r="CQB183" s="82"/>
      <c r="CQC183" s="82"/>
      <c r="CQD183" s="82"/>
      <c r="CQE183" s="82"/>
      <c r="CQF183" s="82"/>
      <c r="CQG183" s="82"/>
      <c r="CQH183" s="82"/>
      <c r="CQI183" s="82"/>
      <c r="CQJ183" s="82"/>
      <c r="CQK183" s="82"/>
      <c r="CQL183" s="82"/>
      <c r="CQM183" s="82"/>
      <c r="CQN183" s="82"/>
      <c r="CQO183" s="82"/>
      <c r="CQP183" s="82"/>
      <c r="CQQ183" s="82"/>
      <c r="CQR183" s="82"/>
      <c r="CQS183" s="82"/>
      <c r="CQT183" s="82"/>
      <c r="CQU183" s="82"/>
      <c r="CQV183" s="82"/>
      <c r="CQW183" s="82"/>
      <c r="CQX183" s="82"/>
      <c r="CQY183" s="82"/>
      <c r="CQZ183" s="82"/>
      <c r="CRA183" s="82"/>
      <c r="CRB183" s="82"/>
      <c r="CRC183" s="82"/>
      <c r="CRD183" s="82"/>
      <c r="CRE183" s="82"/>
      <c r="CRF183" s="82"/>
      <c r="CRG183" s="82"/>
      <c r="CRH183" s="82"/>
      <c r="CRI183" s="82"/>
      <c r="CRJ183" s="82"/>
      <c r="CRK183" s="82"/>
      <c r="CRL183" s="82"/>
      <c r="CRM183" s="82"/>
      <c r="CRN183" s="82"/>
      <c r="CRO183" s="82"/>
      <c r="CRP183" s="82"/>
      <c r="CRQ183" s="82"/>
      <c r="CRR183" s="82"/>
      <c r="CRS183" s="82"/>
      <c r="CRT183" s="82"/>
      <c r="CRU183" s="82"/>
      <c r="CRV183" s="82"/>
      <c r="CRW183" s="82"/>
      <c r="CRX183" s="82"/>
      <c r="CRY183" s="82"/>
      <c r="CRZ183" s="82"/>
      <c r="CSA183" s="82"/>
      <c r="CSB183" s="82"/>
      <c r="CSC183" s="82"/>
      <c r="CSD183" s="82"/>
      <c r="CSE183" s="82"/>
      <c r="CSF183" s="82"/>
      <c r="CSG183" s="82"/>
      <c r="CSH183" s="82"/>
      <c r="CSI183" s="82"/>
      <c r="CSJ183" s="82"/>
      <c r="CSK183" s="82"/>
      <c r="CSL183" s="82"/>
      <c r="CSM183" s="82"/>
      <c r="CSN183" s="82"/>
      <c r="CSO183" s="82"/>
      <c r="CSP183" s="82"/>
      <c r="CSQ183" s="82"/>
      <c r="CSR183" s="82"/>
      <c r="CSS183" s="82"/>
      <c r="CST183" s="82"/>
      <c r="CSU183" s="82"/>
      <c r="CSV183" s="82"/>
      <c r="CSW183" s="82"/>
      <c r="CSX183" s="82"/>
      <c r="CSY183" s="82"/>
      <c r="CSZ183" s="82"/>
      <c r="CTA183" s="82"/>
      <c r="CTB183" s="82"/>
      <c r="CTC183" s="82"/>
      <c r="CTD183" s="82"/>
      <c r="CTE183" s="82"/>
      <c r="CTF183" s="82"/>
      <c r="CTG183" s="82"/>
      <c r="CTH183" s="82"/>
      <c r="CTI183" s="82"/>
      <c r="CTJ183" s="82"/>
      <c r="CTK183" s="82"/>
      <c r="CTL183" s="82"/>
      <c r="CTM183" s="82"/>
      <c r="CTN183" s="82"/>
      <c r="CTO183" s="82"/>
      <c r="CTP183" s="82"/>
      <c r="CTQ183" s="82"/>
      <c r="CTR183" s="82"/>
      <c r="CTS183" s="82"/>
      <c r="CTT183" s="82"/>
      <c r="CTU183" s="82"/>
      <c r="CTV183" s="82"/>
      <c r="CTW183" s="82"/>
      <c r="CTX183" s="82"/>
      <c r="CTY183" s="82"/>
      <c r="CTZ183" s="82"/>
      <c r="CUA183" s="82"/>
      <c r="CUB183" s="82"/>
      <c r="CUC183" s="82"/>
      <c r="CUD183" s="82"/>
      <c r="CUE183" s="82"/>
      <c r="CUF183" s="82"/>
      <c r="CUG183" s="82"/>
      <c r="CUH183" s="82"/>
      <c r="CUI183" s="82"/>
      <c r="CUJ183" s="82"/>
      <c r="CUK183" s="82"/>
      <c r="CUL183" s="82"/>
      <c r="CUM183" s="82"/>
      <c r="CUN183" s="82"/>
      <c r="CUO183" s="82"/>
      <c r="CUP183" s="82"/>
      <c r="CUQ183" s="82"/>
      <c r="CUR183" s="82"/>
      <c r="CUS183" s="82"/>
      <c r="CUT183" s="82"/>
      <c r="CUU183" s="82"/>
      <c r="CUV183" s="82"/>
      <c r="CUW183" s="82"/>
      <c r="CUX183" s="82"/>
      <c r="CUY183" s="82"/>
      <c r="CUZ183" s="82"/>
      <c r="CVA183" s="82"/>
      <c r="CVB183" s="82"/>
      <c r="CVC183" s="82"/>
      <c r="CVD183" s="82"/>
      <c r="CVE183" s="82"/>
      <c r="CVF183" s="82"/>
      <c r="CVG183" s="82"/>
      <c r="CVH183" s="82"/>
      <c r="CVI183" s="82"/>
      <c r="CVJ183" s="82"/>
      <c r="CVK183" s="82"/>
      <c r="CVL183" s="82"/>
      <c r="CVM183" s="82"/>
      <c r="CVN183" s="82"/>
      <c r="CVO183" s="82"/>
      <c r="CVP183" s="82"/>
      <c r="CVQ183" s="82"/>
      <c r="CVR183" s="82"/>
      <c r="CVS183" s="82"/>
      <c r="CVT183" s="82"/>
      <c r="CVU183" s="82"/>
      <c r="CVV183" s="82"/>
      <c r="CVW183" s="82"/>
      <c r="CVX183" s="82"/>
      <c r="CVY183" s="82"/>
      <c r="CVZ183" s="82"/>
      <c r="CWA183" s="82"/>
      <c r="CWB183" s="82"/>
      <c r="CWC183" s="82"/>
      <c r="CWD183" s="82"/>
      <c r="CWE183" s="82"/>
      <c r="CWF183" s="82"/>
      <c r="CWG183" s="82"/>
      <c r="CWH183" s="82"/>
      <c r="CWI183" s="82"/>
      <c r="CWJ183" s="82"/>
      <c r="CWK183" s="82"/>
      <c r="CWL183" s="82"/>
      <c r="CWM183" s="82"/>
      <c r="CWN183" s="82"/>
      <c r="CWO183" s="82"/>
      <c r="CWP183" s="82"/>
      <c r="CWQ183" s="82"/>
      <c r="CWR183" s="82"/>
      <c r="CWS183" s="82"/>
      <c r="CWT183" s="82"/>
      <c r="CWU183" s="82"/>
      <c r="CWV183" s="82"/>
      <c r="CWW183" s="82"/>
      <c r="CWX183" s="82"/>
      <c r="CWY183" s="82"/>
      <c r="CWZ183" s="82"/>
      <c r="CXA183" s="82"/>
      <c r="CXB183" s="82"/>
      <c r="CXC183" s="82"/>
      <c r="CXD183" s="82"/>
      <c r="CXE183" s="82"/>
      <c r="CXF183" s="82"/>
      <c r="CXG183" s="82"/>
      <c r="CXH183" s="82"/>
      <c r="CXI183" s="82"/>
      <c r="CXJ183" s="82"/>
      <c r="CXK183" s="82"/>
      <c r="CXL183" s="82"/>
      <c r="CXM183" s="82"/>
      <c r="CXN183" s="82"/>
      <c r="CXO183" s="82"/>
      <c r="CXP183" s="82"/>
      <c r="CXQ183" s="82"/>
      <c r="CXR183" s="82"/>
      <c r="CXS183" s="82"/>
      <c r="CXT183" s="82"/>
      <c r="CXU183" s="82"/>
      <c r="CXV183" s="82"/>
      <c r="CXW183" s="82"/>
      <c r="CXX183" s="82"/>
      <c r="CXY183" s="82"/>
      <c r="CXZ183" s="82"/>
      <c r="CYA183" s="82"/>
      <c r="CYB183" s="82"/>
      <c r="CYC183" s="82"/>
      <c r="CYD183" s="82"/>
      <c r="CYE183" s="82"/>
      <c r="CYF183" s="82"/>
      <c r="CYG183" s="82"/>
      <c r="CYH183" s="82"/>
      <c r="CYI183" s="82"/>
      <c r="CYJ183" s="82"/>
      <c r="CYK183" s="82"/>
      <c r="CYL183" s="82"/>
      <c r="CYM183" s="82"/>
      <c r="CYN183" s="82"/>
      <c r="CYO183" s="82"/>
      <c r="CYP183" s="82"/>
      <c r="CYQ183" s="82"/>
      <c r="CYR183" s="82"/>
      <c r="CYS183" s="82"/>
      <c r="CYT183" s="82"/>
      <c r="CYU183" s="82"/>
      <c r="CYV183" s="82"/>
      <c r="CYW183" s="82"/>
      <c r="CYX183" s="82"/>
      <c r="CYY183" s="82"/>
      <c r="CYZ183" s="82"/>
      <c r="CZA183" s="82"/>
      <c r="CZB183" s="82"/>
      <c r="CZC183" s="82"/>
      <c r="CZD183" s="82"/>
      <c r="CZE183" s="82"/>
      <c r="CZF183" s="82"/>
      <c r="CZG183" s="82"/>
      <c r="CZH183" s="82"/>
      <c r="CZI183" s="82"/>
      <c r="CZJ183" s="82"/>
      <c r="CZK183" s="82"/>
      <c r="CZL183" s="82"/>
      <c r="CZM183" s="82"/>
      <c r="CZN183" s="82"/>
      <c r="CZO183" s="82"/>
      <c r="CZP183" s="82"/>
      <c r="CZQ183" s="82"/>
      <c r="CZR183" s="82"/>
      <c r="CZS183" s="82"/>
      <c r="CZT183" s="82"/>
      <c r="CZU183" s="82"/>
      <c r="CZV183" s="82"/>
      <c r="CZW183" s="82"/>
      <c r="CZX183" s="82"/>
      <c r="CZY183" s="82"/>
      <c r="CZZ183" s="82"/>
      <c r="DAA183" s="82"/>
      <c r="DAB183" s="82"/>
      <c r="DAC183" s="82"/>
      <c r="DAD183" s="82"/>
      <c r="DAE183" s="82"/>
      <c r="DAF183" s="82"/>
      <c r="DAG183" s="82"/>
      <c r="DAH183" s="82"/>
      <c r="DAI183" s="82"/>
      <c r="DAJ183" s="82"/>
      <c r="DAK183" s="82"/>
      <c r="DAL183" s="82"/>
      <c r="DAM183" s="82"/>
      <c r="DAN183" s="82"/>
      <c r="DAO183" s="82"/>
      <c r="DAP183" s="82"/>
      <c r="DAQ183" s="82"/>
      <c r="DAR183" s="82"/>
      <c r="DAS183" s="82"/>
      <c r="DAT183" s="82"/>
      <c r="DAU183" s="82"/>
      <c r="DAV183" s="82"/>
      <c r="DAW183" s="82"/>
      <c r="DAX183" s="82"/>
      <c r="DAY183" s="82"/>
      <c r="DAZ183" s="82"/>
      <c r="DBA183" s="82"/>
      <c r="DBB183" s="82"/>
      <c r="DBC183" s="82"/>
      <c r="DBD183" s="82"/>
      <c r="DBE183" s="82"/>
      <c r="DBF183" s="82"/>
      <c r="DBG183" s="82"/>
      <c r="DBH183" s="82"/>
      <c r="DBI183" s="82"/>
      <c r="DBJ183" s="82"/>
      <c r="DBK183" s="82"/>
      <c r="DBL183" s="82"/>
      <c r="DBM183" s="82"/>
      <c r="DBN183" s="82"/>
      <c r="DBO183" s="82"/>
      <c r="DBP183" s="82"/>
      <c r="DBQ183" s="82"/>
      <c r="DBR183" s="82"/>
      <c r="DBS183" s="82"/>
      <c r="DBT183" s="82"/>
      <c r="DBU183" s="82"/>
      <c r="DBV183" s="82"/>
      <c r="DBW183" s="82"/>
      <c r="DBX183" s="82"/>
      <c r="DBY183" s="82"/>
      <c r="DBZ183" s="82"/>
      <c r="DCA183" s="82"/>
      <c r="DCB183" s="82"/>
      <c r="DCC183" s="82"/>
      <c r="DCD183" s="82"/>
      <c r="DCE183" s="82"/>
      <c r="DCF183" s="82"/>
      <c r="DCG183" s="82"/>
      <c r="DCH183" s="82"/>
      <c r="DCI183" s="82"/>
      <c r="DCJ183" s="82"/>
      <c r="DCK183" s="82"/>
      <c r="DCL183" s="82"/>
      <c r="DCM183" s="82"/>
      <c r="DCN183" s="82"/>
      <c r="DCO183" s="82"/>
      <c r="DCP183" s="82"/>
      <c r="DCQ183" s="82"/>
      <c r="DCR183" s="82"/>
      <c r="DCS183" s="82"/>
      <c r="DCT183" s="82"/>
      <c r="DCU183" s="82"/>
      <c r="DCV183" s="82"/>
      <c r="DCW183" s="82"/>
      <c r="DCX183" s="82"/>
      <c r="DCY183" s="82"/>
      <c r="DCZ183" s="82"/>
      <c r="DDA183" s="82"/>
      <c r="DDB183" s="82"/>
      <c r="DDC183" s="82"/>
      <c r="DDD183" s="82"/>
      <c r="DDE183" s="82"/>
      <c r="DDF183" s="82"/>
      <c r="DDG183" s="82"/>
      <c r="DDH183" s="82"/>
      <c r="DDI183" s="82"/>
      <c r="DDJ183" s="82"/>
      <c r="DDK183" s="82"/>
      <c r="DDL183" s="82"/>
      <c r="DDM183" s="82"/>
      <c r="DDN183" s="82"/>
      <c r="DDO183" s="82"/>
      <c r="DDP183" s="82"/>
      <c r="DDQ183" s="82"/>
      <c r="DDR183" s="82"/>
      <c r="DDS183" s="82"/>
      <c r="DDT183" s="82"/>
      <c r="DDU183" s="82"/>
      <c r="DDV183" s="82"/>
      <c r="DDW183" s="82"/>
      <c r="DDX183" s="82"/>
      <c r="DDY183" s="82"/>
      <c r="DDZ183" s="82"/>
      <c r="DEA183" s="82"/>
      <c r="DEB183" s="82"/>
      <c r="DEC183" s="82"/>
      <c r="DED183" s="82"/>
      <c r="DEE183" s="82"/>
      <c r="DEF183" s="82"/>
      <c r="DEG183" s="82"/>
      <c r="DEH183" s="82"/>
      <c r="DEI183" s="82"/>
      <c r="DEJ183" s="82"/>
      <c r="DEK183" s="82"/>
      <c r="DEL183" s="82"/>
      <c r="DEM183" s="82"/>
      <c r="DEN183" s="82"/>
      <c r="DEO183" s="82"/>
      <c r="DEP183" s="82"/>
      <c r="DEQ183" s="82"/>
      <c r="DER183" s="82"/>
      <c r="DES183" s="82"/>
      <c r="DET183" s="82"/>
      <c r="DEU183" s="82"/>
      <c r="DEV183" s="82"/>
      <c r="DEW183" s="82"/>
      <c r="DEX183" s="82"/>
      <c r="DEY183" s="82"/>
      <c r="DEZ183" s="82"/>
      <c r="DFA183" s="82"/>
      <c r="DFB183" s="82"/>
      <c r="DFC183" s="82"/>
      <c r="DFD183" s="82"/>
      <c r="DFE183" s="82"/>
      <c r="DFF183" s="82"/>
      <c r="DFG183" s="82"/>
      <c r="DFH183" s="82"/>
      <c r="DFI183" s="82"/>
      <c r="DFJ183" s="82"/>
      <c r="DFK183" s="82"/>
      <c r="DFL183" s="82"/>
      <c r="DFM183" s="82"/>
      <c r="DFN183" s="82"/>
      <c r="DFO183" s="82"/>
      <c r="DFP183" s="82"/>
      <c r="DFQ183" s="82"/>
      <c r="DFR183" s="82"/>
      <c r="DFS183" s="82"/>
      <c r="DFT183" s="82"/>
      <c r="DFU183" s="82"/>
      <c r="DFV183" s="82"/>
      <c r="DFW183" s="82"/>
      <c r="DFX183" s="82"/>
      <c r="DFY183" s="82"/>
      <c r="DFZ183" s="82"/>
      <c r="DGA183" s="82"/>
      <c r="DGB183" s="82"/>
      <c r="DGC183" s="82"/>
      <c r="DGD183" s="82"/>
      <c r="DGE183" s="82"/>
      <c r="DGF183" s="82"/>
      <c r="DGG183" s="82"/>
      <c r="DGH183" s="82"/>
      <c r="DGI183" s="82"/>
      <c r="DGJ183" s="82"/>
      <c r="DGK183" s="82"/>
      <c r="DGL183" s="82"/>
      <c r="DGM183" s="82"/>
      <c r="DGN183" s="82"/>
      <c r="DGO183" s="82"/>
      <c r="DGP183" s="82"/>
      <c r="DGQ183" s="82"/>
      <c r="DGR183" s="82"/>
      <c r="DGS183" s="82"/>
      <c r="DGT183" s="82"/>
      <c r="DGU183" s="82"/>
      <c r="DGV183" s="82"/>
      <c r="DGW183" s="82"/>
      <c r="DGX183" s="82"/>
      <c r="DGY183" s="82"/>
      <c r="DGZ183" s="82"/>
      <c r="DHA183" s="82"/>
      <c r="DHB183" s="82"/>
      <c r="DHC183" s="82"/>
      <c r="DHD183" s="82"/>
      <c r="DHE183" s="82"/>
      <c r="DHF183" s="82"/>
      <c r="DHG183" s="82"/>
      <c r="DHH183" s="82"/>
      <c r="DHI183" s="82"/>
      <c r="DHJ183" s="82"/>
      <c r="DHK183" s="82"/>
      <c r="DHL183" s="82"/>
      <c r="DHM183" s="82"/>
      <c r="DHN183" s="82"/>
      <c r="DHO183" s="82"/>
      <c r="DHP183" s="82"/>
      <c r="DHQ183" s="82"/>
      <c r="DHR183" s="82"/>
      <c r="DHS183" s="82"/>
      <c r="DHT183" s="82"/>
      <c r="DHU183" s="82"/>
      <c r="DHV183" s="82"/>
      <c r="DHW183" s="82"/>
      <c r="DHX183" s="82"/>
      <c r="DHY183" s="82"/>
      <c r="DHZ183" s="82"/>
      <c r="DIA183" s="82"/>
      <c r="DIB183" s="82"/>
      <c r="DIC183" s="82"/>
      <c r="DID183" s="82"/>
      <c r="DIE183" s="82"/>
      <c r="DIF183" s="82"/>
      <c r="DIG183" s="82"/>
      <c r="DIH183" s="82"/>
      <c r="DII183" s="82"/>
      <c r="DIJ183" s="82"/>
      <c r="DIK183" s="82"/>
      <c r="DIL183" s="82"/>
      <c r="DIM183" s="82"/>
      <c r="DIN183" s="82"/>
      <c r="DIO183" s="82"/>
      <c r="DIP183" s="82"/>
      <c r="DIQ183" s="82"/>
      <c r="DIR183" s="82"/>
      <c r="DIS183" s="82"/>
      <c r="DIT183" s="82"/>
      <c r="DIU183" s="82"/>
      <c r="DIV183" s="82"/>
      <c r="DIW183" s="82"/>
      <c r="DIX183" s="82"/>
      <c r="DIY183" s="82"/>
      <c r="DIZ183" s="82"/>
      <c r="DJA183" s="82"/>
      <c r="DJB183" s="82"/>
      <c r="DJC183" s="82"/>
      <c r="DJD183" s="82"/>
      <c r="DJE183" s="82"/>
      <c r="DJF183" s="82"/>
      <c r="DJG183" s="82"/>
      <c r="DJH183" s="82"/>
      <c r="DJI183" s="82"/>
      <c r="DJJ183" s="82"/>
      <c r="DJK183" s="82"/>
      <c r="DJL183" s="82"/>
      <c r="DJM183" s="82"/>
      <c r="DJN183" s="82"/>
      <c r="DJO183" s="82"/>
      <c r="DJP183" s="82"/>
      <c r="DJQ183" s="82"/>
      <c r="DJR183" s="82"/>
      <c r="DJS183" s="82"/>
      <c r="DJT183" s="82"/>
      <c r="DJU183" s="82"/>
      <c r="DJV183" s="82"/>
      <c r="DJW183" s="82"/>
      <c r="DJX183" s="82"/>
      <c r="DJY183" s="82"/>
      <c r="DJZ183" s="82"/>
      <c r="DKA183" s="82"/>
      <c r="DKB183" s="82"/>
      <c r="DKC183" s="82"/>
      <c r="DKD183" s="82"/>
      <c r="DKE183" s="82"/>
      <c r="DKF183" s="82"/>
      <c r="DKG183" s="82"/>
      <c r="DKH183" s="82"/>
      <c r="DKI183" s="82"/>
      <c r="DKJ183" s="82"/>
      <c r="DKK183" s="82"/>
      <c r="DKL183" s="82"/>
      <c r="DKM183" s="82"/>
      <c r="DKN183" s="82"/>
      <c r="DKO183" s="82"/>
      <c r="DKP183" s="82"/>
      <c r="DKQ183" s="82"/>
      <c r="DKR183" s="82"/>
      <c r="DKS183" s="82"/>
      <c r="DKT183" s="82"/>
      <c r="DKU183" s="82"/>
      <c r="DKV183" s="82"/>
      <c r="DKW183" s="82"/>
      <c r="DKX183" s="82"/>
      <c r="DKY183" s="82"/>
      <c r="DKZ183" s="82"/>
      <c r="DLA183" s="82"/>
      <c r="DLB183" s="82"/>
      <c r="DLC183" s="82"/>
      <c r="DLD183" s="82"/>
      <c r="DLE183" s="82"/>
      <c r="DLF183" s="82"/>
      <c r="DLG183" s="82"/>
      <c r="DLH183" s="82"/>
      <c r="DLI183" s="82"/>
      <c r="DLJ183" s="82"/>
      <c r="DLK183" s="82"/>
      <c r="DLL183" s="82"/>
      <c r="DLM183" s="82"/>
      <c r="DLN183" s="82"/>
      <c r="DLO183" s="82"/>
      <c r="DLP183" s="82"/>
      <c r="DLQ183" s="82"/>
      <c r="DLR183" s="82"/>
      <c r="DLS183" s="82"/>
      <c r="DLT183" s="82"/>
      <c r="DLU183" s="82"/>
      <c r="DLV183" s="82"/>
      <c r="DLW183" s="82"/>
      <c r="DLX183" s="82"/>
      <c r="DLY183" s="82"/>
      <c r="DLZ183" s="82"/>
      <c r="DMA183" s="82"/>
      <c r="DMB183" s="82"/>
      <c r="DMC183" s="82"/>
      <c r="DMD183" s="82"/>
      <c r="DME183" s="82"/>
      <c r="DMF183" s="82"/>
      <c r="DMG183" s="82"/>
      <c r="DMH183" s="82"/>
      <c r="DMI183" s="82"/>
      <c r="DMJ183" s="82"/>
      <c r="DMK183" s="82"/>
      <c r="DML183" s="82"/>
      <c r="DMM183" s="82"/>
      <c r="DMN183" s="82"/>
      <c r="DMO183" s="82"/>
      <c r="DMP183" s="82"/>
      <c r="DMQ183" s="82"/>
      <c r="DMR183" s="82"/>
      <c r="DMS183" s="82"/>
      <c r="DMT183" s="82"/>
      <c r="DMU183" s="82"/>
      <c r="DMV183" s="82"/>
      <c r="DMW183" s="82"/>
      <c r="DMX183" s="82"/>
      <c r="DMY183" s="82"/>
      <c r="DMZ183" s="82"/>
      <c r="DNA183" s="82"/>
      <c r="DNB183" s="82"/>
      <c r="DNC183" s="82"/>
      <c r="DND183" s="82"/>
      <c r="DNE183" s="82"/>
      <c r="DNF183" s="82"/>
      <c r="DNG183" s="82"/>
      <c r="DNH183" s="82"/>
      <c r="DNI183" s="82"/>
      <c r="DNJ183" s="82"/>
      <c r="DNK183" s="82"/>
      <c r="DNL183" s="82"/>
      <c r="DNM183" s="82"/>
      <c r="DNN183" s="82"/>
      <c r="DNO183" s="82"/>
      <c r="DNP183" s="82"/>
      <c r="DNQ183" s="82"/>
      <c r="DNR183" s="82"/>
      <c r="DNS183" s="82"/>
      <c r="DNT183" s="82"/>
      <c r="DNU183" s="82"/>
      <c r="DNV183" s="82"/>
      <c r="DNW183" s="82"/>
      <c r="DNX183" s="82"/>
      <c r="DNY183" s="82"/>
      <c r="DNZ183" s="82"/>
      <c r="DOA183" s="82"/>
      <c r="DOB183" s="82"/>
      <c r="DOC183" s="82"/>
      <c r="DOD183" s="82"/>
      <c r="DOE183" s="82"/>
      <c r="DOF183" s="82"/>
      <c r="DOG183" s="82"/>
      <c r="DOH183" s="82"/>
      <c r="DOI183" s="82"/>
      <c r="DOJ183" s="82"/>
      <c r="DOK183" s="82"/>
      <c r="DOL183" s="82"/>
      <c r="DOM183" s="82"/>
      <c r="DON183" s="82"/>
      <c r="DOO183" s="82"/>
      <c r="DOP183" s="82"/>
      <c r="DOQ183" s="82"/>
      <c r="DOR183" s="82"/>
      <c r="DOS183" s="82"/>
      <c r="DOT183" s="82"/>
      <c r="DOU183" s="82"/>
      <c r="DOV183" s="82"/>
      <c r="DOW183" s="82"/>
      <c r="DOX183" s="82"/>
      <c r="DOY183" s="82"/>
      <c r="DOZ183" s="82"/>
      <c r="DPA183" s="82"/>
      <c r="DPB183" s="82"/>
      <c r="DPC183" s="82"/>
      <c r="DPD183" s="82"/>
      <c r="DPE183" s="82"/>
      <c r="DPF183" s="82"/>
      <c r="DPG183" s="82"/>
      <c r="DPH183" s="82"/>
      <c r="DPI183" s="82"/>
      <c r="DPJ183" s="82"/>
      <c r="DPK183" s="82"/>
      <c r="DPL183" s="82"/>
      <c r="DPM183" s="82"/>
      <c r="DPN183" s="82"/>
      <c r="DPO183" s="82"/>
      <c r="DPP183" s="82"/>
      <c r="DPQ183" s="82"/>
      <c r="DPR183" s="82"/>
      <c r="DPS183" s="82"/>
      <c r="DPT183" s="82"/>
      <c r="DPU183" s="82"/>
      <c r="DPV183" s="82"/>
      <c r="DPW183" s="82"/>
      <c r="DPX183" s="82"/>
      <c r="DPY183" s="82"/>
      <c r="DPZ183" s="82"/>
      <c r="DQA183" s="82"/>
      <c r="DQB183" s="82"/>
      <c r="DQC183" s="82"/>
      <c r="DQD183" s="82"/>
      <c r="DQE183" s="82"/>
      <c r="DQF183" s="82"/>
      <c r="DQG183" s="82"/>
      <c r="DQH183" s="82"/>
      <c r="DQI183" s="82"/>
      <c r="DQJ183" s="82"/>
      <c r="DQK183" s="82"/>
      <c r="DQL183" s="82"/>
      <c r="DQM183" s="82"/>
      <c r="DQN183" s="82"/>
      <c r="DQO183" s="82"/>
      <c r="DQP183" s="82"/>
      <c r="DQQ183" s="82"/>
      <c r="DQR183" s="82"/>
      <c r="DQS183" s="82"/>
      <c r="DQT183" s="82"/>
      <c r="DQU183" s="82"/>
      <c r="DQV183" s="82"/>
      <c r="DQW183" s="82"/>
      <c r="DQX183" s="82"/>
      <c r="DQY183" s="82"/>
      <c r="DQZ183" s="82"/>
      <c r="DRA183" s="82"/>
      <c r="DRB183" s="82"/>
      <c r="DRC183" s="82"/>
      <c r="DRD183" s="82"/>
      <c r="DRE183" s="82"/>
      <c r="DRF183" s="82"/>
      <c r="DRG183" s="82"/>
      <c r="DRH183" s="82"/>
      <c r="DRI183" s="82"/>
      <c r="DRJ183" s="82"/>
      <c r="DRK183" s="82"/>
      <c r="DRL183" s="82"/>
      <c r="DRM183" s="82"/>
      <c r="DRN183" s="82"/>
      <c r="DRO183" s="82"/>
      <c r="DRP183" s="82"/>
      <c r="DRQ183" s="82"/>
      <c r="DRR183" s="82"/>
      <c r="DRS183" s="82"/>
      <c r="DRT183" s="82"/>
      <c r="DRU183" s="82"/>
      <c r="DRV183" s="82"/>
      <c r="DRW183" s="82"/>
      <c r="DRX183" s="82"/>
      <c r="DRY183" s="82"/>
      <c r="DRZ183" s="82"/>
      <c r="DSA183" s="82"/>
      <c r="DSB183" s="82"/>
      <c r="DSC183" s="82"/>
      <c r="DSD183" s="82"/>
      <c r="DSE183" s="82"/>
      <c r="DSF183" s="82"/>
      <c r="DSG183" s="82"/>
      <c r="DSH183" s="82"/>
      <c r="DSI183" s="82"/>
      <c r="DSJ183" s="82"/>
      <c r="DSK183" s="82"/>
      <c r="DSL183" s="82"/>
      <c r="DSM183" s="82"/>
      <c r="DSN183" s="82"/>
      <c r="DSO183" s="82"/>
      <c r="DSP183" s="82"/>
      <c r="DSQ183" s="82"/>
      <c r="DSR183" s="82"/>
      <c r="DSS183" s="82"/>
      <c r="DST183" s="82"/>
      <c r="DSU183" s="82"/>
      <c r="DSV183" s="82"/>
      <c r="DSW183" s="82"/>
      <c r="DSX183" s="82"/>
      <c r="DSY183" s="82"/>
      <c r="DSZ183" s="82"/>
      <c r="DTA183" s="82"/>
      <c r="DTB183" s="82"/>
      <c r="DTC183" s="82"/>
      <c r="DTD183" s="82"/>
      <c r="DTE183" s="82"/>
      <c r="DTF183" s="82"/>
      <c r="DTG183" s="82"/>
      <c r="DTH183" s="82"/>
      <c r="DTI183" s="82"/>
      <c r="DTJ183" s="82"/>
      <c r="DTK183" s="82"/>
      <c r="DTL183" s="82"/>
      <c r="DTM183" s="82"/>
      <c r="DTN183" s="82"/>
      <c r="DTO183" s="82"/>
      <c r="DTP183" s="82"/>
      <c r="DTQ183" s="82"/>
      <c r="DTR183" s="82"/>
      <c r="DTS183" s="82"/>
      <c r="DTT183" s="82"/>
      <c r="DTU183" s="82"/>
      <c r="DTV183" s="82"/>
      <c r="DTW183" s="82"/>
      <c r="DTX183" s="82"/>
      <c r="DTY183" s="82"/>
      <c r="DTZ183" s="82"/>
      <c r="DUA183" s="82"/>
      <c r="DUB183" s="82"/>
      <c r="DUC183" s="82"/>
      <c r="DUD183" s="82"/>
      <c r="DUE183" s="82"/>
      <c r="DUF183" s="82"/>
      <c r="DUG183" s="82"/>
      <c r="DUH183" s="82"/>
      <c r="DUI183" s="82"/>
      <c r="DUJ183" s="82"/>
      <c r="DUK183" s="82"/>
      <c r="DUL183" s="82"/>
      <c r="DUM183" s="82"/>
      <c r="DUN183" s="82"/>
      <c r="DUO183" s="82"/>
      <c r="DUP183" s="82"/>
      <c r="DUQ183" s="82"/>
      <c r="DUR183" s="82"/>
      <c r="DUS183" s="82"/>
      <c r="DUT183" s="82"/>
      <c r="DUU183" s="82"/>
      <c r="DUV183" s="82"/>
      <c r="DUW183" s="82"/>
      <c r="DUX183" s="82"/>
      <c r="DUY183" s="82"/>
      <c r="DUZ183" s="82"/>
      <c r="DVA183" s="82"/>
      <c r="DVB183" s="82"/>
      <c r="DVC183" s="82"/>
      <c r="DVD183" s="82"/>
      <c r="DVE183" s="82"/>
      <c r="DVF183" s="82"/>
      <c r="DVG183" s="82"/>
      <c r="DVH183" s="82"/>
      <c r="DVI183" s="82"/>
      <c r="DVJ183" s="82"/>
      <c r="DVK183" s="82"/>
      <c r="DVL183" s="82"/>
      <c r="DVM183" s="82"/>
      <c r="DVN183" s="82"/>
      <c r="DVO183" s="82"/>
      <c r="DVP183" s="82"/>
      <c r="DVQ183" s="82"/>
      <c r="DVR183" s="82"/>
      <c r="DVS183" s="82"/>
      <c r="DVT183" s="82"/>
      <c r="DVU183" s="82"/>
      <c r="DVV183" s="82"/>
      <c r="DVW183" s="82"/>
      <c r="DVX183" s="82"/>
      <c r="DVY183" s="82"/>
      <c r="DVZ183" s="82"/>
      <c r="DWA183" s="82"/>
      <c r="DWB183" s="82"/>
      <c r="DWC183" s="82"/>
      <c r="DWD183" s="82"/>
      <c r="DWE183" s="82"/>
      <c r="DWF183" s="82"/>
      <c r="DWG183" s="82"/>
      <c r="DWH183" s="82"/>
      <c r="DWI183" s="82"/>
      <c r="DWJ183" s="82"/>
      <c r="DWK183" s="82"/>
      <c r="DWL183" s="82"/>
      <c r="DWM183" s="82"/>
      <c r="DWN183" s="82"/>
      <c r="DWO183" s="82"/>
      <c r="DWP183" s="82"/>
      <c r="DWQ183" s="82"/>
      <c r="DWR183" s="82"/>
      <c r="DWS183" s="82"/>
      <c r="DWT183" s="82"/>
      <c r="DWU183" s="82"/>
      <c r="DWV183" s="82"/>
      <c r="DWW183" s="82"/>
      <c r="DWX183" s="82"/>
      <c r="DWY183" s="82"/>
      <c r="DWZ183" s="82"/>
      <c r="DXA183" s="82"/>
      <c r="DXB183" s="82"/>
      <c r="DXC183" s="82"/>
      <c r="DXD183" s="82"/>
      <c r="DXE183" s="82"/>
      <c r="DXF183" s="82"/>
      <c r="DXG183" s="82"/>
      <c r="DXH183" s="82"/>
      <c r="DXI183" s="82"/>
      <c r="DXJ183" s="82"/>
      <c r="DXK183" s="82"/>
      <c r="DXL183" s="82"/>
      <c r="DXM183" s="82"/>
      <c r="DXN183" s="82"/>
      <c r="DXO183" s="82"/>
      <c r="DXP183" s="82"/>
      <c r="DXQ183" s="82"/>
      <c r="DXR183" s="82"/>
      <c r="DXS183" s="82"/>
      <c r="DXT183" s="82"/>
      <c r="DXU183" s="82"/>
      <c r="DXV183" s="82"/>
      <c r="DXW183" s="82"/>
      <c r="DXX183" s="82"/>
      <c r="DXY183" s="82"/>
      <c r="DXZ183" s="82"/>
      <c r="DYA183" s="82"/>
      <c r="DYB183" s="82"/>
      <c r="DYC183" s="82"/>
      <c r="DYD183" s="82"/>
      <c r="DYE183" s="82"/>
      <c r="DYF183" s="82"/>
      <c r="DYG183" s="82"/>
      <c r="DYH183" s="82"/>
      <c r="DYI183" s="82"/>
      <c r="DYJ183" s="82"/>
      <c r="DYK183" s="82"/>
      <c r="DYL183" s="82"/>
      <c r="DYM183" s="82"/>
      <c r="DYN183" s="82"/>
      <c r="DYO183" s="82"/>
      <c r="DYP183" s="82"/>
      <c r="DYQ183" s="82"/>
      <c r="DYR183" s="82"/>
      <c r="DYS183" s="82"/>
      <c r="DYT183" s="82"/>
      <c r="DYU183" s="82"/>
      <c r="DYV183" s="82"/>
      <c r="DYW183" s="82"/>
      <c r="DYX183" s="82"/>
      <c r="DYY183" s="82"/>
      <c r="DYZ183" s="82"/>
      <c r="DZA183" s="82"/>
      <c r="DZB183" s="82"/>
      <c r="DZC183" s="82"/>
      <c r="DZD183" s="82"/>
      <c r="DZE183" s="82"/>
      <c r="DZF183" s="82"/>
      <c r="DZG183" s="82"/>
      <c r="DZH183" s="82"/>
      <c r="DZI183" s="82"/>
      <c r="DZJ183" s="82"/>
      <c r="DZK183" s="82"/>
      <c r="DZL183" s="82"/>
      <c r="DZM183" s="82"/>
      <c r="DZN183" s="82"/>
      <c r="DZO183" s="82"/>
      <c r="DZP183" s="82"/>
      <c r="DZQ183" s="82"/>
      <c r="DZR183" s="82"/>
      <c r="DZS183" s="82"/>
      <c r="DZT183" s="82"/>
      <c r="DZU183" s="82"/>
      <c r="DZV183" s="82"/>
      <c r="DZW183" s="82"/>
      <c r="DZX183" s="82"/>
      <c r="DZY183" s="82"/>
      <c r="DZZ183" s="82"/>
      <c r="EAA183" s="82"/>
      <c r="EAB183" s="82"/>
      <c r="EAC183" s="82"/>
      <c r="EAD183" s="82"/>
      <c r="EAE183" s="82"/>
      <c r="EAF183" s="82"/>
      <c r="EAG183" s="82"/>
      <c r="EAH183" s="82"/>
      <c r="EAI183" s="82"/>
      <c r="EAJ183" s="82"/>
      <c r="EAK183" s="82"/>
      <c r="EAL183" s="82"/>
      <c r="EAM183" s="82"/>
      <c r="EAN183" s="82"/>
      <c r="EAO183" s="82"/>
      <c r="EAP183" s="82"/>
      <c r="EAQ183" s="82"/>
      <c r="EAR183" s="82"/>
      <c r="EAS183" s="82"/>
      <c r="EAT183" s="82"/>
      <c r="EAU183" s="82"/>
      <c r="EAV183" s="82"/>
      <c r="EAW183" s="82"/>
      <c r="EAX183" s="82"/>
      <c r="EAY183" s="82"/>
      <c r="EAZ183" s="82"/>
      <c r="EBA183" s="82"/>
      <c r="EBB183" s="82"/>
      <c r="EBC183" s="82"/>
      <c r="EBD183" s="82"/>
      <c r="EBE183" s="82"/>
      <c r="EBF183" s="82"/>
      <c r="EBG183" s="82"/>
      <c r="EBH183" s="82"/>
      <c r="EBI183" s="82"/>
      <c r="EBJ183" s="82"/>
      <c r="EBK183" s="82"/>
      <c r="EBL183" s="82"/>
      <c r="EBM183" s="82"/>
      <c r="EBN183" s="82"/>
      <c r="EBO183" s="82"/>
      <c r="EBP183" s="82"/>
      <c r="EBQ183" s="82"/>
      <c r="EBR183" s="82"/>
      <c r="EBS183" s="82"/>
      <c r="EBT183" s="82"/>
      <c r="EBU183" s="82"/>
      <c r="EBV183" s="82"/>
      <c r="EBW183" s="82"/>
      <c r="EBX183" s="82"/>
      <c r="EBY183" s="82"/>
      <c r="EBZ183" s="82"/>
      <c r="ECA183" s="82"/>
      <c r="ECB183" s="82"/>
      <c r="ECC183" s="82"/>
      <c r="ECD183" s="82"/>
      <c r="ECE183" s="82"/>
      <c r="ECF183" s="82"/>
      <c r="ECG183" s="82"/>
      <c r="ECH183" s="82"/>
      <c r="ECI183" s="82"/>
      <c r="ECJ183" s="82"/>
      <c r="ECK183" s="82"/>
      <c r="ECL183" s="82"/>
      <c r="ECM183" s="82"/>
      <c r="ECN183" s="82"/>
      <c r="ECO183" s="82"/>
      <c r="ECP183" s="82"/>
      <c r="ECQ183" s="82"/>
      <c r="ECR183" s="82"/>
      <c r="ECS183" s="82"/>
      <c r="ECT183" s="82"/>
      <c r="ECU183" s="82"/>
      <c r="ECV183" s="82"/>
      <c r="ECW183" s="82"/>
      <c r="ECX183" s="82"/>
      <c r="ECY183" s="82"/>
      <c r="ECZ183" s="82"/>
      <c r="EDA183" s="82"/>
      <c r="EDB183" s="82"/>
      <c r="EDC183" s="82"/>
      <c r="EDD183" s="82"/>
      <c r="EDE183" s="82"/>
      <c r="EDF183" s="82"/>
      <c r="EDG183" s="82"/>
      <c r="EDH183" s="82"/>
      <c r="EDI183" s="82"/>
      <c r="EDJ183" s="82"/>
      <c r="EDK183" s="82"/>
      <c r="EDL183" s="82"/>
      <c r="EDM183" s="82"/>
      <c r="EDN183" s="82"/>
      <c r="EDO183" s="82"/>
      <c r="EDP183" s="82"/>
      <c r="EDQ183" s="82"/>
      <c r="EDR183" s="82"/>
      <c r="EDS183" s="82"/>
      <c r="EDT183" s="82"/>
      <c r="EDU183" s="82"/>
      <c r="EDV183" s="82"/>
      <c r="EDW183" s="82"/>
      <c r="EDX183" s="82"/>
      <c r="EDY183" s="82"/>
      <c r="EDZ183" s="82"/>
      <c r="EEA183" s="82"/>
      <c r="EEB183" s="82"/>
      <c r="EEC183" s="82"/>
      <c r="EED183" s="82"/>
      <c r="EEE183" s="82"/>
      <c r="EEF183" s="82"/>
      <c r="EEG183" s="82"/>
      <c r="EEH183" s="82"/>
      <c r="EEI183" s="82"/>
      <c r="EEJ183" s="82"/>
      <c r="EEK183" s="82"/>
      <c r="EEL183" s="82"/>
      <c r="EEM183" s="82"/>
      <c r="EEN183" s="82"/>
      <c r="EEO183" s="82"/>
      <c r="EEP183" s="82"/>
      <c r="EEQ183" s="82"/>
      <c r="EER183" s="82"/>
      <c r="EES183" s="82"/>
      <c r="EET183" s="82"/>
      <c r="EEU183" s="82"/>
      <c r="EEV183" s="82"/>
      <c r="EEW183" s="82"/>
      <c r="EEX183" s="82"/>
      <c r="EEY183" s="82"/>
      <c r="EEZ183" s="82"/>
      <c r="EFA183" s="82"/>
      <c r="EFB183" s="82"/>
      <c r="EFC183" s="82"/>
      <c r="EFD183" s="82"/>
      <c r="EFE183" s="82"/>
      <c r="EFF183" s="82"/>
      <c r="EFG183" s="82"/>
      <c r="EFH183" s="82"/>
      <c r="EFI183" s="82"/>
      <c r="EFJ183" s="82"/>
      <c r="EFK183" s="82"/>
      <c r="EFL183" s="82"/>
      <c r="EFM183" s="82"/>
      <c r="EFN183" s="82"/>
      <c r="EFO183" s="82"/>
      <c r="EFP183" s="82"/>
      <c r="EFQ183" s="82"/>
      <c r="EFR183" s="82"/>
      <c r="EFS183" s="82"/>
      <c r="EFT183" s="82"/>
      <c r="EFU183" s="82"/>
      <c r="EFV183" s="82"/>
      <c r="EFW183" s="82"/>
      <c r="EFX183" s="82"/>
      <c r="EFY183" s="82"/>
      <c r="EFZ183" s="82"/>
      <c r="EGA183" s="82"/>
      <c r="EGB183" s="82"/>
      <c r="EGC183" s="82"/>
      <c r="EGD183" s="82"/>
      <c r="EGE183" s="82"/>
      <c r="EGF183" s="82"/>
      <c r="EGG183" s="82"/>
      <c r="EGH183" s="82"/>
      <c r="EGI183" s="82"/>
      <c r="EGJ183" s="82"/>
      <c r="EGK183" s="82"/>
      <c r="EGL183" s="82"/>
      <c r="EGM183" s="82"/>
      <c r="EGN183" s="82"/>
      <c r="EGO183" s="82"/>
      <c r="EGP183" s="82"/>
      <c r="EGQ183" s="82"/>
      <c r="EGR183" s="82"/>
      <c r="EGS183" s="82"/>
      <c r="EGT183" s="82"/>
      <c r="EGU183" s="82"/>
      <c r="EGV183" s="82"/>
      <c r="EGW183" s="82"/>
      <c r="EGX183" s="82"/>
      <c r="EGY183" s="82"/>
      <c r="EGZ183" s="82"/>
      <c r="EHA183" s="82"/>
      <c r="EHB183" s="82"/>
      <c r="EHC183" s="82"/>
      <c r="EHD183" s="82"/>
      <c r="EHE183" s="82"/>
      <c r="EHF183" s="82"/>
      <c r="EHG183" s="82"/>
      <c r="EHH183" s="82"/>
      <c r="EHI183" s="82"/>
      <c r="EHJ183" s="82"/>
      <c r="EHK183" s="82"/>
      <c r="EHL183" s="82"/>
      <c r="EHM183" s="82"/>
      <c r="EHN183" s="82"/>
      <c r="EHO183" s="82"/>
      <c r="EHP183" s="82"/>
      <c r="EHQ183" s="82"/>
      <c r="EHR183" s="82"/>
      <c r="EHS183" s="82"/>
      <c r="EHT183" s="82"/>
      <c r="EHU183" s="82"/>
      <c r="EHV183" s="82"/>
      <c r="EHW183" s="82"/>
      <c r="EHX183" s="82"/>
      <c r="EHY183" s="82"/>
      <c r="EHZ183" s="82"/>
      <c r="EIA183" s="82"/>
      <c r="EIB183" s="82"/>
      <c r="EIC183" s="82"/>
      <c r="EID183" s="82"/>
      <c r="EIE183" s="82"/>
      <c r="EIF183" s="82"/>
      <c r="EIG183" s="82"/>
      <c r="EIH183" s="82"/>
      <c r="EII183" s="82"/>
      <c r="EIJ183" s="82"/>
      <c r="EIK183" s="82"/>
      <c r="EIL183" s="82"/>
      <c r="EIM183" s="82"/>
      <c r="EIN183" s="82"/>
      <c r="EIO183" s="82"/>
      <c r="EIP183" s="82"/>
      <c r="EIQ183" s="82"/>
      <c r="EIR183" s="82"/>
      <c r="EIS183" s="82"/>
      <c r="EIT183" s="82"/>
      <c r="EIU183" s="82"/>
      <c r="EIV183" s="82"/>
      <c r="EIW183" s="82"/>
      <c r="EIX183" s="82"/>
      <c r="EIY183" s="82"/>
      <c r="EIZ183" s="82"/>
      <c r="EJA183" s="82"/>
      <c r="EJB183" s="82"/>
      <c r="EJC183" s="82"/>
      <c r="EJD183" s="82"/>
      <c r="EJE183" s="82"/>
      <c r="EJF183" s="82"/>
      <c r="EJG183" s="82"/>
      <c r="EJH183" s="82"/>
      <c r="EJI183" s="82"/>
      <c r="EJJ183" s="82"/>
      <c r="EJK183" s="82"/>
      <c r="EJL183" s="82"/>
      <c r="EJM183" s="82"/>
      <c r="EJN183" s="82"/>
      <c r="EJO183" s="82"/>
      <c r="EJP183" s="82"/>
      <c r="EJQ183" s="82"/>
      <c r="EJR183" s="82"/>
      <c r="EJS183" s="82"/>
      <c r="EJT183" s="82"/>
      <c r="EJU183" s="82"/>
      <c r="EJV183" s="82"/>
      <c r="EJW183" s="82"/>
      <c r="EJX183" s="82"/>
      <c r="EJY183" s="82"/>
      <c r="EJZ183" s="82"/>
      <c r="EKA183" s="82"/>
      <c r="EKB183" s="82"/>
      <c r="EKC183" s="82"/>
      <c r="EKD183" s="82"/>
      <c r="EKE183" s="82"/>
      <c r="EKF183" s="82"/>
      <c r="EKG183" s="82"/>
      <c r="EKH183" s="82"/>
      <c r="EKI183" s="82"/>
      <c r="EKJ183" s="82"/>
      <c r="EKK183" s="82"/>
      <c r="EKL183" s="82"/>
      <c r="EKM183" s="82"/>
      <c r="EKN183" s="82"/>
      <c r="EKO183" s="82"/>
      <c r="EKP183" s="82"/>
      <c r="EKQ183" s="82"/>
      <c r="EKR183" s="82"/>
      <c r="EKS183" s="82"/>
      <c r="EKT183" s="82"/>
      <c r="EKU183" s="82"/>
      <c r="EKV183" s="82"/>
      <c r="EKW183" s="82"/>
      <c r="EKX183" s="82"/>
      <c r="EKY183" s="82"/>
      <c r="EKZ183" s="82"/>
      <c r="ELA183" s="82"/>
      <c r="ELB183" s="82"/>
      <c r="ELC183" s="82"/>
      <c r="ELD183" s="82"/>
      <c r="ELE183" s="82"/>
      <c r="ELF183" s="82"/>
      <c r="ELG183" s="82"/>
      <c r="ELH183" s="82"/>
      <c r="ELI183" s="82"/>
      <c r="ELJ183" s="82"/>
      <c r="ELK183" s="82"/>
      <c r="ELL183" s="82"/>
      <c r="ELM183" s="82"/>
      <c r="ELN183" s="82"/>
      <c r="ELO183" s="82"/>
      <c r="ELP183" s="82"/>
      <c r="ELQ183" s="82"/>
      <c r="ELR183" s="82"/>
      <c r="ELS183" s="82"/>
      <c r="ELT183" s="82"/>
      <c r="ELU183" s="82"/>
      <c r="ELV183" s="82"/>
      <c r="ELW183" s="82"/>
      <c r="ELX183" s="82"/>
      <c r="ELY183" s="82"/>
      <c r="ELZ183" s="82"/>
      <c r="EMA183" s="82"/>
      <c r="EMB183" s="82"/>
      <c r="EMC183" s="82"/>
      <c r="EMD183" s="82"/>
      <c r="EME183" s="82"/>
      <c r="EMF183" s="82"/>
      <c r="EMG183" s="82"/>
      <c r="EMH183" s="82"/>
      <c r="EMI183" s="82"/>
      <c r="EMJ183" s="82"/>
      <c r="EMK183" s="82"/>
      <c r="EML183" s="82"/>
      <c r="EMM183" s="82"/>
      <c r="EMN183" s="82"/>
      <c r="EMO183" s="82"/>
      <c r="EMP183" s="82"/>
      <c r="EMQ183" s="82"/>
      <c r="EMR183" s="82"/>
      <c r="EMS183" s="82"/>
      <c r="EMT183" s="82"/>
      <c r="EMU183" s="82"/>
      <c r="EMV183" s="82"/>
      <c r="EMW183" s="82"/>
      <c r="EMX183" s="82"/>
      <c r="EMY183" s="82"/>
      <c r="EMZ183" s="82"/>
      <c r="ENA183" s="82"/>
      <c r="ENB183" s="82"/>
      <c r="ENC183" s="82"/>
      <c r="END183" s="82"/>
      <c r="ENE183" s="82"/>
      <c r="ENF183" s="82"/>
      <c r="ENG183" s="82"/>
      <c r="ENH183" s="82"/>
      <c r="ENI183" s="82"/>
      <c r="ENJ183" s="82"/>
      <c r="ENK183" s="82"/>
      <c r="ENL183" s="82"/>
      <c r="ENM183" s="82"/>
      <c r="ENN183" s="82"/>
      <c r="ENO183" s="82"/>
      <c r="ENP183" s="82"/>
      <c r="ENQ183" s="82"/>
      <c r="ENR183" s="82"/>
      <c r="ENS183" s="82"/>
      <c r="ENT183" s="82"/>
      <c r="ENU183" s="82"/>
      <c r="ENV183" s="82"/>
      <c r="ENW183" s="82"/>
      <c r="ENX183" s="82"/>
      <c r="ENY183" s="82"/>
      <c r="ENZ183" s="82"/>
      <c r="EOA183" s="82"/>
      <c r="EOB183" s="82"/>
      <c r="EOC183" s="82"/>
      <c r="EOD183" s="82"/>
      <c r="EOE183" s="82"/>
      <c r="EOF183" s="82"/>
      <c r="EOG183" s="82"/>
      <c r="EOH183" s="82"/>
      <c r="EOI183" s="82"/>
      <c r="EOJ183" s="82"/>
      <c r="EOK183" s="82"/>
      <c r="EOL183" s="82"/>
      <c r="EOM183" s="82"/>
      <c r="EON183" s="82"/>
      <c r="EOO183" s="82"/>
      <c r="EOP183" s="82"/>
      <c r="EOQ183" s="82"/>
      <c r="EOR183" s="82"/>
      <c r="EOS183" s="82"/>
      <c r="EOT183" s="82"/>
      <c r="EOU183" s="82"/>
      <c r="EOV183" s="82"/>
      <c r="EOW183" s="82"/>
      <c r="EOX183" s="82"/>
      <c r="EOY183" s="82"/>
      <c r="EOZ183" s="82"/>
      <c r="EPA183" s="82"/>
      <c r="EPB183" s="82"/>
      <c r="EPC183" s="82"/>
      <c r="EPD183" s="82"/>
      <c r="EPE183" s="82"/>
      <c r="EPF183" s="82"/>
      <c r="EPG183" s="82"/>
      <c r="EPH183" s="82"/>
      <c r="EPI183" s="82"/>
      <c r="EPJ183" s="82"/>
      <c r="EPK183" s="82"/>
      <c r="EPL183" s="82"/>
      <c r="EPM183" s="82"/>
      <c r="EPN183" s="82"/>
      <c r="EPO183" s="82"/>
      <c r="EPP183" s="82"/>
      <c r="EPQ183" s="82"/>
      <c r="EPR183" s="82"/>
      <c r="EPS183" s="82"/>
      <c r="EPT183" s="82"/>
      <c r="EPU183" s="82"/>
      <c r="EPV183" s="82"/>
      <c r="EPW183" s="82"/>
      <c r="EPX183" s="82"/>
      <c r="EPY183" s="82"/>
      <c r="EPZ183" s="82"/>
      <c r="EQA183" s="82"/>
      <c r="EQB183" s="82"/>
      <c r="EQC183" s="82"/>
      <c r="EQD183" s="82"/>
      <c r="EQE183" s="82"/>
      <c r="EQF183" s="82"/>
      <c r="EQG183" s="82"/>
      <c r="EQH183" s="82"/>
      <c r="EQI183" s="82"/>
      <c r="EQJ183" s="82"/>
      <c r="EQK183" s="82"/>
      <c r="EQL183" s="82"/>
      <c r="EQM183" s="82"/>
      <c r="EQN183" s="82"/>
      <c r="EQO183" s="82"/>
      <c r="EQP183" s="82"/>
      <c r="EQQ183" s="82"/>
      <c r="EQR183" s="82"/>
      <c r="EQS183" s="82"/>
      <c r="EQT183" s="82"/>
      <c r="EQU183" s="82"/>
      <c r="EQV183" s="82"/>
      <c r="EQW183" s="82"/>
      <c r="EQX183" s="82"/>
      <c r="EQY183" s="82"/>
      <c r="EQZ183" s="82"/>
      <c r="ERA183" s="82"/>
      <c r="ERB183" s="82"/>
      <c r="ERC183" s="82"/>
      <c r="ERD183" s="82"/>
      <c r="ERE183" s="82"/>
      <c r="ERF183" s="82"/>
      <c r="ERG183" s="82"/>
      <c r="ERH183" s="82"/>
      <c r="ERI183" s="82"/>
      <c r="ERJ183" s="82"/>
      <c r="ERK183" s="82"/>
      <c r="ERL183" s="82"/>
      <c r="ERM183" s="82"/>
      <c r="ERN183" s="82"/>
      <c r="ERO183" s="82"/>
      <c r="ERP183" s="82"/>
      <c r="ERQ183" s="82"/>
      <c r="ERR183" s="82"/>
      <c r="ERS183" s="82"/>
      <c r="ERT183" s="82"/>
      <c r="ERU183" s="82"/>
      <c r="ERV183" s="82"/>
      <c r="ERW183" s="82"/>
      <c r="ERX183" s="82"/>
      <c r="ERY183" s="82"/>
      <c r="ERZ183" s="82"/>
      <c r="ESA183" s="82"/>
      <c r="ESB183" s="82"/>
      <c r="ESC183" s="82"/>
      <c r="ESD183" s="82"/>
      <c r="ESE183" s="82"/>
      <c r="ESF183" s="82"/>
      <c r="ESG183" s="82"/>
      <c r="ESH183" s="82"/>
      <c r="ESI183" s="82"/>
      <c r="ESJ183" s="82"/>
      <c r="ESK183" s="82"/>
      <c r="ESL183" s="82"/>
      <c r="ESM183" s="82"/>
      <c r="ESN183" s="82"/>
      <c r="ESO183" s="82"/>
      <c r="ESP183" s="82"/>
      <c r="ESQ183" s="82"/>
      <c r="ESR183" s="82"/>
      <c r="ESS183" s="82"/>
      <c r="EST183" s="82"/>
      <c r="ESU183" s="82"/>
      <c r="ESV183" s="82"/>
      <c r="ESW183" s="82"/>
      <c r="ESX183" s="82"/>
      <c r="ESY183" s="82"/>
      <c r="ESZ183" s="82"/>
      <c r="ETA183" s="82"/>
      <c r="ETB183" s="82"/>
      <c r="ETC183" s="82"/>
      <c r="ETD183" s="82"/>
      <c r="ETE183" s="82"/>
      <c r="ETF183" s="82"/>
      <c r="ETG183" s="82"/>
      <c r="ETH183" s="82"/>
      <c r="ETI183" s="82"/>
      <c r="ETJ183" s="82"/>
      <c r="ETK183" s="82"/>
      <c r="ETL183" s="82"/>
      <c r="ETM183" s="82"/>
      <c r="ETN183" s="82"/>
      <c r="ETO183" s="82"/>
      <c r="ETP183" s="82"/>
      <c r="ETQ183" s="82"/>
      <c r="ETR183" s="82"/>
      <c r="ETS183" s="82"/>
      <c r="ETT183" s="82"/>
      <c r="ETU183" s="82"/>
      <c r="ETV183" s="82"/>
      <c r="ETW183" s="82"/>
      <c r="ETX183" s="82"/>
      <c r="ETY183" s="82"/>
      <c r="ETZ183" s="82"/>
      <c r="EUA183" s="82"/>
      <c r="EUB183" s="82"/>
      <c r="EUC183" s="82"/>
      <c r="EUD183" s="82"/>
      <c r="EUE183" s="82"/>
      <c r="EUF183" s="82"/>
      <c r="EUG183" s="82"/>
      <c r="EUH183" s="82"/>
      <c r="EUI183" s="82"/>
      <c r="EUJ183" s="82"/>
      <c r="EUK183" s="82"/>
      <c r="EUL183" s="82"/>
      <c r="EUM183" s="82"/>
      <c r="EUN183" s="82"/>
      <c r="EUO183" s="82"/>
      <c r="EUP183" s="82"/>
      <c r="EUQ183" s="82"/>
      <c r="EUR183" s="82"/>
      <c r="EUS183" s="82"/>
      <c r="EUT183" s="82"/>
      <c r="EUU183" s="82"/>
      <c r="EUV183" s="82"/>
      <c r="EUW183" s="82"/>
      <c r="EUX183" s="82"/>
      <c r="EUY183" s="82"/>
      <c r="EUZ183" s="82"/>
      <c r="EVA183" s="82"/>
      <c r="EVB183" s="82"/>
      <c r="EVC183" s="82"/>
      <c r="EVD183" s="82"/>
      <c r="EVE183" s="82"/>
      <c r="EVF183" s="82"/>
      <c r="EVG183" s="82"/>
      <c r="EVH183" s="82"/>
      <c r="EVI183" s="82"/>
      <c r="EVJ183" s="82"/>
      <c r="EVK183" s="82"/>
      <c r="EVL183" s="82"/>
      <c r="EVM183" s="82"/>
      <c r="EVN183" s="82"/>
      <c r="EVO183" s="82"/>
      <c r="EVP183" s="82"/>
      <c r="EVQ183" s="82"/>
      <c r="EVR183" s="82"/>
      <c r="EVS183" s="82"/>
      <c r="EVT183" s="82"/>
      <c r="EVU183" s="82"/>
      <c r="EVV183" s="82"/>
      <c r="EVW183" s="82"/>
      <c r="EVX183" s="82"/>
      <c r="EVY183" s="82"/>
      <c r="EVZ183" s="82"/>
      <c r="EWA183" s="82"/>
      <c r="EWB183" s="82"/>
      <c r="EWC183" s="82"/>
      <c r="EWD183" s="82"/>
      <c r="EWE183" s="82"/>
      <c r="EWF183" s="82"/>
      <c r="EWG183" s="82"/>
      <c r="EWH183" s="82"/>
      <c r="EWI183" s="82"/>
      <c r="EWJ183" s="82"/>
      <c r="EWK183" s="82"/>
      <c r="EWL183" s="82"/>
      <c r="EWM183" s="82"/>
      <c r="EWN183" s="82"/>
      <c r="EWO183" s="82"/>
      <c r="EWP183" s="82"/>
      <c r="EWQ183" s="82"/>
      <c r="EWR183" s="82"/>
      <c r="EWS183" s="82"/>
      <c r="EWT183" s="82"/>
      <c r="EWU183" s="82"/>
      <c r="EWV183" s="82"/>
      <c r="EWW183" s="82"/>
      <c r="EWX183" s="82"/>
      <c r="EWY183" s="82"/>
      <c r="EWZ183" s="82"/>
      <c r="EXA183" s="82"/>
      <c r="EXB183" s="82"/>
      <c r="EXC183" s="82"/>
      <c r="EXD183" s="82"/>
      <c r="EXE183" s="82"/>
      <c r="EXF183" s="82"/>
      <c r="EXG183" s="82"/>
      <c r="EXH183" s="82"/>
      <c r="EXI183" s="82"/>
      <c r="EXJ183" s="82"/>
      <c r="EXK183" s="82"/>
      <c r="EXL183" s="82"/>
      <c r="EXM183" s="82"/>
      <c r="EXN183" s="82"/>
      <c r="EXO183" s="82"/>
      <c r="EXP183" s="82"/>
      <c r="EXQ183" s="82"/>
      <c r="EXR183" s="82"/>
      <c r="EXS183" s="82"/>
      <c r="EXT183" s="82"/>
      <c r="EXU183" s="82"/>
      <c r="EXV183" s="82"/>
      <c r="EXW183" s="82"/>
      <c r="EXX183" s="82"/>
      <c r="EXY183" s="82"/>
      <c r="EXZ183" s="82"/>
      <c r="EYA183" s="82"/>
      <c r="EYB183" s="82"/>
      <c r="EYC183" s="82"/>
      <c r="EYD183" s="82"/>
      <c r="EYE183" s="82"/>
      <c r="EYF183" s="82"/>
      <c r="EYG183" s="82"/>
      <c r="EYH183" s="82"/>
      <c r="EYI183" s="82"/>
      <c r="EYJ183" s="82"/>
      <c r="EYK183" s="82"/>
      <c r="EYL183" s="82"/>
      <c r="EYM183" s="82"/>
      <c r="EYN183" s="82"/>
      <c r="EYO183" s="82"/>
      <c r="EYP183" s="82"/>
      <c r="EYQ183" s="82"/>
      <c r="EYR183" s="82"/>
      <c r="EYS183" s="82"/>
      <c r="EYT183" s="82"/>
      <c r="EYU183" s="82"/>
      <c r="EYV183" s="82"/>
      <c r="EYW183" s="82"/>
      <c r="EYX183" s="82"/>
      <c r="EYY183" s="82"/>
      <c r="EYZ183" s="82"/>
      <c r="EZA183" s="82"/>
      <c r="EZB183" s="82"/>
      <c r="EZC183" s="82"/>
      <c r="EZD183" s="82"/>
      <c r="EZE183" s="82"/>
      <c r="EZF183" s="82"/>
      <c r="EZG183" s="82"/>
      <c r="EZH183" s="82"/>
      <c r="EZI183" s="82"/>
      <c r="EZJ183" s="82"/>
      <c r="EZK183" s="82"/>
      <c r="EZL183" s="82"/>
      <c r="EZM183" s="82"/>
      <c r="EZN183" s="82"/>
      <c r="EZO183" s="82"/>
      <c r="EZP183" s="82"/>
      <c r="EZQ183" s="82"/>
      <c r="EZR183" s="82"/>
      <c r="EZS183" s="82"/>
      <c r="EZT183" s="82"/>
      <c r="EZU183" s="82"/>
      <c r="EZV183" s="82"/>
      <c r="EZW183" s="82"/>
      <c r="EZX183" s="82"/>
      <c r="EZY183" s="82"/>
      <c r="EZZ183" s="82"/>
      <c r="FAA183" s="82"/>
      <c r="FAB183" s="82"/>
      <c r="FAC183" s="82"/>
      <c r="FAD183" s="82"/>
      <c r="FAE183" s="82"/>
      <c r="FAF183" s="82"/>
      <c r="FAG183" s="82"/>
      <c r="FAH183" s="82"/>
      <c r="FAI183" s="82"/>
      <c r="FAJ183" s="82"/>
      <c r="FAK183" s="82"/>
      <c r="FAL183" s="82"/>
      <c r="FAM183" s="82"/>
      <c r="FAN183" s="82"/>
      <c r="FAO183" s="82"/>
      <c r="FAP183" s="82"/>
      <c r="FAQ183" s="82"/>
      <c r="FAR183" s="82"/>
      <c r="FAS183" s="82"/>
      <c r="FAT183" s="82"/>
      <c r="FAU183" s="82"/>
      <c r="FAV183" s="82"/>
      <c r="FAW183" s="82"/>
      <c r="FAX183" s="82"/>
      <c r="FAY183" s="82"/>
      <c r="FAZ183" s="82"/>
      <c r="FBA183" s="82"/>
      <c r="FBB183" s="82"/>
      <c r="FBC183" s="82"/>
      <c r="FBD183" s="82"/>
      <c r="FBE183" s="82"/>
      <c r="FBF183" s="82"/>
      <c r="FBG183" s="82"/>
      <c r="FBH183" s="82"/>
      <c r="FBI183" s="82"/>
      <c r="FBJ183" s="82"/>
      <c r="FBK183" s="82"/>
      <c r="FBL183" s="82"/>
      <c r="FBM183" s="82"/>
      <c r="FBN183" s="82"/>
      <c r="FBO183" s="82"/>
      <c r="FBP183" s="82"/>
      <c r="FBQ183" s="82"/>
      <c r="FBR183" s="82"/>
      <c r="FBS183" s="82"/>
      <c r="FBT183" s="82"/>
      <c r="FBU183" s="82"/>
      <c r="FBV183" s="82"/>
      <c r="FBW183" s="82"/>
      <c r="FBX183" s="82"/>
      <c r="FBY183" s="82"/>
      <c r="FBZ183" s="82"/>
      <c r="FCA183" s="82"/>
      <c r="FCB183" s="82"/>
      <c r="FCC183" s="82"/>
      <c r="FCD183" s="82"/>
      <c r="FCE183" s="82"/>
      <c r="FCF183" s="82"/>
      <c r="FCG183" s="82"/>
      <c r="FCH183" s="82"/>
      <c r="FCI183" s="82"/>
      <c r="FCJ183" s="82"/>
      <c r="FCK183" s="82"/>
      <c r="FCL183" s="82"/>
      <c r="FCM183" s="82"/>
      <c r="FCN183" s="82"/>
      <c r="FCO183" s="82"/>
      <c r="FCP183" s="82"/>
      <c r="FCQ183" s="82"/>
      <c r="FCR183" s="82"/>
      <c r="FCS183" s="82"/>
      <c r="FCT183" s="82"/>
      <c r="FCU183" s="82"/>
      <c r="FCV183" s="82"/>
      <c r="FCW183" s="82"/>
      <c r="FCX183" s="82"/>
      <c r="FCY183" s="82"/>
      <c r="FCZ183" s="82"/>
      <c r="FDA183" s="82"/>
      <c r="FDB183" s="82"/>
      <c r="FDC183" s="82"/>
      <c r="FDD183" s="82"/>
      <c r="FDE183" s="82"/>
      <c r="FDF183" s="82"/>
      <c r="FDG183" s="82"/>
      <c r="FDH183" s="82"/>
      <c r="FDI183" s="82"/>
      <c r="FDJ183" s="82"/>
      <c r="FDK183" s="82"/>
      <c r="FDL183" s="82"/>
      <c r="FDM183" s="82"/>
      <c r="FDN183" s="82"/>
      <c r="FDO183" s="82"/>
      <c r="FDP183" s="82"/>
      <c r="FDQ183" s="82"/>
      <c r="FDR183" s="82"/>
      <c r="FDS183" s="82"/>
      <c r="FDT183" s="82"/>
      <c r="FDU183" s="82"/>
      <c r="FDV183" s="82"/>
      <c r="FDW183" s="82"/>
      <c r="FDX183" s="82"/>
      <c r="FDY183" s="82"/>
      <c r="FDZ183" s="82"/>
      <c r="FEA183" s="82"/>
      <c r="FEB183" s="82"/>
      <c r="FEC183" s="82"/>
      <c r="FED183" s="82"/>
      <c r="FEE183" s="82"/>
      <c r="FEF183" s="82"/>
      <c r="FEG183" s="82"/>
      <c r="FEH183" s="82"/>
      <c r="FEI183" s="82"/>
      <c r="FEJ183" s="82"/>
      <c r="FEK183" s="82"/>
      <c r="FEL183" s="82"/>
      <c r="FEM183" s="82"/>
      <c r="FEN183" s="82"/>
      <c r="FEO183" s="82"/>
      <c r="FEP183" s="82"/>
      <c r="FEQ183" s="82"/>
      <c r="FER183" s="82"/>
      <c r="FES183" s="82"/>
      <c r="FET183" s="82"/>
      <c r="FEU183" s="82"/>
      <c r="FEV183" s="82"/>
      <c r="FEW183" s="82"/>
      <c r="FEX183" s="82"/>
      <c r="FEY183" s="82"/>
      <c r="FEZ183" s="82"/>
      <c r="FFA183" s="82"/>
      <c r="FFB183" s="82"/>
      <c r="FFC183" s="82"/>
      <c r="FFD183" s="82"/>
      <c r="FFE183" s="82"/>
      <c r="FFF183" s="82"/>
      <c r="FFG183" s="82"/>
      <c r="FFH183" s="82"/>
      <c r="FFI183" s="82"/>
      <c r="FFJ183" s="82"/>
      <c r="FFK183" s="82"/>
      <c r="FFL183" s="82"/>
      <c r="FFM183" s="82"/>
      <c r="FFN183" s="82"/>
      <c r="FFO183" s="82"/>
      <c r="FFP183" s="82"/>
      <c r="FFQ183" s="82"/>
      <c r="FFR183" s="82"/>
      <c r="FFS183" s="82"/>
      <c r="FFT183" s="82"/>
      <c r="FFU183" s="82"/>
      <c r="FFV183" s="82"/>
      <c r="FFW183" s="82"/>
      <c r="FFX183" s="82"/>
      <c r="FFY183" s="82"/>
      <c r="FFZ183" s="82"/>
      <c r="FGA183" s="82"/>
      <c r="FGB183" s="82"/>
      <c r="FGC183" s="82"/>
      <c r="FGD183" s="82"/>
      <c r="FGE183" s="82"/>
      <c r="FGF183" s="82"/>
      <c r="FGG183" s="82"/>
      <c r="FGH183" s="82"/>
      <c r="FGI183" s="82"/>
      <c r="FGJ183" s="82"/>
      <c r="FGK183" s="82"/>
      <c r="FGL183" s="82"/>
      <c r="FGM183" s="82"/>
      <c r="FGN183" s="82"/>
      <c r="FGO183" s="82"/>
      <c r="FGP183" s="82"/>
      <c r="FGQ183" s="82"/>
      <c r="FGR183" s="82"/>
      <c r="FGS183" s="82"/>
      <c r="FGT183" s="82"/>
      <c r="FGU183" s="82"/>
      <c r="FGV183" s="82"/>
      <c r="FGW183" s="82"/>
      <c r="FGX183" s="82"/>
      <c r="FGY183" s="82"/>
      <c r="FGZ183" s="82"/>
      <c r="FHA183" s="82"/>
      <c r="FHB183" s="82"/>
      <c r="FHC183" s="82"/>
      <c r="FHD183" s="82"/>
      <c r="FHE183" s="82"/>
      <c r="FHF183" s="82"/>
      <c r="FHG183" s="82"/>
      <c r="FHH183" s="82"/>
      <c r="FHI183" s="82"/>
      <c r="FHJ183" s="82"/>
      <c r="FHK183" s="82"/>
      <c r="FHL183" s="82"/>
      <c r="FHM183" s="82"/>
      <c r="FHN183" s="82"/>
      <c r="FHO183" s="82"/>
      <c r="FHP183" s="82"/>
      <c r="FHQ183" s="82"/>
      <c r="FHR183" s="82"/>
      <c r="FHS183" s="82"/>
      <c r="FHT183" s="82"/>
      <c r="FHU183" s="82"/>
      <c r="FHV183" s="82"/>
      <c r="FHW183" s="82"/>
      <c r="FHX183" s="82"/>
      <c r="FHY183" s="82"/>
      <c r="FHZ183" s="82"/>
      <c r="FIA183" s="82"/>
      <c r="FIB183" s="82"/>
      <c r="FIC183" s="82"/>
      <c r="FID183" s="82"/>
      <c r="FIE183" s="82"/>
      <c r="FIF183" s="82"/>
      <c r="FIG183" s="82"/>
      <c r="FIH183" s="82"/>
      <c r="FII183" s="82"/>
      <c r="FIJ183" s="82"/>
      <c r="FIK183" s="82"/>
      <c r="FIL183" s="82"/>
      <c r="FIM183" s="82"/>
      <c r="FIN183" s="82"/>
      <c r="FIO183" s="82"/>
      <c r="FIP183" s="82"/>
      <c r="FIQ183" s="82"/>
      <c r="FIR183" s="82"/>
      <c r="FIS183" s="82"/>
      <c r="FIT183" s="82"/>
      <c r="FIU183" s="82"/>
      <c r="FIV183" s="82"/>
      <c r="FIW183" s="82"/>
      <c r="FIX183" s="82"/>
      <c r="FIY183" s="82"/>
      <c r="FIZ183" s="82"/>
      <c r="FJA183" s="82"/>
      <c r="FJB183" s="82"/>
      <c r="FJC183" s="82"/>
      <c r="FJD183" s="82"/>
      <c r="FJE183" s="82"/>
      <c r="FJF183" s="82"/>
      <c r="FJG183" s="82"/>
      <c r="FJH183" s="82"/>
      <c r="FJI183" s="82"/>
      <c r="FJJ183" s="82"/>
      <c r="FJK183" s="82"/>
      <c r="FJL183" s="82"/>
      <c r="FJM183" s="82"/>
      <c r="FJN183" s="82"/>
      <c r="FJO183" s="82"/>
      <c r="FJP183" s="82"/>
      <c r="FJQ183" s="82"/>
      <c r="FJR183" s="82"/>
      <c r="FJS183" s="82"/>
      <c r="FJT183" s="82"/>
      <c r="FJU183" s="82"/>
      <c r="FJV183" s="82"/>
      <c r="FJW183" s="82"/>
      <c r="FJX183" s="82"/>
      <c r="FJY183" s="82"/>
      <c r="FJZ183" s="82"/>
      <c r="FKA183" s="82"/>
      <c r="FKB183" s="82"/>
      <c r="FKC183" s="82"/>
      <c r="FKD183" s="82"/>
      <c r="FKE183" s="82"/>
      <c r="FKF183" s="82"/>
      <c r="FKG183" s="82"/>
      <c r="FKH183" s="82"/>
      <c r="FKI183" s="82"/>
      <c r="FKJ183" s="82"/>
      <c r="FKK183" s="82"/>
      <c r="FKL183" s="82"/>
      <c r="FKM183" s="82"/>
      <c r="FKN183" s="82"/>
      <c r="FKO183" s="82"/>
      <c r="FKP183" s="82"/>
      <c r="FKQ183" s="82"/>
      <c r="FKR183" s="82"/>
      <c r="FKS183" s="82"/>
      <c r="FKT183" s="82"/>
      <c r="FKU183" s="82"/>
      <c r="FKV183" s="82"/>
      <c r="FKW183" s="82"/>
      <c r="FKX183" s="82"/>
      <c r="FKY183" s="82"/>
      <c r="FKZ183" s="82"/>
      <c r="FLA183" s="82"/>
      <c r="FLB183" s="82"/>
      <c r="FLC183" s="82"/>
      <c r="FLD183" s="82"/>
      <c r="FLE183" s="82"/>
      <c r="FLF183" s="82"/>
      <c r="FLG183" s="82"/>
      <c r="FLH183" s="82"/>
      <c r="FLI183" s="82"/>
      <c r="FLJ183" s="82"/>
      <c r="FLK183" s="82"/>
      <c r="FLL183" s="82"/>
      <c r="FLM183" s="82"/>
      <c r="FLN183" s="82"/>
      <c r="FLO183" s="82"/>
      <c r="FLP183" s="82"/>
      <c r="FLQ183" s="82"/>
      <c r="FLR183" s="82"/>
      <c r="FLS183" s="82"/>
      <c r="FLT183" s="82"/>
      <c r="FLU183" s="82"/>
      <c r="FLV183" s="82"/>
      <c r="FLW183" s="82"/>
      <c r="FLX183" s="82"/>
      <c r="FLY183" s="82"/>
      <c r="FLZ183" s="82"/>
      <c r="FMA183" s="82"/>
      <c r="FMB183" s="82"/>
      <c r="FMC183" s="82"/>
      <c r="FMD183" s="82"/>
      <c r="FME183" s="82"/>
      <c r="FMF183" s="82"/>
      <c r="FMG183" s="82"/>
      <c r="FMH183" s="82"/>
      <c r="FMI183" s="82"/>
      <c r="FMJ183" s="82"/>
      <c r="FMK183" s="82"/>
      <c r="FML183" s="82"/>
      <c r="FMM183" s="82"/>
      <c r="FMN183" s="82"/>
      <c r="FMO183" s="82"/>
      <c r="FMP183" s="82"/>
      <c r="FMQ183" s="82"/>
      <c r="FMR183" s="82"/>
      <c r="FMS183" s="82"/>
      <c r="FMT183" s="82"/>
      <c r="FMU183" s="82"/>
      <c r="FMV183" s="82"/>
      <c r="FMW183" s="82"/>
      <c r="FMX183" s="82"/>
      <c r="FMY183" s="82"/>
      <c r="FMZ183" s="82"/>
      <c r="FNA183" s="82"/>
      <c r="FNB183" s="82"/>
      <c r="FNC183" s="82"/>
      <c r="FND183" s="82"/>
      <c r="FNE183" s="82"/>
      <c r="FNF183" s="82"/>
      <c r="FNG183" s="82"/>
      <c r="FNH183" s="82"/>
      <c r="FNI183" s="82"/>
      <c r="FNJ183" s="82"/>
      <c r="FNK183" s="82"/>
      <c r="FNL183" s="82"/>
      <c r="FNM183" s="82"/>
      <c r="FNN183" s="82"/>
      <c r="FNO183" s="82"/>
      <c r="FNP183" s="82"/>
      <c r="FNQ183" s="82"/>
      <c r="FNR183" s="82"/>
      <c r="FNS183" s="82"/>
      <c r="FNT183" s="82"/>
      <c r="FNU183" s="82"/>
      <c r="FNV183" s="82"/>
      <c r="FNW183" s="82"/>
      <c r="FNX183" s="82"/>
      <c r="FNY183" s="82"/>
      <c r="FNZ183" s="82"/>
      <c r="FOA183" s="82"/>
      <c r="FOB183" s="82"/>
      <c r="FOC183" s="82"/>
      <c r="FOD183" s="82"/>
      <c r="FOE183" s="82"/>
      <c r="FOF183" s="82"/>
      <c r="FOG183" s="82"/>
      <c r="FOH183" s="82"/>
      <c r="FOI183" s="82"/>
      <c r="FOJ183" s="82"/>
      <c r="FOK183" s="82"/>
      <c r="FOL183" s="82"/>
      <c r="FOM183" s="82"/>
      <c r="FON183" s="82"/>
      <c r="FOO183" s="82"/>
      <c r="FOP183" s="82"/>
      <c r="FOQ183" s="82"/>
      <c r="FOR183" s="82"/>
      <c r="FOS183" s="82"/>
      <c r="FOT183" s="82"/>
      <c r="FOU183" s="82"/>
      <c r="FOV183" s="82"/>
      <c r="FOW183" s="82"/>
      <c r="FOX183" s="82"/>
      <c r="FOY183" s="82"/>
      <c r="FOZ183" s="82"/>
      <c r="FPA183" s="82"/>
      <c r="FPB183" s="82"/>
      <c r="FPC183" s="82"/>
      <c r="FPD183" s="82"/>
      <c r="FPE183" s="82"/>
      <c r="FPF183" s="82"/>
      <c r="FPG183" s="82"/>
      <c r="FPH183" s="82"/>
      <c r="FPI183" s="82"/>
      <c r="FPJ183" s="82"/>
      <c r="FPK183" s="82"/>
      <c r="FPL183" s="82"/>
      <c r="FPM183" s="82"/>
      <c r="FPN183" s="82"/>
      <c r="FPO183" s="82"/>
      <c r="FPP183" s="82"/>
      <c r="FPQ183" s="82"/>
      <c r="FPR183" s="82"/>
      <c r="FPS183" s="82"/>
      <c r="FPT183" s="82"/>
      <c r="FPU183" s="82"/>
      <c r="FPV183" s="82"/>
      <c r="FPW183" s="82"/>
      <c r="FPX183" s="82"/>
      <c r="FPY183" s="82"/>
      <c r="FPZ183" s="82"/>
      <c r="FQA183" s="82"/>
      <c r="FQB183" s="82"/>
      <c r="FQC183" s="82"/>
      <c r="FQD183" s="82"/>
      <c r="FQE183" s="82"/>
      <c r="FQF183" s="82"/>
      <c r="FQG183" s="82"/>
      <c r="FQH183" s="82"/>
      <c r="FQI183" s="82"/>
      <c r="FQJ183" s="82"/>
      <c r="FQK183" s="82"/>
      <c r="FQL183" s="82"/>
      <c r="FQM183" s="82"/>
      <c r="FQN183" s="82"/>
      <c r="FQO183" s="82"/>
      <c r="FQP183" s="82"/>
      <c r="FQQ183" s="82"/>
      <c r="FQR183" s="82"/>
      <c r="FQS183" s="82"/>
      <c r="FQT183" s="82"/>
      <c r="FQU183" s="82"/>
      <c r="FQV183" s="82"/>
      <c r="FQW183" s="82"/>
      <c r="FQX183" s="82"/>
      <c r="FQY183" s="82"/>
      <c r="FQZ183" s="82"/>
      <c r="FRA183" s="82"/>
      <c r="FRB183" s="82"/>
      <c r="FRC183" s="82"/>
      <c r="FRD183" s="82"/>
      <c r="FRE183" s="82"/>
      <c r="FRF183" s="82"/>
      <c r="FRG183" s="82"/>
      <c r="FRH183" s="82"/>
      <c r="FRI183" s="82"/>
      <c r="FRJ183" s="82"/>
      <c r="FRK183" s="82"/>
      <c r="FRL183" s="82"/>
      <c r="FRM183" s="82"/>
      <c r="FRN183" s="82"/>
      <c r="FRO183" s="82"/>
      <c r="FRP183" s="82"/>
      <c r="FRQ183" s="82"/>
      <c r="FRR183" s="82"/>
      <c r="FRS183" s="82"/>
      <c r="FRT183" s="82"/>
      <c r="FRU183" s="82"/>
      <c r="FRV183" s="82"/>
      <c r="FRW183" s="82"/>
      <c r="FRX183" s="82"/>
      <c r="FRY183" s="82"/>
      <c r="FRZ183" s="82"/>
      <c r="FSA183" s="82"/>
      <c r="FSB183" s="82"/>
      <c r="FSC183" s="82"/>
      <c r="FSD183" s="82"/>
      <c r="FSE183" s="82"/>
      <c r="FSF183" s="82"/>
      <c r="FSG183" s="82"/>
      <c r="FSH183" s="82"/>
      <c r="FSI183" s="82"/>
      <c r="FSJ183" s="82"/>
      <c r="FSK183" s="82"/>
      <c r="FSL183" s="82"/>
      <c r="FSM183" s="82"/>
      <c r="FSN183" s="82"/>
      <c r="FSO183" s="82"/>
      <c r="FSP183" s="82"/>
      <c r="FSQ183" s="82"/>
      <c r="FSR183" s="82"/>
      <c r="FSS183" s="82"/>
      <c r="FST183" s="82"/>
      <c r="FSU183" s="82"/>
      <c r="FSV183" s="82"/>
      <c r="FSW183" s="82"/>
      <c r="FSX183" s="82"/>
      <c r="FSY183" s="82"/>
      <c r="FSZ183" s="82"/>
      <c r="FTA183" s="82"/>
      <c r="FTB183" s="82"/>
      <c r="FTC183" s="82"/>
      <c r="FTD183" s="82"/>
      <c r="FTE183" s="82"/>
      <c r="FTF183" s="82"/>
      <c r="FTG183" s="82"/>
      <c r="FTH183" s="82"/>
      <c r="FTI183" s="82"/>
      <c r="FTJ183" s="82"/>
      <c r="FTK183" s="82"/>
      <c r="FTL183" s="82"/>
      <c r="FTM183" s="82"/>
      <c r="FTN183" s="82"/>
      <c r="FTO183" s="82"/>
      <c r="FTP183" s="82"/>
      <c r="FTQ183" s="82"/>
      <c r="FTR183" s="82"/>
      <c r="FTS183" s="82"/>
      <c r="FTT183" s="82"/>
      <c r="FTU183" s="82"/>
      <c r="FTV183" s="82"/>
      <c r="FTW183" s="82"/>
      <c r="FTX183" s="82"/>
      <c r="FTY183" s="82"/>
      <c r="FTZ183" s="82"/>
      <c r="FUA183" s="82"/>
      <c r="FUB183" s="82"/>
      <c r="FUC183" s="82"/>
      <c r="FUD183" s="82"/>
      <c r="FUE183" s="82"/>
      <c r="FUF183" s="82"/>
      <c r="FUG183" s="82"/>
      <c r="FUH183" s="82"/>
      <c r="FUI183" s="82"/>
      <c r="FUJ183" s="82"/>
      <c r="FUK183" s="82"/>
      <c r="FUL183" s="82"/>
      <c r="FUM183" s="82"/>
      <c r="FUN183" s="82"/>
      <c r="FUO183" s="82"/>
      <c r="FUP183" s="82"/>
      <c r="FUQ183" s="82"/>
      <c r="FUR183" s="82"/>
      <c r="FUS183" s="82"/>
      <c r="FUT183" s="82"/>
      <c r="FUU183" s="82"/>
      <c r="FUV183" s="82"/>
      <c r="FUW183" s="82"/>
      <c r="FUX183" s="82"/>
      <c r="FUY183" s="82"/>
      <c r="FUZ183" s="82"/>
      <c r="FVA183" s="82"/>
      <c r="FVB183" s="82"/>
      <c r="FVC183" s="82"/>
      <c r="FVD183" s="82"/>
      <c r="FVE183" s="82"/>
      <c r="FVF183" s="82"/>
      <c r="FVG183" s="82"/>
      <c r="FVH183" s="82"/>
      <c r="FVI183" s="82"/>
      <c r="FVJ183" s="82"/>
      <c r="FVK183" s="82"/>
      <c r="FVL183" s="82"/>
      <c r="FVM183" s="82"/>
      <c r="FVN183" s="82"/>
      <c r="FVO183" s="82"/>
      <c r="FVP183" s="82"/>
      <c r="FVQ183" s="82"/>
      <c r="FVR183" s="82"/>
      <c r="FVS183" s="82"/>
      <c r="FVT183" s="82"/>
      <c r="FVU183" s="82"/>
      <c r="FVV183" s="82"/>
      <c r="FVW183" s="82"/>
      <c r="FVX183" s="82"/>
      <c r="FVY183" s="82"/>
      <c r="FVZ183" s="82"/>
      <c r="FWA183" s="82"/>
      <c r="FWB183" s="82"/>
      <c r="FWC183" s="82"/>
      <c r="FWD183" s="82"/>
      <c r="FWE183" s="82"/>
      <c r="FWF183" s="82"/>
      <c r="FWG183" s="82"/>
      <c r="FWH183" s="82"/>
      <c r="FWI183" s="82"/>
      <c r="FWJ183" s="82"/>
      <c r="FWK183" s="82"/>
      <c r="FWL183" s="82"/>
      <c r="FWM183" s="82"/>
      <c r="FWN183" s="82"/>
      <c r="FWO183" s="82"/>
      <c r="FWP183" s="82"/>
      <c r="FWQ183" s="82"/>
      <c r="FWR183" s="82"/>
      <c r="FWS183" s="82"/>
      <c r="FWT183" s="82"/>
      <c r="FWU183" s="82"/>
      <c r="FWV183" s="82"/>
      <c r="FWW183" s="82"/>
      <c r="FWX183" s="82"/>
      <c r="FWY183" s="82"/>
      <c r="FWZ183" s="82"/>
      <c r="FXA183" s="82"/>
      <c r="FXB183" s="82"/>
      <c r="FXC183" s="82"/>
      <c r="FXD183" s="82"/>
      <c r="FXE183" s="82"/>
      <c r="FXF183" s="82"/>
      <c r="FXG183" s="82"/>
      <c r="FXH183" s="82"/>
      <c r="FXI183" s="82"/>
      <c r="FXJ183" s="82"/>
      <c r="FXK183" s="82"/>
      <c r="FXL183" s="82"/>
      <c r="FXM183" s="82"/>
      <c r="FXN183" s="82"/>
      <c r="FXO183" s="82"/>
      <c r="FXP183" s="82"/>
      <c r="FXQ183" s="82"/>
      <c r="FXR183" s="82"/>
      <c r="FXS183" s="82"/>
      <c r="FXT183" s="82"/>
      <c r="FXU183" s="82"/>
      <c r="FXV183" s="82"/>
      <c r="FXW183" s="82"/>
      <c r="FXX183" s="82"/>
      <c r="FXY183" s="82"/>
      <c r="FXZ183" s="82"/>
      <c r="FYA183" s="82"/>
      <c r="FYB183" s="82"/>
      <c r="FYC183" s="82"/>
      <c r="FYD183" s="82"/>
      <c r="FYE183" s="82"/>
      <c r="FYF183" s="82"/>
      <c r="FYG183" s="82"/>
      <c r="FYH183" s="82"/>
      <c r="FYI183" s="82"/>
      <c r="FYJ183" s="82"/>
      <c r="FYK183" s="82"/>
      <c r="FYL183" s="82"/>
      <c r="FYM183" s="82"/>
      <c r="FYN183" s="82"/>
      <c r="FYO183" s="82"/>
      <c r="FYP183" s="82"/>
      <c r="FYQ183" s="82"/>
      <c r="FYR183" s="82"/>
      <c r="FYS183" s="82"/>
      <c r="FYT183" s="82"/>
      <c r="FYU183" s="82"/>
      <c r="FYV183" s="82"/>
      <c r="FYW183" s="82"/>
      <c r="FYX183" s="82"/>
      <c r="FYY183" s="82"/>
      <c r="FYZ183" s="82"/>
      <c r="FZA183" s="82"/>
      <c r="FZB183" s="82"/>
      <c r="FZC183" s="82"/>
      <c r="FZD183" s="82"/>
      <c r="FZE183" s="82"/>
      <c r="FZF183" s="82"/>
      <c r="FZG183" s="82"/>
      <c r="FZH183" s="82"/>
      <c r="FZI183" s="82"/>
      <c r="FZJ183" s="82"/>
      <c r="FZK183" s="82"/>
      <c r="FZL183" s="82"/>
      <c r="FZM183" s="82"/>
      <c r="FZN183" s="82"/>
      <c r="FZO183" s="82"/>
      <c r="FZP183" s="82"/>
      <c r="FZQ183" s="82"/>
      <c r="FZR183" s="82"/>
      <c r="FZS183" s="82"/>
      <c r="FZT183" s="82"/>
      <c r="FZU183" s="82"/>
      <c r="FZV183" s="82"/>
      <c r="FZW183" s="82"/>
      <c r="FZX183" s="82"/>
      <c r="FZY183" s="82"/>
      <c r="FZZ183" s="82"/>
      <c r="GAA183" s="82"/>
      <c r="GAB183" s="82"/>
      <c r="GAC183" s="82"/>
      <c r="GAD183" s="82"/>
      <c r="GAE183" s="82"/>
      <c r="GAF183" s="82"/>
      <c r="GAG183" s="82"/>
      <c r="GAH183" s="82"/>
      <c r="GAI183" s="82"/>
      <c r="GAJ183" s="82"/>
      <c r="GAK183" s="82"/>
      <c r="GAL183" s="82"/>
      <c r="GAM183" s="82"/>
      <c r="GAN183" s="82"/>
      <c r="GAO183" s="82"/>
      <c r="GAP183" s="82"/>
      <c r="GAQ183" s="82"/>
      <c r="GAR183" s="82"/>
      <c r="GAS183" s="82"/>
      <c r="GAT183" s="82"/>
      <c r="GAU183" s="82"/>
      <c r="GAV183" s="82"/>
      <c r="GAW183" s="82"/>
      <c r="GAX183" s="82"/>
      <c r="GAY183" s="82"/>
      <c r="GAZ183" s="82"/>
      <c r="GBA183" s="82"/>
      <c r="GBB183" s="82"/>
      <c r="GBC183" s="82"/>
      <c r="GBD183" s="82"/>
      <c r="GBE183" s="82"/>
      <c r="GBF183" s="82"/>
      <c r="GBG183" s="82"/>
      <c r="GBH183" s="82"/>
      <c r="GBI183" s="82"/>
      <c r="GBJ183" s="82"/>
      <c r="GBK183" s="82"/>
      <c r="GBL183" s="82"/>
      <c r="GBM183" s="82"/>
      <c r="GBN183" s="82"/>
      <c r="GBO183" s="82"/>
      <c r="GBP183" s="82"/>
      <c r="GBQ183" s="82"/>
      <c r="GBR183" s="82"/>
      <c r="GBS183" s="82"/>
      <c r="GBT183" s="82"/>
      <c r="GBU183" s="82"/>
      <c r="GBV183" s="82"/>
      <c r="GBW183" s="82"/>
      <c r="GBX183" s="82"/>
      <c r="GBY183" s="82"/>
      <c r="GBZ183" s="82"/>
      <c r="GCA183" s="82"/>
      <c r="GCB183" s="82"/>
      <c r="GCC183" s="82"/>
      <c r="GCD183" s="82"/>
      <c r="GCE183" s="82"/>
      <c r="GCF183" s="82"/>
      <c r="GCG183" s="82"/>
      <c r="GCH183" s="82"/>
      <c r="GCI183" s="82"/>
      <c r="GCJ183" s="82"/>
      <c r="GCK183" s="82"/>
      <c r="GCL183" s="82"/>
      <c r="GCM183" s="82"/>
      <c r="GCN183" s="82"/>
      <c r="GCO183" s="82"/>
      <c r="GCP183" s="82"/>
      <c r="GCQ183" s="82"/>
      <c r="GCR183" s="82"/>
      <c r="GCS183" s="82"/>
      <c r="GCT183" s="82"/>
      <c r="GCU183" s="82"/>
      <c r="GCV183" s="82"/>
      <c r="GCW183" s="82"/>
      <c r="GCX183" s="82"/>
      <c r="GCY183" s="82"/>
      <c r="GCZ183" s="82"/>
      <c r="GDA183" s="82"/>
      <c r="GDB183" s="82"/>
      <c r="GDC183" s="82"/>
      <c r="GDD183" s="82"/>
      <c r="GDE183" s="82"/>
      <c r="GDF183" s="82"/>
      <c r="GDG183" s="82"/>
      <c r="GDH183" s="82"/>
      <c r="GDI183" s="82"/>
      <c r="GDJ183" s="82"/>
      <c r="GDK183" s="82"/>
      <c r="GDL183" s="82"/>
      <c r="GDM183" s="82"/>
      <c r="GDN183" s="82"/>
      <c r="GDO183" s="82"/>
      <c r="GDP183" s="82"/>
      <c r="GDQ183" s="82"/>
      <c r="GDR183" s="82"/>
      <c r="GDS183" s="82"/>
      <c r="GDT183" s="82"/>
      <c r="GDU183" s="82"/>
      <c r="GDV183" s="82"/>
      <c r="GDW183" s="82"/>
      <c r="GDX183" s="82"/>
      <c r="GDY183" s="82"/>
      <c r="GDZ183" s="82"/>
      <c r="GEA183" s="82"/>
      <c r="GEB183" s="82"/>
      <c r="GEC183" s="82"/>
      <c r="GED183" s="82"/>
      <c r="GEE183" s="82"/>
      <c r="GEF183" s="82"/>
      <c r="GEG183" s="82"/>
      <c r="GEH183" s="82"/>
      <c r="GEI183" s="82"/>
      <c r="GEJ183" s="82"/>
      <c r="GEK183" s="82"/>
      <c r="GEL183" s="82"/>
      <c r="GEM183" s="82"/>
      <c r="GEN183" s="82"/>
      <c r="GEO183" s="82"/>
      <c r="GEP183" s="82"/>
      <c r="GEQ183" s="82"/>
      <c r="GER183" s="82"/>
      <c r="GES183" s="82"/>
      <c r="GET183" s="82"/>
      <c r="GEU183" s="82"/>
      <c r="GEV183" s="82"/>
      <c r="GEW183" s="82"/>
      <c r="GEX183" s="82"/>
      <c r="GEY183" s="82"/>
      <c r="GEZ183" s="82"/>
      <c r="GFA183" s="82"/>
      <c r="GFB183" s="82"/>
      <c r="GFC183" s="82"/>
      <c r="GFD183" s="82"/>
      <c r="GFE183" s="82"/>
      <c r="GFF183" s="82"/>
      <c r="GFG183" s="82"/>
      <c r="GFH183" s="82"/>
      <c r="GFI183" s="82"/>
      <c r="GFJ183" s="82"/>
      <c r="GFK183" s="82"/>
      <c r="GFL183" s="82"/>
      <c r="GFM183" s="82"/>
      <c r="GFN183" s="82"/>
      <c r="GFO183" s="82"/>
      <c r="GFP183" s="82"/>
      <c r="GFQ183" s="82"/>
      <c r="GFR183" s="82"/>
      <c r="GFS183" s="82"/>
      <c r="GFT183" s="82"/>
      <c r="GFU183" s="82"/>
      <c r="GFV183" s="82"/>
      <c r="GFW183" s="82"/>
      <c r="GFX183" s="82"/>
      <c r="GFY183" s="82"/>
      <c r="GFZ183" s="82"/>
      <c r="GGA183" s="82"/>
      <c r="GGB183" s="82"/>
      <c r="GGC183" s="82"/>
      <c r="GGD183" s="82"/>
      <c r="GGE183" s="82"/>
      <c r="GGF183" s="82"/>
      <c r="GGG183" s="82"/>
      <c r="GGH183" s="82"/>
      <c r="GGI183" s="82"/>
      <c r="GGJ183" s="82"/>
      <c r="GGK183" s="82"/>
      <c r="GGL183" s="82"/>
      <c r="GGM183" s="82"/>
      <c r="GGN183" s="82"/>
      <c r="GGO183" s="82"/>
      <c r="GGP183" s="82"/>
      <c r="GGQ183" s="82"/>
      <c r="GGR183" s="82"/>
      <c r="GGS183" s="82"/>
      <c r="GGT183" s="82"/>
      <c r="GGU183" s="82"/>
      <c r="GGV183" s="82"/>
      <c r="GGW183" s="82"/>
      <c r="GGX183" s="82"/>
      <c r="GGY183" s="82"/>
      <c r="GGZ183" s="82"/>
      <c r="GHA183" s="82"/>
      <c r="GHB183" s="82"/>
      <c r="GHC183" s="82"/>
      <c r="GHD183" s="82"/>
      <c r="GHE183" s="82"/>
      <c r="GHF183" s="82"/>
      <c r="GHG183" s="82"/>
      <c r="GHH183" s="82"/>
      <c r="GHI183" s="82"/>
      <c r="GHJ183" s="82"/>
      <c r="GHK183" s="82"/>
      <c r="GHL183" s="82"/>
      <c r="GHM183" s="82"/>
      <c r="GHN183" s="82"/>
      <c r="GHO183" s="82"/>
      <c r="GHP183" s="82"/>
      <c r="GHQ183" s="82"/>
      <c r="GHR183" s="82"/>
      <c r="GHS183" s="82"/>
      <c r="GHT183" s="82"/>
      <c r="GHU183" s="82"/>
      <c r="GHV183" s="82"/>
      <c r="GHW183" s="82"/>
      <c r="GHX183" s="82"/>
      <c r="GHY183" s="82"/>
      <c r="GHZ183" s="82"/>
      <c r="GIA183" s="82"/>
      <c r="GIB183" s="82"/>
      <c r="GIC183" s="82"/>
      <c r="GID183" s="82"/>
      <c r="GIE183" s="82"/>
      <c r="GIF183" s="82"/>
      <c r="GIG183" s="82"/>
      <c r="GIH183" s="82"/>
      <c r="GII183" s="82"/>
      <c r="GIJ183" s="82"/>
      <c r="GIK183" s="82"/>
      <c r="GIL183" s="82"/>
      <c r="GIM183" s="82"/>
      <c r="GIN183" s="82"/>
      <c r="GIO183" s="82"/>
      <c r="GIP183" s="82"/>
      <c r="GIQ183" s="82"/>
      <c r="GIR183" s="82"/>
      <c r="GIS183" s="82"/>
      <c r="GIT183" s="82"/>
      <c r="GIU183" s="82"/>
      <c r="GIV183" s="82"/>
      <c r="GIW183" s="82"/>
      <c r="GIX183" s="82"/>
      <c r="GIY183" s="82"/>
      <c r="GIZ183" s="82"/>
      <c r="GJA183" s="82"/>
      <c r="GJB183" s="82"/>
      <c r="GJC183" s="82"/>
      <c r="GJD183" s="82"/>
      <c r="GJE183" s="82"/>
      <c r="GJF183" s="82"/>
      <c r="GJG183" s="82"/>
      <c r="GJH183" s="82"/>
      <c r="GJI183" s="82"/>
      <c r="GJJ183" s="82"/>
      <c r="GJK183" s="82"/>
      <c r="GJL183" s="82"/>
      <c r="GJM183" s="82"/>
      <c r="GJN183" s="82"/>
      <c r="GJO183" s="82"/>
      <c r="GJP183" s="82"/>
      <c r="GJQ183" s="82"/>
      <c r="GJR183" s="82"/>
      <c r="GJS183" s="82"/>
      <c r="GJT183" s="82"/>
      <c r="GJU183" s="82"/>
      <c r="GJV183" s="82"/>
      <c r="GJW183" s="82"/>
      <c r="GJX183" s="82"/>
      <c r="GJY183" s="82"/>
      <c r="GJZ183" s="82"/>
      <c r="GKA183" s="82"/>
      <c r="GKB183" s="82"/>
      <c r="GKC183" s="82"/>
      <c r="GKD183" s="82"/>
      <c r="GKE183" s="82"/>
      <c r="GKF183" s="82"/>
      <c r="GKG183" s="82"/>
      <c r="GKH183" s="82"/>
      <c r="GKI183" s="82"/>
      <c r="GKJ183" s="82"/>
      <c r="GKK183" s="82"/>
      <c r="GKL183" s="82"/>
      <c r="GKM183" s="82"/>
      <c r="GKN183" s="82"/>
      <c r="GKO183" s="82"/>
      <c r="GKP183" s="82"/>
      <c r="GKQ183" s="82"/>
      <c r="GKR183" s="82"/>
      <c r="GKS183" s="82"/>
      <c r="GKT183" s="82"/>
      <c r="GKU183" s="82"/>
      <c r="GKV183" s="82"/>
      <c r="GKW183" s="82"/>
      <c r="GKX183" s="82"/>
      <c r="GKY183" s="82"/>
      <c r="GKZ183" s="82"/>
      <c r="GLA183" s="82"/>
      <c r="GLB183" s="82"/>
      <c r="GLC183" s="82"/>
      <c r="GLD183" s="82"/>
      <c r="GLE183" s="82"/>
      <c r="GLF183" s="82"/>
      <c r="GLG183" s="82"/>
      <c r="GLH183" s="82"/>
      <c r="GLI183" s="82"/>
      <c r="GLJ183" s="82"/>
      <c r="GLK183" s="82"/>
      <c r="GLL183" s="82"/>
      <c r="GLM183" s="82"/>
      <c r="GLN183" s="82"/>
      <c r="GLO183" s="82"/>
      <c r="GLP183" s="82"/>
      <c r="GLQ183" s="82"/>
      <c r="GLR183" s="82"/>
      <c r="GLS183" s="82"/>
      <c r="GLT183" s="82"/>
      <c r="GLU183" s="82"/>
      <c r="GLV183" s="82"/>
      <c r="GLW183" s="82"/>
      <c r="GLX183" s="82"/>
      <c r="GLY183" s="82"/>
      <c r="GLZ183" s="82"/>
      <c r="GMA183" s="82"/>
      <c r="GMB183" s="82"/>
      <c r="GMC183" s="82"/>
      <c r="GMD183" s="82"/>
      <c r="GME183" s="82"/>
      <c r="GMF183" s="82"/>
      <c r="GMG183" s="82"/>
      <c r="GMH183" s="82"/>
      <c r="GMI183" s="82"/>
      <c r="GMJ183" s="82"/>
      <c r="GMK183" s="82"/>
      <c r="GML183" s="82"/>
      <c r="GMM183" s="82"/>
      <c r="GMN183" s="82"/>
      <c r="GMO183" s="82"/>
      <c r="GMP183" s="82"/>
      <c r="GMQ183" s="82"/>
      <c r="GMR183" s="82"/>
      <c r="GMS183" s="82"/>
      <c r="GMT183" s="82"/>
      <c r="GMU183" s="82"/>
      <c r="GMV183" s="82"/>
      <c r="GMW183" s="82"/>
      <c r="GMX183" s="82"/>
      <c r="GMY183" s="82"/>
      <c r="GMZ183" s="82"/>
      <c r="GNA183" s="82"/>
      <c r="GNB183" s="82"/>
      <c r="GNC183" s="82"/>
      <c r="GND183" s="82"/>
      <c r="GNE183" s="82"/>
      <c r="GNF183" s="82"/>
      <c r="GNG183" s="82"/>
      <c r="GNH183" s="82"/>
      <c r="GNI183" s="82"/>
      <c r="GNJ183" s="82"/>
      <c r="GNK183" s="82"/>
      <c r="GNL183" s="82"/>
      <c r="GNM183" s="82"/>
      <c r="GNN183" s="82"/>
      <c r="GNO183" s="82"/>
      <c r="GNP183" s="82"/>
      <c r="GNQ183" s="82"/>
      <c r="GNR183" s="82"/>
      <c r="GNS183" s="82"/>
      <c r="GNT183" s="82"/>
      <c r="GNU183" s="82"/>
      <c r="GNV183" s="82"/>
      <c r="GNW183" s="82"/>
      <c r="GNX183" s="82"/>
      <c r="GNY183" s="82"/>
      <c r="GNZ183" s="82"/>
      <c r="GOA183" s="82"/>
      <c r="GOB183" s="82"/>
      <c r="GOC183" s="82"/>
      <c r="GOD183" s="82"/>
      <c r="GOE183" s="82"/>
      <c r="GOF183" s="82"/>
      <c r="GOG183" s="82"/>
      <c r="GOH183" s="82"/>
      <c r="GOI183" s="82"/>
      <c r="GOJ183" s="82"/>
      <c r="GOK183" s="82"/>
      <c r="GOL183" s="82"/>
      <c r="GOM183" s="82"/>
      <c r="GON183" s="82"/>
      <c r="GOO183" s="82"/>
      <c r="GOP183" s="82"/>
      <c r="GOQ183" s="82"/>
      <c r="GOR183" s="82"/>
      <c r="GOS183" s="82"/>
      <c r="GOT183" s="82"/>
      <c r="GOU183" s="82"/>
      <c r="GOV183" s="82"/>
      <c r="GOW183" s="82"/>
      <c r="GOX183" s="82"/>
      <c r="GOY183" s="82"/>
      <c r="GOZ183" s="82"/>
      <c r="GPA183" s="82"/>
      <c r="GPB183" s="82"/>
      <c r="GPC183" s="82"/>
      <c r="GPD183" s="82"/>
      <c r="GPE183" s="82"/>
      <c r="GPF183" s="82"/>
      <c r="GPG183" s="82"/>
      <c r="GPH183" s="82"/>
      <c r="GPI183" s="82"/>
      <c r="GPJ183" s="82"/>
      <c r="GPK183" s="82"/>
      <c r="GPL183" s="82"/>
      <c r="GPM183" s="82"/>
      <c r="GPN183" s="82"/>
      <c r="GPO183" s="82"/>
      <c r="GPP183" s="82"/>
      <c r="GPQ183" s="82"/>
      <c r="GPR183" s="82"/>
      <c r="GPS183" s="82"/>
      <c r="GPT183" s="82"/>
      <c r="GPU183" s="82"/>
      <c r="GPV183" s="82"/>
      <c r="GPW183" s="82"/>
      <c r="GPX183" s="82"/>
      <c r="GPY183" s="82"/>
      <c r="GPZ183" s="82"/>
      <c r="GQA183" s="82"/>
      <c r="GQB183" s="82"/>
      <c r="GQC183" s="82"/>
      <c r="GQD183" s="82"/>
      <c r="GQE183" s="82"/>
      <c r="GQF183" s="82"/>
      <c r="GQG183" s="82"/>
      <c r="GQH183" s="82"/>
      <c r="GQI183" s="82"/>
      <c r="GQJ183" s="82"/>
      <c r="GQK183" s="82"/>
      <c r="GQL183" s="82"/>
      <c r="GQM183" s="82"/>
      <c r="GQN183" s="82"/>
      <c r="GQO183" s="82"/>
      <c r="GQP183" s="82"/>
      <c r="GQQ183" s="82"/>
      <c r="GQR183" s="82"/>
      <c r="GQS183" s="82"/>
      <c r="GQT183" s="82"/>
      <c r="GQU183" s="82"/>
      <c r="GQV183" s="82"/>
      <c r="GQW183" s="82"/>
      <c r="GQX183" s="82"/>
      <c r="GQY183" s="82"/>
      <c r="GQZ183" s="82"/>
      <c r="GRA183" s="82"/>
      <c r="GRB183" s="82"/>
      <c r="GRC183" s="82"/>
      <c r="GRD183" s="82"/>
      <c r="GRE183" s="82"/>
      <c r="GRF183" s="82"/>
      <c r="GRG183" s="82"/>
      <c r="GRH183" s="82"/>
      <c r="GRI183" s="82"/>
      <c r="GRJ183" s="82"/>
      <c r="GRK183" s="82"/>
      <c r="GRL183" s="82"/>
      <c r="GRM183" s="82"/>
      <c r="GRN183" s="82"/>
      <c r="GRO183" s="82"/>
      <c r="GRP183" s="82"/>
      <c r="GRQ183" s="82"/>
      <c r="GRR183" s="82"/>
      <c r="GRS183" s="82"/>
      <c r="GRT183" s="82"/>
      <c r="GRU183" s="82"/>
      <c r="GRV183" s="82"/>
      <c r="GRW183" s="82"/>
      <c r="GRX183" s="82"/>
      <c r="GRY183" s="82"/>
      <c r="GRZ183" s="82"/>
      <c r="GSA183" s="82"/>
      <c r="GSB183" s="82"/>
      <c r="GSC183" s="82"/>
      <c r="GSD183" s="82"/>
      <c r="GSE183" s="82"/>
      <c r="GSF183" s="82"/>
      <c r="GSG183" s="82"/>
      <c r="GSH183" s="82"/>
      <c r="GSI183" s="82"/>
      <c r="GSJ183" s="82"/>
      <c r="GSK183" s="82"/>
      <c r="GSL183" s="82"/>
      <c r="GSM183" s="82"/>
      <c r="GSN183" s="82"/>
      <c r="GSO183" s="82"/>
      <c r="GSP183" s="82"/>
      <c r="GSQ183" s="82"/>
      <c r="GSR183" s="82"/>
      <c r="GSS183" s="82"/>
      <c r="GST183" s="82"/>
      <c r="GSU183" s="82"/>
      <c r="GSV183" s="82"/>
      <c r="GSW183" s="82"/>
      <c r="GSX183" s="82"/>
      <c r="GSY183" s="82"/>
      <c r="GSZ183" s="82"/>
      <c r="GTA183" s="82"/>
      <c r="GTB183" s="82"/>
      <c r="GTC183" s="82"/>
      <c r="GTD183" s="82"/>
      <c r="GTE183" s="82"/>
      <c r="GTF183" s="82"/>
      <c r="GTG183" s="82"/>
      <c r="GTH183" s="82"/>
      <c r="GTI183" s="82"/>
      <c r="GTJ183" s="82"/>
      <c r="GTK183" s="82"/>
      <c r="GTL183" s="82"/>
      <c r="GTM183" s="82"/>
      <c r="GTN183" s="82"/>
      <c r="GTO183" s="82"/>
      <c r="GTP183" s="82"/>
      <c r="GTQ183" s="82"/>
      <c r="GTR183" s="82"/>
      <c r="GTS183" s="82"/>
      <c r="GTT183" s="82"/>
      <c r="GTU183" s="82"/>
      <c r="GTV183" s="82"/>
      <c r="GTW183" s="82"/>
      <c r="GTX183" s="82"/>
      <c r="GTY183" s="82"/>
      <c r="GTZ183" s="82"/>
      <c r="GUA183" s="82"/>
      <c r="GUB183" s="82"/>
      <c r="GUC183" s="82"/>
      <c r="GUD183" s="82"/>
      <c r="GUE183" s="82"/>
      <c r="GUF183" s="82"/>
      <c r="GUG183" s="82"/>
      <c r="GUH183" s="82"/>
      <c r="GUI183" s="82"/>
      <c r="GUJ183" s="82"/>
      <c r="GUK183" s="82"/>
      <c r="GUL183" s="82"/>
      <c r="GUM183" s="82"/>
      <c r="GUN183" s="82"/>
      <c r="GUO183" s="82"/>
      <c r="GUP183" s="82"/>
      <c r="GUQ183" s="82"/>
      <c r="GUR183" s="82"/>
      <c r="GUS183" s="82"/>
      <c r="GUT183" s="82"/>
      <c r="GUU183" s="82"/>
      <c r="GUV183" s="82"/>
      <c r="GUW183" s="82"/>
      <c r="GUX183" s="82"/>
      <c r="GUY183" s="82"/>
      <c r="GUZ183" s="82"/>
      <c r="GVA183" s="82"/>
      <c r="GVB183" s="82"/>
      <c r="GVC183" s="82"/>
      <c r="GVD183" s="82"/>
      <c r="GVE183" s="82"/>
      <c r="GVF183" s="82"/>
      <c r="GVG183" s="82"/>
      <c r="GVH183" s="82"/>
      <c r="GVI183" s="82"/>
      <c r="GVJ183" s="82"/>
      <c r="GVK183" s="82"/>
      <c r="GVL183" s="82"/>
      <c r="GVM183" s="82"/>
      <c r="GVN183" s="82"/>
      <c r="GVO183" s="82"/>
      <c r="GVP183" s="82"/>
      <c r="GVQ183" s="82"/>
      <c r="GVR183" s="82"/>
      <c r="GVS183" s="82"/>
      <c r="GVT183" s="82"/>
      <c r="GVU183" s="82"/>
      <c r="GVV183" s="82"/>
      <c r="GVW183" s="82"/>
      <c r="GVX183" s="82"/>
      <c r="GVY183" s="82"/>
      <c r="GVZ183" s="82"/>
      <c r="GWA183" s="82"/>
      <c r="GWB183" s="82"/>
      <c r="GWC183" s="82"/>
      <c r="GWD183" s="82"/>
      <c r="GWE183" s="82"/>
      <c r="GWF183" s="82"/>
      <c r="GWG183" s="82"/>
      <c r="GWH183" s="82"/>
      <c r="GWI183" s="82"/>
      <c r="GWJ183" s="82"/>
      <c r="GWK183" s="82"/>
      <c r="GWL183" s="82"/>
      <c r="GWM183" s="82"/>
      <c r="GWN183" s="82"/>
      <c r="GWO183" s="82"/>
      <c r="GWP183" s="82"/>
      <c r="GWQ183" s="82"/>
      <c r="GWR183" s="82"/>
      <c r="GWS183" s="82"/>
      <c r="GWT183" s="82"/>
      <c r="GWU183" s="82"/>
      <c r="GWV183" s="82"/>
      <c r="GWW183" s="82"/>
      <c r="GWX183" s="82"/>
      <c r="GWY183" s="82"/>
      <c r="GWZ183" s="82"/>
      <c r="GXA183" s="82"/>
      <c r="GXB183" s="82"/>
      <c r="GXC183" s="82"/>
      <c r="GXD183" s="82"/>
      <c r="GXE183" s="82"/>
      <c r="GXF183" s="82"/>
      <c r="GXG183" s="82"/>
      <c r="GXH183" s="82"/>
      <c r="GXI183" s="82"/>
      <c r="GXJ183" s="82"/>
      <c r="GXK183" s="82"/>
      <c r="GXL183" s="82"/>
      <c r="GXM183" s="82"/>
      <c r="GXN183" s="82"/>
      <c r="GXO183" s="82"/>
      <c r="GXP183" s="82"/>
      <c r="GXQ183" s="82"/>
      <c r="GXR183" s="82"/>
      <c r="GXS183" s="82"/>
      <c r="GXT183" s="82"/>
      <c r="GXU183" s="82"/>
      <c r="GXV183" s="82"/>
      <c r="GXW183" s="82"/>
      <c r="GXX183" s="82"/>
      <c r="GXY183" s="82"/>
      <c r="GXZ183" s="82"/>
      <c r="GYA183" s="82"/>
      <c r="GYB183" s="82"/>
      <c r="GYC183" s="82"/>
      <c r="GYD183" s="82"/>
      <c r="GYE183" s="82"/>
      <c r="GYF183" s="82"/>
      <c r="GYG183" s="82"/>
      <c r="GYH183" s="82"/>
      <c r="GYI183" s="82"/>
      <c r="GYJ183" s="82"/>
      <c r="GYK183" s="82"/>
      <c r="GYL183" s="82"/>
      <c r="GYM183" s="82"/>
      <c r="GYN183" s="82"/>
      <c r="GYO183" s="82"/>
      <c r="GYP183" s="82"/>
      <c r="GYQ183" s="82"/>
      <c r="GYR183" s="82"/>
      <c r="GYS183" s="82"/>
      <c r="GYT183" s="82"/>
      <c r="GYU183" s="82"/>
      <c r="GYV183" s="82"/>
      <c r="GYW183" s="82"/>
      <c r="GYX183" s="82"/>
      <c r="GYY183" s="82"/>
      <c r="GYZ183" s="82"/>
      <c r="GZA183" s="82"/>
      <c r="GZB183" s="82"/>
      <c r="GZC183" s="82"/>
      <c r="GZD183" s="82"/>
      <c r="GZE183" s="82"/>
      <c r="GZF183" s="82"/>
      <c r="GZG183" s="82"/>
      <c r="GZH183" s="82"/>
      <c r="GZI183" s="82"/>
      <c r="GZJ183" s="82"/>
      <c r="GZK183" s="82"/>
      <c r="GZL183" s="82"/>
      <c r="GZM183" s="82"/>
      <c r="GZN183" s="82"/>
      <c r="GZO183" s="82"/>
      <c r="GZP183" s="82"/>
      <c r="GZQ183" s="82"/>
      <c r="GZR183" s="82"/>
      <c r="GZS183" s="82"/>
      <c r="GZT183" s="82"/>
      <c r="GZU183" s="82"/>
      <c r="GZV183" s="82"/>
      <c r="GZW183" s="82"/>
      <c r="GZX183" s="82"/>
      <c r="GZY183" s="82"/>
      <c r="GZZ183" s="82"/>
      <c r="HAA183" s="82"/>
      <c r="HAB183" s="82"/>
      <c r="HAC183" s="82"/>
      <c r="HAD183" s="82"/>
      <c r="HAE183" s="82"/>
      <c r="HAF183" s="82"/>
      <c r="HAG183" s="82"/>
      <c r="HAH183" s="82"/>
      <c r="HAI183" s="82"/>
      <c r="HAJ183" s="82"/>
      <c r="HAK183" s="82"/>
      <c r="HAL183" s="82"/>
      <c r="HAM183" s="82"/>
      <c r="HAN183" s="82"/>
      <c r="HAO183" s="82"/>
      <c r="HAP183" s="82"/>
      <c r="HAQ183" s="82"/>
      <c r="HAR183" s="82"/>
      <c r="HAS183" s="82"/>
      <c r="HAT183" s="82"/>
      <c r="HAU183" s="82"/>
      <c r="HAV183" s="82"/>
      <c r="HAW183" s="82"/>
      <c r="HAX183" s="82"/>
      <c r="HAY183" s="82"/>
      <c r="HAZ183" s="82"/>
      <c r="HBA183" s="82"/>
      <c r="HBB183" s="82"/>
      <c r="HBC183" s="82"/>
      <c r="HBD183" s="82"/>
      <c r="HBE183" s="82"/>
      <c r="HBF183" s="82"/>
      <c r="HBG183" s="82"/>
      <c r="HBH183" s="82"/>
      <c r="HBI183" s="82"/>
      <c r="HBJ183" s="82"/>
      <c r="HBK183" s="82"/>
      <c r="HBL183" s="82"/>
      <c r="HBM183" s="82"/>
      <c r="HBN183" s="82"/>
      <c r="HBO183" s="82"/>
      <c r="HBP183" s="82"/>
      <c r="HBQ183" s="82"/>
      <c r="HBR183" s="82"/>
      <c r="HBS183" s="82"/>
      <c r="HBT183" s="82"/>
      <c r="HBU183" s="82"/>
      <c r="HBV183" s="82"/>
      <c r="HBW183" s="82"/>
      <c r="HBX183" s="82"/>
      <c r="HBY183" s="82"/>
      <c r="HBZ183" s="82"/>
      <c r="HCA183" s="82"/>
      <c r="HCB183" s="82"/>
      <c r="HCC183" s="82"/>
      <c r="HCD183" s="82"/>
      <c r="HCE183" s="82"/>
      <c r="HCF183" s="82"/>
      <c r="HCG183" s="82"/>
      <c r="HCH183" s="82"/>
      <c r="HCI183" s="82"/>
      <c r="HCJ183" s="82"/>
      <c r="HCK183" s="82"/>
      <c r="HCL183" s="82"/>
      <c r="HCM183" s="82"/>
      <c r="HCN183" s="82"/>
      <c r="HCO183" s="82"/>
      <c r="HCP183" s="82"/>
      <c r="HCQ183" s="82"/>
      <c r="HCR183" s="82"/>
      <c r="HCS183" s="82"/>
      <c r="HCT183" s="82"/>
      <c r="HCU183" s="82"/>
      <c r="HCV183" s="82"/>
      <c r="HCW183" s="82"/>
      <c r="HCX183" s="82"/>
      <c r="HCY183" s="82"/>
      <c r="HCZ183" s="82"/>
      <c r="HDA183" s="82"/>
      <c r="HDB183" s="82"/>
      <c r="HDC183" s="82"/>
      <c r="HDD183" s="82"/>
      <c r="HDE183" s="82"/>
      <c r="HDF183" s="82"/>
      <c r="HDG183" s="82"/>
      <c r="HDH183" s="82"/>
      <c r="HDI183" s="82"/>
      <c r="HDJ183" s="82"/>
      <c r="HDK183" s="82"/>
      <c r="HDL183" s="82"/>
      <c r="HDM183" s="82"/>
      <c r="HDN183" s="82"/>
      <c r="HDO183" s="82"/>
      <c r="HDP183" s="82"/>
      <c r="HDQ183" s="82"/>
      <c r="HDR183" s="82"/>
      <c r="HDS183" s="82"/>
      <c r="HDT183" s="82"/>
      <c r="HDU183" s="82"/>
      <c r="HDV183" s="82"/>
      <c r="HDW183" s="82"/>
      <c r="HDX183" s="82"/>
      <c r="HDY183" s="82"/>
      <c r="HDZ183" s="82"/>
      <c r="HEA183" s="82"/>
      <c r="HEB183" s="82"/>
      <c r="HEC183" s="82"/>
      <c r="HED183" s="82"/>
      <c r="HEE183" s="82"/>
      <c r="HEF183" s="82"/>
      <c r="HEG183" s="82"/>
      <c r="HEH183" s="82"/>
      <c r="HEI183" s="82"/>
      <c r="HEJ183" s="82"/>
      <c r="HEK183" s="82"/>
      <c r="HEL183" s="82"/>
      <c r="HEM183" s="82"/>
      <c r="HEN183" s="82"/>
      <c r="HEO183" s="82"/>
      <c r="HEP183" s="82"/>
      <c r="HEQ183" s="82"/>
      <c r="HER183" s="82"/>
      <c r="HES183" s="82"/>
      <c r="HET183" s="82"/>
      <c r="HEU183" s="82"/>
      <c r="HEV183" s="82"/>
      <c r="HEW183" s="82"/>
      <c r="HEX183" s="82"/>
      <c r="HEY183" s="82"/>
      <c r="HEZ183" s="82"/>
      <c r="HFA183" s="82"/>
      <c r="HFB183" s="82"/>
      <c r="HFC183" s="82"/>
      <c r="HFD183" s="82"/>
      <c r="HFE183" s="82"/>
      <c r="HFF183" s="82"/>
      <c r="HFG183" s="82"/>
      <c r="HFH183" s="82"/>
      <c r="HFI183" s="82"/>
      <c r="HFJ183" s="82"/>
      <c r="HFK183" s="82"/>
      <c r="HFL183" s="82"/>
      <c r="HFM183" s="82"/>
      <c r="HFN183" s="82"/>
      <c r="HFO183" s="82"/>
      <c r="HFP183" s="82"/>
      <c r="HFQ183" s="82"/>
      <c r="HFR183" s="82"/>
      <c r="HFS183" s="82"/>
      <c r="HFT183" s="82"/>
      <c r="HFU183" s="82"/>
      <c r="HFV183" s="82"/>
      <c r="HFW183" s="82"/>
      <c r="HFX183" s="82"/>
      <c r="HFY183" s="82"/>
      <c r="HFZ183" s="82"/>
      <c r="HGA183" s="82"/>
      <c r="HGB183" s="82"/>
      <c r="HGC183" s="82"/>
      <c r="HGD183" s="82"/>
      <c r="HGE183" s="82"/>
      <c r="HGF183" s="82"/>
      <c r="HGG183" s="82"/>
      <c r="HGH183" s="82"/>
      <c r="HGI183" s="82"/>
      <c r="HGJ183" s="82"/>
      <c r="HGK183" s="82"/>
      <c r="HGL183" s="82"/>
      <c r="HGM183" s="82"/>
      <c r="HGN183" s="82"/>
      <c r="HGO183" s="82"/>
      <c r="HGP183" s="82"/>
      <c r="HGQ183" s="82"/>
      <c r="HGR183" s="82"/>
      <c r="HGS183" s="82"/>
      <c r="HGT183" s="82"/>
      <c r="HGU183" s="82"/>
      <c r="HGV183" s="82"/>
      <c r="HGW183" s="82"/>
      <c r="HGX183" s="82"/>
      <c r="HGY183" s="82"/>
      <c r="HGZ183" s="82"/>
      <c r="HHA183" s="82"/>
      <c r="HHB183" s="82"/>
      <c r="HHC183" s="82"/>
      <c r="HHD183" s="82"/>
      <c r="HHE183" s="82"/>
      <c r="HHF183" s="82"/>
      <c r="HHG183" s="82"/>
      <c r="HHH183" s="82"/>
      <c r="HHI183" s="82"/>
      <c r="HHJ183" s="82"/>
      <c r="HHK183" s="82"/>
      <c r="HHL183" s="82"/>
      <c r="HHM183" s="82"/>
      <c r="HHN183" s="82"/>
      <c r="HHO183" s="82"/>
      <c r="HHP183" s="82"/>
      <c r="HHQ183" s="82"/>
      <c r="HHR183" s="82"/>
      <c r="HHS183" s="82"/>
      <c r="HHT183" s="82"/>
      <c r="HHU183" s="82"/>
      <c r="HHV183" s="82"/>
      <c r="HHW183" s="82"/>
      <c r="HHX183" s="82"/>
      <c r="HHY183" s="82"/>
      <c r="HHZ183" s="82"/>
      <c r="HIA183" s="82"/>
      <c r="HIB183" s="82"/>
      <c r="HIC183" s="82"/>
      <c r="HID183" s="82"/>
      <c r="HIE183" s="82"/>
      <c r="HIF183" s="82"/>
      <c r="HIG183" s="82"/>
      <c r="HIH183" s="82"/>
      <c r="HII183" s="82"/>
      <c r="HIJ183" s="82"/>
      <c r="HIK183" s="82"/>
      <c r="HIL183" s="82"/>
      <c r="HIM183" s="82"/>
      <c r="HIN183" s="82"/>
      <c r="HIO183" s="82"/>
      <c r="HIP183" s="82"/>
      <c r="HIQ183" s="82"/>
      <c r="HIR183" s="82"/>
      <c r="HIS183" s="82"/>
      <c r="HIT183" s="82"/>
      <c r="HIU183" s="82"/>
      <c r="HIV183" s="82"/>
      <c r="HIW183" s="82"/>
      <c r="HIX183" s="82"/>
      <c r="HIY183" s="82"/>
      <c r="HIZ183" s="82"/>
      <c r="HJA183" s="82"/>
      <c r="HJB183" s="82"/>
      <c r="HJC183" s="82"/>
      <c r="HJD183" s="82"/>
      <c r="HJE183" s="82"/>
      <c r="HJF183" s="82"/>
      <c r="HJG183" s="82"/>
      <c r="HJH183" s="82"/>
      <c r="HJI183" s="82"/>
      <c r="HJJ183" s="82"/>
      <c r="HJK183" s="82"/>
      <c r="HJL183" s="82"/>
      <c r="HJM183" s="82"/>
      <c r="HJN183" s="82"/>
      <c r="HJO183" s="82"/>
      <c r="HJP183" s="82"/>
      <c r="HJQ183" s="82"/>
      <c r="HJR183" s="82"/>
      <c r="HJS183" s="82"/>
      <c r="HJT183" s="82"/>
      <c r="HJU183" s="82"/>
      <c r="HJV183" s="82"/>
      <c r="HJW183" s="82"/>
      <c r="HJX183" s="82"/>
      <c r="HJY183" s="82"/>
      <c r="HJZ183" s="82"/>
      <c r="HKA183" s="82"/>
      <c r="HKB183" s="82"/>
      <c r="HKC183" s="82"/>
      <c r="HKD183" s="82"/>
      <c r="HKE183" s="82"/>
      <c r="HKF183" s="82"/>
      <c r="HKG183" s="82"/>
      <c r="HKH183" s="82"/>
      <c r="HKI183" s="82"/>
      <c r="HKJ183" s="82"/>
      <c r="HKK183" s="82"/>
      <c r="HKL183" s="82"/>
      <c r="HKM183" s="82"/>
      <c r="HKN183" s="82"/>
      <c r="HKO183" s="82"/>
      <c r="HKP183" s="82"/>
      <c r="HKQ183" s="82"/>
      <c r="HKR183" s="82"/>
      <c r="HKS183" s="82"/>
      <c r="HKT183" s="82"/>
      <c r="HKU183" s="82"/>
      <c r="HKV183" s="82"/>
      <c r="HKW183" s="82"/>
      <c r="HKX183" s="82"/>
      <c r="HKY183" s="82"/>
      <c r="HKZ183" s="82"/>
      <c r="HLA183" s="82"/>
      <c r="HLB183" s="82"/>
      <c r="HLC183" s="82"/>
      <c r="HLD183" s="82"/>
      <c r="HLE183" s="82"/>
      <c r="HLF183" s="82"/>
      <c r="HLG183" s="82"/>
      <c r="HLH183" s="82"/>
      <c r="HLI183" s="82"/>
      <c r="HLJ183" s="82"/>
      <c r="HLK183" s="82"/>
      <c r="HLL183" s="82"/>
      <c r="HLM183" s="82"/>
      <c r="HLN183" s="82"/>
      <c r="HLO183" s="82"/>
      <c r="HLP183" s="82"/>
      <c r="HLQ183" s="82"/>
      <c r="HLR183" s="82"/>
      <c r="HLS183" s="82"/>
      <c r="HLT183" s="82"/>
      <c r="HLU183" s="82"/>
      <c r="HLV183" s="82"/>
      <c r="HLW183" s="82"/>
      <c r="HLX183" s="82"/>
      <c r="HLY183" s="82"/>
      <c r="HLZ183" s="82"/>
      <c r="HMA183" s="82"/>
      <c r="HMB183" s="82"/>
      <c r="HMC183" s="82"/>
      <c r="HMD183" s="82"/>
      <c r="HME183" s="82"/>
      <c r="HMF183" s="82"/>
      <c r="HMG183" s="82"/>
      <c r="HMH183" s="82"/>
      <c r="HMI183" s="82"/>
      <c r="HMJ183" s="82"/>
      <c r="HMK183" s="82"/>
      <c r="HML183" s="82"/>
      <c r="HMM183" s="82"/>
      <c r="HMN183" s="82"/>
      <c r="HMO183" s="82"/>
      <c r="HMP183" s="82"/>
      <c r="HMQ183" s="82"/>
      <c r="HMR183" s="82"/>
      <c r="HMS183" s="82"/>
      <c r="HMT183" s="82"/>
      <c r="HMU183" s="82"/>
      <c r="HMV183" s="82"/>
      <c r="HMW183" s="82"/>
      <c r="HMX183" s="82"/>
      <c r="HMY183" s="82"/>
      <c r="HMZ183" s="82"/>
      <c r="HNA183" s="82"/>
      <c r="HNB183" s="82"/>
      <c r="HNC183" s="82"/>
      <c r="HND183" s="82"/>
      <c r="HNE183" s="82"/>
      <c r="HNF183" s="82"/>
      <c r="HNG183" s="82"/>
      <c r="HNH183" s="82"/>
      <c r="HNI183" s="82"/>
      <c r="HNJ183" s="82"/>
      <c r="HNK183" s="82"/>
      <c r="HNL183" s="82"/>
      <c r="HNM183" s="82"/>
      <c r="HNN183" s="82"/>
      <c r="HNO183" s="82"/>
      <c r="HNP183" s="82"/>
      <c r="HNQ183" s="82"/>
      <c r="HNR183" s="82"/>
      <c r="HNS183" s="82"/>
      <c r="HNT183" s="82"/>
      <c r="HNU183" s="82"/>
      <c r="HNV183" s="82"/>
      <c r="HNW183" s="82"/>
      <c r="HNX183" s="82"/>
      <c r="HNY183" s="82"/>
      <c r="HNZ183" s="82"/>
      <c r="HOA183" s="82"/>
      <c r="HOB183" s="82"/>
      <c r="HOC183" s="82"/>
      <c r="HOD183" s="82"/>
      <c r="HOE183" s="82"/>
      <c r="HOF183" s="82"/>
      <c r="HOG183" s="82"/>
      <c r="HOH183" s="82"/>
      <c r="HOI183" s="82"/>
      <c r="HOJ183" s="82"/>
      <c r="HOK183" s="82"/>
      <c r="HOL183" s="82"/>
      <c r="HOM183" s="82"/>
      <c r="HON183" s="82"/>
      <c r="HOO183" s="82"/>
      <c r="HOP183" s="82"/>
      <c r="HOQ183" s="82"/>
      <c r="HOR183" s="82"/>
      <c r="HOS183" s="82"/>
      <c r="HOT183" s="82"/>
      <c r="HOU183" s="82"/>
      <c r="HOV183" s="82"/>
      <c r="HOW183" s="82"/>
      <c r="HOX183" s="82"/>
      <c r="HOY183" s="82"/>
      <c r="HOZ183" s="82"/>
      <c r="HPA183" s="82"/>
      <c r="HPB183" s="82"/>
      <c r="HPC183" s="82"/>
      <c r="HPD183" s="82"/>
      <c r="HPE183" s="82"/>
      <c r="HPF183" s="82"/>
      <c r="HPG183" s="82"/>
      <c r="HPH183" s="82"/>
      <c r="HPI183" s="82"/>
      <c r="HPJ183" s="82"/>
      <c r="HPK183" s="82"/>
      <c r="HPL183" s="82"/>
      <c r="HPM183" s="82"/>
      <c r="HPN183" s="82"/>
      <c r="HPO183" s="82"/>
      <c r="HPP183" s="82"/>
      <c r="HPQ183" s="82"/>
      <c r="HPR183" s="82"/>
      <c r="HPS183" s="82"/>
      <c r="HPT183" s="82"/>
      <c r="HPU183" s="82"/>
      <c r="HPV183" s="82"/>
      <c r="HPW183" s="82"/>
      <c r="HPX183" s="82"/>
      <c r="HPY183" s="82"/>
      <c r="HPZ183" s="82"/>
      <c r="HQA183" s="82"/>
      <c r="HQB183" s="82"/>
      <c r="HQC183" s="82"/>
      <c r="HQD183" s="82"/>
      <c r="HQE183" s="82"/>
      <c r="HQF183" s="82"/>
      <c r="HQG183" s="82"/>
      <c r="HQH183" s="82"/>
      <c r="HQI183" s="82"/>
      <c r="HQJ183" s="82"/>
      <c r="HQK183" s="82"/>
      <c r="HQL183" s="82"/>
      <c r="HQM183" s="82"/>
      <c r="HQN183" s="82"/>
      <c r="HQO183" s="82"/>
      <c r="HQP183" s="82"/>
      <c r="HQQ183" s="82"/>
      <c r="HQR183" s="82"/>
      <c r="HQS183" s="82"/>
      <c r="HQT183" s="82"/>
      <c r="HQU183" s="82"/>
      <c r="HQV183" s="82"/>
      <c r="HQW183" s="82"/>
      <c r="HQX183" s="82"/>
      <c r="HQY183" s="82"/>
      <c r="HQZ183" s="82"/>
      <c r="HRA183" s="82"/>
      <c r="HRB183" s="82"/>
      <c r="HRC183" s="82"/>
      <c r="HRD183" s="82"/>
      <c r="HRE183" s="82"/>
      <c r="HRF183" s="82"/>
      <c r="HRG183" s="82"/>
      <c r="HRH183" s="82"/>
      <c r="HRI183" s="82"/>
      <c r="HRJ183" s="82"/>
      <c r="HRK183" s="82"/>
      <c r="HRL183" s="82"/>
      <c r="HRM183" s="82"/>
      <c r="HRN183" s="82"/>
      <c r="HRO183" s="82"/>
      <c r="HRP183" s="82"/>
      <c r="HRQ183" s="82"/>
      <c r="HRR183" s="82"/>
      <c r="HRS183" s="82"/>
      <c r="HRT183" s="82"/>
      <c r="HRU183" s="82"/>
      <c r="HRV183" s="82"/>
      <c r="HRW183" s="82"/>
      <c r="HRX183" s="82"/>
      <c r="HRY183" s="82"/>
      <c r="HRZ183" s="82"/>
      <c r="HSA183" s="82"/>
      <c r="HSB183" s="82"/>
      <c r="HSC183" s="82"/>
      <c r="HSD183" s="82"/>
      <c r="HSE183" s="82"/>
      <c r="HSF183" s="82"/>
      <c r="HSG183" s="82"/>
      <c r="HSH183" s="82"/>
      <c r="HSI183" s="82"/>
      <c r="HSJ183" s="82"/>
      <c r="HSK183" s="82"/>
      <c r="HSL183" s="82"/>
      <c r="HSM183" s="82"/>
      <c r="HSN183" s="82"/>
      <c r="HSO183" s="82"/>
      <c r="HSP183" s="82"/>
      <c r="HSQ183" s="82"/>
      <c r="HSR183" s="82"/>
      <c r="HSS183" s="82"/>
      <c r="HST183" s="82"/>
      <c r="HSU183" s="82"/>
      <c r="HSV183" s="82"/>
      <c r="HSW183" s="82"/>
      <c r="HSX183" s="82"/>
      <c r="HSY183" s="82"/>
      <c r="HSZ183" s="82"/>
      <c r="HTA183" s="82"/>
      <c r="HTB183" s="82"/>
      <c r="HTC183" s="82"/>
      <c r="HTD183" s="82"/>
      <c r="HTE183" s="82"/>
      <c r="HTF183" s="82"/>
      <c r="HTG183" s="82"/>
      <c r="HTH183" s="82"/>
      <c r="HTI183" s="82"/>
      <c r="HTJ183" s="82"/>
      <c r="HTK183" s="82"/>
      <c r="HTL183" s="82"/>
      <c r="HTM183" s="82"/>
      <c r="HTN183" s="82"/>
      <c r="HTO183" s="82"/>
      <c r="HTP183" s="82"/>
      <c r="HTQ183" s="82"/>
      <c r="HTR183" s="82"/>
      <c r="HTS183" s="82"/>
      <c r="HTT183" s="82"/>
      <c r="HTU183" s="82"/>
      <c r="HTV183" s="82"/>
      <c r="HTW183" s="82"/>
      <c r="HTX183" s="82"/>
      <c r="HTY183" s="82"/>
      <c r="HTZ183" s="82"/>
      <c r="HUA183" s="82"/>
      <c r="HUB183" s="82"/>
      <c r="HUC183" s="82"/>
      <c r="HUD183" s="82"/>
      <c r="HUE183" s="82"/>
      <c r="HUF183" s="82"/>
      <c r="HUG183" s="82"/>
      <c r="HUH183" s="82"/>
      <c r="HUI183" s="82"/>
      <c r="HUJ183" s="82"/>
      <c r="HUK183" s="82"/>
      <c r="HUL183" s="82"/>
      <c r="HUM183" s="82"/>
      <c r="HUN183" s="82"/>
      <c r="HUO183" s="82"/>
      <c r="HUP183" s="82"/>
      <c r="HUQ183" s="82"/>
      <c r="HUR183" s="82"/>
      <c r="HUS183" s="82"/>
      <c r="HUT183" s="82"/>
      <c r="HUU183" s="82"/>
      <c r="HUV183" s="82"/>
      <c r="HUW183" s="82"/>
      <c r="HUX183" s="82"/>
      <c r="HUY183" s="82"/>
      <c r="HUZ183" s="82"/>
      <c r="HVA183" s="82"/>
      <c r="HVB183" s="82"/>
      <c r="HVC183" s="82"/>
      <c r="HVD183" s="82"/>
      <c r="HVE183" s="82"/>
      <c r="HVF183" s="82"/>
      <c r="HVG183" s="82"/>
      <c r="HVH183" s="82"/>
      <c r="HVI183" s="82"/>
      <c r="HVJ183" s="82"/>
      <c r="HVK183" s="82"/>
      <c r="HVL183" s="82"/>
      <c r="HVM183" s="82"/>
      <c r="HVN183" s="82"/>
      <c r="HVO183" s="82"/>
      <c r="HVP183" s="82"/>
      <c r="HVQ183" s="82"/>
      <c r="HVR183" s="82"/>
      <c r="HVS183" s="82"/>
      <c r="HVT183" s="82"/>
      <c r="HVU183" s="82"/>
      <c r="HVV183" s="82"/>
      <c r="HVW183" s="82"/>
      <c r="HVX183" s="82"/>
      <c r="HVY183" s="82"/>
      <c r="HVZ183" s="82"/>
      <c r="HWA183" s="82"/>
      <c r="HWB183" s="82"/>
      <c r="HWC183" s="82"/>
      <c r="HWD183" s="82"/>
      <c r="HWE183" s="82"/>
      <c r="HWF183" s="82"/>
      <c r="HWG183" s="82"/>
      <c r="HWH183" s="82"/>
      <c r="HWI183" s="82"/>
      <c r="HWJ183" s="82"/>
      <c r="HWK183" s="82"/>
      <c r="HWL183" s="82"/>
      <c r="HWM183" s="82"/>
      <c r="HWN183" s="82"/>
      <c r="HWO183" s="82"/>
      <c r="HWP183" s="82"/>
      <c r="HWQ183" s="82"/>
      <c r="HWR183" s="82"/>
      <c r="HWS183" s="82"/>
      <c r="HWT183" s="82"/>
      <c r="HWU183" s="82"/>
      <c r="HWV183" s="82"/>
      <c r="HWW183" s="82"/>
      <c r="HWX183" s="82"/>
      <c r="HWY183" s="82"/>
      <c r="HWZ183" s="82"/>
      <c r="HXA183" s="82"/>
      <c r="HXB183" s="82"/>
      <c r="HXC183" s="82"/>
      <c r="HXD183" s="82"/>
      <c r="HXE183" s="82"/>
      <c r="HXF183" s="82"/>
      <c r="HXG183" s="82"/>
      <c r="HXH183" s="82"/>
      <c r="HXI183" s="82"/>
      <c r="HXJ183" s="82"/>
      <c r="HXK183" s="82"/>
      <c r="HXL183" s="82"/>
      <c r="HXM183" s="82"/>
      <c r="HXN183" s="82"/>
      <c r="HXO183" s="82"/>
      <c r="HXP183" s="82"/>
      <c r="HXQ183" s="82"/>
      <c r="HXR183" s="82"/>
      <c r="HXS183" s="82"/>
      <c r="HXT183" s="82"/>
      <c r="HXU183" s="82"/>
      <c r="HXV183" s="82"/>
      <c r="HXW183" s="82"/>
      <c r="HXX183" s="82"/>
      <c r="HXY183" s="82"/>
      <c r="HXZ183" s="82"/>
      <c r="HYA183" s="82"/>
      <c r="HYB183" s="82"/>
      <c r="HYC183" s="82"/>
      <c r="HYD183" s="82"/>
      <c r="HYE183" s="82"/>
      <c r="HYF183" s="82"/>
      <c r="HYG183" s="82"/>
      <c r="HYH183" s="82"/>
      <c r="HYI183" s="82"/>
      <c r="HYJ183" s="82"/>
      <c r="HYK183" s="82"/>
      <c r="HYL183" s="82"/>
      <c r="HYM183" s="82"/>
      <c r="HYN183" s="82"/>
      <c r="HYO183" s="82"/>
      <c r="HYP183" s="82"/>
      <c r="HYQ183" s="82"/>
      <c r="HYR183" s="82"/>
      <c r="HYS183" s="82"/>
      <c r="HYT183" s="82"/>
      <c r="HYU183" s="82"/>
      <c r="HYV183" s="82"/>
      <c r="HYW183" s="82"/>
      <c r="HYX183" s="82"/>
      <c r="HYY183" s="82"/>
      <c r="HYZ183" s="82"/>
      <c r="HZA183" s="82"/>
      <c r="HZB183" s="82"/>
      <c r="HZC183" s="82"/>
      <c r="HZD183" s="82"/>
      <c r="HZE183" s="82"/>
      <c r="HZF183" s="82"/>
      <c r="HZG183" s="82"/>
      <c r="HZH183" s="82"/>
      <c r="HZI183" s="82"/>
      <c r="HZJ183" s="82"/>
      <c r="HZK183" s="82"/>
      <c r="HZL183" s="82"/>
      <c r="HZM183" s="82"/>
      <c r="HZN183" s="82"/>
      <c r="HZO183" s="82"/>
      <c r="HZP183" s="82"/>
      <c r="HZQ183" s="82"/>
      <c r="HZR183" s="82"/>
      <c r="HZS183" s="82"/>
      <c r="HZT183" s="82"/>
      <c r="HZU183" s="82"/>
      <c r="HZV183" s="82"/>
      <c r="HZW183" s="82"/>
      <c r="HZX183" s="82"/>
      <c r="HZY183" s="82"/>
      <c r="HZZ183" s="82"/>
      <c r="IAA183" s="82"/>
      <c r="IAB183" s="82"/>
      <c r="IAC183" s="82"/>
      <c r="IAD183" s="82"/>
      <c r="IAE183" s="82"/>
      <c r="IAF183" s="82"/>
      <c r="IAG183" s="82"/>
      <c r="IAH183" s="82"/>
      <c r="IAI183" s="82"/>
      <c r="IAJ183" s="82"/>
      <c r="IAK183" s="82"/>
      <c r="IAL183" s="82"/>
      <c r="IAM183" s="82"/>
      <c r="IAN183" s="82"/>
      <c r="IAO183" s="82"/>
      <c r="IAP183" s="82"/>
      <c r="IAQ183" s="82"/>
      <c r="IAR183" s="82"/>
      <c r="IAS183" s="82"/>
      <c r="IAT183" s="82"/>
      <c r="IAU183" s="82"/>
      <c r="IAV183" s="82"/>
      <c r="IAW183" s="82"/>
      <c r="IAX183" s="82"/>
      <c r="IAY183" s="82"/>
      <c r="IAZ183" s="82"/>
      <c r="IBA183" s="82"/>
      <c r="IBB183" s="82"/>
      <c r="IBC183" s="82"/>
      <c r="IBD183" s="82"/>
      <c r="IBE183" s="82"/>
      <c r="IBF183" s="82"/>
      <c r="IBG183" s="82"/>
      <c r="IBH183" s="82"/>
      <c r="IBI183" s="82"/>
      <c r="IBJ183" s="82"/>
      <c r="IBK183" s="82"/>
      <c r="IBL183" s="82"/>
      <c r="IBM183" s="82"/>
      <c r="IBN183" s="82"/>
      <c r="IBO183" s="82"/>
      <c r="IBP183" s="82"/>
      <c r="IBQ183" s="82"/>
      <c r="IBR183" s="82"/>
      <c r="IBS183" s="82"/>
      <c r="IBT183" s="82"/>
      <c r="IBU183" s="82"/>
      <c r="IBV183" s="82"/>
      <c r="IBW183" s="82"/>
      <c r="IBX183" s="82"/>
      <c r="IBY183" s="82"/>
      <c r="IBZ183" s="82"/>
      <c r="ICA183" s="82"/>
      <c r="ICB183" s="82"/>
      <c r="ICC183" s="82"/>
      <c r="ICD183" s="82"/>
      <c r="ICE183" s="82"/>
      <c r="ICF183" s="82"/>
      <c r="ICG183" s="82"/>
      <c r="ICH183" s="82"/>
      <c r="ICI183" s="82"/>
      <c r="ICJ183" s="82"/>
      <c r="ICK183" s="82"/>
      <c r="ICL183" s="82"/>
      <c r="ICM183" s="82"/>
      <c r="ICN183" s="82"/>
      <c r="ICO183" s="82"/>
      <c r="ICP183" s="82"/>
      <c r="ICQ183" s="82"/>
      <c r="ICR183" s="82"/>
      <c r="ICS183" s="82"/>
      <c r="ICT183" s="82"/>
      <c r="ICU183" s="82"/>
      <c r="ICV183" s="82"/>
      <c r="ICW183" s="82"/>
      <c r="ICX183" s="82"/>
      <c r="ICY183" s="82"/>
      <c r="ICZ183" s="82"/>
      <c r="IDA183" s="82"/>
      <c r="IDB183" s="82"/>
      <c r="IDC183" s="82"/>
      <c r="IDD183" s="82"/>
      <c r="IDE183" s="82"/>
      <c r="IDF183" s="82"/>
      <c r="IDG183" s="82"/>
      <c r="IDH183" s="82"/>
      <c r="IDI183" s="82"/>
      <c r="IDJ183" s="82"/>
      <c r="IDK183" s="82"/>
      <c r="IDL183" s="82"/>
      <c r="IDM183" s="82"/>
      <c r="IDN183" s="82"/>
      <c r="IDO183" s="82"/>
      <c r="IDP183" s="82"/>
      <c r="IDQ183" s="82"/>
      <c r="IDR183" s="82"/>
      <c r="IDS183" s="82"/>
      <c r="IDT183" s="82"/>
      <c r="IDU183" s="82"/>
      <c r="IDV183" s="82"/>
      <c r="IDW183" s="82"/>
      <c r="IDX183" s="82"/>
      <c r="IDY183" s="82"/>
      <c r="IDZ183" s="82"/>
      <c r="IEA183" s="82"/>
      <c r="IEB183" s="82"/>
      <c r="IEC183" s="82"/>
      <c r="IED183" s="82"/>
      <c r="IEE183" s="82"/>
      <c r="IEF183" s="82"/>
      <c r="IEG183" s="82"/>
      <c r="IEH183" s="82"/>
      <c r="IEI183" s="82"/>
      <c r="IEJ183" s="82"/>
      <c r="IEK183" s="82"/>
      <c r="IEL183" s="82"/>
      <c r="IEM183" s="82"/>
      <c r="IEN183" s="82"/>
      <c r="IEO183" s="82"/>
      <c r="IEP183" s="82"/>
      <c r="IEQ183" s="82"/>
      <c r="IER183" s="82"/>
      <c r="IES183" s="82"/>
      <c r="IET183" s="82"/>
      <c r="IEU183" s="82"/>
      <c r="IEV183" s="82"/>
      <c r="IEW183" s="82"/>
      <c r="IEX183" s="82"/>
      <c r="IEY183" s="82"/>
      <c r="IEZ183" s="82"/>
      <c r="IFA183" s="82"/>
      <c r="IFB183" s="82"/>
      <c r="IFC183" s="82"/>
      <c r="IFD183" s="82"/>
      <c r="IFE183" s="82"/>
      <c r="IFF183" s="82"/>
      <c r="IFG183" s="82"/>
      <c r="IFH183" s="82"/>
      <c r="IFI183" s="82"/>
      <c r="IFJ183" s="82"/>
      <c r="IFK183" s="82"/>
      <c r="IFL183" s="82"/>
      <c r="IFM183" s="82"/>
      <c r="IFN183" s="82"/>
      <c r="IFO183" s="82"/>
      <c r="IFP183" s="82"/>
      <c r="IFQ183" s="82"/>
      <c r="IFR183" s="82"/>
      <c r="IFS183" s="82"/>
      <c r="IFT183" s="82"/>
      <c r="IFU183" s="82"/>
      <c r="IFV183" s="82"/>
      <c r="IFW183" s="82"/>
      <c r="IFX183" s="82"/>
      <c r="IFY183" s="82"/>
      <c r="IFZ183" s="82"/>
      <c r="IGA183" s="82"/>
      <c r="IGB183" s="82"/>
      <c r="IGC183" s="82"/>
      <c r="IGD183" s="82"/>
      <c r="IGE183" s="82"/>
      <c r="IGF183" s="82"/>
      <c r="IGG183" s="82"/>
      <c r="IGH183" s="82"/>
      <c r="IGI183" s="82"/>
      <c r="IGJ183" s="82"/>
      <c r="IGK183" s="82"/>
      <c r="IGL183" s="82"/>
      <c r="IGM183" s="82"/>
      <c r="IGN183" s="82"/>
      <c r="IGO183" s="82"/>
      <c r="IGP183" s="82"/>
      <c r="IGQ183" s="82"/>
      <c r="IGR183" s="82"/>
      <c r="IGS183" s="82"/>
      <c r="IGT183" s="82"/>
      <c r="IGU183" s="82"/>
      <c r="IGV183" s="82"/>
      <c r="IGW183" s="82"/>
      <c r="IGX183" s="82"/>
      <c r="IGY183" s="82"/>
      <c r="IGZ183" s="82"/>
      <c r="IHA183" s="82"/>
      <c r="IHB183" s="82"/>
      <c r="IHC183" s="82"/>
      <c r="IHD183" s="82"/>
      <c r="IHE183" s="82"/>
      <c r="IHF183" s="82"/>
      <c r="IHG183" s="82"/>
      <c r="IHH183" s="82"/>
      <c r="IHI183" s="82"/>
      <c r="IHJ183" s="82"/>
      <c r="IHK183" s="82"/>
      <c r="IHL183" s="82"/>
      <c r="IHM183" s="82"/>
      <c r="IHN183" s="82"/>
      <c r="IHO183" s="82"/>
      <c r="IHP183" s="82"/>
      <c r="IHQ183" s="82"/>
      <c r="IHR183" s="82"/>
      <c r="IHS183" s="82"/>
      <c r="IHT183" s="82"/>
      <c r="IHU183" s="82"/>
      <c r="IHV183" s="82"/>
      <c r="IHW183" s="82"/>
      <c r="IHX183" s="82"/>
      <c r="IHY183" s="82"/>
      <c r="IHZ183" s="82"/>
      <c r="IIA183" s="82"/>
      <c r="IIB183" s="82"/>
      <c r="IIC183" s="82"/>
      <c r="IID183" s="82"/>
      <c r="IIE183" s="82"/>
      <c r="IIF183" s="82"/>
      <c r="IIG183" s="82"/>
      <c r="IIH183" s="82"/>
      <c r="III183" s="82"/>
      <c r="IIJ183" s="82"/>
      <c r="IIK183" s="82"/>
      <c r="IIL183" s="82"/>
      <c r="IIM183" s="82"/>
      <c r="IIN183" s="82"/>
      <c r="IIO183" s="82"/>
      <c r="IIP183" s="82"/>
      <c r="IIQ183" s="82"/>
      <c r="IIR183" s="82"/>
      <c r="IIS183" s="82"/>
      <c r="IIT183" s="82"/>
      <c r="IIU183" s="82"/>
      <c r="IIV183" s="82"/>
      <c r="IIW183" s="82"/>
      <c r="IIX183" s="82"/>
      <c r="IIY183" s="82"/>
      <c r="IIZ183" s="82"/>
      <c r="IJA183" s="82"/>
      <c r="IJB183" s="82"/>
      <c r="IJC183" s="82"/>
      <c r="IJD183" s="82"/>
      <c r="IJE183" s="82"/>
      <c r="IJF183" s="82"/>
      <c r="IJG183" s="82"/>
      <c r="IJH183" s="82"/>
      <c r="IJI183" s="82"/>
      <c r="IJJ183" s="82"/>
      <c r="IJK183" s="82"/>
      <c r="IJL183" s="82"/>
      <c r="IJM183" s="82"/>
      <c r="IJN183" s="82"/>
      <c r="IJO183" s="82"/>
      <c r="IJP183" s="82"/>
      <c r="IJQ183" s="82"/>
      <c r="IJR183" s="82"/>
      <c r="IJS183" s="82"/>
      <c r="IJT183" s="82"/>
      <c r="IJU183" s="82"/>
      <c r="IJV183" s="82"/>
      <c r="IJW183" s="82"/>
      <c r="IJX183" s="82"/>
      <c r="IJY183" s="82"/>
      <c r="IJZ183" s="82"/>
      <c r="IKA183" s="82"/>
      <c r="IKB183" s="82"/>
      <c r="IKC183" s="82"/>
      <c r="IKD183" s="82"/>
      <c r="IKE183" s="82"/>
      <c r="IKF183" s="82"/>
      <c r="IKG183" s="82"/>
      <c r="IKH183" s="82"/>
      <c r="IKI183" s="82"/>
      <c r="IKJ183" s="82"/>
      <c r="IKK183" s="82"/>
      <c r="IKL183" s="82"/>
      <c r="IKM183" s="82"/>
      <c r="IKN183" s="82"/>
      <c r="IKO183" s="82"/>
      <c r="IKP183" s="82"/>
      <c r="IKQ183" s="82"/>
      <c r="IKR183" s="82"/>
      <c r="IKS183" s="82"/>
      <c r="IKT183" s="82"/>
      <c r="IKU183" s="82"/>
      <c r="IKV183" s="82"/>
      <c r="IKW183" s="82"/>
      <c r="IKX183" s="82"/>
      <c r="IKY183" s="82"/>
      <c r="IKZ183" s="82"/>
      <c r="ILA183" s="82"/>
      <c r="ILB183" s="82"/>
      <c r="ILC183" s="82"/>
      <c r="ILD183" s="82"/>
      <c r="ILE183" s="82"/>
      <c r="ILF183" s="82"/>
      <c r="ILG183" s="82"/>
      <c r="ILH183" s="82"/>
      <c r="ILI183" s="82"/>
      <c r="ILJ183" s="82"/>
      <c r="ILK183" s="82"/>
      <c r="ILL183" s="82"/>
      <c r="ILM183" s="82"/>
      <c r="ILN183" s="82"/>
      <c r="ILO183" s="82"/>
      <c r="ILP183" s="82"/>
      <c r="ILQ183" s="82"/>
      <c r="ILR183" s="82"/>
      <c r="ILS183" s="82"/>
      <c r="ILT183" s="82"/>
      <c r="ILU183" s="82"/>
      <c r="ILV183" s="82"/>
      <c r="ILW183" s="82"/>
      <c r="ILX183" s="82"/>
      <c r="ILY183" s="82"/>
      <c r="ILZ183" s="82"/>
      <c r="IMA183" s="82"/>
      <c r="IMB183" s="82"/>
      <c r="IMC183" s="82"/>
      <c r="IMD183" s="82"/>
      <c r="IME183" s="82"/>
      <c r="IMF183" s="82"/>
      <c r="IMG183" s="82"/>
      <c r="IMH183" s="82"/>
      <c r="IMI183" s="82"/>
      <c r="IMJ183" s="82"/>
      <c r="IMK183" s="82"/>
      <c r="IML183" s="82"/>
      <c r="IMM183" s="82"/>
      <c r="IMN183" s="82"/>
      <c r="IMO183" s="82"/>
      <c r="IMP183" s="82"/>
      <c r="IMQ183" s="82"/>
      <c r="IMR183" s="82"/>
      <c r="IMS183" s="82"/>
      <c r="IMT183" s="82"/>
      <c r="IMU183" s="82"/>
      <c r="IMV183" s="82"/>
      <c r="IMW183" s="82"/>
      <c r="IMX183" s="82"/>
      <c r="IMY183" s="82"/>
      <c r="IMZ183" s="82"/>
      <c r="INA183" s="82"/>
      <c r="INB183" s="82"/>
      <c r="INC183" s="82"/>
      <c r="IND183" s="82"/>
      <c r="INE183" s="82"/>
      <c r="INF183" s="82"/>
      <c r="ING183" s="82"/>
      <c r="INH183" s="82"/>
      <c r="INI183" s="82"/>
      <c r="INJ183" s="82"/>
      <c r="INK183" s="82"/>
      <c r="INL183" s="82"/>
      <c r="INM183" s="82"/>
      <c r="INN183" s="82"/>
      <c r="INO183" s="82"/>
      <c r="INP183" s="82"/>
      <c r="INQ183" s="82"/>
      <c r="INR183" s="82"/>
      <c r="INS183" s="82"/>
      <c r="INT183" s="82"/>
      <c r="INU183" s="82"/>
      <c r="INV183" s="82"/>
      <c r="INW183" s="82"/>
      <c r="INX183" s="82"/>
      <c r="INY183" s="82"/>
      <c r="INZ183" s="82"/>
      <c r="IOA183" s="82"/>
      <c r="IOB183" s="82"/>
      <c r="IOC183" s="82"/>
      <c r="IOD183" s="82"/>
      <c r="IOE183" s="82"/>
      <c r="IOF183" s="82"/>
      <c r="IOG183" s="82"/>
      <c r="IOH183" s="82"/>
      <c r="IOI183" s="82"/>
      <c r="IOJ183" s="82"/>
      <c r="IOK183" s="82"/>
      <c r="IOL183" s="82"/>
      <c r="IOM183" s="82"/>
      <c r="ION183" s="82"/>
      <c r="IOO183" s="82"/>
      <c r="IOP183" s="82"/>
      <c r="IOQ183" s="82"/>
      <c r="IOR183" s="82"/>
      <c r="IOS183" s="82"/>
      <c r="IOT183" s="82"/>
      <c r="IOU183" s="82"/>
      <c r="IOV183" s="82"/>
      <c r="IOW183" s="82"/>
      <c r="IOX183" s="82"/>
      <c r="IOY183" s="82"/>
      <c r="IOZ183" s="82"/>
      <c r="IPA183" s="82"/>
      <c r="IPB183" s="82"/>
      <c r="IPC183" s="82"/>
      <c r="IPD183" s="82"/>
      <c r="IPE183" s="82"/>
      <c r="IPF183" s="82"/>
      <c r="IPG183" s="82"/>
      <c r="IPH183" s="82"/>
      <c r="IPI183" s="82"/>
      <c r="IPJ183" s="82"/>
      <c r="IPK183" s="82"/>
      <c r="IPL183" s="82"/>
      <c r="IPM183" s="82"/>
      <c r="IPN183" s="82"/>
      <c r="IPO183" s="82"/>
      <c r="IPP183" s="82"/>
      <c r="IPQ183" s="82"/>
      <c r="IPR183" s="82"/>
      <c r="IPS183" s="82"/>
      <c r="IPT183" s="82"/>
      <c r="IPU183" s="82"/>
      <c r="IPV183" s="82"/>
      <c r="IPW183" s="82"/>
      <c r="IPX183" s="82"/>
      <c r="IPY183" s="82"/>
      <c r="IPZ183" s="82"/>
      <c r="IQA183" s="82"/>
      <c r="IQB183" s="82"/>
      <c r="IQC183" s="82"/>
      <c r="IQD183" s="82"/>
      <c r="IQE183" s="82"/>
      <c r="IQF183" s="82"/>
      <c r="IQG183" s="82"/>
      <c r="IQH183" s="82"/>
      <c r="IQI183" s="82"/>
      <c r="IQJ183" s="82"/>
      <c r="IQK183" s="82"/>
      <c r="IQL183" s="82"/>
      <c r="IQM183" s="82"/>
      <c r="IQN183" s="82"/>
      <c r="IQO183" s="82"/>
      <c r="IQP183" s="82"/>
      <c r="IQQ183" s="82"/>
      <c r="IQR183" s="82"/>
      <c r="IQS183" s="82"/>
      <c r="IQT183" s="82"/>
      <c r="IQU183" s="82"/>
      <c r="IQV183" s="82"/>
      <c r="IQW183" s="82"/>
      <c r="IQX183" s="82"/>
      <c r="IQY183" s="82"/>
      <c r="IQZ183" s="82"/>
      <c r="IRA183" s="82"/>
      <c r="IRB183" s="82"/>
      <c r="IRC183" s="82"/>
      <c r="IRD183" s="82"/>
      <c r="IRE183" s="82"/>
      <c r="IRF183" s="82"/>
      <c r="IRG183" s="82"/>
      <c r="IRH183" s="82"/>
      <c r="IRI183" s="82"/>
      <c r="IRJ183" s="82"/>
      <c r="IRK183" s="82"/>
      <c r="IRL183" s="82"/>
      <c r="IRM183" s="82"/>
      <c r="IRN183" s="82"/>
      <c r="IRO183" s="82"/>
      <c r="IRP183" s="82"/>
      <c r="IRQ183" s="82"/>
      <c r="IRR183" s="82"/>
      <c r="IRS183" s="82"/>
      <c r="IRT183" s="82"/>
      <c r="IRU183" s="82"/>
      <c r="IRV183" s="82"/>
      <c r="IRW183" s="82"/>
      <c r="IRX183" s="82"/>
      <c r="IRY183" s="82"/>
      <c r="IRZ183" s="82"/>
      <c r="ISA183" s="82"/>
      <c r="ISB183" s="82"/>
      <c r="ISC183" s="82"/>
      <c r="ISD183" s="82"/>
      <c r="ISE183" s="82"/>
      <c r="ISF183" s="82"/>
      <c r="ISG183" s="82"/>
      <c r="ISH183" s="82"/>
      <c r="ISI183" s="82"/>
      <c r="ISJ183" s="82"/>
      <c r="ISK183" s="82"/>
      <c r="ISL183" s="82"/>
      <c r="ISM183" s="82"/>
      <c r="ISN183" s="82"/>
      <c r="ISO183" s="82"/>
      <c r="ISP183" s="82"/>
      <c r="ISQ183" s="82"/>
      <c r="ISR183" s="82"/>
      <c r="ISS183" s="82"/>
      <c r="IST183" s="82"/>
      <c r="ISU183" s="82"/>
      <c r="ISV183" s="82"/>
      <c r="ISW183" s="82"/>
      <c r="ISX183" s="82"/>
      <c r="ISY183" s="82"/>
      <c r="ISZ183" s="82"/>
      <c r="ITA183" s="82"/>
      <c r="ITB183" s="82"/>
      <c r="ITC183" s="82"/>
      <c r="ITD183" s="82"/>
      <c r="ITE183" s="82"/>
      <c r="ITF183" s="82"/>
      <c r="ITG183" s="82"/>
      <c r="ITH183" s="82"/>
      <c r="ITI183" s="82"/>
      <c r="ITJ183" s="82"/>
      <c r="ITK183" s="82"/>
      <c r="ITL183" s="82"/>
      <c r="ITM183" s="82"/>
      <c r="ITN183" s="82"/>
      <c r="ITO183" s="82"/>
      <c r="ITP183" s="82"/>
      <c r="ITQ183" s="82"/>
      <c r="ITR183" s="82"/>
      <c r="ITS183" s="82"/>
      <c r="ITT183" s="82"/>
      <c r="ITU183" s="82"/>
      <c r="ITV183" s="82"/>
      <c r="ITW183" s="82"/>
      <c r="ITX183" s="82"/>
      <c r="ITY183" s="82"/>
      <c r="ITZ183" s="82"/>
      <c r="IUA183" s="82"/>
      <c r="IUB183" s="82"/>
      <c r="IUC183" s="82"/>
      <c r="IUD183" s="82"/>
      <c r="IUE183" s="82"/>
      <c r="IUF183" s="82"/>
      <c r="IUG183" s="82"/>
      <c r="IUH183" s="82"/>
      <c r="IUI183" s="82"/>
      <c r="IUJ183" s="82"/>
      <c r="IUK183" s="82"/>
      <c r="IUL183" s="82"/>
      <c r="IUM183" s="82"/>
      <c r="IUN183" s="82"/>
      <c r="IUO183" s="82"/>
      <c r="IUP183" s="82"/>
      <c r="IUQ183" s="82"/>
      <c r="IUR183" s="82"/>
      <c r="IUS183" s="82"/>
      <c r="IUT183" s="82"/>
      <c r="IUU183" s="82"/>
      <c r="IUV183" s="82"/>
      <c r="IUW183" s="82"/>
      <c r="IUX183" s="82"/>
      <c r="IUY183" s="82"/>
      <c r="IUZ183" s="82"/>
      <c r="IVA183" s="82"/>
      <c r="IVB183" s="82"/>
      <c r="IVC183" s="82"/>
      <c r="IVD183" s="82"/>
      <c r="IVE183" s="82"/>
      <c r="IVF183" s="82"/>
      <c r="IVG183" s="82"/>
      <c r="IVH183" s="82"/>
      <c r="IVI183" s="82"/>
      <c r="IVJ183" s="82"/>
      <c r="IVK183" s="82"/>
      <c r="IVL183" s="82"/>
      <c r="IVM183" s="82"/>
      <c r="IVN183" s="82"/>
      <c r="IVO183" s="82"/>
      <c r="IVP183" s="82"/>
      <c r="IVQ183" s="82"/>
      <c r="IVR183" s="82"/>
      <c r="IVS183" s="82"/>
      <c r="IVT183" s="82"/>
      <c r="IVU183" s="82"/>
      <c r="IVV183" s="82"/>
      <c r="IVW183" s="82"/>
      <c r="IVX183" s="82"/>
      <c r="IVY183" s="82"/>
      <c r="IVZ183" s="82"/>
      <c r="IWA183" s="82"/>
      <c r="IWB183" s="82"/>
      <c r="IWC183" s="82"/>
      <c r="IWD183" s="82"/>
      <c r="IWE183" s="82"/>
      <c r="IWF183" s="82"/>
      <c r="IWG183" s="82"/>
      <c r="IWH183" s="82"/>
      <c r="IWI183" s="82"/>
      <c r="IWJ183" s="82"/>
      <c r="IWK183" s="82"/>
      <c r="IWL183" s="82"/>
      <c r="IWM183" s="82"/>
      <c r="IWN183" s="82"/>
      <c r="IWO183" s="82"/>
      <c r="IWP183" s="82"/>
      <c r="IWQ183" s="82"/>
      <c r="IWR183" s="82"/>
      <c r="IWS183" s="82"/>
      <c r="IWT183" s="82"/>
      <c r="IWU183" s="82"/>
      <c r="IWV183" s="82"/>
      <c r="IWW183" s="82"/>
      <c r="IWX183" s="82"/>
      <c r="IWY183" s="82"/>
      <c r="IWZ183" s="82"/>
      <c r="IXA183" s="82"/>
      <c r="IXB183" s="82"/>
      <c r="IXC183" s="82"/>
      <c r="IXD183" s="82"/>
      <c r="IXE183" s="82"/>
      <c r="IXF183" s="82"/>
      <c r="IXG183" s="82"/>
      <c r="IXH183" s="82"/>
      <c r="IXI183" s="82"/>
      <c r="IXJ183" s="82"/>
      <c r="IXK183" s="82"/>
      <c r="IXL183" s="82"/>
      <c r="IXM183" s="82"/>
      <c r="IXN183" s="82"/>
      <c r="IXO183" s="82"/>
      <c r="IXP183" s="82"/>
      <c r="IXQ183" s="82"/>
      <c r="IXR183" s="82"/>
      <c r="IXS183" s="82"/>
      <c r="IXT183" s="82"/>
      <c r="IXU183" s="82"/>
      <c r="IXV183" s="82"/>
      <c r="IXW183" s="82"/>
      <c r="IXX183" s="82"/>
      <c r="IXY183" s="82"/>
      <c r="IXZ183" s="82"/>
      <c r="IYA183" s="82"/>
      <c r="IYB183" s="82"/>
      <c r="IYC183" s="82"/>
      <c r="IYD183" s="82"/>
      <c r="IYE183" s="82"/>
      <c r="IYF183" s="82"/>
      <c r="IYG183" s="82"/>
      <c r="IYH183" s="82"/>
      <c r="IYI183" s="82"/>
      <c r="IYJ183" s="82"/>
      <c r="IYK183" s="82"/>
      <c r="IYL183" s="82"/>
      <c r="IYM183" s="82"/>
      <c r="IYN183" s="82"/>
      <c r="IYO183" s="82"/>
      <c r="IYP183" s="82"/>
      <c r="IYQ183" s="82"/>
      <c r="IYR183" s="82"/>
      <c r="IYS183" s="82"/>
      <c r="IYT183" s="82"/>
      <c r="IYU183" s="82"/>
      <c r="IYV183" s="82"/>
      <c r="IYW183" s="82"/>
      <c r="IYX183" s="82"/>
      <c r="IYY183" s="82"/>
      <c r="IYZ183" s="82"/>
      <c r="IZA183" s="82"/>
      <c r="IZB183" s="82"/>
      <c r="IZC183" s="82"/>
      <c r="IZD183" s="82"/>
      <c r="IZE183" s="82"/>
      <c r="IZF183" s="82"/>
      <c r="IZG183" s="82"/>
      <c r="IZH183" s="82"/>
      <c r="IZI183" s="82"/>
      <c r="IZJ183" s="82"/>
      <c r="IZK183" s="82"/>
      <c r="IZL183" s="82"/>
      <c r="IZM183" s="82"/>
      <c r="IZN183" s="82"/>
      <c r="IZO183" s="82"/>
      <c r="IZP183" s="82"/>
      <c r="IZQ183" s="82"/>
      <c r="IZR183" s="82"/>
      <c r="IZS183" s="82"/>
      <c r="IZT183" s="82"/>
      <c r="IZU183" s="82"/>
      <c r="IZV183" s="82"/>
      <c r="IZW183" s="82"/>
      <c r="IZX183" s="82"/>
      <c r="IZY183" s="82"/>
      <c r="IZZ183" s="82"/>
      <c r="JAA183" s="82"/>
      <c r="JAB183" s="82"/>
      <c r="JAC183" s="82"/>
      <c r="JAD183" s="82"/>
      <c r="JAE183" s="82"/>
      <c r="JAF183" s="82"/>
      <c r="JAG183" s="82"/>
      <c r="JAH183" s="82"/>
      <c r="JAI183" s="82"/>
      <c r="JAJ183" s="82"/>
      <c r="JAK183" s="82"/>
      <c r="JAL183" s="82"/>
      <c r="JAM183" s="82"/>
      <c r="JAN183" s="82"/>
      <c r="JAO183" s="82"/>
      <c r="JAP183" s="82"/>
      <c r="JAQ183" s="82"/>
      <c r="JAR183" s="82"/>
      <c r="JAS183" s="82"/>
      <c r="JAT183" s="82"/>
      <c r="JAU183" s="82"/>
      <c r="JAV183" s="82"/>
      <c r="JAW183" s="82"/>
      <c r="JAX183" s="82"/>
      <c r="JAY183" s="82"/>
      <c r="JAZ183" s="82"/>
      <c r="JBA183" s="82"/>
      <c r="JBB183" s="82"/>
      <c r="JBC183" s="82"/>
      <c r="JBD183" s="82"/>
      <c r="JBE183" s="82"/>
      <c r="JBF183" s="82"/>
      <c r="JBG183" s="82"/>
      <c r="JBH183" s="82"/>
      <c r="JBI183" s="82"/>
      <c r="JBJ183" s="82"/>
      <c r="JBK183" s="82"/>
      <c r="JBL183" s="82"/>
      <c r="JBM183" s="82"/>
      <c r="JBN183" s="82"/>
      <c r="JBO183" s="82"/>
      <c r="JBP183" s="82"/>
      <c r="JBQ183" s="82"/>
      <c r="JBR183" s="82"/>
      <c r="JBS183" s="82"/>
      <c r="JBT183" s="82"/>
      <c r="JBU183" s="82"/>
      <c r="JBV183" s="82"/>
      <c r="JBW183" s="82"/>
      <c r="JBX183" s="82"/>
      <c r="JBY183" s="82"/>
      <c r="JBZ183" s="82"/>
      <c r="JCA183" s="82"/>
      <c r="JCB183" s="82"/>
      <c r="JCC183" s="82"/>
      <c r="JCD183" s="82"/>
      <c r="JCE183" s="82"/>
      <c r="JCF183" s="82"/>
      <c r="JCG183" s="82"/>
      <c r="JCH183" s="82"/>
      <c r="JCI183" s="82"/>
      <c r="JCJ183" s="82"/>
      <c r="JCK183" s="82"/>
      <c r="JCL183" s="82"/>
      <c r="JCM183" s="82"/>
      <c r="JCN183" s="82"/>
      <c r="JCO183" s="82"/>
      <c r="JCP183" s="82"/>
      <c r="JCQ183" s="82"/>
      <c r="JCR183" s="82"/>
      <c r="JCS183" s="82"/>
      <c r="JCT183" s="82"/>
      <c r="JCU183" s="82"/>
      <c r="JCV183" s="82"/>
      <c r="JCW183" s="82"/>
      <c r="JCX183" s="82"/>
      <c r="JCY183" s="82"/>
      <c r="JCZ183" s="82"/>
      <c r="JDA183" s="82"/>
      <c r="JDB183" s="82"/>
      <c r="JDC183" s="82"/>
      <c r="JDD183" s="82"/>
      <c r="JDE183" s="82"/>
      <c r="JDF183" s="82"/>
      <c r="JDG183" s="82"/>
      <c r="JDH183" s="82"/>
      <c r="JDI183" s="82"/>
      <c r="JDJ183" s="82"/>
      <c r="JDK183" s="82"/>
      <c r="JDL183" s="82"/>
      <c r="JDM183" s="82"/>
      <c r="JDN183" s="82"/>
      <c r="JDO183" s="82"/>
      <c r="JDP183" s="82"/>
      <c r="JDQ183" s="82"/>
      <c r="JDR183" s="82"/>
      <c r="JDS183" s="82"/>
      <c r="JDT183" s="82"/>
      <c r="JDU183" s="82"/>
      <c r="JDV183" s="82"/>
      <c r="JDW183" s="82"/>
      <c r="JDX183" s="82"/>
      <c r="JDY183" s="82"/>
      <c r="JDZ183" s="82"/>
      <c r="JEA183" s="82"/>
      <c r="JEB183" s="82"/>
      <c r="JEC183" s="82"/>
      <c r="JED183" s="82"/>
      <c r="JEE183" s="82"/>
      <c r="JEF183" s="82"/>
      <c r="JEG183" s="82"/>
      <c r="JEH183" s="82"/>
      <c r="JEI183" s="82"/>
      <c r="JEJ183" s="82"/>
      <c r="JEK183" s="82"/>
      <c r="JEL183" s="82"/>
      <c r="JEM183" s="82"/>
      <c r="JEN183" s="82"/>
      <c r="JEO183" s="82"/>
      <c r="JEP183" s="82"/>
      <c r="JEQ183" s="82"/>
      <c r="JER183" s="82"/>
      <c r="JES183" s="82"/>
      <c r="JET183" s="82"/>
      <c r="JEU183" s="82"/>
      <c r="JEV183" s="82"/>
      <c r="JEW183" s="82"/>
      <c r="JEX183" s="82"/>
      <c r="JEY183" s="82"/>
      <c r="JEZ183" s="82"/>
      <c r="JFA183" s="82"/>
      <c r="JFB183" s="82"/>
      <c r="JFC183" s="82"/>
      <c r="JFD183" s="82"/>
      <c r="JFE183" s="82"/>
      <c r="JFF183" s="82"/>
      <c r="JFG183" s="82"/>
      <c r="JFH183" s="82"/>
      <c r="JFI183" s="82"/>
      <c r="JFJ183" s="82"/>
      <c r="JFK183" s="82"/>
      <c r="JFL183" s="82"/>
      <c r="JFM183" s="82"/>
      <c r="JFN183" s="82"/>
      <c r="JFO183" s="82"/>
      <c r="JFP183" s="82"/>
      <c r="JFQ183" s="82"/>
      <c r="JFR183" s="82"/>
      <c r="JFS183" s="82"/>
      <c r="JFT183" s="82"/>
      <c r="JFU183" s="82"/>
      <c r="JFV183" s="82"/>
      <c r="JFW183" s="82"/>
      <c r="JFX183" s="82"/>
      <c r="JFY183" s="82"/>
      <c r="JFZ183" s="82"/>
      <c r="JGA183" s="82"/>
      <c r="JGB183" s="82"/>
      <c r="JGC183" s="82"/>
      <c r="JGD183" s="82"/>
      <c r="JGE183" s="82"/>
      <c r="JGF183" s="82"/>
      <c r="JGG183" s="82"/>
      <c r="JGH183" s="82"/>
      <c r="JGI183" s="82"/>
      <c r="JGJ183" s="82"/>
      <c r="JGK183" s="82"/>
      <c r="JGL183" s="82"/>
      <c r="JGM183" s="82"/>
      <c r="JGN183" s="82"/>
      <c r="JGO183" s="82"/>
      <c r="JGP183" s="82"/>
      <c r="JGQ183" s="82"/>
      <c r="JGR183" s="82"/>
      <c r="JGS183" s="82"/>
      <c r="JGT183" s="82"/>
      <c r="JGU183" s="82"/>
      <c r="JGV183" s="82"/>
      <c r="JGW183" s="82"/>
      <c r="JGX183" s="82"/>
      <c r="JGY183" s="82"/>
      <c r="JGZ183" s="82"/>
      <c r="JHA183" s="82"/>
      <c r="JHB183" s="82"/>
      <c r="JHC183" s="82"/>
      <c r="JHD183" s="82"/>
      <c r="JHE183" s="82"/>
      <c r="JHF183" s="82"/>
      <c r="JHG183" s="82"/>
      <c r="JHH183" s="82"/>
      <c r="JHI183" s="82"/>
      <c r="JHJ183" s="82"/>
      <c r="JHK183" s="82"/>
      <c r="JHL183" s="82"/>
      <c r="JHM183" s="82"/>
      <c r="JHN183" s="82"/>
      <c r="JHO183" s="82"/>
      <c r="JHP183" s="82"/>
      <c r="JHQ183" s="82"/>
      <c r="JHR183" s="82"/>
      <c r="JHS183" s="82"/>
      <c r="JHT183" s="82"/>
      <c r="JHU183" s="82"/>
      <c r="JHV183" s="82"/>
      <c r="JHW183" s="82"/>
      <c r="JHX183" s="82"/>
      <c r="JHY183" s="82"/>
      <c r="JHZ183" s="82"/>
      <c r="JIA183" s="82"/>
      <c r="JIB183" s="82"/>
      <c r="JIC183" s="82"/>
      <c r="JID183" s="82"/>
      <c r="JIE183" s="82"/>
      <c r="JIF183" s="82"/>
      <c r="JIG183" s="82"/>
      <c r="JIH183" s="82"/>
      <c r="JII183" s="82"/>
      <c r="JIJ183" s="82"/>
      <c r="JIK183" s="82"/>
      <c r="JIL183" s="82"/>
      <c r="JIM183" s="82"/>
      <c r="JIN183" s="82"/>
      <c r="JIO183" s="82"/>
      <c r="JIP183" s="82"/>
      <c r="JIQ183" s="82"/>
      <c r="JIR183" s="82"/>
      <c r="JIS183" s="82"/>
      <c r="JIT183" s="82"/>
      <c r="JIU183" s="82"/>
      <c r="JIV183" s="82"/>
      <c r="JIW183" s="82"/>
      <c r="JIX183" s="82"/>
      <c r="JIY183" s="82"/>
      <c r="JIZ183" s="82"/>
      <c r="JJA183" s="82"/>
      <c r="JJB183" s="82"/>
      <c r="JJC183" s="82"/>
      <c r="JJD183" s="82"/>
      <c r="JJE183" s="82"/>
      <c r="JJF183" s="82"/>
      <c r="JJG183" s="82"/>
      <c r="JJH183" s="82"/>
      <c r="JJI183" s="82"/>
      <c r="JJJ183" s="82"/>
      <c r="JJK183" s="82"/>
      <c r="JJL183" s="82"/>
      <c r="JJM183" s="82"/>
      <c r="JJN183" s="82"/>
      <c r="JJO183" s="82"/>
      <c r="JJP183" s="82"/>
      <c r="JJQ183" s="82"/>
      <c r="JJR183" s="82"/>
      <c r="JJS183" s="82"/>
      <c r="JJT183" s="82"/>
      <c r="JJU183" s="82"/>
      <c r="JJV183" s="82"/>
      <c r="JJW183" s="82"/>
      <c r="JJX183" s="82"/>
      <c r="JJY183" s="82"/>
      <c r="JJZ183" s="82"/>
      <c r="JKA183" s="82"/>
      <c r="JKB183" s="82"/>
      <c r="JKC183" s="82"/>
      <c r="JKD183" s="82"/>
      <c r="JKE183" s="82"/>
      <c r="JKF183" s="82"/>
      <c r="JKG183" s="82"/>
      <c r="JKH183" s="82"/>
      <c r="JKI183" s="82"/>
      <c r="JKJ183" s="82"/>
      <c r="JKK183" s="82"/>
      <c r="JKL183" s="82"/>
      <c r="JKM183" s="82"/>
      <c r="JKN183" s="82"/>
      <c r="JKO183" s="82"/>
      <c r="JKP183" s="82"/>
      <c r="JKQ183" s="82"/>
      <c r="JKR183" s="82"/>
      <c r="JKS183" s="82"/>
      <c r="JKT183" s="82"/>
      <c r="JKU183" s="82"/>
      <c r="JKV183" s="82"/>
      <c r="JKW183" s="82"/>
      <c r="JKX183" s="82"/>
      <c r="JKY183" s="82"/>
      <c r="JKZ183" s="82"/>
      <c r="JLA183" s="82"/>
      <c r="JLB183" s="82"/>
      <c r="JLC183" s="82"/>
      <c r="JLD183" s="82"/>
      <c r="JLE183" s="82"/>
      <c r="JLF183" s="82"/>
      <c r="JLG183" s="82"/>
      <c r="JLH183" s="82"/>
      <c r="JLI183" s="82"/>
      <c r="JLJ183" s="82"/>
      <c r="JLK183" s="82"/>
      <c r="JLL183" s="82"/>
      <c r="JLM183" s="82"/>
      <c r="JLN183" s="82"/>
      <c r="JLO183" s="82"/>
      <c r="JLP183" s="82"/>
      <c r="JLQ183" s="82"/>
      <c r="JLR183" s="82"/>
      <c r="JLS183" s="82"/>
      <c r="JLT183" s="82"/>
      <c r="JLU183" s="82"/>
      <c r="JLV183" s="82"/>
      <c r="JLW183" s="82"/>
      <c r="JLX183" s="82"/>
      <c r="JLY183" s="82"/>
      <c r="JLZ183" s="82"/>
      <c r="JMA183" s="82"/>
      <c r="JMB183" s="82"/>
      <c r="JMC183" s="82"/>
      <c r="JMD183" s="82"/>
      <c r="JME183" s="82"/>
      <c r="JMF183" s="82"/>
      <c r="JMG183" s="82"/>
      <c r="JMH183" s="82"/>
      <c r="JMI183" s="82"/>
      <c r="JMJ183" s="82"/>
      <c r="JMK183" s="82"/>
      <c r="JML183" s="82"/>
      <c r="JMM183" s="82"/>
      <c r="JMN183" s="82"/>
      <c r="JMO183" s="82"/>
      <c r="JMP183" s="82"/>
      <c r="JMQ183" s="82"/>
      <c r="JMR183" s="82"/>
      <c r="JMS183" s="82"/>
      <c r="JMT183" s="82"/>
      <c r="JMU183" s="82"/>
      <c r="JMV183" s="82"/>
      <c r="JMW183" s="82"/>
      <c r="JMX183" s="82"/>
      <c r="JMY183" s="82"/>
      <c r="JMZ183" s="82"/>
      <c r="JNA183" s="82"/>
      <c r="JNB183" s="82"/>
      <c r="JNC183" s="82"/>
      <c r="JND183" s="82"/>
      <c r="JNE183" s="82"/>
      <c r="JNF183" s="82"/>
      <c r="JNG183" s="82"/>
      <c r="JNH183" s="82"/>
      <c r="JNI183" s="82"/>
      <c r="JNJ183" s="82"/>
      <c r="JNK183" s="82"/>
      <c r="JNL183" s="82"/>
      <c r="JNM183" s="82"/>
      <c r="JNN183" s="82"/>
      <c r="JNO183" s="82"/>
      <c r="JNP183" s="82"/>
      <c r="JNQ183" s="82"/>
      <c r="JNR183" s="82"/>
      <c r="JNS183" s="82"/>
      <c r="JNT183" s="82"/>
      <c r="JNU183" s="82"/>
      <c r="JNV183" s="82"/>
      <c r="JNW183" s="82"/>
      <c r="JNX183" s="82"/>
      <c r="JNY183" s="82"/>
      <c r="JNZ183" s="82"/>
      <c r="JOA183" s="82"/>
      <c r="JOB183" s="82"/>
      <c r="JOC183" s="82"/>
      <c r="JOD183" s="82"/>
      <c r="JOE183" s="82"/>
      <c r="JOF183" s="82"/>
      <c r="JOG183" s="82"/>
      <c r="JOH183" s="82"/>
      <c r="JOI183" s="82"/>
      <c r="JOJ183" s="82"/>
      <c r="JOK183" s="82"/>
      <c r="JOL183" s="82"/>
      <c r="JOM183" s="82"/>
      <c r="JON183" s="82"/>
      <c r="JOO183" s="82"/>
      <c r="JOP183" s="82"/>
      <c r="JOQ183" s="82"/>
      <c r="JOR183" s="82"/>
      <c r="JOS183" s="82"/>
      <c r="JOT183" s="82"/>
      <c r="JOU183" s="82"/>
      <c r="JOV183" s="82"/>
      <c r="JOW183" s="82"/>
      <c r="JOX183" s="82"/>
      <c r="JOY183" s="82"/>
      <c r="JOZ183" s="82"/>
      <c r="JPA183" s="82"/>
      <c r="JPB183" s="82"/>
      <c r="JPC183" s="82"/>
      <c r="JPD183" s="82"/>
      <c r="JPE183" s="82"/>
      <c r="JPF183" s="82"/>
      <c r="JPG183" s="82"/>
      <c r="JPH183" s="82"/>
      <c r="JPI183" s="82"/>
      <c r="JPJ183" s="82"/>
      <c r="JPK183" s="82"/>
      <c r="JPL183" s="82"/>
      <c r="JPM183" s="82"/>
      <c r="JPN183" s="82"/>
      <c r="JPO183" s="82"/>
      <c r="JPP183" s="82"/>
      <c r="JPQ183" s="82"/>
      <c r="JPR183" s="82"/>
      <c r="JPS183" s="82"/>
      <c r="JPT183" s="82"/>
      <c r="JPU183" s="82"/>
      <c r="JPV183" s="82"/>
      <c r="JPW183" s="82"/>
      <c r="JPX183" s="82"/>
      <c r="JPY183" s="82"/>
      <c r="JPZ183" s="82"/>
      <c r="JQA183" s="82"/>
      <c r="JQB183" s="82"/>
      <c r="JQC183" s="82"/>
      <c r="JQD183" s="82"/>
      <c r="JQE183" s="82"/>
      <c r="JQF183" s="82"/>
      <c r="JQG183" s="82"/>
      <c r="JQH183" s="82"/>
      <c r="JQI183" s="82"/>
      <c r="JQJ183" s="82"/>
      <c r="JQK183" s="82"/>
      <c r="JQL183" s="82"/>
      <c r="JQM183" s="82"/>
      <c r="JQN183" s="82"/>
      <c r="JQO183" s="82"/>
      <c r="JQP183" s="82"/>
      <c r="JQQ183" s="82"/>
      <c r="JQR183" s="82"/>
      <c r="JQS183" s="82"/>
      <c r="JQT183" s="82"/>
      <c r="JQU183" s="82"/>
      <c r="JQV183" s="82"/>
      <c r="JQW183" s="82"/>
      <c r="JQX183" s="82"/>
      <c r="JQY183" s="82"/>
      <c r="JQZ183" s="82"/>
      <c r="JRA183" s="82"/>
      <c r="JRB183" s="82"/>
      <c r="JRC183" s="82"/>
      <c r="JRD183" s="82"/>
      <c r="JRE183" s="82"/>
      <c r="JRF183" s="82"/>
      <c r="JRG183" s="82"/>
      <c r="JRH183" s="82"/>
      <c r="JRI183" s="82"/>
      <c r="JRJ183" s="82"/>
      <c r="JRK183" s="82"/>
      <c r="JRL183" s="82"/>
      <c r="JRM183" s="82"/>
      <c r="JRN183" s="82"/>
      <c r="JRO183" s="82"/>
      <c r="JRP183" s="82"/>
      <c r="JRQ183" s="82"/>
      <c r="JRR183" s="82"/>
      <c r="JRS183" s="82"/>
      <c r="JRT183" s="82"/>
      <c r="JRU183" s="82"/>
      <c r="JRV183" s="82"/>
      <c r="JRW183" s="82"/>
      <c r="JRX183" s="82"/>
      <c r="JRY183" s="82"/>
      <c r="JRZ183" s="82"/>
      <c r="JSA183" s="82"/>
      <c r="JSB183" s="82"/>
      <c r="JSC183" s="82"/>
      <c r="JSD183" s="82"/>
      <c r="JSE183" s="82"/>
      <c r="JSF183" s="82"/>
      <c r="JSG183" s="82"/>
      <c r="JSH183" s="82"/>
      <c r="JSI183" s="82"/>
      <c r="JSJ183" s="82"/>
      <c r="JSK183" s="82"/>
      <c r="JSL183" s="82"/>
      <c r="JSM183" s="82"/>
      <c r="JSN183" s="82"/>
      <c r="JSO183" s="82"/>
      <c r="JSP183" s="82"/>
      <c r="JSQ183" s="82"/>
      <c r="JSR183" s="82"/>
      <c r="JSS183" s="82"/>
      <c r="JST183" s="82"/>
      <c r="JSU183" s="82"/>
      <c r="JSV183" s="82"/>
      <c r="JSW183" s="82"/>
      <c r="JSX183" s="82"/>
      <c r="JSY183" s="82"/>
      <c r="JSZ183" s="82"/>
      <c r="JTA183" s="82"/>
      <c r="JTB183" s="82"/>
      <c r="JTC183" s="82"/>
      <c r="JTD183" s="82"/>
      <c r="JTE183" s="82"/>
      <c r="JTF183" s="82"/>
      <c r="JTG183" s="82"/>
      <c r="JTH183" s="82"/>
      <c r="JTI183" s="82"/>
      <c r="JTJ183" s="82"/>
      <c r="JTK183" s="82"/>
      <c r="JTL183" s="82"/>
      <c r="JTM183" s="82"/>
      <c r="JTN183" s="82"/>
      <c r="JTO183" s="82"/>
      <c r="JTP183" s="82"/>
      <c r="JTQ183" s="82"/>
      <c r="JTR183" s="82"/>
      <c r="JTS183" s="82"/>
      <c r="JTT183" s="82"/>
      <c r="JTU183" s="82"/>
      <c r="JTV183" s="82"/>
      <c r="JTW183" s="82"/>
      <c r="JTX183" s="82"/>
      <c r="JTY183" s="82"/>
      <c r="JTZ183" s="82"/>
      <c r="JUA183" s="82"/>
      <c r="JUB183" s="82"/>
      <c r="JUC183" s="82"/>
      <c r="JUD183" s="82"/>
      <c r="JUE183" s="82"/>
      <c r="JUF183" s="82"/>
      <c r="JUG183" s="82"/>
      <c r="JUH183" s="82"/>
      <c r="JUI183" s="82"/>
      <c r="JUJ183" s="82"/>
      <c r="JUK183" s="82"/>
      <c r="JUL183" s="82"/>
      <c r="JUM183" s="82"/>
      <c r="JUN183" s="82"/>
      <c r="JUO183" s="82"/>
      <c r="JUP183" s="82"/>
      <c r="JUQ183" s="82"/>
      <c r="JUR183" s="82"/>
      <c r="JUS183" s="82"/>
      <c r="JUT183" s="82"/>
      <c r="JUU183" s="82"/>
      <c r="JUV183" s="82"/>
      <c r="JUW183" s="82"/>
      <c r="JUX183" s="82"/>
      <c r="JUY183" s="82"/>
      <c r="JUZ183" s="82"/>
      <c r="JVA183" s="82"/>
      <c r="JVB183" s="82"/>
      <c r="JVC183" s="82"/>
      <c r="JVD183" s="82"/>
      <c r="JVE183" s="82"/>
      <c r="JVF183" s="82"/>
      <c r="JVG183" s="82"/>
      <c r="JVH183" s="82"/>
      <c r="JVI183" s="82"/>
      <c r="JVJ183" s="82"/>
      <c r="JVK183" s="82"/>
      <c r="JVL183" s="82"/>
      <c r="JVM183" s="82"/>
      <c r="JVN183" s="82"/>
      <c r="JVO183" s="82"/>
      <c r="JVP183" s="82"/>
      <c r="JVQ183" s="82"/>
      <c r="JVR183" s="82"/>
      <c r="JVS183" s="82"/>
      <c r="JVT183" s="82"/>
      <c r="JVU183" s="82"/>
      <c r="JVV183" s="82"/>
      <c r="JVW183" s="82"/>
      <c r="JVX183" s="82"/>
      <c r="JVY183" s="82"/>
      <c r="JVZ183" s="82"/>
      <c r="JWA183" s="82"/>
      <c r="JWB183" s="82"/>
      <c r="JWC183" s="82"/>
      <c r="JWD183" s="82"/>
      <c r="JWE183" s="82"/>
      <c r="JWF183" s="82"/>
      <c r="JWG183" s="82"/>
      <c r="JWH183" s="82"/>
      <c r="JWI183" s="82"/>
      <c r="JWJ183" s="82"/>
      <c r="JWK183" s="82"/>
      <c r="JWL183" s="82"/>
      <c r="JWM183" s="82"/>
      <c r="JWN183" s="82"/>
      <c r="JWO183" s="82"/>
      <c r="JWP183" s="82"/>
      <c r="JWQ183" s="82"/>
      <c r="JWR183" s="82"/>
      <c r="JWS183" s="82"/>
      <c r="JWT183" s="82"/>
      <c r="JWU183" s="82"/>
      <c r="JWV183" s="82"/>
      <c r="JWW183" s="82"/>
      <c r="JWX183" s="82"/>
      <c r="JWY183" s="82"/>
      <c r="JWZ183" s="82"/>
      <c r="JXA183" s="82"/>
      <c r="JXB183" s="82"/>
      <c r="JXC183" s="82"/>
      <c r="JXD183" s="82"/>
      <c r="JXE183" s="82"/>
      <c r="JXF183" s="82"/>
      <c r="JXG183" s="82"/>
      <c r="JXH183" s="82"/>
      <c r="JXI183" s="82"/>
      <c r="JXJ183" s="82"/>
      <c r="JXK183" s="82"/>
      <c r="JXL183" s="82"/>
      <c r="JXM183" s="82"/>
      <c r="JXN183" s="82"/>
      <c r="JXO183" s="82"/>
      <c r="JXP183" s="82"/>
      <c r="JXQ183" s="82"/>
      <c r="JXR183" s="82"/>
      <c r="JXS183" s="82"/>
      <c r="JXT183" s="82"/>
      <c r="JXU183" s="82"/>
      <c r="JXV183" s="82"/>
      <c r="JXW183" s="82"/>
      <c r="JXX183" s="82"/>
      <c r="JXY183" s="82"/>
      <c r="JXZ183" s="82"/>
      <c r="JYA183" s="82"/>
      <c r="JYB183" s="82"/>
      <c r="JYC183" s="82"/>
      <c r="JYD183" s="82"/>
      <c r="JYE183" s="82"/>
      <c r="JYF183" s="82"/>
      <c r="JYG183" s="82"/>
      <c r="JYH183" s="82"/>
      <c r="JYI183" s="82"/>
      <c r="JYJ183" s="82"/>
      <c r="JYK183" s="82"/>
      <c r="JYL183" s="82"/>
      <c r="JYM183" s="82"/>
      <c r="JYN183" s="82"/>
      <c r="JYO183" s="82"/>
      <c r="JYP183" s="82"/>
      <c r="JYQ183" s="82"/>
      <c r="JYR183" s="82"/>
      <c r="JYS183" s="82"/>
      <c r="JYT183" s="82"/>
      <c r="JYU183" s="82"/>
      <c r="JYV183" s="82"/>
      <c r="JYW183" s="82"/>
      <c r="JYX183" s="82"/>
      <c r="JYY183" s="82"/>
      <c r="JYZ183" s="82"/>
      <c r="JZA183" s="82"/>
      <c r="JZB183" s="82"/>
      <c r="JZC183" s="82"/>
      <c r="JZD183" s="82"/>
      <c r="JZE183" s="82"/>
      <c r="JZF183" s="82"/>
      <c r="JZG183" s="82"/>
      <c r="JZH183" s="82"/>
      <c r="JZI183" s="82"/>
      <c r="JZJ183" s="82"/>
      <c r="JZK183" s="82"/>
      <c r="JZL183" s="82"/>
      <c r="JZM183" s="82"/>
      <c r="JZN183" s="82"/>
      <c r="JZO183" s="82"/>
      <c r="JZP183" s="82"/>
      <c r="JZQ183" s="82"/>
      <c r="JZR183" s="82"/>
      <c r="JZS183" s="82"/>
      <c r="JZT183" s="82"/>
      <c r="JZU183" s="82"/>
      <c r="JZV183" s="82"/>
      <c r="JZW183" s="82"/>
      <c r="JZX183" s="82"/>
      <c r="JZY183" s="82"/>
      <c r="JZZ183" s="82"/>
      <c r="KAA183" s="82"/>
      <c r="KAB183" s="82"/>
      <c r="KAC183" s="82"/>
      <c r="KAD183" s="82"/>
      <c r="KAE183" s="82"/>
      <c r="KAF183" s="82"/>
      <c r="KAG183" s="82"/>
      <c r="KAH183" s="82"/>
      <c r="KAI183" s="82"/>
      <c r="KAJ183" s="82"/>
      <c r="KAK183" s="82"/>
      <c r="KAL183" s="82"/>
      <c r="KAM183" s="82"/>
      <c r="KAN183" s="82"/>
      <c r="KAO183" s="82"/>
      <c r="KAP183" s="82"/>
      <c r="KAQ183" s="82"/>
      <c r="KAR183" s="82"/>
      <c r="KAS183" s="82"/>
      <c r="KAT183" s="82"/>
      <c r="KAU183" s="82"/>
      <c r="KAV183" s="82"/>
      <c r="KAW183" s="82"/>
      <c r="KAX183" s="82"/>
      <c r="KAY183" s="82"/>
      <c r="KAZ183" s="82"/>
      <c r="KBA183" s="82"/>
      <c r="KBB183" s="82"/>
      <c r="KBC183" s="82"/>
      <c r="KBD183" s="82"/>
      <c r="KBE183" s="82"/>
      <c r="KBF183" s="82"/>
      <c r="KBG183" s="82"/>
      <c r="KBH183" s="82"/>
      <c r="KBI183" s="82"/>
      <c r="KBJ183" s="82"/>
      <c r="KBK183" s="82"/>
      <c r="KBL183" s="82"/>
      <c r="KBM183" s="82"/>
      <c r="KBN183" s="82"/>
      <c r="KBO183" s="82"/>
      <c r="KBP183" s="82"/>
      <c r="KBQ183" s="82"/>
      <c r="KBR183" s="82"/>
      <c r="KBS183" s="82"/>
      <c r="KBT183" s="82"/>
      <c r="KBU183" s="82"/>
      <c r="KBV183" s="82"/>
      <c r="KBW183" s="82"/>
      <c r="KBX183" s="82"/>
      <c r="KBY183" s="82"/>
      <c r="KBZ183" s="82"/>
      <c r="KCA183" s="82"/>
      <c r="KCB183" s="82"/>
      <c r="KCC183" s="82"/>
      <c r="KCD183" s="82"/>
      <c r="KCE183" s="82"/>
      <c r="KCF183" s="82"/>
      <c r="KCG183" s="82"/>
      <c r="KCH183" s="82"/>
      <c r="KCI183" s="82"/>
      <c r="KCJ183" s="82"/>
      <c r="KCK183" s="82"/>
      <c r="KCL183" s="82"/>
      <c r="KCM183" s="82"/>
      <c r="KCN183" s="82"/>
      <c r="KCO183" s="82"/>
      <c r="KCP183" s="82"/>
      <c r="KCQ183" s="82"/>
      <c r="KCR183" s="82"/>
      <c r="KCS183" s="82"/>
      <c r="KCT183" s="82"/>
      <c r="KCU183" s="82"/>
      <c r="KCV183" s="82"/>
      <c r="KCW183" s="82"/>
      <c r="KCX183" s="82"/>
      <c r="KCY183" s="82"/>
      <c r="KCZ183" s="82"/>
      <c r="KDA183" s="82"/>
      <c r="KDB183" s="82"/>
      <c r="KDC183" s="82"/>
      <c r="KDD183" s="82"/>
      <c r="KDE183" s="82"/>
      <c r="KDF183" s="82"/>
      <c r="KDG183" s="82"/>
      <c r="KDH183" s="82"/>
      <c r="KDI183" s="82"/>
      <c r="KDJ183" s="82"/>
      <c r="KDK183" s="82"/>
      <c r="KDL183" s="82"/>
      <c r="KDM183" s="82"/>
      <c r="KDN183" s="82"/>
      <c r="KDO183" s="82"/>
      <c r="KDP183" s="82"/>
      <c r="KDQ183" s="82"/>
      <c r="KDR183" s="82"/>
      <c r="KDS183" s="82"/>
      <c r="KDT183" s="82"/>
      <c r="KDU183" s="82"/>
      <c r="KDV183" s="82"/>
      <c r="KDW183" s="82"/>
      <c r="KDX183" s="82"/>
      <c r="KDY183" s="82"/>
      <c r="KDZ183" s="82"/>
      <c r="KEA183" s="82"/>
      <c r="KEB183" s="82"/>
      <c r="KEC183" s="82"/>
      <c r="KED183" s="82"/>
      <c r="KEE183" s="82"/>
      <c r="KEF183" s="82"/>
      <c r="KEG183" s="82"/>
      <c r="KEH183" s="82"/>
      <c r="KEI183" s="82"/>
      <c r="KEJ183" s="82"/>
      <c r="KEK183" s="82"/>
      <c r="KEL183" s="82"/>
      <c r="KEM183" s="82"/>
      <c r="KEN183" s="82"/>
      <c r="KEO183" s="82"/>
      <c r="KEP183" s="82"/>
      <c r="KEQ183" s="82"/>
      <c r="KER183" s="82"/>
      <c r="KES183" s="82"/>
      <c r="KET183" s="82"/>
      <c r="KEU183" s="82"/>
      <c r="KEV183" s="82"/>
      <c r="KEW183" s="82"/>
      <c r="KEX183" s="82"/>
      <c r="KEY183" s="82"/>
      <c r="KEZ183" s="82"/>
      <c r="KFA183" s="82"/>
      <c r="KFB183" s="82"/>
      <c r="KFC183" s="82"/>
      <c r="KFD183" s="82"/>
      <c r="KFE183" s="82"/>
      <c r="KFF183" s="82"/>
      <c r="KFG183" s="82"/>
      <c r="KFH183" s="82"/>
      <c r="KFI183" s="82"/>
      <c r="KFJ183" s="82"/>
      <c r="KFK183" s="82"/>
      <c r="KFL183" s="82"/>
      <c r="KFM183" s="82"/>
      <c r="KFN183" s="82"/>
      <c r="KFO183" s="82"/>
      <c r="KFP183" s="82"/>
      <c r="KFQ183" s="82"/>
      <c r="KFR183" s="82"/>
      <c r="KFS183" s="82"/>
      <c r="KFT183" s="82"/>
      <c r="KFU183" s="82"/>
      <c r="KFV183" s="82"/>
      <c r="KFW183" s="82"/>
      <c r="KFX183" s="82"/>
      <c r="KFY183" s="82"/>
      <c r="KFZ183" s="82"/>
      <c r="KGA183" s="82"/>
      <c r="KGB183" s="82"/>
      <c r="KGC183" s="82"/>
      <c r="KGD183" s="82"/>
      <c r="KGE183" s="82"/>
      <c r="KGF183" s="82"/>
      <c r="KGG183" s="82"/>
      <c r="KGH183" s="82"/>
      <c r="KGI183" s="82"/>
      <c r="KGJ183" s="82"/>
      <c r="KGK183" s="82"/>
      <c r="KGL183" s="82"/>
      <c r="KGM183" s="82"/>
      <c r="KGN183" s="82"/>
      <c r="KGO183" s="82"/>
      <c r="KGP183" s="82"/>
      <c r="KGQ183" s="82"/>
      <c r="KGR183" s="82"/>
      <c r="KGS183" s="82"/>
      <c r="KGT183" s="82"/>
      <c r="KGU183" s="82"/>
      <c r="KGV183" s="82"/>
      <c r="KGW183" s="82"/>
      <c r="KGX183" s="82"/>
      <c r="KGY183" s="82"/>
      <c r="KGZ183" s="82"/>
      <c r="KHA183" s="82"/>
      <c r="KHB183" s="82"/>
      <c r="KHC183" s="82"/>
      <c r="KHD183" s="82"/>
      <c r="KHE183" s="82"/>
      <c r="KHF183" s="82"/>
      <c r="KHG183" s="82"/>
      <c r="KHH183" s="82"/>
      <c r="KHI183" s="82"/>
      <c r="KHJ183" s="82"/>
      <c r="KHK183" s="82"/>
      <c r="KHL183" s="82"/>
      <c r="KHM183" s="82"/>
      <c r="KHN183" s="82"/>
      <c r="KHO183" s="82"/>
      <c r="KHP183" s="82"/>
      <c r="KHQ183" s="82"/>
      <c r="KHR183" s="82"/>
      <c r="KHS183" s="82"/>
      <c r="KHT183" s="82"/>
      <c r="KHU183" s="82"/>
      <c r="KHV183" s="82"/>
      <c r="KHW183" s="82"/>
      <c r="KHX183" s="82"/>
      <c r="KHY183" s="82"/>
      <c r="KHZ183" s="82"/>
      <c r="KIA183" s="82"/>
      <c r="KIB183" s="82"/>
      <c r="KIC183" s="82"/>
      <c r="KID183" s="82"/>
      <c r="KIE183" s="82"/>
      <c r="KIF183" s="82"/>
      <c r="KIG183" s="82"/>
      <c r="KIH183" s="82"/>
      <c r="KII183" s="82"/>
      <c r="KIJ183" s="82"/>
      <c r="KIK183" s="82"/>
      <c r="KIL183" s="82"/>
      <c r="KIM183" s="82"/>
      <c r="KIN183" s="82"/>
      <c r="KIO183" s="82"/>
      <c r="KIP183" s="82"/>
      <c r="KIQ183" s="82"/>
      <c r="KIR183" s="82"/>
      <c r="KIS183" s="82"/>
      <c r="KIT183" s="82"/>
      <c r="KIU183" s="82"/>
      <c r="KIV183" s="82"/>
      <c r="KIW183" s="82"/>
      <c r="KIX183" s="82"/>
      <c r="KIY183" s="82"/>
      <c r="KIZ183" s="82"/>
      <c r="KJA183" s="82"/>
      <c r="KJB183" s="82"/>
      <c r="KJC183" s="82"/>
      <c r="KJD183" s="82"/>
      <c r="KJE183" s="82"/>
      <c r="KJF183" s="82"/>
      <c r="KJG183" s="82"/>
      <c r="KJH183" s="82"/>
      <c r="KJI183" s="82"/>
      <c r="KJJ183" s="82"/>
      <c r="KJK183" s="82"/>
      <c r="KJL183" s="82"/>
      <c r="KJM183" s="82"/>
      <c r="KJN183" s="82"/>
      <c r="KJO183" s="82"/>
      <c r="KJP183" s="82"/>
      <c r="KJQ183" s="82"/>
      <c r="KJR183" s="82"/>
      <c r="KJS183" s="82"/>
      <c r="KJT183" s="82"/>
      <c r="KJU183" s="82"/>
      <c r="KJV183" s="82"/>
      <c r="KJW183" s="82"/>
      <c r="KJX183" s="82"/>
      <c r="KJY183" s="82"/>
      <c r="KJZ183" s="82"/>
      <c r="KKA183" s="82"/>
      <c r="KKB183" s="82"/>
      <c r="KKC183" s="82"/>
      <c r="KKD183" s="82"/>
      <c r="KKE183" s="82"/>
      <c r="KKF183" s="82"/>
      <c r="KKG183" s="82"/>
      <c r="KKH183" s="82"/>
      <c r="KKI183" s="82"/>
      <c r="KKJ183" s="82"/>
      <c r="KKK183" s="82"/>
      <c r="KKL183" s="82"/>
      <c r="KKM183" s="82"/>
      <c r="KKN183" s="82"/>
      <c r="KKO183" s="82"/>
      <c r="KKP183" s="82"/>
      <c r="KKQ183" s="82"/>
      <c r="KKR183" s="82"/>
      <c r="KKS183" s="82"/>
      <c r="KKT183" s="82"/>
      <c r="KKU183" s="82"/>
      <c r="KKV183" s="82"/>
      <c r="KKW183" s="82"/>
      <c r="KKX183" s="82"/>
      <c r="KKY183" s="82"/>
      <c r="KKZ183" s="82"/>
      <c r="KLA183" s="82"/>
      <c r="KLB183" s="82"/>
      <c r="KLC183" s="82"/>
      <c r="KLD183" s="82"/>
      <c r="KLE183" s="82"/>
      <c r="KLF183" s="82"/>
      <c r="KLG183" s="82"/>
      <c r="KLH183" s="82"/>
      <c r="KLI183" s="82"/>
      <c r="KLJ183" s="82"/>
      <c r="KLK183" s="82"/>
      <c r="KLL183" s="82"/>
      <c r="KLM183" s="82"/>
      <c r="KLN183" s="82"/>
      <c r="KLO183" s="82"/>
      <c r="KLP183" s="82"/>
      <c r="KLQ183" s="82"/>
      <c r="KLR183" s="82"/>
      <c r="KLS183" s="82"/>
      <c r="KLT183" s="82"/>
      <c r="KLU183" s="82"/>
      <c r="KLV183" s="82"/>
      <c r="KLW183" s="82"/>
      <c r="KLX183" s="82"/>
      <c r="KLY183" s="82"/>
      <c r="KLZ183" s="82"/>
      <c r="KMA183" s="82"/>
      <c r="KMB183" s="82"/>
      <c r="KMC183" s="82"/>
      <c r="KMD183" s="82"/>
      <c r="KME183" s="82"/>
      <c r="KMF183" s="82"/>
      <c r="KMG183" s="82"/>
      <c r="KMH183" s="82"/>
      <c r="KMI183" s="82"/>
      <c r="KMJ183" s="82"/>
      <c r="KMK183" s="82"/>
      <c r="KML183" s="82"/>
      <c r="KMM183" s="82"/>
      <c r="KMN183" s="82"/>
      <c r="KMO183" s="82"/>
      <c r="KMP183" s="82"/>
      <c r="KMQ183" s="82"/>
      <c r="KMR183" s="82"/>
      <c r="KMS183" s="82"/>
      <c r="KMT183" s="82"/>
      <c r="KMU183" s="82"/>
      <c r="KMV183" s="82"/>
      <c r="KMW183" s="82"/>
      <c r="KMX183" s="82"/>
      <c r="KMY183" s="82"/>
      <c r="KMZ183" s="82"/>
      <c r="KNA183" s="82"/>
      <c r="KNB183" s="82"/>
      <c r="KNC183" s="82"/>
      <c r="KND183" s="82"/>
      <c r="KNE183" s="82"/>
      <c r="KNF183" s="82"/>
      <c r="KNG183" s="82"/>
      <c r="KNH183" s="82"/>
      <c r="KNI183" s="82"/>
      <c r="KNJ183" s="82"/>
      <c r="KNK183" s="82"/>
      <c r="KNL183" s="82"/>
      <c r="KNM183" s="82"/>
      <c r="KNN183" s="82"/>
      <c r="KNO183" s="82"/>
      <c r="KNP183" s="82"/>
      <c r="KNQ183" s="82"/>
      <c r="KNR183" s="82"/>
      <c r="KNS183" s="82"/>
      <c r="KNT183" s="82"/>
      <c r="KNU183" s="82"/>
      <c r="KNV183" s="82"/>
      <c r="KNW183" s="82"/>
      <c r="KNX183" s="82"/>
      <c r="KNY183" s="82"/>
      <c r="KNZ183" s="82"/>
      <c r="KOA183" s="82"/>
      <c r="KOB183" s="82"/>
      <c r="KOC183" s="82"/>
      <c r="KOD183" s="82"/>
      <c r="KOE183" s="82"/>
      <c r="KOF183" s="82"/>
      <c r="KOG183" s="82"/>
      <c r="KOH183" s="82"/>
      <c r="KOI183" s="82"/>
      <c r="KOJ183" s="82"/>
      <c r="KOK183" s="82"/>
      <c r="KOL183" s="82"/>
      <c r="KOM183" s="82"/>
      <c r="KON183" s="82"/>
      <c r="KOO183" s="82"/>
      <c r="KOP183" s="82"/>
      <c r="KOQ183" s="82"/>
      <c r="KOR183" s="82"/>
      <c r="KOS183" s="82"/>
      <c r="KOT183" s="82"/>
      <c r="KOU183" s="82"/>
      <c r="KOV183" s="82"/>
      <c r="KOW183" s="82"/>
      <c r="KOX183" s="82"/>
      <c r="KOY183" s="82"/>
      <c r="KOZ183" s="82"/>
      <c r="KPA183" s="82"/>
      <c r="KPB183" s="82"/>
      <c r="KPC183" s="82"/>
      <c r="KPD183" s="82"/>
      <c r="KPE183" s="82"/>
      <c r="KPF183" s="82"/>
      <c r="KPG183" s="82"/>
      <c r="KPH183" s="82"/>
      <c r="KPI183" s="82"/>
      <c r="KPJ183" s="82"/>
      <c r="KPK183" s="82"/>
      <c r="KPL183" s="82"/>
      <c r="KPM183" s="82"/>
      <c r="KPN183" s="82"/>
      <c r="KPO183" s="82"/>
      <c r="KPP183" s="82"/>
      <c r="KPQ183" s="82"/>
      <c r="KPR183" s="82"/>
      <c r="KPS183" s="82"/>
      <c r="KPT183" s="82"/>
      <c r="KPU183" s="82"/>
      <c r="KPV183" s="82"/>
      <c r="KPW183" s="82"/>
      <c r="KPX183" s="82"/>
      <c r="KPY183" s="82"/>
      <c r="KPZ183" s="82"/>
      <c r="KQA183" s="82"/>
      <c r="KQB183" s="82"/>
      <c r="KQC183" s="82"/>
      <c r="KQD183" s="82"/>
      <c r="KQE183" s="82"/>
      <c r="KQF183" s="82"/>
      <c r="KQG183" s="82"/>
      <c r="KQH183" s="82"/>
      <c r="KQI183" s="82"/>
      <c r="KQJ183" s="82"/>
      <c r="KQK183" s="82"/>
      <c r="KQL183" s="82"/>
      <c r="KQM183" s="82"/>
      <c r="KQN183" s="82"/>
      <c r="KQO183" s="82"/>
      <c r="KQP183" s="82"/>
      <c r="KQQ183" s="82"/>
      <c r="KQR183" s="82"/>
      <c r="KQS183" s="82"/>
      <c r="KQT183" s="82"/>
      <c r="KQU183" s="82"/>
      <c r="KQV183" s="82"/>
      <c r="KQW183" s="82"/>
      <c r="KQX183" s="82"/>
      <c r="KQY183" s="82"/>
      <c r="KQZ183" s="82"/>
      <c r="KRA183" s="82"/>
      <c r="KRB183" s="82"/>
      <c r="KRC183" s="82"/>
      <c r="KRD183" s="82"/>
      <c r="KRE183" s="82"/>
      <c r="KRF183" s="82"/>
      <c r="KRG183" s="82"/>
      <c r="KRH183" s="82"/>
      <c r="KRI183" s="82"/>
      <c r="KRJ183" s="82"/>
      <c r="KRK183" s="82"/>
      <c r="KRL183" s="82"/>
      <c r="KRM183" s="82"/>
      <c r="KRN183" s="82"/>
      <c r="KRO183" s="82"/>
      <c r="KRP183" s="82"/>
      <c r="KRQ183" s="82"/>
      <c r="KRR183" s="82"/>
      <c r="KRS183" s="82"/>
      <c r="KRT183" s="82"/>
      <c r="KRU183" s="82"/>
      <c r="KRV183" s="82"/>
      <c r="KRW183" s="82"/>
      <c r="KRX183" s="82"/>
      <c r="KRY183" s="82"/>
      <c r="KRZ183" s="82"/>
      <c r="KSA183" s="82"/>
      <c r="KSB183" s="82"/>
      <c r="KSC183" s="82"/>
      <c r="KSD183" s="82"/>
      <c r="KSE183" s="82"/>
      <c r="KSF183" s="82"/>
      <c r="KSG183" s="82"/>
      <c r="KSH183" s="82"/>
      <c r="KSI183" s="82"/>
      <c r="KSJ183" s="82"/>
      <c r="KSK183" s="82"/>
      <c r="KSL183" s="82"/>
      <c r="KSM183" s="82"/>
      <c r="KSN183" s="82"/>
      <c r="KSO183" s="82"/>
      <c r="KSP183" s="82"/>
      <c r="KSQ183" s="82"/>
      <c r="KSR183" s="82"/>
      <c r="KSS183" s="82"/>
      <c r="KST183" s="82"/>
      <c r="KSU183" s="82"/>
      <c r="KSV183" s="82"/>
      <c r="KSW183" s="82"/>
      <c r="KSX183" s="82"/>
      <c r="KSY183" s="82"/>
      <c r="KSZ183" s="82"/>
      <c r="KTA183" s="82"/>
      <c r="KTB183" s="82"/>
      <c r="KTC183" s="82"/>
      <c r="KTD183" s="82"/>
      <c r="KTE183" s="82"/>
      <c r="KTF183" s="82"/>
      <c r="KTG183" s="82"/>
      <c r="KTH183" s="82"/>
      <c r="KTI183" s="82"/>
      <c r="KTJ183" s="82"/>
      <c r="KTK183" s="82"/>
      <c r="KTL183" s="82"/>
      <c r="KTM183" s="82"/>
      <c r="KTN183" s="82"/>
      <c r="KTO183" s="82"/>
      <c r="KTP183" s="82"/>
      <c r="KTQ183" s="82"/>
      <c r="KTR183" s="82"/>
      <c r="KTS183" s="82"/>
      <c r="KTT183" s="82"/>
      <c r="KTU183" s="82"/>
      <c r="KTV183" s="82"/>
      <c r="KTW183" s="82"/>
      <c r="KTX183" s="82"/>
      <c r="KTY183" s="82"/>
      <c r="KTZ183" s="82"/>
      <c r="KUA183" s="82"/>
      <c r="KUB183" s="82"/>
      <c r="KUC183" s="82"/>
      <c r="KUD183" s="82"/>
      <c r="KUE183" s="82"/>
      <c r="KUF183" s="82"/>
      <c r="KUG183" s="82"/>
      <c r="KUH183" s="82"/>
      <c r="KUI183" s="82"/>
      <c r="KUJ183" s="82"/>
      <c r="KUK183" s="82"/>
      <c r="KUL183" s="82"/>
      <c r="KUM183" s="82"/>
      <c r="KUN183" s="82"/>
      <c r="KUO183" s="82"/>
      <c r="KUP183" s="82"/>
      <c r="KUQ183" s="82"/>
      <c r="KUR183" s="82"/>
      <c r="KUS183" s="82"/>
      <c r="KUT183" s="82"/>
      <c r="KUU183" s="82"/>
      <c r="KUV183" s="82"/>
      <c r="KUW183" s="82"/>
      <c r="KUX183" s="82"/>
      <c r="KUY183" s="82"/>
      <c r="KUZ183" s="82"/>
      <c r="KVA183" s="82"/>
      <c r="KVB183" s="82"/>
      <c r="KVC183" s="82"/>
      <c r="KVD183" s="82"/>
      <c r="KVE183" s="82"/>
      <c r="KVF183" s="82"/>
      <c r="KVG183" s="82"/>
      <c r="KVH183" s="82"/>
      <c r="KVI183" s="82"/>
      <c r="KVJ183" s="82"/>
      <c r="KVK183" s="82"/>
      <c r="KVL183" s="82"/>
      <c r="KVM183" s="82"/>
      <c r="KVN183" s="82"/>
      <c r="KVO183" s="82"/>
      <c r="KVP183" s="82"/>
      <c r="KVQ183" s="82"/>
      <c r="KVR183" s="82"/>
      <c r="KVS183" s="82"/>
      <c r="KVT183" s="82"/>
      <c r="KVU183" s="82"/>
      <c r="KVV183" s="82"/>
      <c r="KVW183" s="82"/>
      <c r="KVX183" s="82"/>
      <c r="KVY183" s="82"/>
      <c r="KVZ183" s="82"/>
      <c r="KWA183" s="82"/>
      <c r="KWB183" s="82"/>
      <c r="KWC183" s="82"/>
      <c r="KWD183" s="82"/>
      <c r="KWE183" s="82"/>
      <c r="KWF183" s="82"/>
      <c r="KWG183" s="82"/>
      <c r="KWH183" s="82"/>
      <c r="KWI183" s="82"/>
      <c r="KWJ183" s="82"/>
      <c r="KWK183" s="82"/>
      <c r="KWL183" s="82"/>
      <c r="KWM183" s="82"/>
      <c r="KWN183" s="82"/>
      <c r="KWO183" s="82"/>
      <c r="KWP183" s="82"/>
      <c r="KWQ183" s="82"/>
      <c r="KWR183" s="82"/>
      <c r="KWS183" s="82"/>
      <c r="KWT183" s="82"/>
      <c r="KWU183" s="82"/>
      <c r="KWV183" s="82"/>
      <c r="KWW183" s="82"/>
      <c r="KWX183" s="82"/>
      <c r="KWY183" s="82"/>
      <c r="KWZ183" s="82"/>
      <c r="KXA183" s="82"/>
      <c r="KXB183" s="82"/>
      <c r="KXC183" s="82"/>
      <c r="KXD183" s="82"/>
      <c r="KXE183" s="82"/>
      <c r="KXF183" s="82"/>
      <c r="KXG183" s="82"/>
      <c r="KXH183" s="82"/>
      <c r="KXI183" s="82"/>
      <c r="KXJ183" s="82"/>
      <c r="KXK183" s="82"/>
      <c r="KXL183" s="82"/>
      <c r="KXM183" s="82"/>
      <c r="KXN183" s="82"/>
      <c r="KXO183" s="82"/>
      <c r="KXP183" s="82"/>
      <c r="KXQ183" s="82"/>
      <c r="KXR183" s="82"/>
      <c r="KXS183" s="82"/>
      <c r="KXT183" s="82"/>
      <c r="KXU183" s="82"/>
      <c r="KXV183" s="82"/>
      <c r="KXW183" s="82"/>
      <c r="KXX183" s="82"/>
      <c r="KXY183" s="82"/>
      <c r="KXZ183" s="82"/>
      <c r="KYA183" s="82"/>
      <c r="KYB183" s="82"/>
      <c r="KYC183" s="82"/>
      <c r="KYD183" s="82"/>
      <c r="KYE183" s="82"/>
      <c r="KYF183" s="82"/>
      <c r="KYG183" s="82"/>
      <c r="KYH183" s="82"/>
      <c r="KYI183" s="82"/>
      <c r="KYJ183" s="82"/>
      <c r="KYK183" s="82"/>
      <c r="KYL183" s="82"/>
      <c r="KYM183" s="82"/>
      <c r="KYN183" s="82"/>
      <c r="KYO183" s="82"/>
      <c r="KYP183" s="82"/>
      <c r="KYQ183" s="82"/>
      <c r="KYR183" s="82"/>
      <c r="KYS183" s="82"/>
      <c r="KYT183" s="82"/>
      <c r="KYU183" s="82"/>
      <c r="KYV183" s="82"/>
      <c r="KYW183" s="82"/>
      <c r="KYX183" s="82"/>
      <c r="KYY183" s="82"/>
      <c r="KYZ183" s="82"/>
      <c r="KZA183" s="82"/>
      <c r="KZB183" s="82"/>
      <c r="KZC183" s="82"/>
      <c r="KZD183" s="82"/>
      <c r="KZE183" s="82"/>
      <c r="KZF183" s="82"/>
      <c r="KZG183" s="82"/>
      <c r="KZH183" s="82"/>
      <c r="KZI183" s="82"/>
      <c r="KZJ183" s="82"/>
      <c r="KZK183" s="82"/>
      <c r="KZL183" s="82"/>
      <c r="KZM183" s="82"/>
      <c r="KZN183" s="82"/>
      <c r="KZO183" s="82"/>
      <c r="KZP183" s="82"/>
      <c r="KZQ183" s="82"/>
      <c r="KZR183" s="82"/>
      <c r="KZS183" s="82"/>
      <c r="KZT183" s="82"/>
      <c r="KZU183" s="82"/>
      <c r="KZV183" s="82"/>
      <c r="KZW183" s="82"/>
      <c r="KZX183" s="82"/>
      <c r="KZY183" s="82"/>
      <c r="KZZ183" s="82"/>
      <c r="LAA183" s="82"/>
      <c r="LAB183" s="82"/>
      <c r="LAC183" s="82"/>
      <c r="LAD183" s="82"/>
      <c r="LAE183" s="82"/>
      <c r="LAF183" s="82"/>
      <c r="LAG183" s="82"/>
      <c r="LAH183" s="82"/>
      <c r="LAI183" s="82"/>
      <c r="LAJ183" s="82"/>
      <c r="LAK183" s="82"/>
      <c r="LAL183" s="82"/>
      <c r="LAM183" s="82"/>
      <c r="LAN183" s="82"/>
      <c r="LAO183" s="82"/>
      <c r="LAP183" s="82"/>
      <c r="LAQ183" s="82"/>
      <c r="LAR183" s="82"/>
      <c r="LAS183" s="82"/>
      <c r="LAT183" s="82"/>
      <c r="LAU183" s="82"/>
      <c r="LAV183" s="82"/>
      <c r="LAW183" s="82"/>
      <c r="LAX183" s="82"/>
      <c r="LAY183" s="82"/>
      <c r="LAZ183" s="82"/>
      <c r="LBA183" s="82"/>
      <c r="LBB183" s="82"/>
      <c r="LBC183" s="82"/>
      <c r="LBD183" s="82"/>
      <c r="LBE183" s="82"/>
      <c r="LBF183" s="82"/>
      <c r="LBG183" s="82"/>
      <c r="LBH183" s="82"/>
      <c r="LBI183" s="82"/>
      <c r="LBJ183" s="82"/>
      <c r="LBK183" s="82"/>
      <c r="LBL183" s="82"/>
      <c r="LBM183" s="82"/>
      <c r="LBN183" s="82"/>
      <c r="LBO183" s="82"/>
      <c r="LBP183" s="82"/>
      <c r="LBQ183" s="82"/>
      <c r="LBR183" s="82"/>
      <c r="LBS183" s="82"/>
      <c r="LBT183" s="82"/>
      <c r="LBU183" s="82"/>
      <c r="LBV183" s="82"/>
      <c r="LBW183" s="82"/>
      <c r="LBX183" s="82"/>
      <c r="LBY183" s="82"/>
      <c r="LBZ183" s="82"/>
      <c r="LCA183" s="82"/>
      <c r="LCB183" s="82"/>
      <c r="LCC183" s="82"/>
      <c r="LCD183" s="82"/>
      <c r="LCE183" s="82"/>
      <c r="LCF183" s="82"/>
      <c r="LCG183" s="82"/>
      <c r="LCH183" s="82"/>
      <c r="LCI183" s="82"/>
      <c r="LCJ183" s="82"/>
      <c r="LCK183" s="82"/>
      <c r="LCL183" s="82"/>
      <c r="LCM183" s="82"/>
      <c r="LCN183" s="82"/>
      <c r="LCO183" s="82"/>
      <c r="LCP183" s="82"/>
      <c r="LCQ183" s="82"/>
      <c r="LCR183" s="82"/>
      <c r="LCS183" s="82"/>
      <c r="LCT183" s="82"/>
      <c r="LCU183" s="82"/>
      <c r="LCV183" s="82"/>
      <c r="LCW183" s="82"/>
      <c r="LCX183" s="82"/>
      <c r="LCY183" s="82"/>
      <c r="LCZ183" s="82"/>
      <c r="LDA183" s="82"/>
      <c r="LDB183" s="82"/>
      <c r="LDC183" s="82"/>
      <c r="LDD183" s="82"/>
      <c r="LDE183" s="82"/>
      <c r="LDF183" s="82"/>
      <c r="LDG183" s="82"/>
      <c r="LDH183" s="82"/>
      <c r="LDI183" s="82"/>
      <c r="LDJ183" s="82"/>
      <c r="LDK183" s="82"/>
      <c r="LDL183" s="82"/>
      <c r="LDM183" s="82"/>
      <c r="LDN183" s="82"/>
      <c r="LDO183" s="82"/>
      <c r="LDP183" s="82"/>
      <c r="LDQ183" s="82"/>
      <c r="LDR183" s="82"/>
      <c r="LDS183" s="82"/>
      <c r="LDT183" s="82"/>
      <c r="LDU183" s="82"/>
      <c r="LDV183" s="82"/>
      <c r="LDW183" s="82"/>
      <c r="LDX183" s="82"/>
      <c r="LDY183" s="82"/>
      <c r="LDZ183" s="82"/>
      <c r="LEA183" s="82"/>
      <c r="LEB183" s="82"/>
      <c r="LEC183" s="82"/>
      <c r="LED183" s="82"/>
      <c r="LEE183" s="82"/>
      <c r="LEF183" s="82"/>
      <c r="LEG183" s="82"/>
      <c r="LEH183" s="82"/>
      <c r="LEI183" s="82"/>
      <c r="LEJ183" s="82"/>
      <c r="LEK183" s="82"/>
      <c r="LEL183" s="82"/>
      <c r="LEM183" s="82"/>
      <c r="LEN183" s="82"/>
      <c r="LEO183" s="82"/>
      <c r="LEP183" s="82"/>
      <c r="LEQ183" s="82"/>
      <c r="LER183" s="82"/>
      <c r="LES183" s="82"/>
      <c r="LET183" s="82"/>
      <c r="LEU183" s="82"/>
      <c r="LEV183" s="82"/>
      <c r="LEW183" s="82"/>
      <c r="LEX183" s="82"/>
      <c r="LEY183" s="82"/>
      <c r="LEZ183" s="82"/>
      <c r="LFA183" s="82"/>
      <c r="LFB183" s="82"/>
      <c r="LFC183" s="82"/>
      <c r="LFD183" s="82"/>
      <c r="LFE183" s="82"/>
      <c r="LFF183" s="82"/>
      <c r="LFG183" s="82"/>
      <c r="LFH183" s="82"/>
      <c r="LFI183" s="82"/>
      <c r="LFJ183" s="82"/>
      <c r="LFK183" s="82"/>
      <c r="LFL183" s="82"/>
      <c r="LFM183" s="82"/>
      <c r="LFN183" s="82"/>
      <c r="LFO183" s="82"/>
      <c r="LFP183" s="82"/>
      <c r="LFQ183" s="82"/>
      <c r="LFR183" s="82"/>
      <c r="LFS183" s="82"/>
      <c r="LFT183" s="82"/>
      <c r="LFU183" s="82"/>
      <c r="LFV183" s="82"/>
      <c r="LFW183" s="82"/>
      <c r="LFX183" s="82"/>
      <c r="LFY183" s="82"/>
      <c r="LFZ183" s="82"/>
      <c r="LGA183" s="82"/>
      <c r="LGB183" s="82"/>
      <c r="LGC183" s="82"/>
      <c r="LGD183" s="82"/>
      <c r="LGE183" s="82"/>
      <c r="LGF183" s="82"/>
      <c r="LGG183" s="82"/>
      <c r="LGH183" s="82"/>
      <c r="LGI183" s="82"/>
      <c r="LGJ183" s="82"/>
      <c r="LGK183" s="82"/>
      <c r="LGL183" s="82"/>
      <c r="LGM183" s="82"/>
      <c r="LGN183" s="82"/>
      <c r="LGO183" s="82"/>
      <c r="LGP183" s="82"/>
      <c r="LGQ183" s="82"/>
      <c r="LGR183" s="82"/>
      <c r="LGS183" s="82"/>
      <c r="LGT183" s="82"/>
      <c r="LGU183" s="82"/>
      <c r="LGV183" s="82"/>
      <c r="LGW183" s="82"/>
      <c r="LGX183" s="82"/>
      <c r="LGY183" s="82"/>
      <c r="LGZ183" s="82"/>
      <c r="LHA183" s="82"/>
      <c r="LHB183" s="82"/>
      <c r="LHC183" s="82"/>
      <c r="LHD183" s="82"/>
      <c r="LHE183" s="82"/>
      <c r="LHF183" s="82"/>
      <c r="LHG183" s="82"/>
      <c r="LHH183" s="82"/>
      <c r="LHI183" s="82"/>
      <c r="LHJ183" s="82"/>
      <c r="LHK183" s="82"/>
      <c r="LHL183" s="82"/>
      <c r="LHM183" s="82"/>
      <c r="LHN183" s="82"/>
      <c r="LHO183" s="82"/>
      <c r="LHP183" s="82"/>
      <c r="LHQ183" s="82"/>
      <c r="LHR183" s="82"/>
      <c r="LHS183" s="82"/>
      <c r="LHT183" s="82"/>
      <c r="LHU183" s="82"/>
      <c r="LHV183" s="82"/>
      <c r="LHW183" s="82"/>
      <c r="LHX183" s="82"/>
      <c r="LHY183" s="82"/>
      <c r="LHZ183" s="82"/>
      <c r="LIA183" s="82"/>
      <c r="LIB183" s="82"/>
      <c r="LIC183" s="82"/>
      <c r="LID183" s="82"/>
      <c r="LIE183" s="82"/>
      <c r="LIF183" s="82"/>
      <c r="LIG183" s="82"/>
      <c r="LIH183" s="82"/>
      <c r="LII183" s="82"/>
      <c r="LIJ183" s="82"/>
      <c r="LIK183" s="82"/>
      <c r="LIL183" s="82"/>
      <c r="LIM183" s="82"/>
      <c r="LIN183" s="82"/>
      <c r="LIO183" s="82"/>
      <c r="LIP183" s="82"/>
      <c r="LIQ183" s="82"/>
      <c r="LIR183" s="82"/>
      <c r="LIS183" s="82"/>
      <c r="LIT183" s="82"/>
      <c r="LIU183" s="82"/>
      <c r="LIV183" s="82"/>
      <c r="LIW183" s="82"/>
      <c r="LIX183" s="82"/>
      <c r="LIY183" s="82"/>
      <c r="LIZ183" s="82"/>
      <c r="LJA183" s="82"/>
      <c r="LJB183" s="82"/>
      <c r="LJC183" s="82"/>
      <c r="LJD183" s="82"/>
      <c r="LJE183" s="82"/>
      <c r="LJF183" s="82"/>
      <c r="LJG183" s="82"/>
      <c r="LJH183" s="82"/>
      <c r="LJI183" s="82"/>
      <c r="LJJ183" s="82"/>
      <c r="LJK183" s="82"/>
      <c r="LJL183" s="82"/>
      <c r="LJM183" s="82"/>
      <c r="LJN183" s="82"/>
      <c r="LJO183" s="82"/>
      <c r="LJP183" s="82"/>
      <c r="LJQ183" s="82"/>
      <c r="LJR183" s="82"/>
      <c r="LJS183" s="82"/>
      <c r="LJT183" s="82"/>
      <c r="LJU183" s="82"/>
      <c r="LJV183" s="82"/>
      <c r="LJW183" s="82"/>
      <c r="LJX183" s="82"/>
      <c r="LJY183" s="82"/>
      <c r="LJZ183" s="82"/>
      <c r="LKA183" s="82"/>
      <c r="LKB183" s="82"/>
      <c r="LKC183" s="82"/>
      <c r="LKD183" s="82"/>
      <c r="LKE183" s="82"/>
      <c r="LKF183" s="82"/>
      <c r="LKG183" s="82"/>
      <c r="LKH183" s="82"/>
      <c r="LKI183" s="82"/>
      <c r="LKJ183" s="82"/>
      <c r="LKK183" s="82"/>
      <c r="LKL183" s="82"/>
      <c r="LKM183" s="82"/>
      <c r="LKN183" s="82"/>
      <c r="LKO183" s="82"/>
      <c r="LKP183" s="82"/>
      <c r="LKQ183" s="82"/>
      <c r="LKR183" s="82"/>
      <c r="LKS183" s="82"/>
      <c r="LKT183" s="82"/>
      <c r="LKU183" s="82"/>
      <c r="LKV183" s="82"/>
      <c r="LKW183" s="82"/>
      <c r="LKX183" s="82"/>
      <c r="LKY183" s="82"/>
      <c r="LKZ183" s="82"/>
      <c r="LLA183" s="82"/>
      <c r="LLB183" s="82"/>
      <c r="LLC183" s="82"/>
      <c r="LLD183" s="82"/>
      <c r="LLE183" s="82"/>
      <c r="LLF183" s="82"/>
      <c r="LLG183" s="82"/>
      <c r="LLH183" s="82"/>
      <c r="LLI183" s="82"/>
      <c r="LLJ183" s="82"/>
      <c r="LLK183" s="82"/>
      <c r="LLL183" s="82"/>
      <c r="LLM183" s="82"/>
      <c r="LLN183" s="82"/>
      <c r="LLO183" s="82"/>
      <c r="LLP183" s="82"/>
      <c r="LLQ183" s="82"/>
      <c r="LLR183" s="82"/>
      <c r="LLS183" s="82"/>
      <c r="LLT183" s="82"/>
      <c r="LLU183" s="82"/>
      <c r="LLV183" s="82"/>
      <c r="LLW183" s="82"/>
      <c r="LLX183" s="82"/>
      <c r="LLY183" s="82"/>
      <c r="LLZ183" s="82"/>
      <c r="LMA183" s="82"/>
      <c r="LMB183" s="82"/>
      <c r="LMC183" s="82"/>
      <c r="LMD183" s="82"/>
      <c r="LME183" s="82"/>
      <c r="LMF183" s="82"/>
      <c r="LMG183" s="82"/>
      <c r="LMH183" s="82"/>
      <c r="LMI183" s="82"/>
      <c r="LMJ183" s="82"/>
      <c r="LMK183" s="82"/>
      <c r="LML183" s="82"/>
      <c r="LMM183" s="82"/>
      <c r="LMN183" s="82"/>
      <c r="LMO183" s="82"/>
      <c r="LMP183" s="82"/>
      <c r="LMQ183" s="82"/>
      <c r="LMR183" s="82"/>
      <c r="LMS183" s="82"/>
      <c r="LMT183" s="82"/>
      <c r="LMU183" s="82"/>
      <c r="LMV183" s="82"/>
      <c r="LMW183" s="82"/>
      <c r="LMX183" s="82"/>
      <c r="LMY183" s="82"/>
      <c r="LMZ183" s="82"/>
      <c r="LNA183" s="82"/>
      <c r="LNB183" s="82"/>
      <c r="LNC183" s="82"/>
      <c r="LND183" s="82"/>
      <c r="LNE183" s="82"/>
      <c r="LNF183" s="82"/>
      <c r="LNG183" s="82"/>
      <c r="LNH183" s="82"/>
      <c r="LNI183" s="82"/>
      <c r="LNJ183" s="82"/>
      <c r="LNK183" s="82"/>
      <c r="LNL183" s="82"/>
      <c r="LNM183" s="82"/>
      <c r="LNN183" s="82"/>
      <c r="LNO183" s="82"/>
      <c r="LNP183" s="82"/>
      <c r="LNQ183" s="82"/>
      <c r="LNR183" s="82"/>
      <c r="LNS183" s="82"/>
      <c r="LNT183" s="82"/>
      <c r="LNU183" s="82"/>
      <c r="LNV183" s="82"/>
      <c r="LNW183" s="82"/>
      <c r="LNX183" s="82"/>
      <c r="LNY183" s="82"/>
      <c r="LNZ183" s="82"/>
      <c r="LOA183" s="82"/>
      <c r="LOB183" s="82"/>
      <c r="LOC183" s="82"/>
      <c r="LOD183" s="82"/>
      <c r="LOE183" s="82"/>
      <c r="LOF183" s="82"/>
      <c r="LOG183" s="82"/>
      <c r="LOH183" s="82"/>
      <c r="LOI183" s="82"/>
      <c r="LOJ183" s="82"/>
      <c r="LOK183" s="82"/>
      <c r="LOL183" s="82"/>
      <c r="LOM183" s="82"/>
      <c r="LON183" s="82"/>
      <c r="LOO183" s="82"/>
      <c r="LOP183" s="82"/>
      <c r="LOQ183" s="82"/>
      <c r="LOR183" s="82"/>
      <c r="LOS183" s="82"/>
      <c r="LOT183" s="82"/>
      <c r="LOU183" s="82"/>
      <c r="LOV183" s="82"/>
      <c r="LOW183" s="82"/>
      <c r="LOX183" s="82"/>
      <c r="LOY183" s="82"/>
      <c r="LOZ183" s="82"/>
      <c r="LPA183" s="82"/>
      <c r="LPB183" s="82"/>
      <c r="LPC183" s="82"/>
      <c r="LPD183" s="82"/>
      <c r="LPE183" s="82"/>
      <c r="LPF183" s="82"/>
      <c r="LPG183" s="82"/>
      <c r="LPH183" s="82"/>
      <c r="LPI183" s="82"/>
      <c r="LPJ183" s="82"/>
      <c r="LPK183" s="82"/>
      <c r="LPL183" s="82"/>
      <c r="LPM183" s="82"/>
      <c r="LPN183" s="82"/>
      <c r="LPO183" s="82"/>
      <c r="LPP183" s="82"/>
      <c r="LPQ183" s="82"/>
      <c r="LPR183" s="82"/>
      <c r="LPS183" s="82"/>
      <c r="LPT183" s="82"/>
      <c r="LPU183" s="82"/>
      <c r="LPV183" s="82"/>
      <c r="LPW183" s="82"/>
      <c r="LPX183" s="82"/>
      <c r="LPY183" s="82"/>
      <c r="LPZ183" s="82"/>
      <c r="LQA183" s="82"/>
      <c r="LQB183" s="82"/>
      <c r="LQC183" s="82"/>
      <c r="LQD183" s="82"/>
      <c r="LQE183" s="82"/>
      <c r="LQF183" s="82"/>
      <c r="LQG183" s="82"/>
      <c r="LQH183" s="82"/>
      <c r="LQI183" s="82"/>
      <c r="LQJ183" s="82"/>
      <c r="LQK183" s="82"/>
      <c r="LQL183" s="82"/>
      <c r="LQM183" s="82"/>
      <c r="LQN183" s="82"/>
      <c r="LQO183" s="82"/>
      <c r="LQP183" s="82"/>
      <c r="LQQ183" s="82"/>
      <c r="LQR183" s="82"/>
      <c r="LQS183" s="82"/>
      <c r="LQT183" s="82"/>
      <c r="LQU183" s="82"/>
      <c r="LQV183" s="82"/>
      <c r="LQW183" s="82"/>
      <c r="LQX183" s="82"/>
      <c r="LQY183" s="82"/>
      <c r="LQZ183" s="82"/>
      <c r="LRA183" s="82"/>
      <c r="LRB183" s="82"/>
      <c r="LRC183" s="82"/>
      <c r="LRD183" s="82"/>
      <c r="LRE183" s="82"/>
      <c r="LRF183" s="82"/>
      <c r="LRG183" s="82"/>
      <c r="LRH183" s="82"/>
      <c r="LRI183" s="82"/>
      <c r="LRJ183" s="82"/>
      <c r="LRK183" s="82"/>
      <c r="LRL183" s="82"/>
      <c r="LRM183" s="82"/>
      <c r="LRN183" s="82"/>
      <c r="LRO183" s="82"/>
      <c r="LRP183" s="82"/>
      <c r="LRQ183" s="82"/>
      <c r="LRR183" s="82"/>
      <c r="LRS183" s="82"/>
      <c r="LRT183" s="82"/>
      <c r="LRU183" s="82"/>
      <c r="LRV183" s="82"/>
      <c r="LRW183" s="82"/>
      <c r="LRX183" s="82"/>
      <c r="LRY183" s="82"/>
      <c r="LRZ183" s="82"/>
      <c r="LSA183" s="82"/>
      <c r="LSB183" s="82"/>
      <c r="LSC183" s="82"/>
      <c r="LSD183" s="82"/>
      <c r="LSE183" s="82"/>
      <c r="LSF183" s="82"/>
      <c r="LSG183" s="82"/>
      <c r="LSH183" s="82"/>
      <c r="LSI183" s="82"/>
      <c r="LSJ183" s="82"/>
      <c r="LSK183" s="82"/>
      <c r="LSL183" s="82"/>
      <c r="LSM183" s="82"/>
      <c r="LSN183" s="82"/>
      <c r="LSO183" s="82"/>
      <c r="LSP183" s="82"/>
      <c r="LSQ183" s="82"/>
      <c r="LSR183" s="82"/>
      <c r="LSS183" s="82"/>
      <c r="LST183" s="82"/>
      <c r="LSU183" s="82"/>
      <c r="LSV183" s="82"/>
      <c r="LSW183" s="82"/>
      <c r="LSX183" s="82"/>
      <c r="LSY183" s="82"/>
      <c r="LSZ183" s="82"/>
      <c r="LTA183" s="82"/>
      <c r="LTB183" s="82"/>
      <c r="LTC183" s="82"/>
      <c r="LTD183" s="82"/>
      <c r="LTE183" s="82"/>
      <c r="LTF183" s="82"/>
      <c r="LTG183" s="82"/>
      <c r="LTH183" s="82"/>
      <c r="LTI183" s="82"/>
      <c r="LTJ183" s="82"/>
      <c r="LTK183" s="82"/>
      <c r="LTL183" s="82"/>
      <c r="LTM183" s="82"/>
      <c r="LTN183" s="82"/>
      <c r="LTO183" s="82"/>
      <c r="LTP183" s="82"/>
      <c r="LTQ183" s="82"/>
      <c r="LTR183" s="82"/>
      <c r="LTS183" s="82"/>
      <c r="LTT183" s="82"/>
      <c r="LTU183" s="82"/>
      <c r="LTV183" s="82"/>
      <c r="LTW183" s="82"/>
      <c r="LTX183" s="82"/>
      <c r="LTY183" s="82"/>
      <c r="LTZ183" s="82"/>
      <c r="LUA183" s="82"/>
      <c r="LUB183" s="82"/>
      <c r="LUC183" s="82"/>
      <c r="LUD183" s="82"/>
      <c r="LUE183" s="82"/>
      <c r="LUF183" s="82"/>
      <c r="LUG183" s="82"/>
      <c r="LUH183" s="82"/>
      <c r="LUI183" s="82"/>
      <c r="LUJ183" s="82"/>
      <c r="LUK183" s="82"/>
      <c r="LUL183" s="82"/>
      <c r="LUM183" s="82"/>
      <c r="LUN183" s="82"/>
      <c r="LUO183" s="82"/>
      <c r="LUP183" s="82"/>
      <c r="LUQ183" s="82"/>
      <c r="LUR183" s="82"/>
      <c r="LUS183" s="82"/>
      <c r="LUT183" s="82"/>
      <c r="LUU183" s="82"/>
      <c r="LUV183" s="82"/>
      <c r="LUW183" s="82"/>
      <c r="LUX183" s="82"/>
      <c r="LUY183" s="82"/>
      <c r="LUZ183" s="82"/>
      <c r="LVA183" s="82"/>
      <c r="LVB183" s="82"/>
      <c r="LVC183" s="82"/>
      <c r="LVD183" s="82"/>
      <c r="LVE183" s="82"/>
      <c r="LVF183" s="82"/>
      <c r="LVG183" s="82"/>
      <c r="LVH183" s="82"/>
      <c r="LVI183" s="82"/>
      <c r="LVJ183" s="82"/>
      <c r="LVK183" s="82"/>
      <c r="LVL183" s="82"/>
      <c r="LVM183" s="82"/>
      <c r="LVN183" s="82"/>
      <c r="LVO183" s="82"/>
      <c r="LVP183" s="82"/>
      <c r="LVQ183" s="82"/>
      <c r="LVR183" s="82"/>
      <c r="LVS183" s="82"/>
      <c r="LVT183" s="82"/>
      <c r="LVU183" s="82"/>
      <c r="LVV183" s="82"/>
      <c r="LVW183" s="82"/>
      <c r="LVX183" s="82"/>
      <c r="LVY183" s="82"/>
      <c r="LVZ183" s="82"/>
      <c r="LWA183" s="82"/>
      <c r="LWB183" s="82"/>
      <c r="LWC183" s="82"/>
      <c r="LWD183" s="82"/>
      <c r="LWE183" s="82"/>
      <c r="LWF183" s="82"/>
      <c r="LWG183" s="82"/>
      <c r="LWH183" s="82"/>
      <c r="LWI183" s="82"/>
      <c r="LWJ183" s="82"/>
      <c r="LWK183" s="82"/>
      <c r="LWL183" s="82"/>
      <c r="LWM183" s="82"/>
      <c r="LWN183" s="82"/>
      <c r="LWO183" s="82"/>
      <c r="LWP183" s="82"/>
      <c r="LWQ183" s="82"/>
      <c r="LWR183" s="82"/>
      <c r="LWS183" s="82"/>
      <c r="LWT183" s="82"/>
      <c r="LWU183" s="82"/>
      <c r="LWV183" s="82"/>
      <c r="LWW183" s="82"/>
      <c r="LWX183" s="82"/>
      <c r="LWY183" s="82"/>
      <c r="LWZ183" s="82"/>
      <c r="LXA183" s="82"/>
      <c r="LXB183" s="82"/>
      <c r="LXC183" s="82"/>
      <c r="LXD183" s="82"/>
      <c r="LXE183" s="82"/>
      <c r="LXF183" s="82"/>
      <c r="LXG183" s="82"/>
      <c r="LXH183" s="82"/>
      <c r="LXI183" s="82"/>
      <c r="LXJ183" s="82"/>
      <c r="LXK183" s="82"/>
      <c r="LXL183" s="82"/>
      <c r="LXM183" s="82"/>
      <c r="LXN183" s="82"/>
      <c r="LXO183" s="82"/>
      <c r="LXP183" s="82"/>
      <c r="LXQ183" s="82"/>
      <c r="LXR183" s="82"/>
      <c r="LXS183" s="82"/>
      <c r="LXT183" s="82"/>
      <c r="LXU183" s="82"/>
      <c r="LXV183" s="82"/>
      <c r="LXW183" s="82"/>
      <c r="LXX183" s="82"/>
      <c r="LXY183" s="82"/>
      <c r="LXZ183" s="82"/>
      <c r="LYA183" s="82"/>
      <c r="LYB183" s="82"/>
      <c r="LYC183" s="82"/>
      <c r="LYD183" s="82"/>
      <c r="LYE183" s="82"/>
      <c r="LYF183" s="82"/>
      <c r="LYG183" s="82"/>
      <c r="LYH183" s="82"/>
      <c r="LYI183" s="82"/>
      <c r="LYJ183" s="82"/>
      <c r="LYK183" s="82"/>
      <c r="LYL183" s="82"/>
      <c r="LYM183" s="82"/>
      <c r="LYN183" s="82"/>
      <c r="LYO183" s="82"/>
      <c r="LYP183" s="82"/>
      <c r="LYQ183" s="82"/>
      <c r="LYR183" s="82"/>
      <c r="LYS183" s="82"/>
      <c r="LYT183" s="82"/>
      <c r="LYU183" s="82"/>
      <c r="LYV183" s="82"/>
      <c r="LYW183" s="82"/>
      <c r="LYX183" s="82"/>
      <c r="LYY183" s="82"/>
      <c r="LYZ183" s="82"/>
      <c r="LZA183" s="82"/>
      <c r="LZB183" s="82"/>
      <c r="LZC183" s="82"/>
      <c r="LZD183" s="82"/>
      <c r="LZE183" s="82"/>
      <c r="LZF183" s="82"/>
      <c r="LZG183" s="82"/>
      <c r="LZH183" s="82"/>
      <c r="LZI183" s="82"/>
      <c r="LZJ183" s="82"/>
      <c r="LZK183" s="82"/>
      <c r="LZL183" s="82"/>
      <c r="LZM183" s="82"/>
      <c r="LZN183" s="82"/>
      <c r="LZO183" s="82"/>
      <c r="LZP183" s="82"/>
      <c r="LZQ183" s="82"/>
      <c r="LZR183" s="82"/>
      <c r="LZS183" s="82"/>
      <c r="LZT183" s="82"/>
      <c r="LZU183" s="82"/>
      <c r="LZV183" s="82"/>
      <c r="LZW183" s="82"/>
      <c r="LZX183" s="82"/>
      <c r="LZY183" s="82"/>
      <c r="LZZ183" s="82"/>
      <c r="MAA183" s="82"/>
      <c r="MAB183" s="82"/>
      <c r="MAC183" s="82"/>
      <c r="MAD183" s="82"/>
      <c r="MAE183" s="82"/>
      <c r="MAF183" s="82"/>
      <c r="MAG183" s="82"/>
      <c r="MAH183" s="82"/>
      <c r="MAI183" s="82"/>
      <c r="MAJ183" s="82"/>
      <c r="MAK183" s="82"/>
      <c r="MAL183" s="82"/>
      <c r="MAM183" s="82"/>
      <c r="MAN183" s="82"/>
      <c r="MAO183" s="82"/>
      <c r="MAP183" s="82"/>
      <c r="MAQ183" s="82"/>
      <c r="MAR183" s="82"/>
      <c r="MAS183" s="82"/>
      <c r="MAT183" s="82"/>
      <c r="MAU183" s="82"/>
      <c r="MAV183" s="82"/>
      <c r="MAW183" s="82"/>
      <c r="MAX183" s="82"/>
      <c r="MAY183" s="82"/>
      <c r="MAZ183" s="82"/>
      <c r="MBA183" s="82"/>
      <c r="MBB183" s="82"/>
      <c r="MBC183" s="82"/>
      <c r="MBD183" s="82"/>
      <c r="MBE183" s="82"/>
      <c r="MBF183" s="82"/>
      <c r="MBG183" s="82"/>
      <c r="MBH183" s="82"/>
      <c r="MBI183" s="82"/>
      <c r="MBJ183" s="82"/>
      <c r="MBK183" s="82"/>
      <c r="MBL183" s="82"/>
      <c r="MBM183" s="82"/>
      <c r="MBN183" s="82"/>
      <c r="MBO183" s="82"/>
      <c r="MBP183" s="82"/>
      <c r="MBQ183" s="82"/>
      <c r="MBR183" s="82"/>
      <c r="MBS183" s="82"/>
      <c r="MBT183" s="82"/>
      <c r="MBU183" s="82"/>
      <c r="MBV183" s="82"/>
      <c r="MBW183" s="82"/>
      <c r="MBX183" s="82"/>
      <c r="MBY183" s="82"/>
      <c r="MBZ183" s="82"/>
      <c r="MCA183" s="82"/>
      <c r="MCB183" s="82"/>
      <c r="MCC183" s="82"/>
      <c r="MCD183" s="82"/>
      <c r="MCE183" s="82"/>
      <c r="MCF183" s="82"/>
      <c r="MCG183" s="82"/>
      <c r="MCH183" s="82"/>
      <c r="MCI183" s="82"/>
      <c r="MCJ183" s="82"/>
      <c r="MCK183" s="82"/>
      <c r="MCL183" s="82"/>
      <c r="MCM183" s="82"/>
      <c r="MCN183" s="82"/>
      <c r="MCO183" s="82"/>
      <c r="MCP183" s="82"/>
      <c r="MCQ183" s="82"/>
      <c r="MCR183" s="82"/>
      <c r="MCS183" s="82"/>
      <c r="MCT183" s="82"/>
      <c r="MCU183" s="82"/>
      <c r="MCV183" s="82"/>
      <c r="MCW183" s="82"/>
      <c r="MCX183" s="82"/>
      <c r="MCY183" s="82"/>
      <c r="MCZ183" s="82"/>
      <c r="MDA183" s="82"/>
      <c r="MDB183" s="82"/>
      <c r="MDC183" s="82"/>
      <c r="MDD183" s="82"/>
      <c r="MDE183" s="82"/>
      <c r="MDF183" s="82"/>
      <c r="MDG183" s="82"/>
      <c r="MDH183" s="82"/>
      <c r="MDI183" s="82"/>
      <c r="MDJ183" s="82"/>
      <c r="MDK183" s="82"/>
      <c r="MDL183" s="82"/>
      <c r="MDM183" s="82"/>
      <c r="MDN183" s="82"/>
      <c r="MDO183" s="82"/>
      <c r="MDP183" s="82"/>
      <c r="MDQ183" s="82"/>
      <c r="MDR183" s="82"/>
      <c r="MDS183" s="82"/>
      <c r="MDT183" s="82"/>
      <c r="MDU183" s="82"/>
      <c r="MDV183" s="82"/>
      <c r="MDW183" s="82"/>
      <c r="MDX183" s="82"/>
      <c r="MDY183" s="82"/>
      <c r="MDZ183" s="82"/>
      <c r="MEA183" s="82"/>
      <c r="MEB183" s="82"/>
      <c r="MEC183" s="82"/>
      <c r="MED183" s="82"/>
      <c r="MEE183" s="82"/>
      <c r="MEF183" s="82"/>
      <c r="MEG183" s="82"/>
      <c r="MEH183" s="82"/>
      <c r="MEI183" s="82"/>
      <c r="MEJ183" s="82"/>
      <c r="MEK183" s="82"/>
      <c r="MEL183" s="82"/>
      <c r="MEM183" s="82"/>
      <c r="MEN183" s="82"/>
      <c r="MEO183" s="82"/>
      <c r="MEP183" s="82"/>
      <c r="MEQ183" s="82"/>
      <c r="MER183" s="82"/>
      <c r="MES183" s="82"/>
      <c r="MET183" s="82"/>
      <c r="MEU183" s="82"/>
      <c r="MEV183" s="82"/>
      <c r="MEW183" s="82"/>
      <c r="MEX183" s="82"/>
      <c r="MEY183" s="82"/>
      <c r="MEZ183" s="82"/>
      <c r="MFA183" s="82"/>
      <c r="MFB183" s="82"/>
      <c r="MFC183" s="82"/>
      <c r="MFD183" s="82"/>
      <c r="MFE183" s="82"/>
      <c r="MFF183" s="82"/>
      <c r="MFG183" s="82"/>
      <c r="MFH183" s="82"/>
      <c r="MFI183" s="82"/>
      <c r="MFJ183" s="82"/>
      <c r="MFK183" s="82"/>
      <c r="MFL183" s="82"/>
      <c r="MFM183" s="82"/>
      <c r="MFN183" s="82"/>
      <c r="MFO183" s="82"/>
      <c r="MFP183" s="82"/>
      <c r="MFQ183" s="82"/>
      <c r="MFR183" s="82"/>
      <c r="MFS183" s="82"/>
      <c r="MFT183" s="82"/>
      <c r="MFU183" s="82"/>
      <c r="MFV183" s="82"/>
      <c r="MFW183" s="82"/>
      <c r="MFX183" s="82"/>
      <c r="MFY183" s="82"/>
      <c r="MFZ183" s="82"/>
      <c r="MGA183" s="82"/>
      <c r="MGB183" s="82"/>
      <c r="MGC183" s="82"/>
      <c r="MGD183" s="82"/>
      <c r="MGE183" s="82"/>
      <c r="MGF183" s="82"/>
      <c r="MGG183" s="82"/>
      <c r="MGH183" s="82"/>
      <c r="MGI183" s="82"/>
      <c r="MGJ183" s="82"/>
      <c r="MGK183" s="82"/>
      <c r="MGL183" s="82"/>
      <c r="MGM183" s="82"/>
      <c r="MGN183" s="82"/>
      <c r="MGO183" s="82"/>
      <c r="MGP183" s="82"/>
      <c r="MGQ183" s="82"/>
      <c r="MGR183" s="82"/>
      <c r="MGS183" s="82"/>
      <c r="MGT183" s="82"/>
      <c r="MGU183" s="82"/>
      <c r="MGV183" s="82"/>
      <c r="MGW183" s="82"/>
      <c r="MGX183" s="82"/>
      <c r="MGY183" s="82"/>
      <c r="MGZ183" s="82"/>
      <c r="MHA183" s="82"/>
      <c r="MHB183" s="82"/>
      <c r="MHC183" s="82"/>
      <c r="MHD183" s="82"/>
      <c r="MHE183" s="82"/>
      <c r="MHF183" s="82"/>
      <c r="MHG183" s="82"/>
      <c r="MHH183" s="82"/>
      <c r="MHI183" s="82"/>
      <c r="MHJ183" s="82"/>
      <c r="MHK183" s="82"/>
      <c r="MHL183" s="82"/>
      <c r="MHM183" s="82"/>
      <c r="MHN183" s="82"/>
      <c r="MHO183" s="82"/>
      <c r="MHP183" s="82"/>
      <c r="MHQ183" s="82"/>
      <c r="MHR183" s="82"/>
      <c r="MHS183" s="82"/>
      <c r="MHT183" s="82"/>
      <c r="MHU183" s="82"/>
      <c r="MHV183" s="82"/>
      <c r="MHW183" s="82"/>
      <c r="MHX183" s="82"/>
      <c r="MHY183" s="82"/>
      <c r="MHZ183" s="82"/>
      <c r="MIA183" s="82"/>
      <c r="MIB183" s="82"/>
      <c r="MIC183" s="82"/>
      <c r="MID183" s="82"/>
      <c r="MIE183" s="82"/>
      <c r="MIF183" s="82"/>
      <c r="MIG183" s="82"/>
      <c r="MIH183" s="82"/>
      <c r="MII183" s="82"/>
      <c r="MIJ183" s="82"/>
      <c r="MIK183" s="82"/>
      <c r="MIL183" s="82"/>
      <c r="MIM183" s="82"/>
      <c r="MIN183" s="82"/>
      <c r="MIO183" s="82"/>
      <c r="MIP183" s="82"/>
      <c r="MIQ183" s="82"/>
      <c r="MIR183" s="82"/>
      <c r="MIS183" s="82"/>
      <c r="MIT183" s="82"/>
      <c r="MIU183" s="82"/>
      <c r="MIV183" s="82"/>
      <c r="MIW183" s="82"/>
      <c r="MIX183" s="82"/>
      <c r="MIY183" s="82"/>
      <c r="MIZ183" s="82"/>
      <c r="MJA183" s="82"/>
      <c r="MJB183" s="82"/>
      <c r="MJC183" s="82"/>
      <c r="MJD183" s="82"/>
      <c r="MJE183" s="82"/>
      <c r="MJF183" s="82"/>
      <c r="MJG183" s="82"/>
      <c r="MJH183" s="82"/>
      <c r="MJI183" s="82"/>
      <c r="MJJ183" s="82"/>
      <c r="MJK183" s="82"/>
      <c r="MJL183" s="82"/>
      <c r="MJM183" s="82"/>
      <c r="MJN183" s="82"/>
      <c r="MJO183" s="82"/>
      <c r="MJP183" s="82"/>
      <c r="MJQ183" s="82"/>
      <c r="MJR183" s="82"/>
      <c r="MJS183" s="82"/>
      <c r="MJT183" s="82"/>
      <c r="MJU183" s="82"/>
      <c r="MJV183" s="82"/>
      <c r="MJW183" s="82"/>
      <c r="MJX183" s="82"/>
      <c r="MJY183" s="82"/>
      <c r="MJZ183" s="82"/>
      <c r="MKA183" s="82"/>
      <c r="MKB183" s="82"/>
      <c r="MKC183" s="82"/>
      <c r="MKD183" s="82"/>
      <c r="MKE183" s="82"/>
      <c r="MKF183" s="82"/>
      <c r="MKG183" s="82"/>
      <c r="MKH183" s="82"/>
      <c r="MKI183" s="82"/>
      <c r="MKJ183" s="82"/>
      <c r="MKK183" s="82"/>
      <c r="MKL183" s="82"/>
      <c r="MKM183" s="82"/>
      <c r="MKN183" s="82"/>
      <c r="MKO183" s="82"/>
      <c r="MKP183" s="82"/>
      <c r="MKQ183" s="82"/>
      <c r="MKR183" s="82"/>
      <c r="MKS183" s="82"/>
      <c r="MKT183" s="82"/>
      <c r="MKU183" s="82"/>
      <c r="MKV183" s="82"/>
      <c r="MKW183" s="82"/>
      <c r="MKX183" s="82"/>
      <c r="MKY183" s="82"/>
      <c r="MKZ183" s="82"/>
      <c r="MLA183" s="82"/>
      <c r="MLB183" s="82"/>
      <c r="MLC183" s="82"/>
      <c r="MLD183" s="82"/>
      <c r="MLE183" s="82"/>
      <c r="MLF183" s="82"/>
      <c r="MLG183" s="82"/>
      <c r="MLH183" s="82"/>
      <c r="MLI183" s="82"/>
      <c r="MLJ183" s="82"/>
      <c r="MLK183" s="82"/>
      <c r="MLL183" s="82"/>
      <c r="MLM183" s="82"/>
      <c r="MLN183" s="82"/>
      <c r="MLO183" s="82"/>
      <c r="MLP183" s="82"/>
      <c r="MLQ183" s="82"/>
      <c r="MLR183" s="82"/>
      <c r="MLS183" s="82"/>
      <c r="MLT183" s="82"/>
      <c r="MLU183" s="82"/>
      <c r="MLV183" s="82"/>
      <c r="MLW183" s="82"/>
      <c r="MLX183" s="82"/>
      <c r="MLY183" s="82"/>
      <c r="MLZ183" s="82"/>
      <c r="MMA183" s="82"/>
      <c r="MMB183" s="82"/>
      <c r="MMC183" s="82"/>
      <c r="MMD183" s="82"/>
      <c r="MME183" s="82"/>
      <c r="MMF183" s="82"/>
      <c r="MMG183" s="82"/>
      <c r="MMH183" s="82"/>
      <c r="MMI183" s="82"/>
      <c r="MMJ183" s="82"/>
      <c r="MMK183" s="82"/>
      <c r="MML183" s="82"/>
      <c r="MMM183" s="82"/>
      <c r="MMN183" s="82"/>
      <c r="MMO183" s="82"/>
      <c r="MMP183" s="82"/>
      <c r="MMQ183" s="82"/>
      <c r="MMR183" s="82"/>
      <c r="MMS183" s="82"/>
      <c r="MMT183" s="82"/>
      <c r="MMU183" s="82"/>
      <c r="MMV183" s="82"/>
      <c r="MMW183" s="82"/>
      <c r="MMX183" s="82"/>
      <c r="MMY183" s="82"/>
      <c r="MMZ183" s="82"/>
      <c r="MNA183" s="82"/>
      <c r="MNB183" s="82"/>
      <c r="MNC183" s="82"/>
      <c r="MND183" s="82"/>
      <c r="MNE183" s="82"/>
      <c r="MNF183" s="82"/>
      <c r="MNG183" s="82"/>
      <c r="MNH183" s="82"/>
      <c r="MNI183" s="82"/>
      <c r="MNJ183" s="82"/>
      <c r="MNK183" s="82"/>
      <c r="MNL183" s="82"/>
      <c r="MNM183" s="82"/>
      <c r="MNN183" s="82"/>
      <c r="MNO183" s="82"/>
      <c r="MNP183" s="82"/>
      <c r="MNQ183" s="82"/>
      <c r="MNR183" s="82"/>
      <c r="MNS183" s="82"/>
      <c r="MNT183" s="82"/>
      <c r="MNU183" s="82"/>
      <c r="MNV183" s="82"/>
      <c r="MNW183" s="82"/>
      <c r="MNX183" s="82"/>
      <c r="MNY183" s="82"/>
      <c r="MNZ183" s="82"/>
      <c r="MOA183" s="82"/>
      <c r="MOB183" s="82"/>
      <c r="MOC183" s="82"/>
      <c r="MOD183" s="82"/>
      <c r="MOE183" s="82"/>
      <c r="MOF183" s="82"/>
      <c r="MOG183" s="82"/>
      <c r="MOH183" s="82"/>
      <c r="MOI183" s="82"/>
      <c r="MOJ183" s="82"/>
      <c r="MOK183" s="82"/>
      <c r="MOL183" s="82"/>
      <c r="MOM183" s="82"/>
      <c r="MON183" s="82"/>
      <c r="MOO183" s="82"/>
      <c r="MOP183" s="82"/>
      <c r="MOQ183" s="82"/>
      <c r="MOR183" s="82"/>
      <c r="MOS183" s="82"/>
      <c r="MOT183" s="82"/>
      <c r="MOU183" s="82"/>
      <c r="MOV183" s="82"/>
      <c r="MOW183" s="82"/>
      <c r="MOX183" s="82"/>
      <c r="MOY183" s="82"/>
      <c r="MOZ183" s="82"/>
      <c r="MPA183" s="82"/>
      <c r="MPB183" s="82"/>
      <c r="MPC183" s="82"/>
      <c r="MPD183" s="82"/>
      <c r="MPE183" s="82"/>
      <c r="MPF183" s="82"/>
      <c r="MPG183" s="82"/>
      <c r="MPH183" s="82"/>
      <c r="MPI183" s="82"/>
      <c r="MPJ183" s="82"/>
      <c r="MPK183" s="82"/>
      <c r="MPL183" s="82"/>
      <c r="MPM183" s="82"/>
      <c r="MPN183" s="82"/>
      <c r="MPO183" s="82"/>
      <c r="MPP183" s="82"/>
      <c r="MPQ183" s="82"/>
      <c r="MPR183" s="82"/>
      <c r="MPS183" s="82"/>
      <c r="MPT183" s="82"/>
      <c r="MPU183" s="82"/>
      <c r="MPV183" s="82"/>
      <c r="MPW183" s="82"/>
      <c r="MPX183" s="82"/>
      <c r="MPY183" s="82"/>
      <c r="MPZ183" s="82"/>
      <c r="MQA183" s="82"/>
      <c r="MQB183" s="82"/>
      <c r="MQC183" s="82"/>
      <c r="MQD183" s="82"/>
      <c r="MQE183" s="82"/>
      <c r="MQF183" s="82"/>
      <c r="MQG183" s="82"/>
      <c r="MQH183" s="82"/>
      <c r="MQI183" s="82"/>
      <c r="MQJ183" s="82"/>
      <c r="MQK183" s="82"/>
      <c r="MQL183" s="82"/>
      <c r="MQM183" s="82"/>
      <c r="MQN183" s="82"/>
      <c r="MQO183" s="82"/>
      <c r="MQP183" s="82"/>
      <c r="MQQ183" s="82"/>
      <c r="MQR183" s="82"/>
      <c r="MQS183" s="82"/>
      <c r="MQT183" s="82"/>
      <c r="MQU183" s="82"/>
      <c r="MQV183" s="82"/>
      <c r="MQW183" s="82"/>
      <c r="MQX183" s="82"/>
      <c r="MQY183" s="82"/>
      <c r="MQZ183" s="82"/>
      <c r="MRA183" s="82"/>
      <c r="MRB183" s="82"/>
      <c r="MRC183" s="82"/>
      <c r="MRD183" s="82"/>
      <c r="MRE183" s="82"/>
      <c r="MRF183" s="82"/>
      <c r="MRG183" s="82"/>
      <c r="MRH183" s="82"/>
      <c r="MRI183" s="82"/>
      <c r="MRJ183" s="82"/>
      <c r="MRK183" s="82"/>
      <c r="MRL183" s="82"/>
      <c r="MRM183" s="82"/>
      <c r="MRN183" s="82"/>
      <c r="MRO183" s="82"/>
      <c r="MRP183" s="82"/>
      <c r="MRQ183" s="82"/>
      <c r="MRR183" s="82"/>
      <c r="MRS183" s="82"/>
      <c r="MRT183" s="82"/>
      <c r="MRU183" s="82"/>
      <c r="MRV183" s="82"/>
      <c r="MRW183" s="82"/>
      <c r="MRX183" s="82"/>
      <c r="MRY183" s="82"/>
      <c r="MRZ183" s="82"/>
      <c r="MSA183" s="82"/>
      <c r="MSB183" s="82"/>
      <c r="MSC183" s="82"/>
      <c r="MSD183" s="82"/>
      <c r="MSE183" s="82"/>
      <c r="MSF183" s="82"/>
      <c r="MSG183" s="82"/>
      <c r="MSH183" s="82"/>
      <c r="MSI183" s="82"/>
      <c r="MSJ183" s="82"/>
      <c r="MSK183" s="82"/>
      <c r="MSL183" s="82"/>
      <c r="MSM183" s="82"/>
      <c r="MSN183" s="82"/>
      <c r="MSO183" s="82"/>
      <c r="MSP183" s="82"/>
      <c r="MSQ183" s="82"/>
      <c r="MSR183" s="82"/>
      <c r="MSS183" s="82"/>
      <c r="MST183" s="82"/>
      <c r="MSU183" s="82"/>
      <c r="MSV183" s="82"/>
      <c r="MSW183" s="82"/>
      <c r="MSX183" s="82"/>
      <c r="MSY183" s="82"/>
      <c r="MSZ183" s="82"/>
      <c r="MTA183" s="82"/>
      <c r="MTB183" s="82"/>
      <c r="MTC183" s="82"/>
      <c r="MTD183" s="82"/>
      <c r="MTE183" s="82"/>
      <c r="MTF183" s="82"/>
      <c r="MTG183" s="82"/>
      <c r="MTH183" s="82"/>
      <c r="MTI183" s="82"/>
      <c r="MTJ183" s="82"/>
      <c r="MTK183" s="82"/>
      <c r="MTL183" s="82"/>
      <c r="MTM183" s="82"/>
      <c r="MTN183" s="82"/>
      <c r="MTO183" s="82"/>
      <c r="MTP183" s="82"/>
      <c r="MTQ183" s="82"/>
      <c r="MTR183" s="82"/>
      <c r="MTS183" s="82"/>
      <c r="MTT183" s="82"/>
      <c r="MTU183" s="82"/>
      <c r="MTV183" s="82"/>
      <c r="MTW183" s="82"/>
      <c r="MTX183" s="82"/>
      <c r="MTY183" s="82"/>
      <c r="MTZ183" s="82"/>
      <c r="MUA183" s="82"/>
      <c r="MUB183" s="82"/>
      <c r="MUC183" s="82"/>
      <c r="MUD183" s="82"/>
      <c r="MUE183" s="82"/>
      <c r="MUF183" s="82"/>
      <c r="MUG183" s="82"/>
      <c r="MUH183" s="82"/>
      <c r="MUI183" s="82"/>
      <c r="MUJ183" s="82"/>
      <c r="MUK183" s="82"/>
      <c r="MUL183" s="82"/>
      <c r="MUM183" s="82"/>
      <c r="MUN183" s="82"/>
      <c r="MUO183" s="82"/>
      <c r="MUP183" s="82"/>
      <c r="MUQ183" s="82"/>
      <c r="MUR183" s="82"/>
      <c r="MUS183" s="82"/>
      <c r="MUT183" s="82"/>
      <c r="MUU183" s="82"/>
      <c r="MUV183" s="82"/>
      <c r="MUW183" s="82"/>
      <c r="MUX183" s="82"/>
      <c r="MUY183" s="82"/>
      <c r="MUZ183" s="82"/>
      <c r="MVA183" s="82"/>
      <c r="MVB183" s="82"/>
      <c r="MVC183" s="82"/>
      <c r="MVD183" s="82"/>
      <c r="MVE183" s="82"/>
      <c r="MVF183" s="82"/>
      <c r="MVG183" s="82"/>
      <c r="MVH183" s="82"/>
      <c r="MVI183" s="82"/>
      <c r="MVJ183" s="82"/>
      <c r="MVK183" s="82"/>
      <c r="MVL183" s="82"/>
      <c r="MVM183" s="82"/>
      <c r="MVN183" s="82"/>
      <c r="MVO183" s="82"/>
      <c r="MVP183" s="82"/>
      <c r="MVQ183" s="82"/>
      <c r="MVR183" s="82"/>
      <c r="MVS183" s="82"/>
      <c r="MVT183" s="82"/>
      <c r="MVU183" s="82"/>
      <c r="MVV183" s="82"/>
      <c r="MVW183" s="82"/>
      <c r="MVX183" s="82"/>
      <c r="MVY183" s="82"/>
      <c r="MVZ183" s="82"/>
      <c r="MWA183" s="82"/>
      <c r="MWB183" s="82"/>
      <c r="MWC183" s="82"/>
      <c r="MWD183" s="82"/>
      <c r="MWE183" s="82"/>
      <c r="MWF183" s="82"/>
      <c r="MWG183" s="82"/>
      <c r="MWH183" s="82"/>
      <c r="MWI183" s="82"/>
      <c r="MWJ183" s="82"/>
      <c r="MWK183" s="82"/>
      <c r="MWL183" s="82"/>
      <c r="MWM183" s="82"/>
      <c r="MWN183" s="82"/>
      <c r="MWO183" s="82"/>
      <c r="MWP183" s="82"/>
      <c r="MWQ183" s="82"/>
      <c r="MWR183" s="82"/>
      <c r="MWS183" s="82"/>
      <c r="MWT183" s="82"/>
      <c r="MWU183" s="82"/>
      <c r="MWV183" s="82"/>
      <c r="MWW183" s="82"/>
      <c r="MWX183" s="82"/>
      <c r="MWY183" s="82"/>
      <c r="MWZ183" s="82"/>
      <c r="MXA183" s="82"/>
      <c r="MXB183" s="82"/>
      <c r="MXC183" s="82"/>
      <c r="MXD183" s="82"/>
      <c r="MXE183" s="82"/>
      <c r="MXF183" s="82"/>
      <c r="MXG183" s="82"/>
      <c r="MXH183" s="82"/>
      <c r="MXI183" s="82"/>
      <c r="MXJ183" s="82"/>
      <c r="MXK183" s="82"/>
      <c r="MXL183" s="82"/>
      <c r="MXM183" s="82"/>
      <c r="MXN183" s="82"/>
      <c r="MXO183" s="82"/>
      <c r="MXP183" s="82"/>
      <c r="MXQ183" s="82"/>
      <c r="MXR183" s="82"/>
      <c r="MXS183" s="82"/>
      <c r="MXT183" s="82"/>
      <c r="MXU183" s="82"/>
      <c r="MXV183" s="82"/>
      <c r="MXW183" s="82"/>
      <c r="MXX183" s="82"/>
      <c r="MXY183" s="82"/>
      <c r="MXZ183" s="82"/>
      <c r="MYA183" s="82"/>
      <c r="MYB183" s="82"/>
      <c r="MYC183" s="82"/>
      <c r="MYD183" s="82"/>
      <c r="MYE183" s="82"/>
      <c r="MYF183" s="82"/>
      <c r="MYG183" s="82"/>
      <c r="MYH183" s="82"/>
      <c r="MYI183" s="82"/>
      <c r="MYJ183" s="82"/>
      <c r="MYK183" s="82"/>
      <c r="MYL183" s="82"/>
      <c r="MYM183" s="82"/>
      <c r="MYN183" s="82"/>
      <c r="MYO183" s="82"/>
      <c r="MYP183" s="82"/>
      <c r="MYQ183" s="82"/>
      <c r="MYR183" s="82"/>
      <c r="MYS183" s="82"/>
      <c r="MYT183" s="82"/>
      <c r="MYU183" s="82"/>
      <c r="MYV183" s="82"/>
      <c r="MYW183" s="82"/>
      <c r="MYX183" s="82"/>
      <c r="MYY183" s="82"/>
      <c r="MYZ183" s="82"/>
      <c r="MZA183" s="82"/>
      <c r="MZB183" s="82"/>
      <c r="MZC183" s="82"/>
      <c r="MZD183" s="82"/>
      <c r="MZE183" s="82"/>
      <c r="MZF183" s="82"/>
      <c r="MZG183" s="82"/>
      <c r="MZH183" s="82"/>
      <c r="MZI183" s="82"/>
      <c r="MZJ183" s="82"/>
      <c r="MZK183" s="82"/>
      <c r="MZL183" s="82"/>
      <c r="MZM183" s="82"/>
      <c r="MZN183" s="82"/>
      <c r="MZO183" s="82"/>
      <c r="MZP183" s="82"/>
      <c r="MZQ183" s="82"/>
      <c r="MZR183" s="82"/>
      <c r="MZS183" s="82"/>
      <c r="MZT183" s="82"/>
      <c r="MZU183" s="82"/>
      <c r="MZV183" s="82"/>
      <c r="MZW183" s="82"/>
      <c r="MZX183" s="82"/>
      <c r="MZY183" s="82"/>
      <c r="MZZ183" s="82"/>
      <c r="NAA183" s="82"/>
      <c r="NAB183" s="82"/>
      <c r="NAC183" s="82"/>
      <c r="NAD183" s="82"/>
      <c r="NAE183" s="82"/>
      <c r="NAF183" s="82"/>
      <c r="NAG183" s="82"/>
      <c r="NAH183" s="82"/>
      <c r="NAI183" s="82"/>
      <c r="NAJ183" s="82"/>
      <c r="NAK183" s="82"/>
      <c r="NAL183" s="82"/>
      <c r="NAM183" s="82"/>
      <c r="NAN183" s="82"/>
      <c r="NAO183" s="82"/>
      <c r="NAP183" s="82"/>
      <c r="NAQ183" s="82"/>
      <c r="NAR183" s="82"/>
      <c r="NAS183" s="82"/>
      <c r="NAT183" s="82"/>
      <c r="NAU183" s="82"/>
      <c r="NAV183" s="82"/>
      <c r="NAW183" s="82"/>
      <c r="NAX183" s="82"/>
      <c r="NAY183" s="82"/>
      <c r="NAZ183" s="82"/>
      <c r="NBA183" s="82"/>
      <c r="NBB183" s="82"/>
      <c r="NBC183" s="82"/>
      <c r="NBD183" s="82"/>
      <c r="NBE183" s="82"/>
      <c r="NBF183" s="82"/>
      <c r="NBG183" s="82"/>
      <c r="NBH183" s="82"/>
      <c r="NBI183" s="82"/>
      <c r="NBJ183" s="82"/>
      <c r="NBK183" s="82"/>
      <c r="NBL183" s="82"/>
      <c r="NBM183" s="82"/>
      <c r="NBN183" s="82"/>
      <c r="NBO183" s="82"/>
      <c r="NBP183" s="82"/>
      <c r="NBQ183" s="82"/>
      <c r="NBR183" s="82"/>
      <c r="NBS183" s="82"/>
      <c r="NBT183" s="82"/>
      <c r="NBU183" s="82"/>
      <c r="NBV183" s="82"/>
      <c r="NBW183" s="82"/>
      <c r="NBX183" s="82"/>
      <c r="NBY183" s="82"/>
      <c r="NBZ183" s="82"/>
      <c r="NCA183" s="82"/>
      <c r="NCB183" s="82"/>
      <c r="NCC183" s="82"/>
      <c r="NCD183" s="82"/>
      <c r="NCE183" s="82"/>
      <c r="NCF183" s="82"/>
      <c r="NCG183" s="82"/>
      <c r="NCH183" s="82"/>
      <c r="NCI183" s="82"/>
      <c r="NCJ183" s="82"/>
      <c r="NCK183" s="82"/>
      <c r="NCL183" s="82"/>
      <c r="NCM183" s="82"/>
      <c r="NCN183" s="82"/>
      <c r="NCO183" s="82"/>
      <c r="NCP183" s="82"/>
      <c r="NCQ183" s="82"/>
      <c r="NCR183" s="82"/>
      <c r="NCS183" s="82"/>
      <c r="NCT183" s="82"/>
      <c r="NCU183" s="82"/>
      <c r="NCV183" s="82"/>
      <c r="NCW183" s="82"/>
      <c r="NCX183" s="82"/>
      <c r="NCY183" s="82"/>
      <c r="NCZ183" s="82"/>
      <c r="NDA183" s="82"/>
      <c r="NDB183" s="82"/>
      <c r="NDC183" s="82"/>
      <c r="NDD183" s="82"/>
      <c r="NDE183" s="82"/>
      <c r="NDF183" s="82"/>
      <c r="NDG183" s="82"/>
      <c r="NDH183" s="82"/>
      <c r="NDI183" s="82"/>
      <c r="NDJ183" s="82"/>
      <c r="NDK183" s="82"/>
      <c r="NDL183" s="82"/>
      <c r="NDM183" s="82"/>
      <c r="NDN183" s="82"/>
      <c r="NDO183" s="82"/>
      <c r="NDP183" s="82"/>
      <c r="NDQ183" s="82"/>
      <c r="NDR183" s="82"/>
      <c r="NDS183" s="82"/>
      <c r="NDT183" s="82"/>
      <c r="NDU183" s="82"/>
      <c r="NDV183" s="82"/>
      <c r="NDW183" s="82"/>
      <c r="NDX183" s="82"/>
      <c r="NDY183" s="82"/>
      <c r="NDZ183" s="82"/>
      <c r="NEA183" s="82"/>
      <c r="NEB183" s="82"/>
      <c r="NEC183" s="82"/>
      <c r="NED183" s="82"/>
      <c r="NEE183" s="82"/>
      <c r="NEF183" s="82"/>
      <c r="NEG183" s="82"/>
      <c r="NEH183" s="82"/>
      <c r="NEI183" s="82"/>
      <c r="NEJ183" s="82"/>
      <c r="NEK183" s="82"/>
      <c r="NEL183" s="82"/>
      <c r="NEM183" s="82"/>
      <c r="NEN183" s="82"/>
      <c r="NEO183" s="82"/>
      <c r="NEP183" s="82"/>
      <c r="NEQ183" s="82"/>
      <c r="NER183" s="82"/>
      <c r="NES183" s="82"/>
      <c r="NET183" s="82"/>
      <c r="NEU183" s="82"/>
      <c r="NEV183" s="82"/>
      <c r="NEW183" s="82"/>
      <c r="NEX183" s="82"/>
      <c r="NEY183" s="82"/>
      <c r="NEZ183" s="82"/>
      <c r="NFA183" s="82"/>
      <c r="NFB183" s="82"/>
      <c r="NFC183" s="82"/>
      <c r="NFD183" s="82"/>
      <c r="NFE183" s="82"/>
      <c r="NFF183" s="82"/>
      <c r="NFG183" s="82"/>
      <c r="NFH183" s="82"/>
      <c r="NFI183" s="82"/>
      <c r="NFJ183" s="82"/>
      <c r="NFK183" s="82"/>
      <c r="NFL183" s="82"/>
      <c r="NFM183" s="82"/>
      <c r="NFN183" s="82"/>
      <c r="NFO183" s="82"/>
      <c r="NFP183" s="82"/>
      <c r="NFQ183" s="82"/>
      <c r="NFR183" s="82"/>
      <c r="NFS183" s="82"/>
      <c r="NFT183" s="82"/>
      <c r="NFU183" s="82"/>
      <c r="NFV183" s="82"/>
      <c r="NFW183" s="82"/>
      <c r="NFX183" s="82"/>
      <c r="NFY183" s="82"/>
      <c r="NFZ183" s="82"/>
      <c r="NGA183" s="82"/>
      <c r="NGB183" s="82"/>
      <c r="NGC183" s="82"/>
      <c r="NGD183" s="82"/>
      <c r="NGE183" s="82"/>
      <c r="NGF183" s="82"/>
      <c r="NGG183" s="82"/>
      <c r="NGH183" s="82"/>
      <c r="NGI183" s="82"/>
      <c r="NGJ183" s="82"/>
      <c r="NGK183" s="82"/>
      <c r="NGL183" s="82"/>
      <c r="NGM183" s="82"/>
      <c r="NGN183" s="82"/>
      <c r="NGO183" s="82"/>
      <c r="NGP183" s="82"/>
      <c r="NGQ183" s="82"/>
      <c r="NGR183" s="82"/>
      <c r="NGS183" s="82"/>
      <c r="NGT183" s="82"/>
      <c r="NGU183" s="82"/>
      <c r="NGV183" s="82"/>
      <c r="NGW183" s="82"/>
      <c r="NGX183" s="82"/>
      <c r="NGY183" s="82"/>
      <c r="NGZ183" s="82"/>
      <c r="NHA183" s="82"/>
      <c r="NHB183" s="82"/>
      <c r="NHC183" s="82"/>
      <c r="NHD183" s="82"/>
      <c r="NHE183" s="82"/>
      <c r="NHF183" s="82"/>
      <c r="NHG183" s="82"/>
      <c r="NHH183" s="82"/>
      <c r="NHI183" s="82"/>
      <c r="NHJ183" s="82"/>
      <c r="NHK183" s="82"/>
      <c r="NHL183" s="82"/>
      <c r="NHM183" s="82"/>
      <c r="NHN183" s="82"/>
      <c r="NHO183" s="82"/>
      <c r="NHP183" s="82"/>
      <c r="NHQ183" s="82"/>
      <c r="NHR183" s="82"/>
      <c r="NHS183" s="82"/>
      <c r="NHT183" s="82"/>
      <c r="NHU183" s="82"/>
      <c r="NHV183" s="82"/>
      <c r="NHW183" s="82"/>
      <c r="NHX183" s="82"/>
      <c r="NHY183" s="82"/>
      <c r="NHZ183" s="82"/>
      <c r="NIA183" s="82"/>
      <c r="NIB183" s="82"/>
      <c r="NIC183" s="82"/>
      <c r="NID183" s="82"/>
      <c r="NIE183" s="82"/>
      <c r="NIF183" s="82"/>
      <c r="NIG183" s="82"/>
      <c r="NIH183" s="82"/>
      <c r="NII183" s="82"/>
      <c r="NIJ183" s="82"/>
      <c r="NIK183" s="82"/>
      <c r="NIL183" s="82"/>
      <c r="NIM183" s="82"/>
      <c r="NIN183" s="82"/>
      <c r="NIO183" s="82"/>
      <c r="NIP183" s="82"/>
      <c r="NIQ183" s="82"/>
      <c r="NIR183" s="82"/>
      <c r="NIS183" s="82"/>
      <c r="NIT183" s="82"/>
      <c r="NIU183" s="82"/>
      <c r="NIV183" s="82"/>
      <c r="NIW183" s="82"/>
      <c r="NIX183" s="82"/>
      <c r="NIY183" s="82"/>
      <c r="NIZ183" s="82"/>
      <c r="NJA183" s="82"/>
      <c r="NJB183" s="82"/>
      <c r="NJC183" s="82"/>
      <c r="NJD183" s="82"/>
      <c r="NJE183" s="82"/>
      <c r="NJF183" s="82"/>
      <c r="NJG183" s="82"/>
      <c r="NJH183" s="82"/>
      <c r="NJI183" s="82"/>
      <c r="NJJ183" s="82"/>
      <c r="NJK183" s="82"/>
      <c r="NJL183" s="82"/>
      <c r="NJM183" s="82"/>
      <c r="NJN183" s="82"/>
      <c r="NJO183" s="82"/>
      <c r="NJP183" s="82"/>
      <c r="NJQ183" s="82"/>
      <c r="NJR183" s="82"/>
      <c r="NJS183" s="82"/>
      <c r="NJT183" s="82"/>
      <c r="NJU183" s="82"/>
      <c r="NJV183" s="82"/>
      <c r="NJW183" s="82"/>
      <c r="NJX183" s="82"/>
      <c r="NJY183" s="82"/>
      <c r="NJZ183" s="82"/>
      <c r="NKA183" s="82"/>
      <c r="NKB183" s="82"/>
      <c r="NKC183" s="82"/>
      <c r="NKD183" s="82"/>
      <c r="NKE183" s="82"/>
      <c r="NKF183" s="82"/>
      <c r="NKG183" s="82"/>
      <c r="NKH183" s="82"/>
      <c r="NKI183" s="82"/>
      <c r="NKJ183" s="82"/>
      <c r="NKK183" s="82"/>
      <c r="NKL183" s="82"/>
      <c r="NKM183" s="82"/>
      <c r="NKN183" s="82"/>
      <c r="NKO183" s="82"/>
      <c r="NKP183" s="82"/>
      <c r="NKQ183" s="82"/>
      <c r="NKR183" s="82"/>
      <c r="NKS183" s="82"/>
      <c r="NKT183" s="82"/>
      <c r="NKU183" s="82"/>
      <c r="NKV183" s="82"/>
      <c r="NKW183" s="82"/>
      <c r="NKX183" s="82"/>
      <c r="NKY183" s="82"/>
      <c r="NKZ183" s="82"/>
      <c r="NLA183" s="82"/>
      <c r="NLB183" s="82"/>
      <c r="NLC183" s="82"/>
      <c r="NLD183" s="82"/>
      <c r="NLE183" s="82"/>
      <c r="NLF183" s="82"/>
      <c r="NLG183" s="82"/>
      <c r="NLH183" s="82"/>
      <c r="NLI183" s="82"/>
      <c r="NLJ183" s="82"/>
      <c r="NLK183" s="82"/>
      <c r="NLL183" s="82"/>
      <c r="NLM183" s="82"/>
      <c r="NLN183" s="82"/>
      <c r="NLO183" s="82"/>
      <c r="NLP183" s="82"/>
      <c r="NLQ183" s="82"/>
      <c r="NLR183" s="82"/>
      <c r="NLS183" s="82"/>
      <c r="NLT183" s="82"/>
      <c r="NLU183" s="82"/>
      <c r="NLV183" s="82"/>
      <c r="NLW183" s="82"/>
      <c r="NLX183" s="82"/>
      <c r="NLY183" s="82"/>
      <c r="NLZ183" s="82"/>
      <c r="NMA183" s="82"/>
      <c r="NMB183" s="82"/>
      <c r="NMC183" s="82"/>
      <c r="NMD183" s="82"/>
      <c r="NME183" s="82"/>
      <c r="NMF183" s="82"/>
      <c r="NMG183" s="82"/>
      <c r="NMH183" s="82"/>
      <c r="NMI183" s="82"/>
      <c r="NMJ183" s="82"/>
      <c r="NMK183" s="82"/>
      <c r="NML183" s="82"/>
      <c r="NMM183" s="82"/>
      <c r="NMN183" s="82"/>
      <c r="NMO183" s="82"/>
      <c r="NMP183" s="82"/>
      <c r="NMQ183" s="82"/>
      <c r="NMR183" s="82"/>
      <c r="NMS183" s="82"/>
      <c r="NMT183" s="82"/>
      <c r="NMU183" s="82"/>
      <c r="NMV183" s="82"/>
      <c r="NMW183" s="82"/>
      <c r="NMX183" s="82"/>
      <c r="NMY183" s="82"/>
      <c r="NMZ183" s="82"/>
      <c r="NNA183" s="82"/>
      <c r="NNB183" s="82"/>
      <c r="NNC183" s="82"/>
      <c r="NND183" s="82"/>
      <c r="NNE183" s="82"/>
      <c r="NNF183" s="82"/>
      <c r="NNG183" s="82"/>
      <c r="NNH183" s="82"/>
      <c r="NNI183" s="82"/>
      <c r="NNJ183" s="82"/>
      <c r="NNK183" s="82"/>
      <c r="NNL183" s="82"/>
      <c r="NNM183" s="82"/>
      <c r="NNN183" s="82"/>
      <c r="NNO183" s="82"/>
      <c r="NNP183" s="82"/>
      <c r="NNQ183" s="82"/>
      <c r="NNR183" s="82"/>
      <c r="NNS183" s="82"/>
      <c r="NNT183" s="82"/>
      <c r="NNU183" s="82"/>
      <c r="NNV183" s="82"/>
      <c r="NNW183" s="82"/>
      <c r="NNX183" s="82"/>
      <c r="NNY183" s="82"/>
      <c r="NNZ183" s="82"/>
      <c r="NOA183" s="82"/>
      <c r="NOB183" s="82"/>
      <c r="NOC183" s="82"/>
      <c r="NOD183" s="82"/>
      <c r="NOE183" s="82"/>
      <c r="NOF183" s="82"/>
      <c r="NOG183" s="82"/>
      <c r="NOH183" s="82"/>
      <c r="NOI183" s="82"/>
      <c r="NOJ183" s="82"/>
      <c r="NOK183" s="82"/>
      <c r="NOL183" s="82"/>
      <c r="NOM183" s="82"/>
      <c r="NON183" s="82"/>
      <c r="NOO183" s="82"/>
      <c r="NOP183" s="82"/>
      <c r="NOQ183" s="82"/>
      <c r="NOR183" s="82"/>
      <c r="NOS183" s="82"/>
      <c r="NOT183" s="82"/>
      <c r="NOU183" s="82"/>
      <c r="NOV183" s="82"/>
      <c r="NOW183" s="82"/>
      <c r="NOX183" s="82"/>
      <c r="NOY183" s="82"/>
      <c r="NOZ183" s="82"/>
      <c r="NPA183" s="82"/>
      <c r="NPB183" s="82"/>
      <c r="NPC183" s="82"/>
      <c r="NPD183" s="82"/>
      <c r="NPE183" s="82"/>
      <c r="NPF183" s="82"/>
      <c r="NPG183" s="82"/>
      <c r="NPH183" s="82"/>
      <c r="NPI183" s="82"/>
      <c r="NPJ183" s="82"/>
      <c r="NPK183" s="82"/>
      <c r="NPL183" s="82"/>
      <c r="NPM183" s="82"/>
      <c r="NPN183" s="82"/>
      <c r="NPO183" s="82"/>
      <c r="NPP183" s="82"/>
      <c r="NPQ183" s="82"/>
      <c r="NPR183" s="82"/>
      <c r="NPS183" s="82"/>
      <c r="NPT183" s="82"/>
      <c r="NPU183" s="82"/>
      <c r="NPV183" s="82"/>
      <c r="NPW183" s="82"/>
      <c r="NPX183" s="82"/>
      <c r="NPY183" s="82"/>
      <c r="NPZ183" s="82"/>
      <c r="NQA183" s="82"/>
      <c r="NQB183" s="82"/>
      <c r="NQC183" s="82"/>
      <c r="NQD183" s="82"/>
      <c r="NQE183" s="82"/>
      <c r="NQF183" s="82"/>
      <c r="NQG183" s="82"/>
      <c r="NQH183" s="82"/>
      <c r="NQI183" s="82"/>
      <c r="NQJ183" s="82"/>
      <c r="NQK183" s="82"/>
      <c r="NQL183" s="82"/>
      <c r="NQM183" s="82"/>
      <c r="NQN183" s="82"/>
      <c r="NQO183" s="82"/>
      <c r="NQP183" s="82"/>
      <c r="NQQ183" s="82"/>
      <c r="NQR183" s="82"/>
      <c r="NQS183" s="82"/>
      <c r="NQT183" s="82"/>
      <c r="NQU183" s="82"/>
      <c r="NQV183" s="82"/>
      <c r="NQW183" s="82"/>
      <c r="NQX183" s="82"/>
      <c r="NQY183" s="82"/>
      <c r="NQZ183" s="82"/>
      <c r="NRA183" s="82"/>
      <c r="NRB183" s="82"/>
      <c r="NRC183" s="82"/>
      <c r="NRD183" s="82"/>
      <c r="NRE183" s="82"/>
      <c r="NRF183" s="82"/>
      <c r="NRG183" s="82"/>
      <c r="NRH183" s="82"/>
      <c r="NRI183" s="82"/>
      <c r="NRJ183" s="82"/>
      <c r="NRK183" s="82"/>
      <c r="NRL183" s="82"/>
      <c r="NRM183" s="82"/>
      <c r="NRN183" s="82"/>
      <c r="NRO183" s="82"/>
      <c r="NRP183" s="82"/>
      <c r="NRQ183" s="82"/>
      <c r="NRR183" s="82"/>
      <c r="NRS183" s="82"/>
      <c r="NRT183" s="82"/>
      <c r="NRU183" s="82"/>
      <c r="NRV183" s="82"/>
      <c r="NRW183" s="82"/>
      <c r="NRX183" s="82"/>
      <c r="NRY183" s="82"/>
      <c r="NRZ183" s="82"/>
      <c r="NSA183" s="82"/>
      <c r="NSB183" s="82"/>
      <c r="NSC183" s="82"/>
      <c r="NSD183" s="82"/>
      <c r="NSE183" s="82"/>
      <c r="NSF183" s="82"/>
      <c r="NSG183" s="82"/>
      <c r="NSH183" s="82"/>
      <c r="NSI183" s="82"/>
      <c r="NSJ183" s="82"/>
      <c r="NSK183" s="82"/>
      <c r="NSL183" s="82"/>
      <c r="NSM183" s="82"/>
      <c r="NSN183" s="82"/>
      <c r="NSO183" s="82"/>
      <c r="NSP183" s="82"/>
      <c r="NSQ183" s="82"/>
      <c r="NSR183" s="82"/>
      <c r="NSS183" s="82"/>
      <c r="NST183" s="82"/>
      <c r="NSU183" s="82"/>
      <c r="NSV183" s="82"/>
      <c r="NSW183" s="82"/>
      <c r="NSX183" s="82"/>
      <c r="NSY183" s="82"/>
      <c r="NSZ183" s="82"/>
      <c r="NTA183" s="82"/>
      <c r="NTB183" s="82"/>
      <c r="NTC183" s="82"/>
      <c r="NTD183" s="82"/>
      <c r="NTE183" s="82"/>
      <c r="NTF183" s="82"/>
      <c r="NTG183" s="82"/>
      <c r="NTH183" s="82"/>
      <c r="NTI183" s="82"/>
      <c r="NTJ183" s="82"/>
      <c r="NTK183" s="82"/>
      <c r="NTL183" s="82"/>
      <c r="NTM183" s="82"/>
      <c r="NTN183" s="82"/>
      <c r="NTO183" s="82"/>
      <c r="NTP183" s="82"/>
      <c r="NTQ183" s="82"/>
      <c r="NTR183" s="82"/>
      <c r="NTS183" s="82"/>
      <c r="NTT183" s="82"/>
      <c r="NTU183" s="82"/>
      <c r="NTV183" s="82"/>
      <c r="NTW183" s="82"/>
      <c r="NTX183" s="82"/>
      <c r="NTY183" s="82"/>
      <c r="NTZ183" s="82"/>
      <c r="NUA183" s="82"/>
      <c r="NUB183" s="82"/>
      <c r="NUC183" s="82"/>
      <c r="NUD183" s="82"/>
      <c r="NUE183" s="82"/>
      <c r="NUF183" s="82"/>
      <c r="NUG183" s="82"/>
      <c r="NUH183" s="82"/>
      <c r="NUI183" s="82"/>
      <c r="NUJ183" s="82"/>
      <c r="NUK183" s="82"/>
      <c r="NUL183" s="82"/>
      <c r="NUM183" s="82"/>
      <c r="NUN183" s="82"/>
      <c r="NUO183" s="82"/>
      <c r="NUP183" s="82"/>
      <c r="NUQ183" s="82"/>
      <c r="NUR183" s="82"/>
      <c r="NUS183" s="82"/>
      <c r="NUT183" s="82"/>
      <c r="NUU183" s="82"/>
      <c r="NUV183" s="82"/>
      <c r="NUW183" s="82"/>
      <c r="NUX183" s="82"/>
      <c r="NUY183" s="82"/>
      <c r="NUZ183" s="82"/>
      <c r="NVA183" s="82"/>
      <c r="NVB183" s="82"/>
      <c r="NVC183" s="82"/>
      <c r="NVD183" s="82"/>
      <c r="NVE183" s="82"/>
      <c r="NVF183" s="82"/>
      <c r="NVG183" s="82"/>
      <c r="NVH183" s="82"/>
      <c r="NVI183" s="82"/>
      <c r="NVJ183" s="82"/>
      <c r="NVK183" s="82"/>
      <c r="NVL183" s="82"/>
      <c r="NVM183" s="82"/>
      <c r="NVN183" s="82"/>
      <c r="NVO183" s="82"/>
      <c r="NVP183" s="82"/>
      <c r="NVQ183" s="82"/>
      <c r="NVR183" s="82"/>
      <c r="NVS183" s="82"/>
      <c r="NVT183" s="82"/>
      <c r="NVU183" s="82"/>
      <c r="NVV183" s="82"/>
      <c r="NVW183" s="82"/>
      <c r="NVX183" s="82"/>
      <c r="NVY183" s="82"/>
      <c r="NVZ183" s="82"/>
      <c r="NWA183" s="82"/>
      <c r="NWB183" s="82"/>
      <c r="NWC183" s="82"/>
      <c r="NWD183" s="82"/>
      <c r="NWE183" s="82"/>
      <c r="NWF183" s="82"/>
      <c r="NWG183" s="82"/>
      <c r="NWH183" s="82"/>
      <c r="NWI183" s="82"/>
      <c r="NWJ183" s="82"/>
      <c r="NWK183" s="82"/>
      <c r="NWL183" s="82"/>
      <c r="NWM183" s="82"/>
      <c r="NWN183" s="82"/>
      <c r="NWO183" s="82"/>
      <c r="NWP183" s="82"/>
      <c r="NWQ183" s="82"/>
      <c r="NWR183" s="82"/>
      <c r="NWS183" s="82"/>
      <c r="NWT183" s="82"/>
      <c r="NWU183" s="82"/>
      <c r="NWV183" s="82"/>
      <c r="NWW183" s="82"/>
      <c r="NWX183" s="82"/>
      <c r="NWY183" s="82"/>
      <c r="NWZ183" s="82"/>
      <c r="NXA183" s="82"/>
      <c r="NXB183" s="82"/>
      <c r="NXC183" s="82"/>
      <c r="NXD183" s="82"/>
      <c r="NXE183" s="82"/>
      <c r="NXF183" s="82"/>
      <c r="NXG183" s="82"/>
      <c r="NXH183" s="82"/>
      <c r="NXI183" s="82"/>
      <c r="NXJ183" s="82"/>
      <c r="NXK183" s="82"/>
      <c r="NXL183" s="82"/>
      <c r="NXM183" s="82"/>
      <c r="NXN183" s="82"/>
      <c r="NXO183" s="82"/>
      <c r="NXP183" s="82"/>
      <c r="NXQ183" s="82"/>
      <c r="NXR183" s="82"/>
      <c r="NXS183" s="82"/>
      <c r="NXT183" s="82"/>
      <c r="NXU183" s="82"/>
      <c r="NXV183" s="82"/>
      <c r="NXW183" s="82"/>
      <c r="NXX183" s="82"/>
      <c r="NXY183" s="82"/>
      <c r="NXZ183" s="82"/>
      <c r="NYA183" s="82"/>
      <c r="NYB183" s="82"/>
      <c r="NYC183" s="82"/>
      <c r="NYD183" s="82"/>
      <c r="NYE183" s="82"/>
      <c r="NYF183" s="82"/>
      <c r="NYG183" s="82"/>
      <c r="NYH183" s="82"/>
      <c r="NYI183" s="82"/>
      <c r="NYJ183" s="82"/>
      <c r="NYK183" s="82"/>
      <c r="NYL183" s="82"/>
      <c r="NYM183" s="82"/>
      <c r="NYN183" s="82"/>
      <c r="NYO183" s="82"/>
      <c r="NYP183" s="82"/>
      <c r="NYQ183" s="82"/>
      <c r="NYR183" s="82"/>
      <c r="NYS183" s="82"/>
      <c r="NYT183" s="82"/>
      <c r="NYU183" s="82"/>
      <c r="NYV183" s="82"/>
      <c r="NYW183" s="82"/>
      <c r="NYX183" s="82"/>
      <c r="NYY183" s="82"/>
      <c r="NYZ183" s="82"/>
      <c r="NZA183" s="82"/>
      <c r="NZB183" s="82"/>
      <c r="NZC183" s="82"/>
      <c r="NZD183" s="82"/>
      <c r="NZE183" s="82"/>
      <c r="NZF183" s="82"/>
      <c r="NZG183" s="82"/>
      <c r="NZH183" s="82"/>
      <c r="NZI183" s="82"/>
      <c r="NZJ183" s="82"/>
      <c r="NZK183" s="82"/>
      <c r="NZL183" s="82"/>
      <c r="NZM183" s="82"/>
      <c r="NZN183" s="82"/>
      <c r="NZO183" s="82"/>
      <c r="NZP183" s="82"/>
      <c r="NZQ183" s="82"/>
      <c r="NZR183" s="82"/>
      <c r="NZS183" s="82"/>
      <c r="NZT183" s="82"/>
      <c r="NZU183" s="82"/>
      <c r="NZV183" s="82"/>
      <c r="NZW183" s="82"/>
      <c r="NZX183" s="82"/>
      <c r="NZY183" s="82"/>
      <c r="NZZ183" s="82"/>
      <c r="OAA183" s="82"/>
      <c r="OAB183" s="82"/>
      <c r="OAC183" s="82"/>
      <c r="OAD183" s="82"/>
      <c r="OAE183" s="82"/>
      <c r="OAF183" s="82"/>
      <c r="OAG183" s="82"/>
      <c r="OAH183" s="82"/>
      <c r="OAI183" s="82"/>
      <c r="OAJ183" s="82"/>
      <c r="OAK183" s="82"/>
      <c r="OAL183" s="82"/>
      <c r="OAM183" s="82"/>
      <c r="OAN183" s="82"/>
      <c r="OAO183" s="82"/>
      <c r="OAP183" s="82"/>
      <c r="OAQ183" s="82"/>
      <c r="OAR183" s="82"/>
      <c r="OAS183" s="82"/>
      <c r="OAT183" s="82"/>
      <c r="OAU183" s="82"/>
      <c r="OAV183" s="82"/>
      <c r="OAW183" s="82"/>
      <c r="OAX183" s="82"/>
      <c r="OAY183" s="82"/>
      <c r="OAZ183" s="82"/>
      <c r="OBA183" s="82"/>
      <c r="OBB183" s="82"/>
      <c r="OBC183" s="82"/>
      <c r="OBD183" s="82"/>
      <c r="OBE183" s="82"/>
      <c r="OBF183" s="82"/>
      <c r="OBG183" s="82"/>
      <c r="OBH183" s="82"/>
      <c r="OBI183" s="82"/>
      <c r="OBJ183" s="82"/>
      <c r="OBK183" s="82"/>
      <c r="OBL183" s="82"/>
      <c r="OBM183" s="82"/>
      <c r="OBN183" s="82"/>
      <c r="OBO183" s="82"/>
      <c r="OBP183" s="82"/>
      <c r="OBQ183" s="82"/>
      <c r="OBR183" s="82"/>
      <c r="OBS183" s="82"/>
      <c r="OBT183" s="82"/>
      <c r="OBU183" s="82"/>
      <c r="OBV183" s="82"/>
      <c r="OBW183" s="82"/>
      <c r="OBX183" s="82"/>
      <c r="OBY183" s="82"/>
      <c r="OBZ183" s="82"/>
      <c r="OCA183" s="82"/>
      <c r="OCB183" s="82"/>
      <c r="OCC183" s="82"/>
      <c r="OCD183" s="82"/>
      <c r="OCE183" s="82"/>
      <c r="OCF183" s="82"/>
      <c r="OCG183" s="82"/>
      <c r="OCH183" s="82"/>
      <c r="OCI183" s="82"/>
      <c r="OCJ183" s="82"/>
      <c r="OCK183" s="82"/>
      <c r="OCL183" s="82"/>
      <c r="OCM183" s="82"/>
      <c r="OCN183" s="82"/>
      <c r="OCO183" s="82"/>
      <c r="OCP183" s="82"/>
      <c r="OCQ183" s="82"/>
      <c r="OCR183" s="82"/>
      <c r="OCS183" s="82"/>
      <c r="OCT183" s="82"/>
      <c r="OCU183" s="82"/>
      <c r="OCV183" s="82"/>
      <c r="OCW183" s="82"/>
      <c r="OCX183" s="82"/>
      <c r="OCY183" s="82"/>
      <c r="OCZ183" s="82"/>
      <c r="ODA183" s="82"/>
      <c r="ODB183" s="82"/>
      <c r="ODC183" s="82"/>
      <c r="ODD183" s="82"/>
      <c r="ODE183" s="82"/>
      <c r="ODF183" s="82"/>
      <c r="ODG183" s="82"/>
      <c r="ODH183" s="82"/>
      <c r="ODI183" s="82"/>
      <c r="ODJ183" s="82"/>
      <c r="ODK183" s="82"/>
      <c r="ODL183" s="82"/>
      <c r="ODM183" s="82"/>
      <c r="ODN183" s="82"/>
      <c r="ODO183" s="82"/>
      <c r="ODP183" s="82"/>
      <c r="ODQ183" s="82"/>
      <c r="ODR183" s="82"/>
      <c r="ODS183" s="82"/>
      <c r="ODT183" s="82"/>
      <c r="ODU183" s="82"/>
      <c r="ODV183" s="82"/>
      <c r="ODW183" s="82"/>
      <c r="ODX183" s="82"/>
      <c r="ODY183" s="82"/>
      <c r="ODZ183" s="82"/>
      <c r="OEA183" s="82"/>
      <c r="OEB183" s="82"/>
      <c r="OEC183" s="82"/>
      <c r="OED183" s="82"/>
      <c r="OEE183" s="82"/>
      <c r="OEF183" s="82"/>
      <c r="OEG183" s="82"/>
      <c r="OEH183" s="82"/>
      <c r="OEI183" s="82"/>
      <c r="OEJ183" s="82"/>
      <c r="OEK183" s="82"/>
      <c r="OEL183" s="82"/>
      <c r="OEM183" s="82"/>
      <c r="OEN183" s="82"/>
      <c r="OEO183" s="82"/>
      <c r="OEP183" s="82"/>
      <c r="OEQ183" s="82"/>
      <c r="OER183" s="82"/>
      <c r="OES183" s="82"/>
      <c r="OET183" s="82"/>
      <c r="OEU183" s="82"/>
      <c r="OEV183" s="82"/>
      <c r="OEW183" s="82"/>
      <c r="OEX183" s="82"/>
      <c r="OEY183" s="82"/>
      <c r="OEZ183" s="82"/>
      <c r="OFA183" s="82"/>
      <c r="OFB183" s="82"/>
      <c r="OFC183" s="82"/>
      <c r="OFD183" s="82"/>
      <c r="OFE183" s="82"/>
      <c r="OFF183" s="82"/>
      <c r="OFG183" s="82"/>
      <c r="OFH183" s="82"/>
      <c r="OFI183" s="82"/>
      <c r="OFJ183" s="82"/>
      <c r="OFK183" s="82"/>
      <c r="OFL183" s="82"/>
      <c r="OFM183" s="82"/>
      <c r="OFN183" s="82"/>
      <c r="OFO183" s="82"/>
      <c r="OFP183" s="82"/>
      <c r="OFQ183" s="82"/>
      <c r="OFR183" s="82"/>
      <c r="OFS183" s="82"/>
      <c r="OFT183" s="82"/>
      <c r="OFU183" s="82"/>
      <c r="OFV183" s="82"/>
      <c r="OFW183" s="82"/>
      <c r="OFX183" s="82"/>
      <c r="OFY183" s="82"/>
      <c r="OFZ183" s="82"/>
      <c r="OGA183" s="82"/>
      <c r="OGB183" s="82"/>
      <c r="OGC183" s="82"/>
      <c r="OGD183" s="82"/>
      <c r="OGE183" s="82"/>
      <c r="OGF183" s="82"/>
      <c r="OGG183" s="82"/>
      <c r="OGH183" s="82"/>
      <c r="OGI183" s="82"/>
      <c r="OGJ183" s="82"/>
      <c r="OGK183" s="82"/>
      <c r="OGL183" s="82"/>
      <c r="OGM183" s="82"/>
      <c r="OGN183" s="82"/>
      <c r="OGO183" s="82"/>
      <c r="OGP183" s="82"/>
      <c r="OGQ183" s="82"/>
      <c r="OGR183" s="82"/>
      <c r="OGS183" s="82"/>
      <c r="OGT183" s="82"/>
      <c r="OGU183" s="82"/>
      <c r="OGV183" s="82"/>
      <c r="OGW183" s="82"/>
      <c r="OGX183" s="82"/>
      <c r="OGY183" s="82"/>
      <c r="OGZ183" s="82"/>
      <c r="OHA183" s="82"/>
      <c r="OHB183" s="82"/>
      <c r="OHC183" s="82"/>
      <c r="OHD183" s="82"/>
      <c r="OHE183" s="82"/>
      <c r="OHF183" s="82"/>
      <c r="OHG183" s="82"/>
      <c r="OHH183" s="82"/>
      <c r="OHI183" s="82"/>
      <c r="OHJ183" s="82"/>
      <c r="OHK183" s="82"/>
      <c r="OHL183" s="82"/>
      <c r="OHM183" s="82"/>
      <c r="OHN183" s="82"/>
      <c r="OHO183" s="82"/>
      <c r="OHP183" s="82"/>
      <c r="OHQ183" s="82"/>
      <c r="OHR183" s="82"/>
      <c r="OHS183" s="82"/>
      <c r="OHT183" s="82"/>
      <c r="OHU183" s="82"/>
      <c r="OHV183" s="82"/>
      <c r="OHW183" s="82"/>
      <c r="OHX183" s="82"/>
      <c r="OHY183" s="82"/>
      <c r="OHZ183" s="82"/>
      <c r="OIA183" s="82"/>
      <c r="OIB183" s="82"/>
      <c r="OIC183" s="82"/>
      <c r="OID183" s="82"/>
      <c r="OIE183" s="82"/>
      <c r="OIF183" s="82"/>
      <c r="OIG183" s="82"/>
      <c r="OIH183" s="82"/>
      <c r="OII183" s="82"/>
      <c r="OIJ183" s="82"/>
      <c r="OIK183" s="82"/>
      <c r="OIL183" s="82"/>
      <c r="OIM183" s="82"/>
      <c r="OIN183" s="82"/>
      <c r="OIO183" s="82"/>
      <c r="OIP183" s="82"/>
      <c r="OIQ183" s="82"/>
      <c r="OIR183" s="82"/>
      <c r="OIS183" s="82"/>
      <c r="OIT183" s="82"/>
      <c r="OIU183" s="82"/>
      <c r="OIV183" s="82"/>
      <c r="OIW183" s="82"/>
      <c r="OIX183" s="82"/>
      <c r="OIY183" s="82"/>
      <c r="OIZ183" s="82"/>
      <c r="OJA183" s="82"/>
      <c r="OJB183" s="82"/>
      <c r="OJC183" s="82"/>
      <c r="OJD183" s="82"/>
      <c r="OJE183" s="82"/>
      <c r="OJF183" s="82"/>
      <c r="OJG183" s="82"/>
      <c r="OJH183" s="82"/>
      <c r="OJI183" s="82"/>
      <c r="OJJ183" s="82"/>
      <c r="OJK183" s="82"/>
      <c r="OJL183" s="82"/>
      <c r="OJM183" s="82"/>
      <c r="OJN183" s="82"/>
      <c r="OJO183" s="82"/>
      <c r="OJP183" s="82"/>
      <c r="OJQ183" s="82"/>
      <c r="OJR183" s="82"/>
      <c r="OJS183" s="82"/>
      <c r="OJT183" s="82"/>
      <c r="OJU183" s="82"/>
      <c r="OJV183" s="82"/>
      <c r="OJW183" s="82"/>
      <c r="OJX183" s="82"/>
      <c r="OJY183" s="82"/>
      <c r="OJZ183" s="82"/>
      <c r="OKA183" s="82"/>
      <c r="OKB183" s="82"/>
      <c r="OKC183" s="82"/>
      <c r="OKD183" s="82"/>
      <c r="OKE183" s="82"/>
      <c r="OKF183" s="82"/>
      <c r="OKG183" s="82"/>
      <c r="OKH183" s="82"/>
      <c r="OKI183" s="82"/>
      <c r="OKJ183" s="82"/>
      <c r="OKK183" s="82"/>
      <c r="OKL183" s="82"/>
      <c r="OKM183" s="82"/>
      <c r="OKN183" s="82"/>
      <c r="OKO183" s="82"/>
      <c r="OKP183" s="82"/>
      <c r="OKQ183" s="82"/>
      <c r="OKR183" s="82"/>
      <c r="OKS183" s="82"/>
      <c r="OKT183" s="82"/>
      <c r="OKU183" s="82"/>
      <c r="OKV183" s="82"/>
      <c r="OKW183" s="82"/>
      <c r="OKX183" s="82"/>
      <c r="OKY183" s="82"/>
      <c r="OKZ183" s="82"/>
      <c r="OLA183" s="82"/>
      <c r="OLB183" s="82"/>
      <c r="OLC183" s="82"/>
      <c r="OLD183" s="82"/>
      <c r="OLE183" s="82"/>
      <c r="OLF183" s="82"/>
      <c r="OLG183" s="82"/>
      <c r="OLH183" s="82"/>
      <c r="OLI183" s="82"/>
      <c r="OLJ183" s="82"/>
      <c r="OLK183" s="82"/>
      <c r="OLL183" s="82"/>
      <c r="OLM183" s="82"/>
      <c r="OLN183" s="82"/>
      <c r="OLO183" s="82"/>
      <c r="OLP183" s="82"/>
      <c r="OLQ183" s="82"/>
      <c r="OLR183" s="82"/>
      <c r="OLS183" s="82"/>
      <c r="OLT183" s="82"/>
      <c r="OLU183" s="82"/>
      <c r="OLV183" s="82"/>
      <c r="OLW183" s="82"/>
      <c r="OLX183" s="82"/>
      <c r="OLY183" s="82"/>
      <c r="OLZ183" s="82"/>
      <c r="OMA183" s="82"/>
      <c r="OMB183" s="82"/>
      <c r="OMC183" s="82"/>
      <c r="OMD183" s="82"/>
      <c r="OME183" s="82"/>
      <c r="OMF183" s="82"/>
      <c r="OMG183" s="82"/>
      <c r="OMH183" s="82"/>
      <c r="OMI183" s="82"/>
      <c r="OMJ183" s="82"/>
      <c r="OMK183" s="82"/>
      <c r="OML183" s="82"/>
      <c r="OMM183" s="82"/>
      <c r="OMN183" s="82"/>
      <c r="OMO183" s="82"/>
      <c r="OMP183" s="82"/>
      <c r="OMQ183" s="82"/>
      <c r="OMR183" s="82"/>
      <c r="OMS183" s="82"/>
      <c r="OMT183" s="82"/>
      <c r="OMU183" s="82"/>
      <c r="OMV183" s="82"/>
      <c r="OMW183" s="82"/>
      <c r="OMX183" s="82"/>
      <c r="OMY183" s="82"/>
      <c r="OMZ183" s="82"/>
      <c r="ONA183" s="82"/>
      <c r="ONB183" s="82"/>
      <c r="ONC183" s="82"/>
      <c r="OND183" s="82"/>
      <c r="ONE183" s="82"/>
      <c r="ONF183" s="82"/>
      <c r="ONG183" s="82"/>
      <c r="ONH183" s="82"/>
      <c r="ONI183" s="82"/>
      <c r="ONJ183" s="82"/>
      <c r="ONK183" s="82"/>
      <c r="ONL183" s="82"/>
      <c r="ONM183" s="82"/>
      <c r="ONN183" s="82"/>
      <c r="ONO183" s="82"/>
      <c r="ONP183" s="82"/>
      <c r="ONQ183" s="82"/>
      <c r="ONR183" s="82"/>
      <c r="ONS183" s="82"/>
      <c r="ONT183" s="82"/>
      <c r="ONU183" s="82"/>
      <c r="ONV183" s="82"/>
      <c r="ONW183" s="82"/>
      <c r="ONX183" s="82"/>
      <c r="ONY183" s="82"/>
      <c r="ONZ183" s="82"/>
      <c r="OOA183" s="82"/>
      <c r="OOB183" s="82"/>
      <c r="OOC183" s="82"/>
      <c r="OOD183" s="82"/>
      <c r="OOE183" s="82"/>
      <c r="OOF183" s="82"/>
      <c r="OOG183" s="82"/>
      <c r="OOH183" s="82"/>
      <c r="OOI183" s="82"/>
      <c r="OOJ183" s="82"/>
      <c r="OOK183" s="82"/>
      <c r="OOL183" s="82"/>
      <c r="OOM183" s="82"/>
      <c r="OON183" s="82"/>
      <c r="OOO183" s="82"/>
      <c r="OOP183" s="82"/>
      <c r="OOQ183" s="82"/>
      <c r="OOR183" s="82"/>
      <c r="OOS183" s="82"/>
      <c r="OOT183" s="82"/>
      <c r="OOU183" s="82"/>
      <c r="OOV183" s="82"/>
      <c r="OOW183" s="82"/>
      <c r="OOX183" s="82"/>
      <c r="OOY183" s="82"/>
      <c r="OOZ183" s="82"/>
      <c r="OPA183" s="82"/>
      <c r="OPB183" s="82"/>
      <c r="OPC183" s="82"/>
      <c r="OPD183" s="82"/>
      <c r="OPE183" s="82"/>
      <c r="OPF183" s="82"/>
      <c r="OPG183" s="82"/>
      <c r="OPH183" s="82"/>
      <c r="OPI183" s="82"/>
      <c r="OPJ183" s="82"/>
      <c r="OPK183" s="82"/>
      <c r="OPL183" s="82"/>
      <c r="OPM183" s="82"/>
      <c r="OPN183" s="82"/>
      <c r="OPO183" s="82"/>
      <c r="OPP183" s="82"/>
      <c r="OPQ183" s="82"/>
      <c r="OPR183" s="82"/>
      <c r="OPS183" s="82"/>
      <c r="OPT183" s="82"/>
      <c r="OPU183" s="82"/>
      <c r="OPV183" s="82"/>
      <c r="OPW183" s="82"/>
      <c r="OPX183" s="82"/>
      <c r="OPY183" s="82"/>
      <c r="OPZ183" s="82"/>
      <c r="OQA183" s="82"/>
      <c r="OQB183" s="82"/>
      <c r="OQC183" s="82"/>
      <c r="OQD183" s="82"/>
      <c r="OQE183" s="82"/>
      <c r="OQF183" s="82"/>
      <c r="OQG183" s="82"/>
      <c r="OQH183" s="82"/>
      <c r="OQI183" s="82"/>
      <c r="OQJ183" s="82"/>
      <c r="OQK183" s="82"/>
      <c r="OQL183" s="82"/>
      <c r="OQM183" s="82"/>
      <c r="OQN183" s="82"/>
      <c r="OQO183" s="82"/>
      <c r="OQP183" s="82"/>
      <c r="OQQ183" s="82"/>
      <c r="OQR183" s="82"/>
      <c r="OQS183" s="82"/>
      <c r="OQT183" s="82"/>
      <c r="OQU183" s="82"/>
      <c r="OQV183" s="82"/>
      <c r="OQW183" s="82"/>
      <c r="OQX183" s="82"/>
      <c r="OQY183" s="82"/>
      <c r="OQZ183" s="82"/>
      <c r="ORA183" s="82"/>
      <c r="ORB183" s="82"/>
      <c r="ORC183" s="82"/>
      <c r="ORD183" s="82"/>
      <c r="ORE183" s="82"/>
      <c r="ORF183" s="82"/>
      <c r="ORG183" s="82"/>
      <c r="ORH183" s="82"/>
      <c r="ORI183" s="82"/>
      <c r="ORJ183" s="82"/>
      <c r="ORK183" s="82"/>
      <c r="ORL183" s="82"/>
      <c r="ORM183" s="82"/>
      <c r="ORN183" s="82"/>
      <c r="ORO183" s="82"/>
      <c r="ORP183" s="82"/>
      <c r="ORQ183" s="82"/>
      <c r="ORR183" s="82"/>
      <c r="ORS183" s="82"/>
      <c r="ORT183" s="82"/>
      <c r="ORU183" s="82"/>
      <c r="ORV183" s="82"/>
      <c r="ORW183" s="82"/>
      <c r="ORX183" s="82"/>
      <c r="ORY183" s="82"/>
      <c r="ORZ183" s="82"/>
      <c r="OSA183" s="82"/>
      <c r="OSB183" s="82"/>
      <c r="OSC183" s="82"/>
      <c r="OSD183" s="82"/>
      <c r="OSE183" s="82"/>
      <c r="OSF183" s="82"/>
      <c r="OSG183" s="82"/>
      <c r="OSH183" s="82"/>
      <c r="OSI183" s="82"/>
      <c r="OSJ183" s="82"/>
      <c r="OSK183" s="82"/>
      <c r="OSL183" s="82"/>
      <c r="OSM183" s="82"/>
      <c r="OSN183" s="82"/>
      <c r="OSO183" s="82"/>
      <c r="OSP183" s="82"/>
      <c r="OSQ183" s="82"/>
      <c r="OSR183" s="82"/>
      <c r="OSS183" s="82"/>
      <c r="OST183" s="82"/>
      <c r="OSU183" s="82"/>
      <c r="OSV183" s="82"/>
      <c r="OSW183" s="82"/>
      <c r="OSX183" s="82"/>
      <c r="OSY183" s="82"/>
      <c r="OSZ183" s="82"/>
      <c r="OTA183" s="82"/>
      <c r="OTB183" s="82"/>
      <c r="OTC183" s="82"/>
      <c r="OTD183" s="82"/>
      <c r="OTE183" s="82"/>
      <c r="OTF183" s="82"/>
      <c r="OTG183" s="82"/>
      <c r="OTH183" s="82"/>
      <c r="OTI183" s="82"/>
      <c r="OTJ183" s="82"/>
      <c r="OTK183" s="82"/>
      <c r="OTL183" s="82"/>
      <c r="OTM183" s="82"/>
      <c r="OTN183" s="82"/>
      <c r="OTO183" s="82"/>
      <c r="OTP183" s="82"/>
      <c r="OTQ183" s="82"/>
      <c r="OTR183" s="82"/>
      <c r="OTS183" s="82"/>
      <c r="OTT183" s="82"/>
      <c r="OTU183" s="82"/>
      <c r="OTV183" s="82"/>
      <c r="OTW183" s="82"/>
      <c r="OTX183" s="82"/>
      <c r="OTY183" s="82"/>
      <c r="OTZ183" s="82"/>
      <c r="OUA183" s="82"/>
      <c r="OUB183" s="82"/>
      <c r="OUC183" s="82"/>
      <c r="OUD183" s="82"/>
      <c r="OUE183" s="82"/>
      <c r="OUF183" s="82"/>
      <c r="OUG183" s="82"/>
      <c r="OUH183" s="82"/>
      <c r="OUI183" s="82"/>
      <c r="OUJ183" s="82"/>
      <c r="OUK183" s="82"/>
      <c r="OUL183" s="82"/>
      <c r="OUM183" s="82"/>
      <c r="OUN183" s="82"/>
      <c r="OUO183" s="82"/>
      <c r="OUP183" s="82"/>
      <c r="OUQ183" s="82"/>
      <c r="OUR183" s="82"/>
      <c r="OUS183" s="82"/>
      <c r="OUT183" s="82"/>
      <c r="OUU183" s="82"/>
      <c r="OUV183" s="82"/>
      <c r="OUW183" s="82"/>
      <c r="OUX183" s="82"/>
      <c r="OUY183" s="82"/>
      <c r="OUZ183" s="82"/>
      <c r="OVA183" s="82"/>
      <c r="OVB183" s="82"/>
      <c r="OVC183" s="82"/>
      <c r="OVD183" s="82"/>
      <c r="OVE183" s="82"/>
      <c r="OVF183" s="82"/>
      <c r="OVG183" s="82"/>
      <c r="OVH183" s="82"/>
      <c r="OVI183" s="82"/>
      <c r="OVJ183" s="82"/>
      <c r="OVK183" s="82"/>
      <c r="OVL183" s="82"/>
      <c r="OVM183" s="82"/>
      <c r="OVN183" s="82"/>
      <c r="OVO183" s="82"/>
      <c r="OVP183" s="82"/>
      <c r="OVQ183" s="82"/>
      <c r="OVR183" s="82"/>
      <c r="OVS183" s="82"/>
      <c r="OVT183" s="82"/>
      <c r="OVU183" s="82"/>
      <c r="OVV183" s="82"/>
      <c r="OVW183" s="82"/>
      <c r="OVX183" s="82"/>
      <c r="OVY183" s="82"/>
      <c r="OVZ183" s="82"/>
      <c r="OWA183" s="82"/>
      <c r="OWB183" s="82"/>
      <c r="OWC183" s="82"/>
      <c r="OWD183" s="82"/>
      <c r="OWE183" s="82"/>
      <c r="OWF183" s="82"/>
      <c r="OWG183" s="82"/>
      <c r="OWH183" s="82"/>
      <c r="OWI183" s="82"/>
      <c r="OWJ183" s="82"/>
      <c r="OWK183" s="82"/>
      <c r="OWL183" s="82"/>
      <c r="OWM183" s="82"/>
      <c r="OWN183" s="82"/>
      <c r="OWO183" s="82"/>
      <c r="OWP183" s="82"/>
      <c r="OWQ183" s="82"/>
      <c r="OWR183" s="82"/>
      <c r="OWS183" s="82"/>
      <c r="OWT183" s="82"/>
      <c r="OWU183" s="82"/>
      <c r="OWV183" s="82"/>
      <c r="OWW183" s="82"/>
      <c r="OWX183" s="82"/>
      <c r="OWY183" s="82"/>
      <c r="OWZ183" s="82"/>
      <c r="OXA183" s="82"/>
      <c r="OXB183" s="82"/>
      <c r="OXC183" s="82"/>
      <c r="OXD183" s="82"/>
      <c r="OXE183" s="82"/>
      <c r="OXF183" s="82"/>
      <c r="OXG183" s="82"/>
      <c r="OXH183" s="82"/>
      <c r="OXI183" s="82"/>
      <c r="OXJ183" s="82"/>
      <c r="OXK183" s="82"/>
      <c r="OXL183" s="82"/>
      <c r="OXM183" s="82"/>
      <c r="OXN183" s="82"/>
      <c r="OXO183" s="82"/>
      <c r="OXP183" s="82"/>
      <c r="OXQ183" s="82"/>
      <c r="OXR183" s="82"/>
      <c r="OXS183" s="82"/>
      <c r="OXT183" s="82"/>
      <c r="OXU183" s="82"/>
      <c r="OXV183" s="82"/>
      <c r="OXW183" s="82"/>
      <c r="OXX183" s="82"/>
      <c r="OXY183" s="82"/>
      <c r="OXZ183" s="82"/>
      <c r="OYA183" s="82"/>
      <c r="OYB183" s="82"/>
      <c r="OYC183" s="82"/>
      <c r="OYD183" s="82"/>
      <c r="OYE183" s="82"/>
      <c r="OYF183" s="82"/>
      <c r="OYG183" s="82"/>
      <c r="OYH183" s="82"/>
      <c r="OYI183" s="82"/>
      <c r="OYJ183" s="82"/>
      <c r="OYK183" s="82"/>
      <c r="OYL183" s="82"/>
      <c r="OYM183" s="82"/>
      <c r="OYN183" s="82"/>
      <c r="OYO183" s="82"/>
      <c r="OYP183" s="82"/>
      <c r="OYQ183" s="82"/>
      <c r="OYR183" s="82"/>
      <c r="OYS183" s="82"/>
      <c r="OYT183" s="82"/>
      <c r="OYU183" s="82"/>
      <c r="OYV183" s="82"/>
      <c r="OYW183" s="82"/>
      <c r="OYX183" s="82"/>
      <c r="OYY183" s="82"/>
      <c r="OYZ183" s="82"/>
      <c r="OZA183" s="82"/>
      <c r="OZB183" s="82"/>
      <c r="OZC183" s="82"/>
      <c r="OZD183" s="82"/>
      <c r="OZE183" s="82"/>
      <c r="OZF183" s="82"/>
      <c r="OZG183" s="82"/>
      <c r="OZH183" s="82"/>
      <c r="OZI183" s="82"/>
      <c r="OZJ183" s="82"/>
      <c r="OZK183" s="82"/>
      <c r="OZL183" s="82"/>
      <c r="OZM183" s="82"/>
      <c r="OZN183" s="82"/>
      <c r="OZO183" s="82"/>
      <c r="OZP183" s="82"/>
      <c r="OZQ183" s="82"/>
      <c r="OZR183" s="82"/>
      <c r="OZS183" s="82"/>
      <c r="OZT183" s="82"/>
      <c r="OZU183" s="82"/>
      <c r="OZV183" s="82"/>
      <c r="OZW183" s="82"/>
      <c r="OZX183" s="82"/>
      <c r="OZY183" s="82"/>
      <c r="OZZ183" s="82"/>
      <c r="PAA183" s="82"/>
      <c r="PAB183" s="82"/>
      <c r="PAC183" s="82"/>
      <c r="PAD183" s="82"/>
      <c r="PAE183" s="82"/>
      <c r="PAF183" s="82"/>
      <c r="PAG183" s="82"/>
      <c r="PAH183" s="82"/>
      <c r="PAI183" s="82"/>
      <c r="PAJ183" s="82"/>
      <c r="PAK183" s="82"/>
      <c r="PAL183" s="82"/>
      <c r="PAM183" s="82"/>
      <c r="PAN183" s="82"/>
      <c r="PAO183" s="82"/>
      <c r="PAP183" s="82"/>
      <c r="PAQ183" s="82"/>
      <c r="PAR183" s="82"/>
      <c r="PAS183" s="82"/>
      <c r="PAT183" s="82"/>
      <c r="PAU183" s="82"/>
      <c r="PAV183" s="82"/>
      <c r="PAW183" s="82"/>
      <c r="PAX183" s="82"/>
      <c r="PAY183" s="82"/>
      <c r="PAZ183" s="82"/>
      <c r="PBA183" s="82"/>
      <c r="PBB183" s="82"/>
      <c r="PBC183" s="82"/>
      <c r="PBD183" s="82"/>
      <c r="PBE183" s="82"/>
      <c r="PBF183" s="82"/>
      <c r="PBG183" s="82"/>
      <c r="PBH183" s="82"/>
      <c r="PBI183" s="82"/>
      <c r="PBJ183" s="82"/>
      <c r="PBK183" s="82"/>
      <c r="PBL183" s="82"/>
      <c r="PBM183" s="82"/>
      <c r="PBN183" s="82"/>
      <c r="PBO183" s="82"/>
      <c r="PBP183" s="82"/>
      <c r="PBQ183" s="82"/>
      <c r="PBR183" s="82"/>
      <c r="PBS183" s="82"/>
      <c r="PBT183" s="82"/>
      <c r="PBU183" s="82"/>
      <c r="PBV183" s="82"/>
      <c r="PBW183" s="82"/>
      <c r="PBX183" s="82"/>
      <c r="PBY183" s="82"/>
      <c r="PBZ183" s="82"/>
      <c r="PCA183" s="82"/>
      <c r="PCB183" s="82"/>
      <c r="PCC183" s="82"/>
      <c r="PCD183" s="82"/>
      <c r="PCE183" s="82"/>
      <c r="PCF183" s="82"/>
      <c r="PCG183" s="82"/>
      <c r="PCH183" s="82"/>
      <c r="PCI183" s="82"/>
      <c r="PCJ183" s="82"/>
      <c r="PCK183" s="82"/>
      <c r="PCL183" s="82"/>
      <c r="PCM183" s="82"/>
      <c r="PCN183" s="82"/>
      <c r="PCO183" s="82"/>
      <c r="PCP183" s="82"/>
      <c r="PCQ183" s="82"/>
      <c r="PCR183" s="82"/>
      <c r="PCS183" s="82"/>
      <c r="PCT183" s="82"/>
      <c r="PCU183" s="82"/>
      <c r="PCV183" s="82"/>
      <c r="PCW183" s="82"/>
      <c r="PCX183" s="82"/>
      <c r="PCY183" s="82"/>
      <c r="PCZ183" s="82"/>
      <c r="PDA183" s="82"/>
      <c r="PDB183" s="82"/>
      <c r="PDC183" s="82"/>
      <c r="PDD183" s="82"/>
      <c r="PDE183" s="82"/>
      <c r="PDF183" s="82"/>
      <c r="PDG183" s="82"/>
      <c r="PDH183" s="82"/>
      <c r="PDI183" s="82"/>
      <c r="PDJ183" s="82"/>
      <c r="PDK183" s="82"/>
      <c r="PDL183" s="82"/>
      <c r="PDM183" s="82"/>
      <c r="PDN183" s="82"/>
      <c r="PDO183" s="82"/>
      <c r="PDP183" s="82"/>
      <c r="PDQ183" s="82"/>
      <c r="PDR183" s="82"/>
      <c r="PDS183" s="82"/>
      <c r="PDT183" s="82"/>
      <c r="PDU183" s="82"/>
      <c r="PDV183" s="82"/>
      <c r="PDW183" s="82"/>
      <c r="PDX183" s="82"/>
      <c r="PDY183" s="82"/>
      <c r="PDZ183" s="82"/>
      <c r="PEA183" s="82"/>
      <c r="PEB183" s="82"/>
      <c r="PEC183" s="82"/>
      <c r="PED183" s="82"/>
      <c r="PEE183" s="82"/>
      <c r="PEF183" s="82"/>
      <c r="PEG183" s="82"/>
      <c r="PEH183" s="82"/>
      <c r="PEI183" s="82"/>
      <c r="PEJ183" s="82"/>
      <c r="PEK183" s="82"/>
      <c r="PEL183" s="82"/>
      <c r="PEM183" s="82"/>
      <c r="PEN183" s="82"/>
      <c r="PEO183" s="82"/>
      <c r="PEP183" s="82"/>
      <c r="PEQ183" s="82"/>
      <c r="PER183" s="82"/>
      <c r="PES183" s="82"/>
      <c r="PET183" s="82"/>
      <c r="PEU183" s="82"/>
      <c r="PEV183" s="82"/>
      <c r="PEW183" s="82"/>
      <c r="PEX183" s="82"/>
      <c r="PEY183" s="82"/>
      <c r="PEZ183" s="82"/>
      <c r="PFA183" s="82"/>
      <c r="PFB183" s="82"/>
      <c r="PFC183" s="82"/>
      <c r="PFD183" s="82"/>
      <c r="PFE183" s="82"/>
      <c r="PFF183" s="82"/>
      <c r="PFG183" s="82"/>
      <c r="PFH183" s="82"/>
      <c r="PFI183" s="82"/>
      <c r="PFJ183" s="82"/>
      <c r="PFK183" s="82"/>
      <c r="PFL183" s="82"/>
      <c r="PFM183" s="82"/>
      <c r="PFN183" s="82"/>
      <c r="PFO183" s="82"/>
      <c r="PFP183" s="82"/>
      <c r="PFQ183" s="82"/>
      <c r="PFR183" s="82"/>
      <c r="PFS183" s="82"/>
      <c r="PFT183" s="82"/>
      <c r="PFU183" s="82"/>
      <c r="PFV183" s="82"/>
      <c r="PFW183" s="82"/>
      <c r="PFX183" s="82"/>
      <c r="PFY183" s="82"/>
      <c r="PFZ183" s="82"/>
      <c r="PGA183" s="82"/>
      <c r="PGB183" s="82"/>
      <c r="PGC183" s="82"/>
      <c r="PGD183" s="82"/>
      <c r="PGE183" s="82"/>
      <c r="PGF183" s="82"/>
      <c r="PGG183" s="82"/>
      <c r="PGH183" s="82"/>
      <c r="PGI183" s="82"/>
      <c r="PGJ183" s="82"/>
      <c r="PGK183" s="82"/>
      <c r="PGL183" s="82"/>
      <c r="PGM183" s="82"/>
      <c r="PGN183" s="82"/>
      <c r="PGO183" s="82"/>
      <c r="PGP183" s="82"/>
      <c r="PGQ183" s="82"/>
      <c r="PGR183" s="82"/>
      <c r="PGS183" s="82"/>
      <c r="PGT183" s="82"/>
      <c r="PGU183" s="82"/>
      <c r="PGV183" s="82"/>
      <c r="PGW183" s="82"/>
      <c r="PGX183" s="82"/>
      <c r="PGY183" s="82"/>
      <c r="PGZ183" s="82"/>
      <c r="PHA183" s="82"/>
      <c r="PHB183" s="82"/>
      <c r="PHC183" s="82"/>
      <c r="PHD183" s="82"/>
      <c r="PHE183" s="82"/>
      <c r="PHF183" s="82"/>
      <c r="PHG183" s="82"/>
      <c r="PHH183" s="82"/>
      <c r="PHI183" s="82"/>
      <c r="PHJ183" s="82"/>
      <c r="PHK183" s="82"/>
      <c r="PHL183" s="82"/>
      <c r="PHM183" s="82"/>
      <c r="PHN183" s="82"/>
      <c r="PHO183" s="82"/>
      <c r="PHP183" s="82"/>
      <c r="PHQ183" s="82"/>
      <c r="PHR183" s="82"/>
      <c r="PHS183" s="82"/>
      <c r="PHT183" s="82"/>
      <c r="PHU183" s="82"/>
      <c r="PHV183" s="82"/>
      <c r="PHW183" s="82"/>
      <c r="PHX183" s="82"/>
      <c r="PHY183" s="82"/>
      <c r="PHZ183" s="82"/>
      <c r="PIA183" s="82"/>
      <c r="PIB183" s="82"/>
      <c r="PIC183" s="82"/>
      <c r="PID183" s="82"/>
      <c r="PIE183" s="82"/>
      <c r="PIF183" s="82"/>
      <c r="PIG183" s="82"/>
      <c r="PIH183" s="82"/>
      <c r="PII183" s="82"/>
      <c r="PIJ183" s="82"/>
      <c r="PIK183" s="82"/>
      <c r="PIL183" s="82"/>
      <c r="PIM183" s="82"/>
      <c r="PIN183" s="82"/>
      <c r="PIO183" s="82"/>
      <c r="PIP183" s="82"/>
      <c r="PIQ183" s="82"/>
      <c r="PIR183" s="82"/>
      <c r="PIS183" s="82"/>
      <c r="PIT183" s="82"/>
      <c r="PIU183" s="82"/>
      <c r="PIV183" s="82"/>
      <c r="PIW183" s="82"/>
      <c r="PIX183" s="82"/>
      <c r="PIY183" s="82"/>
      <c r="PIZ183" s="82"/>
      <c r="PJA183" s="82"/>
      <c r="PJB183" s="82"/>
      <c r="PJC183" s="82"/>
      <c r="PJD183" s="82"/>
      <c r="PJE183" s="82"/>
      <c r="PJF183" s="82"/>
      <c r="PJG183" s="82"/>
      <c r="PJH183" s="82"/>
      <c r="PJI183" s="82"/>
      <c r="PJJ183" s="82"/>
      <c r="PJK183" s="82"/>
      <c r="PJL183" s="82"/>
      <c r="PJM183" s="82"/>
      <c r="PJN183" s="82"/>
      <c r="PJO183" s="82"/>
      <c r="PJP183" s="82"/>
      <c r="PJQ183" s="82"/>
      <c r="PJR183" s="82"/>
      <c r="PJS183" s="82"/>
      <c r="PJT183" s="82"/>
      <c r="PJU183" s="82"/>
      <c r="PJV183" s="82"/>
      <c r="PJW183" s="82"/>
      <c r="PJX183" s="82"/>
      <c r="PJY183" s="82"/>
      <c r="PJZ183" s="82"/>
      <c r="PKA183" s="82"/>
      <c r="PKB183" s="82"/>
      <c r="PKC183" s="82"/>
      <c r="PKD183" s="82"/>
      <c r="PKE183" s="82"/>
      <c r="PKF183" s="82"/>
      <c r="PKG183" s="82"/>
      <c r="PKH183" s="82"/>
      <c r="PKI183" s="82"/>
      <c r="PKJ183" s="82"/>
      <c r="PKK183" s="82"/>
      <c r="PKL183" s="82"/>
      <c r="PKM183" s="82"/>
      <c r="PKN183" s="82"/>
      <c r="PKO183" s="82"/>
      <c r="PKP183" s="82"/>
      <c r="PKQ183" s="82"/>
      <c r="PKR183" s="82"/>
      <c r="PKS183" s="82"/>
      <c r="PKT183" s="82"/>
      <c r="PKU183" s="82"/>
      <c r="PKV183" s="82"/>
      <c r="PKW183" s="82"/>
      <c r="PKX183" s="82"/>
      <c r="PKY183" s="82"/>
      <c r="PKZ183" s="82"/>
      <c r="PLA183" s="82"/>
      <c r="PLB183" s="82"/>
      <c r="PLC183" s="82"/>
      <c r="PLD183" s="82"/>
      <c r="PLE183" s="82"/>
      <c r="PLF183" s="82"/>
      <c r="PLG183" s="82"/>
      <c r="PLH183" s="82"/>
      <c r="PLI183" s="82"/>
      <c r="PLJ183" s="82"/>
      <c r="PLK183" s="82"/>
      <c r="PLL183" s="82"/>
      <c r="PLM183" s="82"/>
      <c r="PLN183" s="82"/>
      <c r="PLO183" s="82"/>
      <c r="PLP183" s="82"/>
      <c r="PLQ183" s="82"/>
      <c r="PLR183" s="82"/>
      <c r="PLS183" s="82"/>
      <c r="PLT183" s="82"/>
      <c r="PLU183" s="82"/>
      <c r="PLV183" s="82"/>
      <c r="PLW183" s="82"/>
      <c r="PLX183" s="82"/>
      <c r="PLY183" s="82"/>
      <c r="PLZ183" s="82"/>
      <c r="PMA183" s="82"/>
      <c r="PMB183" s="82"/>
      <c r="PMC183" s="82"/>
      <c r="PMD183" s="82"/>
      <c r="PME183" s="82"/>
      <c r="PMF183" s="82"/>
      <c r="PMG183" s="82"/>
      <c r="PMH183" s="82"/>
      <c r="PMI183" s="82"/>
      <c r="PMJ183" s="82"/>
      <c r="PMK183" s="82"/>
      <c r="PML183" s="82"/>
      <c r="PMM183" s="82"/>
      <c r="PMN183" s="82"/>
      <c r="PMO183" s="82"/>
      <c r="PMP183" s="82"/>
      <c r="PMQ183" s="82"/>
      <c r="PMR183" s="82"/>
      <c r="PMS183" s="82"/>
      <c r="PMT183" s="82"/>
      <c r="PMU183" s="82"/>
      <c r="PMV183" s="82"/>
      <c r="PMW183" s="82"/>
      <c r="PMX183" s="82"/>
      <c r="PMY183" s="82"/>
      <c r="PMZ183" s="82"/>
      <c r="PNA183" s="82"/>
      <c r="PNB183" s="82"/>
      <c r="PNC183" s="82"/>
      <c r="PND183" s="82"/>
      <c r="PNE183" s="82"/>
      <c r="PNF183" s="82"/>
      <c r="PNG183" s="82"/>
      <c r="PNH183" s="82"/>
      <c r="PNI183" s="82"/>
      <c r="PNJ183" s="82"/>
      <c r="PNK183" s="82"/>
      <c r="PNL183" s="82"/>
      <c r="PNM183" s="82"/>
      <c r="PNN183" s="82"/>
      <c r="PNO183" s="82"/>
      <c r="PNP183" s="82"/>
      <c r="PNQ183" s="82"/>
      <c r="PNR183" s="82"/>
      <c r="PNS183" s="82"/>
      <c r="PNT183" s="82"/>
      <c r="PNU183" s="82"/>
      <c r="PNV183" s="82"/>
      <c r="PNW183" s="82"/>
      <c r="PNX183" s="82"/>
      <c r="PNY183" s="82"/>
      <c r="PNZ183" s="82"/>
      <c r="POA183" s="82"/>
      <c r="POB183" s="82"/>
      <c r="POC183" s="82"/>
      <c r="POD183" s="82"/>
      <c r="POE183" s="82"/>
      <c r="POF183" s="82"/>
      <c r="POG183" s="82"/>
      <c r="POH183" s="82"/>
      <c r="POI183" s="82"/>
      <c r="POJ183" s="82"/>
      <c r="POK183" s="82"/>
      <c r="POL183" s="82"/>
      <c r="POM183" s="82"/>
      <c r="PON183" s="82"/>
      <c r="POO183" s="82"/>
      <c r="POP183" s="82"/>
      <c r="POQ183" s="82"/>
      <c r="POR183" s="82"/>
      <c r="POS183" s="82"/>
      <c r="POT183" s="82"/>
      <c r="POU183" s="82"/>
      <c r="POV183" s="82"/>
      <c r="POW183" s="82"/>
      <c r="POX183" s="82"/>
      <c r="POY183" s="82"/>
      <c r="POZ183" s="82"/>
      <c r="PPA183" s="82"/>
      <c r="PPB183" s="82"/>
      <c r="PPC183" s="82"/>
      <c r="PPD183" s="82"/>
      <c r="PPE183" s="82"/>
      <c r="PPF183" s="82"/>
      <c r="PPG183" s="82"/>
      <c r="PPH183" s="82"/>
      <c r="PPI183" s="82"/>
      <c r="PPJ183" s="82"/>
      <c r="PPK183" s="82"/>
      <c r="PPL183" s="82"/>
      <c r="PPM183" s="82"/>
      <c r="PPN183" s="82"/>
      <c r="PPO183" s="82"/>
      <c r="PPP183" s="82"/>
      <c r="PPQ183" s="82"/>
      <c r="PPR183" s="82"/>
      <c r="PPS183" s="82"/>
      <c r="PPT183" s="82"/>
      <c r="PPU183" s="82"/>
      <c r="PPV183" s="82"/>
      <c r="PPW183" s="82"/>
      <c r="PPX183" s="82"/>
      <c r="PPY183" s="82"/>
      <c r="PPZ183" s="82"/>
      <c r="PQA183" s="82"/>
      <c r="PQB183" s="82"/>
      <c r="PQC183" s="82"/>
      <c r="PQD183" s="82"/>
      <c r="PQE183" s="82"/>
      <c r="PQF183" s="82"/>
      <c r="PQG183" s="82"/>
      <c r="PQH183" s="82"/>
      <c r="PQI183" s="82"/>
      <c r="PQJ183" s="82"/>
      <c r="PQK183" s="82"/>
      <c r="PQL183" s="82"/>
      <c r="PQM183" s="82"/>
      <c r="PQN183" s="82"/>
      <c r="PQO183" s="82"/>
      <c r="PQP183" s="82"/>
      <c r="PQQ183" s="82"/>
      <c r="PQR183" s="82"/>
      <c r="PQS183" s="82"/>
      <c r="PQT183" s="82"/>
      <c r="PQU183" s="82"/>
      <c r="PQV183" s="82"/>
      <c r="PQW183" s="82"/>
      <c r="PQX183" s="82"/>
      <c r="PQY183" s="82"/>
      <c r="PQZ183" s="82"/>
      <c r="PRA183" s="82"/>
      <c r="PRB183" s="82"/>
      <c r="PRC183" s="82"/>
      <c r="PRD183" s="82"/>
      <c r="PRE183" s="82"/>
      <c r="PRF183" s="82"/>
      <c r="PRG183" s="82"/>
      <c r="PRH183" s="82"/>
      <c r="PRI183" s="82"/>
      <c r="PRJ183" s="82"/>
      <c r="PRK183" s="82"/>
      <c r="PRL183" s="82"/>
      <c r="PRM183" s="82"/>
      <c r="PRN183" s="82"/>
      <c r="PRO183" s="82"/>
      <c r="PRP183" s="82"/>
      <c r="PRQ183" s="82"/>
      <c r="PRR183" s="82"/>
      <c r="PRS183" s="82"/>
      <c r="PRT183" s="82"/>
      <c r="PRU183" s="82"/>
      <c r="PRV183" s="82"/>
      <c r="PRW183" s="82"/>
      <c r="PRX183" s="82"/>
      <c r="PRY183" s="82"/>
      <c r="PRZ183" s="82"/>
      <c r="PSA183" s="82"/>
      <c r="PSB183" s="82"/>
      <c r="PSC183" s="82"/>
      <c r="PSD183" s="82"/>
      <c r="PSE183" s="82"/>
      <c r="PSF183" s="82"/>
      <c r="PSG183" s="82"/>
      <c r="PSH183" s="82"/>
      <c r="PSI183" s="82"/>
      <c r="PSJ183" s="82"/>
      <c r="PSK183" s="82"/>
      <c r="PSL183" s="82"/>
      <c r="PSM183" s="82"/>
      <c r="PSN183" s="82"/>
      <c r="PSO183" s="82"/>
      <c r="PSP183" s="82"/>
      <c r="PSQ183" s="82"/>
      <c r="PSR183" s="82"/>
      <c r="PSS183" s="82"/>
      <c r="PST183" s="82"/>
      <c r="PSU183" s="82"/>
      <c r="PSV183" s="82"/>
      <c r="PSW183" s="82"/>
      <c r="PSX183" s="82"/>
      <c r="PSY183" s="82"/>
      <c r="PSZ183" s="82"/>
      <c r="PTA183" s="82"/>
      <c r="PTB183" s="82"/>
      <c r="PTC183" s="82"/>
      <c r="PTD183" s="82"/>
      <c r="PTE183" s="82"/>
      <c r="PTF183" s="82"/>
      <c r="PTG183" s="82"/>
      <c r="PTH183" s="82"/>
      <c r="PTI183" s="82"/>
      <c r="PTJ183" s="82"/>
      <c r="PTK183" s="82"/>
      <c r="PTL183" s="82"/>
      <c r="PTM183" s="82"/>
      <c r="PTN183" s="82"/>
      <c r="PTO183" s="82"/>
      <c r="PTP183" s="82"/>
      <c r="PTQ183" s="82"/>
      <c r="PTR183" s="82"/>
      <c r="PTS183" s="82"/>
      <c r="PTT183" s="82"/>
      <c r="PTU183" s="82"/>
      <c r="PTV183" s="82"/>
      <c r="PTW183" s="82"/>
      <c r="PTX183" s="82"/>
      <c r="PTY183" s="82"/>
      <c r="PTZ183" s="82"/>
      <c r="PUA183" s="82"/>
      <c r="PUB183" s="82"/>
      <c r="PUC183" s="82"/>
      <c r="PUD183" s="82"/>
      <c r="PUE183" s="82"/>
      <c r="PUF183" s="82"/>
      <c r="PUG183" s="82"/>
      <c r="PUH183" s="82"/>
      <c r="PUI183" s="82"/>
      <c r="PUJ183" s="82"/>
      <c r="PUK183" s="82"/>
      <c r="PUL183" s="82"/>
      <c r="PUM183" s="82"/>
      <c r="PUN183" s="82"/>
      <c r="PUO183" s="82"/>
      <c r="PUP183" s="82"/>
      <c r="PUQ183" s="82"/>
      <c r="PUR183" s="82"/>
      <c r="PUS183" s="82"/>
      <c r="PUT183" s="82"/>
      <c r="PUU183" s="82"/>
      <c r="PUV183" s="82"/>
      <c r="PUW183" s="82"/>
      <c r="PUX183" s="82"/>
      <c r="PUY183" s="82"/>
      <c r="PUZ183" s="82"/>
      <c r="PVA183" s="82"/>
      <c r="PVB183" s="82"/>
      <c r="PVC183" s="82"/>
      <c r="PVD183" s="82"/>
      <c r="PVE183" s="82"/>
      <c r="PVF183" s="82"/>
      <c r="PVG183" s="82"/>
      <c r="PVH183" s="82"/>
      <c r="PVI183" s="82"/>
      <c r="PVJ183" s="82"/>
      <c r="PVK183" s="82"/>
      <c r="PVL183" s="82"/>
      <c r="PVM183" s="82"/>
      <c r="PVN183" s="82"/>
      <c r="PVO183" s="82"/>
      <c r="PVP183" s="82"/>
      <c r="PVQ183" s="82"/>
      <c r="PVR183" s="82"/>
      <c r="PVS183" s="82"/>
      <c r="PVT183" s="82"/>
      <c r="PVU183" s="82"/>
      <c r="PVV183" s="82"/>
      <c r="PVW183" s="82"/>
      <c r="PVX183" s="82"/>
      <c r="PVY183" s="82"/>
      <c r="PVZ183" s="82"/>
      <c r="PWA183" s="82"/>
      <c r="PWB183" s="82"/>
      <c r="PWC183" s="82"/>
      <c r="PWD183" s="82"/>
      <c r="PWE183" s="82"/>
      <c r="PWF183" s="82"/>
      <c r="PWG183" s="82"/>
      <c r="PWH183" s="82"/>
      <c r="PWI183" s="82"/>
      <c r="PWJ183" s="82"/>
      <c r="PWK183" s="82"/>
      <c r="PWL183" s="82"/>
      <c r="PWM183" s="82"/>
      <c r="PWN183" s="82"/>
      <c r="PWO183" s="82"/>
      <c r="PWP183" s="82"/>
      <c r="PWQ183" s="82"/>
      <c r="PWR183" s="82"/>
      <c r="PWS183" s="82"/>
      <c r="PWT183" s="82"/>
      <c r="PWU183" s="82"/>
      <c r="PWV183" s="82"/>
      <c r="PWW183" s="82"/>
      <c r="PWX183" s="82"/>
      <c r="PWY183" s="82"/>
      <c r="PWZ183" s="82"/>
      <c r="PXA183" s="82"/>
      <c r="PXB183" s="82"/>
      <c r="PXC183" s="82"/>
      <c r="PXD183" s="82"/>
      <c r="PXE183" s="82"/>
      <c r="PXF183" s="82"/>
      <c r="PXG183" s="82"/>
      <c r="PXH183" s="82"/>
      <c r="PXI183" s="82"/>
      <c r="PXJ183" s="82"/>
      <c r="PXK183" s="82"/>
      <c r="PXL183" s="82"/>
      <c r="PXM183" s="82"/>
      <c r="PXN183" s="82"/>
      <c r="PXO183" s="82"/>
      <c r="PXP183" s="82"/>
      <c r="PXQ183" s="82"/>
      <c r="PXR183" s="82"/>
      <c r="PXS183" s="82"/>
      <c r="PXT183" s="82"/>
      <c r="PXU183" s="82"/>
      <c r="PXV183" s="82"/>
      <c r="PXW183" s="82"/>
      <c r="PXX183" s="82"/>
      <c r="PXY183" s="82"/>
      <c r="PXZ183" s="82"/>
      <c r="PYA183" s="82"/>
      <c r="PYB183" s="82"/>
      <c r="PYC183" s="82"/>
      <c r="PYD183" s="82"/>
      <c r="PYE183" s="82"/>
      <c r="PYF183" s="82"/>
      <c r="PYG183" s="82"/>
      <c r="PYH183" s="82"/>
      <c r="PYI183" s="82"/>
      <c r="PYJ183" s="82"/>
      <c r="PYK183" s="82"/>
      <c r="PYL183" s="82"/>
      <c r="PYM183" s="82"/>
      <c r="PYN183" s="82"/>
      <c r="PYO183" s="82"/>
      <c r="PYP183" s="82"/>
      <c r="PYQ183" s="82"/>
      <c r="PYR183" s="82"/>
      <c r="PYS183" s="82"/>
      <c r="PYT183" s="82"/>
      <c r="PYU183" s="82"/>
      <c r="PYV183" s="82"/>
      <c r="PYW183" s="82"/>
      <c r="PYX183" s="82"/>
      <c r="PYY183" s="82"/>
      <c r="PYZ183" s="82"/>
      <c r="PZA183" s="82"/>
      <c r="PZB183" s="82"/>
      <c r="PZC183" s="82"/>
      <c r="PZD183" s="82"/>
      <c r="PZE183" s="82"/>
      <c r="PZF183" s="82"/>
      <c r="PZG183" s="82"/>
      <c r="PZH183" s="82"/>
      <c r="PZI183" s="82"/>
      <c r="PZJ183" s="82"/>
      <c r="PZK183" s="82"/>
      <c r="PZL183" s="82"/>
      <c r="PZM183" s="82"/>
      <c r="PZN183" s="82"/>
      <c r="PZO183" s="82"/>
      <c r="PZP183" s="82"/>
      <c r="PZQ183" s="82"/>
      <c r="PZR183" s="82"/>
      <c r="PZS183" s="82"/>
      <c r="PZT183" s="82"/>
      <c r="PZU183" s="82"/>
      <c r="PZV183" s="82"/>
      <c r="PZW183" s="82"/>
      <c r="PZX183" s="82"/>
      <c r="PZY183" s="82"/>
      <c r="PZZ183" s="82"/>
      <c r="QAA183" s="82"/>
      <c r="QAB183" s="82"/>
      <c r="QAC183" s="82"/>
      <c r="QAD183" s="82"/>
      <c r="QAE183" s="82"/>
      <c r="QAF183" s="82"/>
      <c r="QAG183" s="82"/>
      <c r="QAH183" s="82"/>
      <c r="QAI183" s="82"/>
      <c r="QAJ183" s="82"/>
      <c r="QAK183" s="82"/>
      <c r="QAL183" s="82"/>
      <c r="QAM183" s="82"/>
      <c r="QAN183" s="82"/>
      <c r="QAO183" s="82"/>
      <c r="QAP183" s="82"/>
      <c r="QAQ183" s="82"/>
      <c r="QAR183" s="82"/>
      <c r="QAS183" s="82"/>
      <c r="QAT183" s="82"/>
      <c r="QAU183" s="82"/>
      <c r="QAV183" s="82"/>
      <c r="QAW183" s="82"/>
      <c r="QAX183" s="82"/>
      <c r="QAY183" s="82"/>
      <c r="QAZ183" s="82"/>
      <c r="QBA183" s="82"/>
      <c r="QBB183" s="82"/>
      <c r="QBC183" s="82"/>
      <c r="QBD183" s="82"/>
      <c r="QBE183" s="82"/>
      <c r="QBF183" s="82"/>
      <c r="QBG183" s="82"/>
      <c r="QBH183" s="82"/>
      <c r="QBI183" s="82"/>
      <c r="QBJ183" s="82"/>
      <c r="QBK183" s="82"/>
      <c r="QBL183" s="82"/>
      <c r="QBM183" s="82"/>
      <c r="QBN183" s="82"/>
      <c r="QBO183" s="82"/>
      <c r="QBP183" s="82"/>
      <c r="QBQ183" s="82"/>
      <c r="QBR183" s="82"/>
      <c r="QBS183" s="82"/>
      <c r="QBT183" s="82"/>
      <c r="QBU183" s="82"/>
      <c r="QBV183" s="82"/>
      <c r="QBW183" s="82"/>
      <c r="QBX183" s="82"/>
      <c r="QBY183" s="82"/>
      <c r="QBZ183" s="82"/>
      <c r="QCA183" s="82"/>
      <c r="QCB183" s="82"/>
      <c r="QCC183" s="82"/>
      <c r="QCD183" s="82"/>
      <c r="QCE183" s="82"/>
      <c r="QCF183" s="82"/>
      <c r="QCG183" s="82"/>
      <c r="QCH183" s="82"/>
      <c r="QCI183" s="82"/>
      <c r="QCJ183" s="82"/>
      <c r="QCK183" s="82"/>
      <c r="QCL183" s="82"/>
      <c r="QCM183" s="82"/>
      <c r="QCN183" s="82"/>
      <c r="QCO183" s="82"/>
      <c r="QCP183" s="82"/>
      <c r="QCQ183" s="82"/>
      <c r="QCR183" s="82"/>
      <c r="QCS183" s="82"/>
      <c r="QCT183" s="82"/>
      <c r="QCU183" s="82"/>
      <c r="QCV183" s="82"/>
      <c r="QCW183" s="82"/>
      <c r="QCX183" s="82"/>
      <c r="QCY183" s="82"/>
      <c r="QCZ183" s="82"/>
      <c r="QDA183" s="82"/>
      <c r="QDB183" s="82"/>
      <c r="QDC183" s="82"/>
      <c r="QDD183" s="82"/>
      <c r="QDE183" s="82"/>
      <c r="QDF183" s="82"/>
      <c r="QDG183" s="82"/>
      <c r="QDH183" s="82"/>
      <c r="QDI183" s="82"/>
      <c r="QDJ183" s="82"/>
      <c r="QDK183" s="82"/>
      <c r="QDL183" s="82"/>
      <c r="QDM183" s="82"/>
      <c r="QDN183" s="82"/>
      <c r="QDO183" s="82"/>
      <c r="QDP183" s="82"/>
      <c r="QDQ183" s="82"/>
      <c r="QDR183" s="82"/>
      <c r="QDS183" s="82"/>
      <c r="QDT183" s="82"/>
      <c r="QDU183" s="82"/>
      <c r="QDV183" s="82"/>
      <c r="QDW183" s="82"/>
      <c r="QDX183" s="82"/>
      <c r="QDY183" s="82"/>
      <c r="QDZ183" s="82"/>
      <c r="QEA183" s="82"/>
      <c r="QEB183" s="82"/>
      <c r="QEC183" s="82"/>
      <c r="QED183" s="82"/>
      <c r="QEE183" s="82"/>
      <c r="QEF183" s="82"/>
      <c r="QEG183" s="82"/>
      <c r="QEH183" s="82"/>
      <c r="QEI183" s="82"/>
      <c r="QEJ183" s="82"/>
      <c r="QEK183" s="82"/>
      <c r="QEL183" s="82"/>
      <c r="QEM183" s="82"/>
      <c r="QEN183" s="82"/>
      <c r="QEO183" s="82"/>
      <c r="QEP183" s="82"/>
      <c r="QEQ183" s="82"/>
      <c r="QER183" s="82"/>
      <c r="QES183" s="82"/>
      <c r="QET183" s="82"/>
      <c r="QEU183" s="82"/>
      <c r="QEV183" s="82"/>
      <c r="QEW183" s="82"/>
      <c r="QEX183" s="82"/>
      <c r="QEY183" s="82"/>
      <c r="QEZ183" s="82"/>
      <c r="QFA183" s="82"/>
      <c r="QFB183" s="82"/>
      <c r="QFC183" s="82"/>
      <c r="QFD183" s="82"/>
      <c r="QFE183" s="82"/>
      <c r="QFF183" s="82"/>
      <c r="QFG183" s="82"/>
      <c r="QFH183" s="82"/>
      <c r="QFI183" s="82"/>
      <c r="QFJ183" s="82"/>
      <c r="QFK183" s="82"/>
      <c r="QFL183" s="82"/>
      <c r="QFM183" s="82"/>
      <c r="QFN183" s="82"/>
      <c r="QFO183" s="82"/>
      <c r="QFP183" s="82"/>
      <c r="QFQ183" s="82"/>
      <c r="QFR183" s="82"/>
      <c r="QFS183" s="82"/>
      <c r="QFT183" s="82"/>
      <c r="QFU183" s="82"/>
      <c r="QFV183" s="82"/>
      <c r="QFW183" s="82"/>
      <c r="QFX183" s="82"/>
      <c r="QFY183" s="82"/>
      <c r="QFZ183" s="82"/>
      <c r="QGA183" s="82"/>
      <c r="QGB183" s="82"/>
      <c r="QGC183" s="82"/>
      <c r="QGD183" s="82"/>
      <c r="QGE183" s="82"/>
      <c r="QGF183" s="82"/>
      <c r="QGG183" s="82"/>
      <c r="QGH183" s="82"/>
      <c r="QGI183" s="82"/>
      <c r="QGJ183" s="82"/>
      <c r="QGK183" s="82"/>
      <c r="QGL183" s="82"/>
      <c r="QGM183" s="82"/>
      <c r="QGN183" s="82"/>
      <c r="QGO183" s="82"/>
      <c r="QGP183" s="82"/>
      <c r="QGQ183" s="82"/>
      <c r="QGR183" s="82"/>
      <c r="QGS183" s="82"/>
      <c r="QGT183" s="82"/>
      <c r="QGU183" s="82"/>
      <c r="QGV183" s="82"/>
      <c r="QGW183" s="82"/>
      <c r="QGX183" s="82"/>
      <c r="QGY183" s="82"/>
      <c r="QGZ183" s="82"/>
      <c r="QHA183" s="82"/>
      <c r="QHB183" s="82"/>
      <c r="QHC183" s="82"/>
      <c r="QHD183" s="82"/>
      <c r="QHE183" s="82"/>
      <c r="QHF183" s="82"/>
      <c r="QHG183" s="82"/>
      <c r="QHH183" s="82"/>
      <c r="QHI183" s="82"/>
      <c r="QHJ183" s="82"/>
      <c r="QHK183" s="82"/>
      <c r="QHL183" s="82"/>
      <c r="QHM183" s="82"/>
      <c r="QHN183" s="82"/>
      <c r="QHO183" s="82"/>
      <c r="QHP183" s="82"/>
      <c r="QHQ183" s="82"/>
      <c r="QHR183" s="82"/>
      <c r="QHS183" s="82"/>
      <c r="QHT183" s="82"/>
      <c r="QHU183" s="82"/>
      <c r="QHV183" s="82"/>
      <c r="QHW183" s="82"/>
      <c r="QHX183" s="82"/>
      <c r="QHY183" s="82"/>
      <c r="QHZ183" s="82"/>
      <c r="QIA183" s="82"/>
      <c r="QIB183" s="82"/>
      <c r="QIC183" s="82"/>
      <c r="QID183" s="82"/>
      <c r="QIE183" s="82"/>
      <c r="QIF183" s="82"/>
      <c r="QIG183" s="82"/>
      <c r="QIH183" s="82"/>
      <c r="QII183" s="82"/>
      <c r="QIJ183" s="82"/>
      <c r="QIK183" s="82"/>
      <c r="QIL183" s="82"/>
      <c r="QIM183" s="82"/>
      <c r="QIN183" s="82"/>
      <c r="QIO183" s="82"/>
      <c r="QIP183" s="82"/>
      <c r="QIQ183" s="82"/>
      <c r="QIR183" s="82"/>
      <c r="QIS183" s="82"/>
      <c r="QIT183" s="82"/>
      <c r="QIU183" s="82"/>
      <c r="QIV183" s="82"/>
      <c r="QIW183" s="82"/>
      <c r="QIX183" s="82"/>
      <c r="QIY183" s="82"/>
      <c r="QIZ183" s="82"/>
      <c r="QJA183" s="82"/>
      <c r="QJB183" s="82"/>
      <c r="QJC183" s="82"/>
      <c r="QJD183" s="82"/>
      <c r="QJE183" s="82"/>
      <c r="QJF183" s="82"/>
      <c r="QJG183" s="82"/>
      <c r="QJH183" s="82"/>
      <c r="QJI183" s="82"/>
      <c r="QJJ183" s="82"/>
      <c r="QJK183" s="82"/>
      <c r="QJL183" s="82"/>
      <c r="QJM183" s="82"/>
      <c r="QJN183" s="82"/>
      <c r="QJO183" s="82"/>
      <c r="QJP183" s="82"/>
      <c r="QJQ183" s="82"/>
      <c r="QJR183" s="82"/>
      <c r="QJS183" s="82"/>
      <c r="QJT183" s="82"/>
      <c r="QJU183" s="82"/>
      <c r="QJV183" s="82"/>
      <c r="QJW183" s="82"/>
      <c r="QJX183" s="82"/>
      <c r="QJY183" s="82"/>
      <c r="QJZ183" s="82"/>
      <c r="QKA183" s="82"/>
      <c r="QKB183" s="82"/>
      <c r="QKC183" s="82"/>
      <c r="QKD183" s="82"/>
      <c r="QKE183" s="82"/>
      <c r="QKF183" s="82"/>
      <c r="QKG183" s="82"/>
      <c r="QKH183" s="82"/>
      <c r="QKI183" s="82"/>
      <c r="QKJ183" s="82"/>
      <c r="QKK183" s="82"/>
      <c r="QKL183" s="82"/>
      <c r="QKM183" s="82"/>
      <c r="QKN183" s="82"/>
      <c r="QKO183" s="82"/>
      <c r="QKP183" s="82"/>
      <c r="QKQ183" s="82"/>
      <c r="QKR183" s="82"/>
      <c r="QKS183" s="82"/>
      <c r="QKT183" s="82"/>
      <c r="QKU183" s="82"/>
      <c r="QKV183" s="82"/>
      <c r="QKW183" s="82"/>
      <c r="QKX183" s="82"/>
      <c r="QKY183" s="82"/>
      <c r="QKZ183" s="82"/>
      <c r="QLA183" s="82"/>
      <c r="QLB183" s="82"/>
      <c r="QLC183" s="82"/>
      <c r="QLD183" s="82"/>
      <c r="QLE183" s="82"/>
      <c r="QLF183" s="82"/>
      <c r="QLG183" s="82"/>
      <c r="QLH183" s="82"/>
      <c r="QLI183" s="82"/>
      <c r="QLJ183" s="82"/>
      <c r="QLK183" s="82"/>
      <c r="QLL183" s="82"/>
      <c r="QLM183" s="82"/>
      <c r="QLN183" s="82"/>
      <c r="QLO183" s="82"/>
      <c r="QLP183" s="82"/>
      <c r="QLQ183" s="82"/>
      <c r="QLR183" s="82"/>
      <c r="QLS183" s="82"/>
      <c r="QLT183" s="82"/>
      <c r="QLU183" s="82"/>
      <c r="QLV183" s="82"/>
      <c r="QLW183" s="82"/>
      <c r="QLX183" s="82"/>
      <c r="QLY183" s="82"/>
      <c r="QLZ183" s="82"/>
      <c r="QMA183" s="82"/>
      <c r="QMB183" s="82"/>
      <c r="QMC183" s="82"/>
      <c r="QMD183" s="82"/>
      <c r="QME183" s="82"/>
      <c r="QMF183" s="82"/>
      <c r="QMG183" s="82"/>
      <c r="QMH183" s="82"/>
      <c r="QMI183" s="82"/>
      <c r="QMJ183" s="82"/>
      <c r="QMK183" s="82"/>
      <c r="QML183" s="82"/>
      <c r="QMM183" s="82"/>
      <c r="QMN183" s="82"/>
      <c r="QMO183" s="82"/>
      <c r="QMP183" s="82"/>
      <c r="QMQ183" s="82"/>
      <c r="QMR183" s="82"/>
      <c r="QMS183" s="82"/>
      <c r="QMT183" s="82"/>
      <c r="QMU183" s="82"/>
      <c r="QMV183" s="82"/>
      <c r="QMW183" s="82"/>
      <c r="QMX183" s="82"/>
      <c r="QMY183" s="82"/>
      <c r="QMZ183" s="82"/>
      <c r="QNA183" s="82"/>
      <c r="QNB183" s="82"/>
      <c r="QNC183" s="82"/>
      <c r="QND183" s="82"/>
      <c r="QNE183" s="82"/>
      <c r="QNF183" s="82"/>
      <c r="QNG183" s="82"/>
      <c r="QNH183" s="82"/>
      <c r="QNI183" s="82"/>
      <c r="QNJ183" s="82"/>
      <c r="QNK183" s="82"/>
      <c r="QNL183" s="82"/>
      <c r="QNM183" s="82"/>
      <c r="QNN183" s="82"/>
      <c r="QNO183" s="82"/>
      <c r="QNP183" s="82"/>
      <c r="QNQ183" s="82"/>
      <c r="QNR183" s="82"/>
      <c r="QNS183" s="82"/>
      <c r="QNT183" s="82"/>
      <c r="QNU183" s="82"/>
      <c r="QNV183" s="82"/>
      <c r="QNW183" s="82"/>
      <c r="QNX183" s="82"/>
      <c r="QNY183" s="82"/>
      <c r="QNZ183" s="82"/>
      <c r="QOA183" s="82"/>
      <c r="QOB183" s="82"/>
      <c r="QOC183" s="82"/>
      <c r="QOD183" s="82"/>
      <c r="QOE183" s="82"/>
      <c r="QOF183" s="82"/>
      <c r="QOG183" s="82"/>
      <c r="QOH183" s="82"/>
      <c r="QOI183" s="82"/>
      <c r="QOJ183" s="82"/>
      <c r="QOK183" s="82"/>
      <c r="QOL183" s="82"/>
      <c r="QOM183" s="82"/>
      <c r="QON183" s="82"/>
      <c r="QOO183" s="82"/>
      <c r="QOP183" s="82"/>
      <c r="QOQ183" s="82"/>
      <c r="QOR183" s="82"/>
      <c r="QOS183" s="82"/>
      <c r="QOT183" s="82"/>
      <c r="QOU183" s="82"/>
      <c r="QOV183" s="82"/>
      <c r="QOW183" s="82"/>
      <c r="QOX183" s="82"/>
      <c r="QOY183" s="82"/>
      <c r="QOZ183" s="82"/>
      <c r="QPA183" s="82"/>
      <c r="QPB183" s="82"/>
      <c r="QPC183" s="82"/>
      <c r="QPD183" s="82"/>
      <c r="QPE183" s="82"/>
      <c r="QPF183" s="82"/>
      <c r="QPG183" s="82"/>
      <c r="QPH183" s="82"/>
      <c r="QPI183" s="82"/>
      <c r="QPJ183" s="82"/>
      <c r="QPK183" s="82"/>
      <c r="QPL183" s="82"/>
      <c r="QPM183" s="82"/>
      <c r="QPN183" s="82"/>
      <c r="QPO183" s="82"/>
      <c r="QPP183" s="82"/>
      <c r="QPQ183" s="82"/>
      <c r="QPR183" s="82"/>
      <c r="QPS183" s="82"/>
      <c r="QPT183" s="82"/>
      <c r="QPU183" s="82"/>
      <c r="QPV183" s="82"/>
      <c r="QPW183" s="82"/>
      <c r="QPX183" s="82"/>
      <c r="QPY183" s="82"/>
      <c r="QPZ183" s="82"/>
      <c r="QQA183" s="82"/>
      <c r="QQB183" s="82"/>
      <c r="QQC183" s="82"/>
      <c r="QQD183" s="82"/>
      <c r="QQE183" s="82"/>
      <c r="QQF183" s="82"/>
      <c r="QQG183" s="82"/>
      <c r="QQH183" s="82"/>
      <c r="QQI183" s="82"/>
      <c r="QQJ183" s="82"/>
      <c r="QQK183" s="82"/>
      <c r="QQL183" s="82"/>
      <c r="QQM183" s="82"/>
      <c r="QQN183" s="82"/>
      <c r="QQO183" s="82"/>
      <c r="QQP183" s="82"/>
      <c r="QQQ183" s="82"/>
      <c r="QQR183" s="82"/>
      <c r="QQS183" s="82"/>
      <c r="QQT183" s="82"/>
      <c r="QQU183" s="82"/>
      <c r="QQV183" s="82"/>
      <c r="QQW183" s="82"/>
      <c r="QQX183" s="82"/>
      <c r="QQY183" s="82"/>
      <c r="QQZ183" s="82"/>
      <c r="QRA183" s="82"/>
      <c r="QRB183" s="82"/>
      <c r="QRC183" s="82"/>
      <c r="QRD183" s="82"/>
      <c r="QRE183" s="82"/>
      <c r="QRF183" s="82"/>
      <c r="QRG183" s="82"/>
      <c r="QRH183" s="82"/>
      <c r="QRI183" s="82"/>
      <c r="QRJ183" s="82"/>
      <c r="QRK183" s="82"/>
      <c r="QRL183" s="82"/>
      <c r="QRM183" s="82"/>
      <c r="QRN183" s="82"/>
      <c r="QRO183" s="82"/>
      <c r="QRP183" s="82"/>
      <c r="QRQ183" s="82"/>
      <c r="QRR183" s="82"/>
      <c r="QRS183" s="82"/>
      <c r="QRT183" s="82"/>
      <c r="QRU183" s="82"/>
      <c r="QRV183" s="82"/>
      <c r="QRW183" s="82"/>
      <c r="QRX183" s="82"/>
      <c r="QRY183" s="82"/>
      <c r="QRZ183" s="82"/>
      <c r="QSA183" s="82"/>
      <c r="QSB183" s="82"/>
      <c r="QSC183" s="82"/>
      <c r="QSD183" s="82"/>
      <c r="QSE183" s="82"/>
      <c r="QSF183" s="82"/>
      <c r="QSG183" s="82"/>
      <c r="QSH183" s="82"/>
      <c r="QSI183" s="82"/>
      <c r="QSJ183" s="82"/>
      <c r="QSK183" s="82"/>
      <c r="QSL183" s="82"/>
      <c r="QSM183" s="82"/>
      <c r="QSN183" s="82"/>
      <c r="QSO183" s="82"/>
      <c r="QSP183" s="82"/>
      <c r="QSQ183" s="82"/>
      <c r="QSR183" s="82"/>
      <c r="QSS183" s="82"/>
      <c r="QST183" s="82"/>
      <c r="QSU183" s="82"/>
      <c r="QSV183" s="82"/>
      <c r="QSW183" s="82"/>
      <c r="QSX183" s="82"/>
      <c r="QSY183" s="82"/>
      <c r="QSZ183" s="82"/>
      <c r="QTA183" s="82"/>
      <c r="QTB183" s="82"/>
      <c r="QTC183" s="82"/>
      <c r="QTD183" s="82"/>
      <c r="QTE183" s="82"/>
      <c r="QTF183" s="82"/>
      <c r="QTG183" s="82"/>
      <c r="QTH183" s="82"/>
      <c r="QTI183" s="82"/>
      <c r="QTJ183" s="82"/>
      <c r="QTK183" s="82"/>
      <c r="QTL183" s="82"/>
      <c r="QTM183" s="82"/>
      <c r="QTN183" s="82"/>
      <c r="QTO183" s="82"/>
      <c r="QTP183" s="82"/>
      <c r="QTQ183" s="82"/>
      <c r="QTR183" s="82"/>
      <c r="QTS183" s="82"/>
      <c r="QTT183" s="82"/>
      <c r="QTU183" s="82"/>
      <c r="QTV183" s="82"/>
      <c r="QTW183" s="82"/>
      <c r="QTX183" s="82"/>
      <c r="QTY183" s="82"/>
      <c r="QTZ183" s="82"/>
      <c r="QUA183" s="82"/>
      <c r="QUB183" s="82"/>
      <c r="QUC183" s="82"/>
      <c r="QUD183" s="82"/>
      <c r="QUE183" s="82"/>
      <c r="QUF183" s="82"/>
      <c r="QUG183" s="82"/>
      <c r="QUH183" s="82"/>
      <c r="QUI183" s="82"/>
      <c r="QUJ183" s="82"/>
      <c r="QUK183" s="82"/>
      <c r="QUL183" s="82"/>
      <c r="QUM183" s="82"/>
      <c r="QUN183" s="82"/>
      <c r="QUO183" s="82"/>
      <c r="QUP183" s="82"/>
      <c r="QUQ183" s="82"/>
      <c r="QUR183" s="82"/>
      <c r="QUS183" s="82"/>
      <c r="QUT183" s="82"/>
      <c r="QUU183" s="82"/>
      <c r="QUV183" s="82"/>
      <c r="QUW183" s="82"/>
      <c r="QUX183" s="82"/>
      <c r="QUY183" s="82"/>
      <c r="QUZ183" s="82"/>
      <c r="QVA183" s="82"/>
      <c r="QVB183" s="82"/>
      <c r="QVC183" s="82"/>
      <c r="QVD183" s="82"/>
      <c r="QVE183" s="82"/>
      <c r="QVF183" s="82"/>
      <c r="QVG183" s="82"/>
      <c r="QVH183" s="82"/>
      <c r="QVI183" s="82"/>
      <c r="QVJ183" s="82"/>
      <c r="QVK183" s="82"/>
      <c r="QVL183" s="82"/>
      <c r="QVM183" s="82"/>
      <c r="QVN183" s="82"/>
      <c r="QVO183" s="82"/>
      <c r="QVP183" s="82"/>
      <c r="QVQ183" s="82"/>
      <c r="QVR183" s="82"/>
      <c r="QVS183" s="82"/>
      <c r="QVT183" s="82"/>
      <c r="QVU183" s="82"/>
      <c r="QVV183" s="82"/>
      <c r="QVW183" s="82"/>
      <c r="QVX183" s="82"/>
      <c r="QVY183" s="82"/>
      <c r="QVZ183" s="82"/>
      <c r="QWA183" s="82"/>
      <c r="QWB183" s="82"/>
      <c r="QWC183" s="82"/>
      <c r="QWD183" s="82"/>
      <c r="QWE183" s="82"/>
      <c r="QWF183" s="82"/>
      <c r="QWG183" s="82"/>
      <c r="QWH183" s="82"/>
      <c r="QWI183" s="82"/>
      <c r="QWJ183" s="82"/>
      <c r="QWK183" s="82"/>
      <c r="QWL183" s="82"/>
      <c r="QWM183" s="82"/>
      <c r="QWN183" s="82"/>
      <c r="QWO183" s="82"/>
      <c r="QWP183" s="82"/>
      <c r="QWQ183" s="82"/>
      <c r="QWR183" s="82"/>
      <c r="QWS183" s="82"/>
      <c r="QWT183" s="82"/>
      <c r="QWU183" s="82"/>
      <c r="QWV183" s="82"/>
      <c r="QWW183" s="82"/>
      <c r="QWX183" s="82"/>
      <c r="QWY183" s="82"/>
      <c r="QWZ183" s="82"/>
      <c r="QXA183" s="82"/>
      <c r="QXB183" s="82"/>
      <c r="QXC183" s="82"/>
      <c r="QXD183" s="82"/>
      <c r="QXE183" s="82"/>
      <c r="QXF183" s="82"/>
      <c r="QXG183" s="82"/>
      <c r="QXH183" s="82"/>
      <c r="QXI183" s="82"/>
      <c r="QXJ183" s="82"/>
      <c r="QXK183" s="82"/>
      <c r="QXL183" s="82"/>
      <c r="QXM183" s="82"/>
      <c r="QXN183" s="82"/>
      <c r="QXO183" s="82"/>
      <c r="QXP183" s="82"/>
      <c r="QXQ183" s="82"/>
      <c r="QXR183" s="82"/>
      <c r="QXS183" s="82"/>
      <c r="QXT183" s="82"/>
      <c r="QXU183" s="82"/>
      <c r="QXV183" s="82"/>
      <c r="QXW183" s="82"/>
      <c r="QXX183" s="82"/>
      <c r="QXY183" s="82"/>
      <c r="QXZ183" s="82"/>
      <c r="QYA183" s="82"/>
      <c r="QYB183" s="82"/>
      <c r="QYC183" s="82"/>
      <c r="QYD183" s="82"/>
      <c r="QYE183" s="82"/>
      <c r="QYF183" s="82"/>
      <c r="QYG183" s="82"/>
      <c r="QYH183" s="82"/>
      <c r="QYI183" s="82"/>
      <c r="QYJ183" s="82"/>
      <c r="QYK183" s="82"/>
      <c r="QYL183" s="82"/>
      <c r="QYM183" s="82"/>
      <c r="QYN183" s="82"/>
      <c r="QYO183" s="82"/>
      <c r="QYP183" s="82"/>
      <c r="QYQ183" s="82"/>
      <c r="QYR183" s="82"/>
      <c r="QYS183" s="82"/>
      <c r="QYT183" s="82"/>
      <c r="QYU183" s="82"/>
      <c r="QYV183" s="82"/>
      <c r="QYW183" s="82"/>
      <c r="QYX183" s="82"/>
      <c r="QYY183" s="82"/>
      <c r="QYZ183" s="82"/>
      <c r="QZA183" s="82"/>
      <c r="QZB183" s="82"/>
      <c r="QZC183" s="82"/>
      <c r="QZD183" s="82"/>
      <c r="QZE183" s="82"/>
      <c r="QZF183" s="82"/>
      <c r="QZG183" s="82"/>
      <c r="QZH183" s="82"/>
      <c r="QZI183" s="82"/>
      <c r="QZJ183" s="82"/>
      <c r="QZK183" s="82"/>
      <c r="QZL183" s="82"/>
      <c r="QZM183" s="82"/>
      <c r="QZN183" s="82"/>
      <c r="QZO183" s="82"/>
      <c r="QZP183" s="82"/>
      <c r="QZQ183" s="82"/>
      <c r="QZR183" s="82"/>
      <c r="QZS183" s="82"/>
      <c r="QZT183" s="82"/>
      <c r="QZU183" s="82"/>
      <c r="QZV183" s="82"/>
      <c r="QZW183" s="82"/>
      <c r="QZX183" s="82"/>
      <c r="QZY183" s="82"/>
      <c r="QZZ183" s="82"/>
      <c r="RAA183" s="82"/>
      <c r="RAB183" s="82"/>
      <c r="RAC183" s="82"/>
      <c r="RAD183" s="82"/>
      <c r="RAE183" s="82"/>
      <c r="RAF183" s="82"/>
      <c r="RAG183" s="82"/>
      <c r="RAH183" s="82"/>
      <c r="RAI183" s="82"/>
      <c r="RAJ183" s="82"/>
      <c r="RAK183" s="82"/>
      <c r="RAL183" s="82"/>
      <c r="RAM183" s="82"/>
      <c r="RAN183" s="82"/>
      <c r="RAO183" s="82"/>
      <c r="RAP183" s="82"/>
      <c r="RAQ183" s="82"/>
      <c r="RAR183" s="82"/>
      <c r="RAS183" s="82"/>
      <c r="RAT183" s="82"/>
      <c r="RAU183" s="82"/>
      <c r="RAV183" s="82"/>
      <c r="RAW183" s="82"/>
      <c r="RAX183" s="82"/>
      <c r="RAY183" s="82"/>
      <c r="RAZ183" s="82"/>
      <c r="RBA183" s="82"/>
      <c r="RBB183" s="82"/>
      <c r="RBC183" s="82"/>
      <c r="RBD183" s="82"/>
      <c r="RBE183" s="82"/>
      <c r="RBF183" s="82"/>
      <c r="RBG183" s="82"/>
      <c r="RBH183" s="82"/>
      <c r="RBI183" s="82"/>
      <c r="RBJ183" s="82"/>
      <c r="RBK183" s="82"/>
      <c r="RBL183" s="82"/>
      <c r="RBM183" s="82"/>
      <c r="RBN183" s="82"/>
      <c r="RBO183" s="82"/>
      <c r="RBP183" s="82"/>
      <c r="RBQ183" s="82"/>
      <c r="RBR183" s="82"/>
      <c r="RBS183" s="82"/>
      <c r="RBT183" s="82"/>
      <c r="RBU183" s="82"/>
      <c r="RBV183" s="82"/>
      <c r="RBW183" s="82"/>
      <c r="RBX183" s="82"/>
      <c r="RBY183" s="82"/>
      <c r="RBZ183" s="82"/>
      <c r="RCA183" s="82"/>
      <c r="RCB183" s="82"/>
      <c r="RCC183" s="82"/>
      <c r="RCD183" s="82"/>
      <c r="RCE183" s="82"/>
      <c r="RCF183" s="82"/>
      <c r="RCG183" s="82"/>
      <c r="RCH183" s="82"/>
      <c r="RCI183" s="82"/>
      <c r="RCJ183" s="82"/>
      <c r="RCK183" s="82"/>
      <c r="RCL183" s="82"/>
      <c r="RCM183" s="82"/>
      <c r="RCN183" s="82"/>
      <c r="RCO183" s="82"/>
      <c r="RCP183" s="82"/>
      <c r="RCQ183" s="82"/>
      <c r="RCR183" s="82"/>
      <c r="RCS183" s="82"/>
      <c r="RCT183" s="82"/>
      <c r="RCU183" s="82"/>
      <c r="RCV183" s="82"/>
      <c r="RCW183" s="82"/>
      <c r="RCX183" s="82"/>
      <c r="RCY183" s="82"/>
      <c r="RCZ183" s="82"/>
      <c r="RDA183" s="82"/>
      <c r="RDB183" s="82"/>
      <c r="RDC183" s="82"/>
      <c r="RDD183" s="82"/>
      <c r="RDE183" s="82"/>
      <c r="RDF183" s="82"/>
      <c r="RDG183" s="82"/>
      <c r="RDH183" s="82"/>
      <c r="RDI183" s="82"/>
      <c r="RDJ183" s="82"/>
      <c r="RDK183" s="82"/>
      <c r="RDL183" s="82"/>
      <c r="RDM183" s="82"/>
      <c r="RDN183" s="82"/>
      <c r="RDO183" s="82"/>
      <c r="RDP183" s="82"/>
      <c r="RDQ183" s="82"/>
      <c r="RDR183" s="82"/>
      <c r="RDS183" s="82"/>
      <c r="RDT183" s="82"/>
      <c r="RDU183" s="82"/>
      <c r="RDV183" s="82"/>
      <c r="RDW183" s="82"/>
      <c r="RDX183" s="82"/>
      <c r="RDY183" s="82"/>
      <c r="RDZ183" s="82"/>
      <c r="REA183" s="82"/>
      <c r="REB183" s="82"/>
      <c r="REC183" s="82"/>
      <c r="RED183" s="82"/>
      <c r="REE183" s="82"/>
      <c r="REF183" s="82"/>
      <c r="REG183" s="82"/>
      <c r="REH183" s="82"/>
      <c r="REI183" s="82"/>
      <c r="REJ183" s="82"/>
      <c r="REK183" s="82"/>
      <c r="REL183" s="82"/>
      <c r="REM183" s="82"/>
      <c r="REN183" s="82"/>
      <c r="REO183" s="82"/>
      <c r="REP183" s="82"/>
      <c r="REQ183" s="82"/>
      <c r="RER183" s="82"/>
      <c r="RES183" s="82"/>
      <c r="RET183" s="82"/>
      <c r="REU183" s="82"/>
      <c r="REV183" s="82"/>
      <c r="REW183" s="82"/>
      <c r="REX183" s="82"/>
      <c r="REY183" s="82"/>
      <c r="REZ183" s="82"/>
      <c r="RFA183" s="82"/>
      <c r="RFB183" s="82"/>
      <c r="RFC183" s="82"/>
      <c r="RFD183" s="82"/>
      <c r="RFE183" s="82"/>
      <c r="RFF183" s="82"/>
      <c r="RFG183" s="82"/>
      <c r="RFH183" s="82"/>
      <c r="RFI183" s="82"/>
      <c r="RFJ183" s="82"/>
      <c r="RFK183" s="82"/>
      <c r="RFL183" s="82"/>
      <c r="RFM183" s="82"/>
      <c r="RFN183" s="82"/>
      <c r="RFO183" s="82"/>
      <c r="RFP183" s="82"/>
      <c r="RFQ183" s="82"/>
      <c r="RFR183" s="82"/>
      <c r="RFS183" s="82"/>
      <c r="RFT183" s="82"/>
      <c r="RFU183" s="82"/>
      <c r="RFV183" s="82"/>
      <c r="RFW183" s="82"/>
      <c r="RFX183" s="82"/>
      <c r="RFY183" s="82"/>
      <c r="RFZ183" s="82"/>
      <c r="RGA183" s="82"/>
      <c r="RGB183" s="82"/>
      <c r="RGC183" s="82"/>
      <c r="RGD183" s="82"/>
      <c r="RGE183" s="82"/>
      <c r="RGF183" s="82"/>
      <c r="RGG183" s="82"/>
      <c r="RGH183" s="82"/>
      <c r="RGI183" s="82"/>
      <c r="RGJ183" s="82"/>
      <c r="RGK183" s="82"/>
      <c r="RGL183" s="82"/>
      <c r="RGM183" s="82"/>
      <c r="RGN183" s="82"/>
      <c r="RGO183" s="82"/>
      <c r="RGP183" s="82"/>
      <c r="RGQ183" s="82"/>
      <c r="RGR183" s="82"/>
      <c r="RGS183" s="82"/>
      <c r="RGT183" s="82"/>
      <c r="RGU183" s="82"/>
      <c r="RGV183" s="82"/>
      <c r="RGW183" s="82"/>
      <c r="RGX183" s="82"/>
      <c r="RGY183" s="82"/>
      <c r="RGZ183" s="82"/>
      <c r="RHA183" s="82"/>
      <c r="RHB183" s="82"/>
      <c r="RHC183" s="82"/>
      <c r="RHD183" s="82"/>
      <c r="RHE183" s="82"/>
      <c r="RHF183" s="82"/>
      <c r="RHG183" s="82"/>
      <c r="RHH183" s="82"/>
      <c r="RHI183" s="82"/>
      <c r="RHJ183" s="82"/>
      <c r="RHK183" s="82"/>
      <c r="RHL183" s="82"/>
      <c r="RHM183" s="82"/>
      <c r="RHN183" s="82"/>
      <c r="RHO183" s="82"/>
      <c r="RHP183" s="82"/>
      <c r="RHQ183" s="82"/>
      <c r="RHR183" s="82"/>
      <c r="RHS183" s="82"/>
      <c r="RHT183" s="82"/>
      <c r="RHU183" s="82"/>
      <c r="RHV183" s="82"/>
      <c r="RHW183" s="82"/>
      <c r="RHX183" s="82"/>
      <c r="RHY183" s="82"/>
      <c r="RHZ183" s="82"/>
      <c r="RIA183" s="82"/>
      <c r="RIB183" s="82"/>
      <c r="RIC183" s="82"/>
      <c r="RID183" s="82"/>
      <c r="RIE183" s="82"/>
      <c r="RIF183" s="82"/>
      <c r="RIG183" s="82"/>
      <c r="RIH183" s="82"/>
      <c r="RII183" s="82"/>
      <c r="RIJ183" s="82"/>
      <c r="RIK183" s="82"/>
      <c r="RIL183" s="82"/>
      <c r="RIM183" s="82"/>
      <c r="RIN183" s="82"/>
      <c r="RIO183" s="82"/>
      <c r="RIP183" s="82"/>
      <c r="RIQ183" s="82"/>
      <c r="RIR183" s="82"/>
      <c r="RIS183" s="82"/>
      <c r="RIT183" s="82"/>
      <c r="RIU183" s="82"/>
      <c r="RIV183" s="82"/>
      <c r="RIW183" s="82"/>
      <c r="RIX183" s="82"/>
      <c r="RIY183" s="82"/>
      <c r="RIZ183" s="82"/>
      <c r="RJA183" s="82"/>
      <c r="RJB183" s="82"/>
      <c r="RJC183" s="82"/>
      <c r="RJD183" s="82"/>
      <c r="RJE183" s="82"/>
      <c r="RJF183" s="82"/>
      <c r="RJG183" s="82"/>
      <c r="RJH183" s="82"/>
      <c r="RJI183" s="82"/>
      <c r="RJJ183" s="82"/>
      <c r="RJK183" s="82"/>
      <c r="RJL183" s="82"/>
      <c r="RJM183" s="82"/>
      <c r="RJN183" s="82"/>
      <c r="RJO183" s="82"/>
      <c r="RJP183" s="82"/>
      <c r="RJQ183" s="82"/>
      <c r="RJR183" s="82"/>
      <c r="RJS183" s="82"/>
      <c r="RJT183" s="82"/>
      <c r="RJU183" s="82"/>
      <c r="RJV183" s="82"/>
      <c r="RJW183" s="82"/>
      <c r="RJX183" s="82"/>
      <c r="RJY183" s="82"/>
      <c r="RJZ183" s="82"/>
      <c r="RKA183" s="82"/>
      <c r="RKB183" s="82"/>
      <c r="RKC183" s="82"/>
      <c r="RKD183" s="82"/>
      <c r="RKE183" s="82"/>
      <c r="RKF183" s="82"/>
      <c r="RKG183" s="82"/>
      <c r="RKH183" s="82"/>
      <c r="RKI183" s="82"/>
      <c r="RKJ183" s="82"/>
      <c r="RKK183" s="82"/>
      <c r="RKL183" s="82"/>
      <c r="RKM183" s="82"/>
      <c r="RKN183" s="82"/>
      <c r="RKO183" s="82"/>
      <c r="RKP183" s="82"/>
      <c r="RKQ183" s="82"/>
      <c r="RKR183" s="82"/>
      <c r="RKS183" s="82"/>
      <c r="RKT183" s="82"/>
      <c r="RKU183" s="82"/>
      <c r="RKV183" s="82"/>
      <c r="RKW183" s="82"/>
      <c r="RKX183" s="82"/>
      <c r="RKY183" s="82"/>
      <c r="RKZ183" s="82"/>
      <c r="RLA183" s="82"/>
      <c r="RLB183" s="82"/>
      <c r="RLC183" s="82"/>
      <c r="RLD183" s="82"/>
      <c r="RLE183" s="82"/>
      <c r="RLF183" s="82"/>
      <c r="RLG183" s="82"/>
      <c r="RLH183" s="82"/>
      <c r="RLI183" s="82"/>
      <c r="RLJ183" s="82"/>
      <c r="RLK183" s="82"/>
      <c r="RLL183" s="82"/>
      <c r="RLM183" s="82"/>
      <c r="RLN183" s="82"/>
      <c r="RLO183" s="82"/>
      <c r="RLP183" s="82"/>
      <c r="RLQ183" s="82"/>
      <c r="RLR183" s="82"/>
      <c r="RLS183" s="82"/>
      <c r="RLT183" s="82"/>
      <c r="RLU183" s="82"/>
      <c r="RLV183" s="82"/>
      <c r="RLW183" s="82"/>
      <c r="RLX183" s="82"/>
      <c r="RLY183" s="82"/>
      <c r="RLZ183" s="82"/>
      <c r="RMA183" s="82"/>
      <c r="RMB183" s="82"/>
      <c r="RMC183" s="82"/>
      <c r="RMD183" s="82"/>
      <c r="RME183" s="82"/>
      <c r="RMF183" s="82"/>
      <c r="RMG183" s="82"/>
      <c r="RMH183" s="82"/>
      <c r="RMI183" s="82"/>
      <c r="RMJ183" s="82"/>
      <c r="RMK183" s="82"/>
      <c r="RML183" s="82"/>
      <c r="RMM183" s="82"/>
      <c r="RMN183" s="82"/>
      <c r="RMO183" s="82"/>
      <c r="RMP183" s="82"/>
      <c r="RMQ183" s="82"/>
      <c r="RMR183" s="82"/>
      <c r="RMS183" s="82"/>
      <c r="RMT183" s="82"/>
      <c r="RMU183" s="82"/>
      <c r="RMV183" s="82"/>
      <c r="RMW183" s="82"/>
      <c r="RMX183" s="82"/>
      <c r="RMY183" s="82"/>
      <c r="RMZ183" s="82"/>
      <c r="RNA183" s="82"/>
      <c r="RNB183" s="82"/>
      <c r="RNC183" s="82"/>
      <c r="RND183" s="82"/>
      <c r="RNE183" s="82"/>
      <c r="RNF183" s="82"/>
      <c r="RNG183" s="82"/>
      <c r="RNH183" s="82"/>
      <c r="RNI183" s="82"/>
      <c r="RNJ183" s="82"/>
      <c r="RNK183" s="82"/>
      <c r="RNL183" s="82"/>
      <c r="RNM183" s="82"/>
      <c r="RNN183" s="82"/>
      <c r="RNO183" s="82"/>
      <c r="RNP183" s="82"/>
      <c r="RNQ183" s="82"/>
      <c r="RNR183" s="82"/>
      <c r="RNS183" s="82"/>
      <c r="RNT183" s="82"/>
      <c r="RNU183" s="82"/>
      <c r="RNV183" s="82"/>
      <c r="RNW183" s="82"/>
      <c r="RNX183" s="82"/>
      <c r="RNY183" s="82"/>
      <c r="RNZ183" s="82"/>
      <c r="ROA183" s="82"/>
      <c r="ROB183" s="82"/>
      <c r="ROC183" s="82"/>
      <c r="ROD183" s="82"/>
      <c r="ROE183" s="82"/>
      <c r="ROF183" s="82"/>
      <c r="ROG183" s="82"/>
      <c r="ROH183" s="82"/>
      <c r="ROI183" s="82"/>
      <c r="ROJ183" s="82"/>
      <c r="ROK183" s="82"/>
      <c r="ROL183" s="82"/>
      <c r="ROM183" s="82"/>
      <c r="RON183" s="82"/>
      <c r="ROO183" s="82"/>
      <c r="ROP183" s="82"/>
      <c r="ROQ183" s="82"/>
      <c r="ROR183" s="82"/>
      <c r="ROS183" s="82"/>
      <c r="ROT183" s="82"/>
      <c r="ROU183" s="82"/>
      <c r="ROV183" s="82"/>
      <c r="ROW183" s="82"/>
      <c r="ROX183" s="82"/>
      <c r="ROY183" s="82"/>
      <c r="ROZ183" s="82"/>
      <c r="RPA183" s="82"/>
      <c r="RPB183" s="82"/>
      <c r="RPC183" s="82"/>
      <c r="RPD183" s="82"/>
      <c r="RPE183" s="82"/>
      <c r="RPF183" s="82"/>
      <c r="RPG183" s="82"/>
      <c r="RPH183" s="82"/>
      <c r="RPI183" s="82"/>
      <c r="RPJ183" s="82"/>
      <c r="RPK183" s="82"/>
      <c r="RPL183" s="82"/>
      <c r="RPM183" s="82"/>
      <c r="RPN183" s="82"/>
      <c r="RPO183" s="82"/>
      <c r="RPP183" s="82"/>
      <c r="RPQ183" s="82"/>
      <c r="RPR183" s="82"/>
      <c r="RPS183" s="82"/>
      <c r="RPT183" s="82"/>
      <c r="RPU183" s="82"/>
      <c r="RPV183" s="82"/>
      <c r="RPW183" s="82"/>
      <c r="RPX183" s="82"/>
      <c r="RPY183" s="82"/>
      <c r="RPZ183" s="82"/>
      <c r="RQA183" s="82"/>
      <c r="RQB183" s="82"/>
      <c r="RQC183" s="82"/>
      <c r="RQD183" s="82"/>
      <c r="RQE183" s="82"/>
      <c r="RQF183" s="82"/>
      <c r="RQG183" s="82"/>
      <c r="RQH183" s="82"/>
      <c r="RQI183" s="82"/>
      <c r="RQJ183" s="82"/>
      <c r="RQK183" s="82"/>
      <c r="RQL183" s="82"/>
      <c r="RQM183" s="82"/>
      <c r="RQN183" s="82"/>
      <c r="RQO183" s="82"/>
      <c r="RQP183" s="82"/>
      <c r="RQQ183" s="82"/>
      <c r="RQR183" s="82"/>
      <c r="RQS183" s="82"/>
      <c r="RQT183" s="82"/>
      <c r="RQU183" s="82"/>
      <c r="RQV183" s="82"/>
      <c r="RQW183" s="82"/>
      <c r="RQX183" s="82"/>
      <c r="RQY183" s="82"/>
      <c r="RQZ183" s="82"/>
      <c r="RRA183" s="82"/>
      <c r="RRB183" s="82"/>
      <c r="RRC183" s="82"/>
      <c r="RRD183" s="82"/>
      <c r="RRE183" s="82"/>
      <c r="RRF183" s="82"/>
      <c r="RRG183" s="82"/>
      <c r="RRH183" s="82"/>
      <c r="RRI183" s="82"/>
      <c r="RRJ183" s="82"/>
      <c r="RRK183" s="82"/>
      <c r="RRL183" s="82"/>
      <c r="RRM183" s="82"/>
      <c r="RRN183" s="82"/>
      <c r="RRO183" s="82"/>
      <c r="RRP183" s="82"/>
      <c r="RRQ183" s="82"/>
      <c r="RRR183" s="82"/>
      <c r="RRS183" s="82"/>
      <c r="RRT183" s="82"/>
      <c r="RRU183" s="82"/>
      <c r="RRV183" s="82"/>
      <c r="RRW183" s="82"/>
      <c r="RRX183" s="82"/>
      <c r="RRY183" s="82"/>
      <c r="RRZ183" s="82"/>
      <c r="RSA183" s="82"/>
      <c r="RSB183" s="82"/>
      <c r="RSC183" s="82"/>
      <c r="RSD183" s="82"/>
      <c r="RSE183" s="82"/>
      <c r="RSF183" s="82"/>
      <c r="RSG183" s="82"/>
      <c r="RSH183" s="82"/>
      <c r="RSI183" s="82"/>
      <c r="RSJ183" s="82"/>
      <c r="RSK183" s="82"/>
      <c r="RSL183" s="82"/>
      <c r="RSM183" s="82"/>
      <c r="RSN183" s="82"/>
      <c r="RSO183" s="82"/>
      <c r="RSP183" s="82"/>
      <c r="RSQ183" s="82"/>
      <c r="RSR183" s="82"/>
      <c r="RSS183" s="82"/>
      <c r="RST183" s="82"/>
      <c r="RSU183" s="82"/>
      <c r="RSV183" s="82"/>
      <c r="RSW183" s="82"/>
      <c r="RSX183" s="82"/>
      <c r="RSY183" s="82"/>
      <c r="RSZ183" s="82"/>
      <c r="RTA183" s="82"/>
      <c r="RTB183" s="82"/>
      <c r="RTC183" s="82"/>
      <c r="RTD183" s="82"/>
      <c r="RTE183" s="82"/>
      <c r="RTF183" s="82"/>
      <c r="RTG183" s="82"/>
      <c r="RTH183" s="82"/>
      <c r="RTI183" s="82"/>
      <c r="RTJ183" s="82"/>
      <c r="RTK183" s="82"/>
      <c r="RTL183" s="82"/>
      <c r="RTM183" s="82"/>
      <c r="RTN183" s="82"/>
      <c r="RTO183" s="82"/>
      <c r="RTP183" s="82"/>
      <c r="RTQ183" s="82"/>
      <c r="RTR183" s="82"/>
      <c r="RTS183" s="82"/>
      <c r="RTT183" s="82"/>
      <c r="RTU183" s="82"/>
      <c r="RTV183" s="82"/>
      <c r="RTW183" s="82"/>
      <c r="RTX183" s="82"/>
      <c r="RTY183" s="82"/>
      <c r="RTZ183" s="82"/>
      <c r="RUA183" s="82"/>
      <c r="RUB183" s="82"/>
      <c r="RUC183" s="82"/>
      <c r="RUD183" s="82"/>
      <c r="RUE183" s="82"/>
      <c r="RUF183" s="82"/>
      <c r="RUG183" s="82"/>
      <c r="RUH183" s="82"/>
      <c r="RUI183" s="82"/>
      <c r="RUJ183" s="82"/>
      <c r="RUK183" s="82"/>
      <c r="RUL183" s="82"/>
      <c r="RUM183" s="82"/>
      <c r="RUN183" s="82"/>
      <c r="RUO183" s="82"/>
      <c r="RUP183" s="82"/>
      <c r="RUQ183" s="82"/>
      <c r="RUR183" s="82"/>
      <c r="RUS183" s="82"/>
      <c r="RUT183" s="82"/>
      <c r="RUU183" s="82"/>
      <c r="RUV183" s="82"/>
      <c r="RUW183" s="82"/>
      <c r="RUX183" s="82"/>
      <c r="RUY183" s="82"/>
      <c r="RUZ183" s="82"/>
      <c r="RVA183" s="82"/>
      <c r="RVB183" s="82"/>
      <c r="RVC183" s="82"/>
      <c r="RVD183" s="82"/>
      <c r="RVE183" s="82"/>
      <c r="RVF183" s="82"/>
      <c r="RVG183" s="82"/>
      <c r="RVH183" s="82"/>
      <c r="RVI183" s="82"/>
      <c r="RVJ183" s="82"/>
      <c r="RVK183" s="82"/>
      <c r="RVL183" s="82"/>
      <c r="RVM183" s="82"/>
      <c r="RVN183" s="82"/>
      <c r="RVO183" s="82"/>
      <c r="RVP183" s="82"/>
      <c r="RVQ183" s="82"/>
      <c r="RVR183" s="82"/>
      <c r="RVS183" s="82"/>
      <c r="RVT183" s="82"/>
      <c r="RVU183" s="82"/>
      <c r="RVV183" s="82"/>
      <c r="RVW183" s="82"/>
      <c r="RVX183" s="82"/>
      <c r="RVY183" s="82"/>
      <c r="RVZ183" s="82"/>
      <c r="RWA183" s="82"/>
      <c r="RWB183" s="82"/>
      <c r="RWC183" s="82"/>
      <c r="RWD183" s="82"/>
      <c r="RWE183" s="82"/>
      <c r="RWF183" s="82"/>
      <c r="RWG183" s="82"/>
      <c r="RWH183" s="82"/>
      <c r="RWI183" s="82"/>
      <c r="RWJ183" s="82"/>
      <c r="RWK183" s="82"/>
      <c r="RWL183" s="82"/>
      <c r="RWM183" s="82"/>
      <c r="RWN183" s="82"/>
      <c r="RWO183" s="82"/>
      <c r="RWP183" s="82"/>
      <c r="RWQ183" s="82"/>
      <c r="RWR183" s="82"/>
      <c r="RWS183" s="82"/>
      <c r="RWT183" s="82"/>
      <c r="RWU183" s="82"/>
      <c r="RWV183" s="82"/>
      <c r="RWW183" s="82"/>
      <c r="RWX183" s="82"/>
      <c r="RWY183" s="82"/>
      <c r="RWZ183" s="82"/>
      <c r="RXA183" s="82"/>
      <c r="RXB183" s="82"/>
      <c r="RXC183" s="82"/>
      <c r="RXD183" s="82"/>
      <c r="RXE183" s="82"/>
      <c r="RXF183" s="82"/>
      <c r="RXG183" s="82"/>
      <c r="RXH183" s="82"/>
      <c r="RXI183" s="82"/>
      <c r="RXJ183" s="82"/>
      <c r="RXK183" s="82"/>
      <c r="RXL183" s="82"/>
      <c r="RXM183" s="82"/>
      <c r="RXN183" s="82"/>
      <c r="RXO183" s="82"/>
      <c r="RXP183" s="82"/>
      <c r="RXQ183" s="82"/>
      <c r="RXR183" s="82"/>
      <c r="RXS183" s="82"/>
      <c r="RXT183" s="82"/>
      <c r="RXU183" s="82"/>
      <c r="RXV183" s="82"/>
      <c r="RXW183" s="82"/>
      <c r="RXX183" s="82"/>
      <c r="RXY183" s="82"/>
      <c r="RXZ183" s="82"/>
      <c r="RYA183" s="82"/>
      <c r="RYB183" s="82"/>
      <c r="RYC183" s="82"/>
      <c r="RYD183" s="82"/>
      <c r="RYE183" s="82"/>
      <c r="RYF183" s="82"/>
      <c r="RYG183" s="82"/>
      <c r="RYH183" s="82"/>
      <c r="RYI183" s="82"/>
      <c r="RYJ183" s="82"/>
      <c r="RYK183" s="82"/>
      <c r="RYL183" s="82"/>
      <c r="RYM183" s="82"/>
      <c r="RYN183" s="82"/>
      <c r="RYO183" s="82"/>
      <c r="RYP183" s="82"/>
      <c r="RYQ183" s="82"/>
      <c r="RYR183" s="82"/>
      <c r="RYS183" s="82"/>
      <c r="RYT183" s="82"/>
      <c r="RYU183" s="82"/>
      <c r="RYV183" s="82"/>
      <c r="RYW183" s="82"/>
      <c r="RYX183" s="82"/>
      <c r="RYY183" s="82"/>
      <c r="RYZ183" s="82"/>
      <c r="RZA183" s="82"/>
      <c r="RZB183" s="82"/>
      <c r="RZC183" s="82"/>
      <c r="RZD183" s="82"/>
      <c r="RZE183" s="82"/>
      <c r="RZF183" s="82"/>
      <c r="RZG183" s="82"/>
      <c r="RZH183" s="82"/>
      <c r="RZI183" s="82"/>
      <c r="RZJ183" s="82"/>
      <c r="RZK183" s="82"/>
      <c r="RZL183" s="82"/>
      <c r="RZM183" s="82"/>
      <c r="RZN183" s="82"/>
      <c r="RZO183" s="82"/>
      <c r="RZP183" s="82"/>
      <c r="RZQ183" s="82"/>
      <c r="RZR183" s="82"/>
      <c r="RZS183" s="82"/>
      <c r="RZT183" s="82"/>
      <c r="RZU183" s="82"/>
      <c r="RZV183" s="82"/>
      <c r="RZW183" s="82"/>
      <c r="RZX183" s="82"/>
      <c r="RZY183" s="82"/>
      <c r="RZZ183" s="82"/>
      <c r="SAA183" s="82"/>
      <c r="SAB183" s="82"/>
      <c r="SAC183" s="82"/>
      <c r="SAD183" s="82"/>
      <c r="SAE183" s="82"/>
      <c r="SAF183" s="82"/>
      <c r="SAG183" s="82"/>
      <c r="SAH183" s="82"/>
      <c r="SAI183" s="82"/>
      <c r="SAJ183" s="82"/>
      <c r="SAK183" s="82"/>
      <c r="SAL183" s="82"/>
      <c r="SAM183" s="82"/>
      <c r="SAN183" s="82"/>
      <c r="SAO183" s="82"/>
      <c r="SAP183" s="82"/>
      <c r="SAQ183" s="82"/>
      <c r="SAR183" s="82"/>
      <c r="SAS183" s="82"/>
      <c r="SAT183" s="82"/>
      <c r="SAU183" s="82"/>
      <c r="SAV183" s="82"/>
      <c r="SAW183" s="82"/>
      <c r="SAX183" s="82"/>
      <c r="SAY183" s="82"/>
      <c r="SAZ183" s="82"/>
      <c r="SBA183" s="82"/>
      <c r="SBB183" s="82"/>
      <c r="SBC183" s="82"/>
      <c r="SBD183" s="82"/>
      <c r="SBE183" s="82"/>
      <c r="SBF183" s="82"/>
      <c r="SBG183" s="82"/>
      <c r="SBH183" s="82"/>
      <c r="SBI183" s="82"/>
      <c r="SBJ183" s="82"/>
      <c r="SBK183" s="82"/>
      <c r="SBL183" s="82"/>
      <c r="SBM183" s="82"/>
      <c r="SBN183" s="82"/>
      <c r="SBO183" s="82"/>
      <c r="SBP183" s="82"/>
      <c r="SBQ183" s="82"/>
      <c r="SBR183" s="82"/>
      <c r="SBS183" s="82"/>
      <c r="SBT183" s="82"/>
      <c r="SBU183" s="82"/>
      <c r="SBV183" s="82"/>
      <c r="SBW183" s="82"/>
      <c r="SBX183" s="82"/>
      <c r="SBY183" s="82"/>
      <c r="SBZ183" s="82"/>
      <c r="SCA183" s="82"/>
      <c r="SCB183" s="82"/>
      <c r="SCC183" s="82"/>
      <c r="SCD183" s="82"/>
      <c r="SCE183" s="82"/>
      <c r="SCF183" s="82"/>
      <c r="SCG183" s="82"/>
      <c r="SCH183" s="82"/>
      <c r="SCI183" s="82"/>
      <c r="SCJ183" s="82"/>
      <c r="SCK183" s="82"/>
      <c r="SCL183" s="82"/>
      <c r="SCM183" s="82"/>
      <c r="SCN183" s="82"/>
      <c r="SCO183" s="82"/>
      <c r="SCP183" s="82"/>
      <c r="SCQ183" s="82"/>
      <c r="SCR183" s="82"/>
      <c r="SCS183" s="82"/>
      <c r="SCT183" s="82"/>
      <c r="SCU183" s="82"/>
      <c r="SCV183" s="82"/>
      <c r="SCW183" s="82"/>
      <c r="SCX183" s="82"/>
      <c r="SCY183" s="82"/>
      <c r="SCZ183" s="82"/>
      <c r="SDA183" s="82"/>
      <c r="SDB183" s="82"/>
      <c r="SDC183" s="82"/>
      <c r="SDD183" s="82"/>
      <c r="SDE183" s="82"/>
      <c r="SDF183" s="82"/>
      <c r="SDG183" s="82"/>
      <c r="SDH183" s="82"/>
      <c r="SDI183" s="82"/>
      <c r="SDJ183" s="82"/>
      <c r="SDK183" s="82"/>
      <c r="SDL183" s="82"/>
      <c r="SDM183" s="82"/>
      <c r="SDN183" s="82"/>
      <c r="SDO183" s="82"/>
      <c r="SDP183" s="82"/>
      <c r="SDQ183" s="82"/>
      <c r="SDR183" s="82"/>
      <c r="SDS183" s="82"/>
      <c r="SDT183" s="82"/>
      <c r="SDU183" s="82"/>
      <c r="SDV183" s="82"/>
      <c r="SDW183" s="82"/>
      <c r="SDX183" s="82"/>
      <c r="SDY183" s="82"/>
      <c r="SDZ183" s="82"/>
      <c r="SEA183" s="82"/>
      <c r="SEB183" s="82"/>
      <c r="SEC183" s="82"/>
      <c r="SED183" s="82"/>
      <c r="SEE183" s="82"/>
      <c r="SEF183" s="82"/>
      <c r="SEG183" s="82"/>
      <c r="SEH183" s="82"/>
      <c r="SEI183" s="82"/>
      <c r="SEJ183" s="82"/>
      <c r="SEK183" s="82"/>
      <c r="SEL183" s="82"/>
      <c r="SEM183" s="82"/>
      <c r="SEN183" s="82"/>
      <c r="SEO183" s="82"/>
      <c r="SEP183" s="82"/>
      <c r="SEQ183" s="82"/>
      <c r="SER183" s="82"/>
      <c r="SES183" s="82"/>
      <c r="SET183" s="82"/>
      <c r="SEU183" s="82"/>
      <c r="SEV183" s="82"/>
      <c r="SEW183" s="82"/>
      <c r="SEX183" s="82"/>
      <c r="SEY183" s="82"/>
      <c r="SEZ183" s="82"/>
      <c r="SFA183" s="82"/>
      <c r="SFB183" s="82"/>
      <c r="SFC183" s="82"/>
      <c r="SFD183" s="82"/>
      <c r="SFE183" s="82"/>
      <c r="SFF183" s="82"/>
      <c r="SFG183" s="82"/>
      <c r="SFH183" s="82"/>
      <c r="SFI183" s="82"/>
      <c r="SFJ183" s="82"/>
      <c r="SFK183" s="82"/>
      <c r="SFL183" s="82"/>
      <c r="SFM183" s="82"/>
      <c r="SFN183" s="82"/>
      <c r="SFO183" s="82"/>
      <c r="SFP183" s="82"/>
      <c r="SFQ183" s="82"/>
      <c r="SFR183" s="82"/>
      <c r="SFS183" s="82"/>
      <c r="SFT183" s="82"/>
      <c r="SFU183" s="82"/>
      <c r="SFV183" s="82"/>
      <c r="SFW183" s="82"/>
      <c r="SFX183" s="82"/>
      <c r="SFY183" s="82"/>
      <c r="SFZ183" s="82"/>
      <c r="SGA183" s="82"/>
      <c r="SGB183" s="82"/>
      <c r="SGC183" s="82"/>
      <c r="SGD183" s="82"/>
      <c r="SGE183" s="82"/>
      <c r="SGF183" s="82"/>
      <c r="SGG183" s="82"/>
      <c r="SGH183" s="82"/>
      <c r="SGI183" s="82"/>
      <c r="SGJ183" s="82"/>
      <c r="SGK183" s="82"/>
      <c r="SGL183" s="82"/>
      <c r="SGM183" s="82"/>
      <c r="SGN183" s="82"/>
      <c r="SGO183" s="82"/>
      <c r="SGP183" s="82"/>
      <c r="SGQ183" s="82"/>
      <c r="SGR183" s="82"/>
      <c r="SGS183" s="82"/>
      <c r="SGT183" s="82"/>
      <c r="SGU183" s="82"/>
      <c r="SGV183" s="82"/>
      <c r="SGW183" s="82"/>
      <c r="SGX183" s="82"/>
      <c r="SGY183" s="82"/>
      <c r="SGZ183" s="82"/>
      <c r="SHA183" s="82"/>
      <c r="SHB183" s="82"/>
      <c r="SHC183" s="82"/>
      <c r="SHD183" s="82"/>
      <c r="SHE183" s="82"/>
      <c r="SHF183" s="82"/>
      <c r="SHG183" s="82"/>
      <c r="SHH183" s="82"/>
      <c r="SHI183" s="82"/>
      <c r="SHJ183" s="82"/>
      <c r="SHK183" s="82"/>
      <c r="SHL183" s="82"/>
      <c r="SHM183" s="82"/>
      <c r="SHN183" s="82"/>
      <c r="SHO183" s="82"/>
      <c r="SHP183" s="82"/>
      <c r="SHQ183" s="82"/>
      <c r="SHR183" s="82"/>
      <c r="SHS183" s="82"/>
      <c r="SHT183" s="82"/>
      <c r="SHU183" s="82"/>
      <c r="SHV183" s="82"/>
      <c r="SHW183" s="82"/>
      <c r="SHX183" s="82"/>
      <c r="SHY183" s="82"/>
      <c r="SHZ183" s="82"/>
      <c r="SIA183" s="82"/>
      <c r="SIB183" s="82"/>
      <c r="SIC183" s="82"/>
      <c r="SID183" s="82"/>
      <c r="SIE183" s="82"/>
      <c r="SIF183" s="82"/>
      <c r="SIG183" s="82"/>
      <c r="SIH183" s="82"/>
      <c r="SII183" s="82"/>
      <c r="SIJ183" s="82"/>
      <c r="SIK183" s="82"/>
      <c r="SIL183" s="82"/>
      <c r="SIM183" s="82"/>
      <c r="SIN183" s="82"/>
      <c r="SIO183" s="82"/>
      <c r="SIP183" s="82"/>
      <c r="SIQ183" s="82"/>
      <c r="SIR183" s="82"/>
      <c r="SIS183" s="82"/>
      <c r="SIT183" s="82"/>
      <c r="SIU183" s="82"/>
      <c r="SIV183" s="82"/>
      <c r="SIW183" s="82"/>
      <c r="SIX183" s="82"/>
      <c r="SIY183" s="82"/>
      <c r="SIZ183" s="82"/>
      <c r="SJA183" s="82"/>
      <c r="SJB183" s="82"/>
      <c r="SJC183" s="82"/>
      <c r="SJD183" s="82"/>
      <c r="SJE183" s="82"/>
      <c r="SJF183" s="82"/>
      <c r="SJG183" s="82"/>
      <c r="SJH183" s="82"/>
      <c r="SJI183" s="82"/>
      <c r="SJJ183" s="82"/>
      <c r="SJK183" s="82"/>
      <c r="SJL183" s="82"/>
      <c r="SJM183" s="82"/>
      <c r="SJN183" s="82"/>
      <c r="SJO183" s="82"/>
      <c r="SJP183" s="82"/>
      <c r="SJQ183" s="82"/>
      <c r="SJR183" s="82"/>
      <c r="SJS183" s="82"/>
      <c r="SJT183" s="82"/>
      <c r="SJU183" s="82"/>
      <c r="SJV183" s="82"/>
      <c r="SJW183" s="82"/>
      <c r="SJX183" s="82"/>
      <c r="SJY183" s="82"/>
      <c r="SJZ183" s="82"/>
      <c r="SKA183" s="82"/>
      <c r="SKB183" s="82"/>
      <c r="SKC183" s="82"/>
      <c r="SKD183" s="82"/>
      <c r="SKE183" s="82"/>
      <c r="SKF183" s="82"/>
      <c r="SKG183" s="82"/>
      <c r="SKH183" s="82"/>
      <c r="SKI183" s="82"/>
      <c r="SKJ183" s="82"/>
      <c r="SKK183" s="82"/>
      <c r="SKL183" s="82"/>
      <c r="SKM183" s="82"/>
      <c r="SKN183" s="82"/>
      <c r="SKO183" s="82"/>
      <c r="SKP183" s="82"/>
      <c r="SKQ183" s="82"/>
      <c r="SKR183" s="82"/>
      <c r="SKS183" s="82"/>
      <c r="SKT183" s="82"/>
      <c r="SKU183" s="82"/>
      <c r="SKV183" s="82"/>
      <c r="SKW183" s="82"/>
      <c r="SKX183" s="82"/>
      <c r="SKY183" s="82"/>
      <c r="SKZ183" s="82"/>
      <c r="SLA183" s="82"/>
      <c r="SLB183" s="82"/>
      <c r="SLC183" s="82"/>
      <c r="SLD183" s="82"/>
      <c r="SLE183" s="82"/>
      <c r="SLF183" s="82"/>
      <c r="SLG183" s="82"/>
      <c r="SLH183" s="82"/>
      <c r="SLI183" s="82"/>
      <c r="SLJ183" s="82"/>
      <c r="SLK183" s="82"/>
      <c r="SLL183" s="82"/>
      <c r="SLM183" s="82"/>
      <c r="SLN183" s="82"/>
      <c r="SLO183" s="82"/>
      <c r="SLP183" s="82"/>
      <c r="SLQ183" s="82"/>
      <c r="SLR183" s="82"/>
      <c r="SLS183" s="82"/>
      <c r="SLT183" s="82"/>
      <c r="SLU183" s="82"/>
      <c r="SLV183" s="82"/>
      <c r="SLW183" s="82"/>
      <c r="SLX183" s="82"/>
      <c r="SLY183" s="82"/>
      <c r="SLZ183" s="82"/>
      <c r="SMA183" s="82"/>
      <c r="SMB183" s="82"/>
      <c r="SMC183" s="82"/>
      <c r="SMD183" s="82"/>
      <c r="SME183" s="82"/>
      <c r="SMF183" s="82"/>
      <c r="SMG183" s="82"/>
      <c r="SMH183" s="82"/>
      <c r="SMI183" s="82"/>
      <c r="SMJ183" s="82"/>
      <c r="SMK183" s="82"/>
      <c r="SML183" s="82"/>
      <c r="SMM183" s="82"/>
      <c r="SMN183" s="82"/>
      <c r="SMO183" s="82"/>
      <c r="SMP183" s="82"/>
      <c r="SMQ183" s="82"/>
      <c r="SMR183" s="82"/>
      <c r="SMS183" s="82"/>
      <c r="SMT183" s="82"/>
      <c r="SMU183" s="82"/>
      <c r="SMV183" s="82"/>
      <c r="SMW183" s="82"/>
      <c r="SMX183" s="82"/>
      <c r="SMY183" s="82"/>
      <c r="SMZ183" s="82"/>
      <c r="SNA183" s="82"/>
      <c r="SNB183" s="82"/>
      <c r="SNC183" s="82"/>
      <c r="SND183" s="82"/>
      <c r="SNE183" s="82"/>
      <c r="SNF183" s="82"/>
      <c r="SNG183" s="82"/>
      <c r="SNH183" s="82"/>
      <c r="SNI183" s="82"/>
      <c r="SNJ183" s="82"/>
      <c r="SNK183" s="82"/>
      <c r="SNL183" s="82"/>
      <c r="SNM183" s="82"/>
      <c r="SNN183" s="82"/>
      <c r="SNO183" s="82"/>
      <c r="SNP183" s="82"/>
      <c r="SNQ183" s="82"/>
      <c r="SNR183" s="82"/>
      <c r="SNS183" s="82"/>
      <c r="SNT183" s="82"/>
      <c r="SNU183" s="82"/>
      <c r="SNV183" s="82"/>
      <c r="SNW183" s="82"/>
      <c r="SNX183" s="82"/>
      <c r="SNY183" s="82"/>
      <c r="SNZ183" s="82"/>
      <c r="SOA183" s="82"/>
      <c r="SOB183" s="82"/>
      <c r="SOC183" s="82"/>
      <c r="SOD183" s="82"/>
      <c r="SOE183" s="82"/>
      <c r="SOF183" s="82"/>
      <c r="SOG183" s="82"/>
      <c r="SOH183" s="82"/>
      <c r="SOI183" s="82"/>
      <c r="SOJ183" s="82"/>
      <c r="SOK183" s="82"/>
      <c r="SOL183" s="82"/>
      <c r="SOM183" s="82"/>
      <c r="SON183" s="82"/>
      <c r="SOO183" s="82"/>
      <c r="SOP183" s="82"/>
      <c r="SOQ183" s="82"/>
      <c r="SOR183" s="82"/>
      <c r="SOS183" s="82"/>
      <c r="SOT183" s="82"/>
      <c r="SOU183" s="82"/>
      <c r="SOV183" s="82"/>
      <c r="SOW183" s="82"/>
      <c r="SOX183" s="82"/>
      <c r="SOY183" s="82"/>
      <c r="SOZ183" s="82"/>
      <c r="SPA183" s="82"/>
      <c r="SPB183" s="82"/>
      <c r="SPC183" s="82"/>
      <c r="SPD183" s="82"/>
      <c r="SPE183" s="82"/>
      <c r="SPF183" s="82"/>
      <c r="SPG183" s="82"/>
      <c r="SPH183" s="82"/>
      <c r="SPI183" s="82"/>
      <c r="SPJ183" s="82"/>
      <c r="SPK183" s="82"/>
      <c r="SPL183" s="82"/>
      <c r="SPM183" s="82"/>
      <c r="SPN183" s="82"/>
      <c r="SPO183" s="82"/>
      <c r="SPP183" s="82"/>
      <c r="SPQ183" s="82"/>
      <c r="SPR183" s="82"/>
      <c r="SPS183" s="82"/>
      <c r="SPT183" s="82"/>
      <c r="SPU183" s="82"/>
      <c r="SPV183" s="82"/>
      <c r="SPW183" s="82"/>
      <c r="SPX183" s="82"/>
      <c r="SPY183" s="82"/>
      <c r="SPZ183" s="82"/>
      <c r="SQA183" s="82"/>
      <c r="SQB183" s="82"/>
      <c r="SQC183" s="82"/>
      <c r="SQD183" s="82"/>
      <c r="SQE183" s="82"/>
      <c r="SQF183" s="82"/>
      <c r="SQG183" s="82"/>
      <c r="SQH183" s="82"/>
      <c r="SQI183" s="82"/>
      <c r="SQJ183" s="82"/>
      <c r="SQK183" s="82"/>
      <c r="SQL183" s="82"/>
      <c r="SQM183" s="82"/>
      <c r="SQN183" s="82"/>
      <c r="SQO183" s="82"/>
      <c r="SQP183" s="82"/>
      <c r="SQQ183" s="82"/>
      <c r="SQR183" s="82"/>
      <c r="SQS183" s="82"/>
      <c r="SQT183" s="82"/>
      <c r="SQU183" s="82"/>
      <c r="SQV183" s="82"/>
      <c r="SQW183" s="82"/>
      <c r="SQX183" s="82"/>
      <c r="SQY183" s="82"/>
      <c r="SQZ183" s="82"/>
      <c r="SRA183" s="82"/>
      <c r="SRB183" s="82"/>
      <c r="SRC183" s="82"/>
      <c r="SRD183" s="82"/>
      <c r="SRE183" s="82"/>
      <c r="SRF183" s="82"/>
      <c r="SRG183" s="82"/>
      <c r="SRH183" s="82"/>
      <c r="SRI183" s="82"/>
      <c r="SRJ183" s="82"/>
      <c r="SRK183" s="82"/>
      <c r="SRL183" s="82"/>
      <c r="SRM183" s="82"/>
      <c r="SRN183" s="82"/>
      <c r="SRO183" s="82"/>
      <c r="SRP183" s="82"/>
      <c r="SRQ183" s="82"/>
      <c r="SRR183" s="82"/>
      <c r="SRS183" s="82"/>
      <c r="SRT183" s="82"/>
      <c r="SRU183" s="82"/>
      <c r="SRV183" s="82"/>
      <c r="SRW183" s="82"/>
      <c r="SRX183" s="82"/>
      <c r="SRY183" s="82"/>
      <c r="SRZ183" s="82"/>
      <c r="SSA183" s="82"/>
      <c r="SSB183" s="82"/>
      <c r="SSC183" s="82"/>
      <c r="SSD183" s="82"/>
      <c r="SSE183" s="82"/>
      <c r="SSF183" s="82"/>
      <c r="SSG183" s="82"/>
      <c r="SSH183" s="82"/>
      <c r="SSI183" s="82"/>
      <c r="SSJ183" s="82"/>
      <c r="SSK183" s="82"/>
      <c r="SSL183" s="82"/>
      <c r="SSM183" s="82"/>
      <c r="SSN183" s="82"/>
      <c r="SSO183" s="82"/>
      <c r="SSP183" s="82"/>
      <c r="SSQ183" s="82"/>
      <c r="SSR183" s="82"/>
      <c r="SSS183" s="82"/>
      <c r="SST183" s="82"/>
      <c r="SSU183" s="82"/>
      <c r="SSV183" s="82"/>
      <c r="SSW183" s="82"/>
      <c r="SSX183" s="82"/>
      <c r="SSY183" s="82"/>
      <c r="SSZ183" s="82"/>
      <c r="STA183" s="82"/>
      <c r="STB183" s="82"/>
      <c r="STC183" s="82"/>
      <c r="STD183" s="82"/>
      <c r="STE183" s="82"/>
      <c r="STF183" s="82"/>
      <c r="STG183" s="82"/>
      <c r="STH183" s="82"/>
      <c r="STI183" s="82"/>
      <c r="STJ183" s="82"/>
      <c r="STK183" s="82"/>
      <c r="STL183" s="82"/>
      <c r="STM183" s="82"/>
      <c r="STN183" s="82"/>
      <c r="STO183" s="82"/>
      <c r="STP183" s="82"/>
      <c r="STQ183" s="82"/>
      <c r="STR183" s="82"/>
      <c r="STS183" s="82"/>
      <c r="STT183" s="82"/>
      <c r="STU183" s="82"/>
      <c r="STV183" s="82"/>
      <c r="STW183" s="82"/>
      <c r="STX183" s="82"/>
      <c r="STY183" s="82"/>
      <c r="STZ183" s="82"/>
      <c r="SUA183" s="82"/>
      <c r="SUB183" s="82"/>
      <c r="SUC183" s="82"/>
      <c r="SUD183" s="82"/>
      <c r="SUE183" s="82"/>
      <c r="SUF183" s="82"/>
      <c r="SUG183" s="82"/>
      <c r="SUH183" s="82"/>
      <c r="SUI183" s="82"/>
      <c r="SUJ183" s="82"/>
      <c r="SUK183" s="82"/>
      <c r="SUL183" s="82"/>
      <c r="SUM183" s="82"/>
      <c r="SUN183" s="82"/>
      <c r="SUO183" s="82"/>
      <c r="SUP183" s="82"/>
      <c r="SUQ183" s="82"/>
      <c r="SUR183" s="82"/>
      <c r="SUS183" s="82"/>
      <c r="SUT183" s="82"/>
      <c r="SUU183" s="82"/>
      <c r="SUV183" s="82"/>
      <c r="SUW183" s="82"/>
      <c r="SUX183" s="82"/>
      <c r="SUY183" s="82"/>
      <c r="SUZ183" s="82"/>
      <c r="SVA183" s="82"/>
      <c r="SVB183" s="82"/>
      <c r="SVC183" s="82"/>
      <c r="SVD183" s="82"/>
      <c r="SVE183" s="82"/>
      <c r="SVF183" s="82"/>
      <c r="SVG183" s="82"/>
      <c r="SVH183" s="82"/>
      <c r="SVI183" s="82"/>
      <c r="SVJ183" s="82"/>
      <c r="SVK183" s="82"/>
      <c r="SVL183" s="82"/>
      <c r="SVM183" s="82"/>
      <c r="SVN183" s="82"/>
      <c r="SVO183" s="82"/>
      <c r="SVP183" s="82"/>
      <c r="SVQ183" s="82"/>
      <c r="SVR183" s="82"/>
      <c r="SVS183" s="82"/>
      <c r="SVT183" s="82"/>
      <c r="SVU183" s="82"/>
      <c r="SVV183" s="82"/>
      <c r="SVW183" s="82"/>
      <c r="SVX183" s="82"/>
      <c r="SVY183" s="82"/>
      <c r="SVZ183" s="82"/>
      <c r="SWA183" s="82"/>
      <c r="SWB183" s="82"/>
      <c r="SWC183" s="82"/>
      <c r="SWD183" s="82"/>
      <c r="SWE183" s="82"/>
      <c r="SWF183" s="82"/>
      <c r="SWG183" s="82"/>
      <c r="SWH183" s="82"/>
      <c r="SWI183" s="82"/>
      <c r="SWJ183" s="82"/>
      <c r="SWK183" s="82"/>
      <c r="SWL183" s="82"/>
      <c r="SWM183" s="82"/>
      <c r="SWN183" s="82"/>
      <c r="SWO183" s="82"/>
      <c r="SWP183" s="82"/>
      <c r="SWQ183" s="82"/>
      <c r="SWR183" s="82"/>
      <c r="SWS183" s="82"/>
      <c r="SWT183" s="82"/>
      <c r="SWU183" s="82"/>
      <c r="SWV183" s="82"/>
      <c r="SWW183" s="82"/>
      <c r="SWX183" s="82"/>
      <c r="SWY183" s="82"/>
      <c r="SWZ183" s="82"/>
      <c r="SXA183" s="82"/>
      <c r="SXB183" s="82"/>
      <c r="SXC183" s="82"/>
      <c r="SXD183" s="82"/>
      <c r="SXE183" s="82"/>
      <c r="SXF183" s="82"/>
      <c r="SXG183" s="82"/>
      <c r="SXH183" s="82"/>
      <c r="SXI183" s="82"/>
      <c r="SXJ183" s="82"/>
      <c r="SXK183" s="82"/>
      <c r="SXL183" s="82"/>
      <c r="SXM183" s="82"/>
      <c r="SXN183" s="82"/>
      <c r="SXO183" s="82"/>
      <c r="SXP183" s="82"/>
      <c r="SXQ183" s="82"/>
      <c r="SXR183" s="82"/>
      <c r="SXS183" s="82"/>
      <c r="SXT183" s="82"/>
      <c r="SXU183" s="82"/>
      <c r="SXV183" s="82"/>
      <c r="SXW183" s="82"/>
      <c r="SXX183" s="82"/>
      <c r="SXY183" s="82"/>
      <c r="SXZ183" s="82"/>
      <c r="SYA183" s="82"/>
      <c r="SYB183" s="82"/>
      <c r="SYC183" s="82"/>
      <c r="SYD183" s="82"/>
      <c r="SYE183" s="82"/>
      <c r="SYF183" s="82"/>
      <c r="SYG183" s="82"/>
      <c r="SYH183" s="82"/>
      <c r="SYI183" s="82"/>
      <c r="SYJ183" s="82"/>
      <c r="SYK183" s="82"/>
      <c r="SYL183" s="82"/>
      <c r="SYM183" s="82"/>
      <c r="SYN183" s="82"/>
      <c r="SYO183" s="82"/>
      <c r="SYP183" s="82"/>
      <c r="SYQ183" s="82"/>
      <c r="SYR183" s="82"/>
      <c r="SYS183" s="82"/>
      <c r="SYT183" s="82"/>
      <c r="SYU183" s="82"/>
      <c r="SYV183" s="82"/>
      <c r="SYW183" s="82"/>
      <c r="SYX183" s="82"/>
      <c r="SYY183" s="82"/>
      <c r="SYZ183" s="82"/>
      <c r="SZA183" s="82"/>
      <c r="SZB183" s="82"/>
      <c r="SZC183" s="82"/>
      <c r="SZD183" s="82"/>
      <c r="SZE183" s="82"/>
      <c r="SZF183" s="82"/>
      <c r="SZG183" s="82"/>
      <c r="SZH183" s="82"/>
      <c r="SZI183" s="82"/>
      <c r="SZJ183" s="82"/>
      <c r="SZK183" s="82"/>
      <c r="SZL183" s="82"/>
      <c r="SZM183" s="82"/>
      <c r="SZN183" s="82"/>
      <c r="SZO183" s="82"/>
      <c r="SZP183" s="82"/>
      <c r="SZQ183" s="82"/>
      <c r="SZR183" s="82"/>
      <c r="SZS183" s="82"/>
      <c r="SZT183" s="82"/>
      <c r="SZU183" s="82"/>
      <c r="SZV183" s="82"/>
      <c r="SZW183" s="82"/>
      <c r="SZX183" s="82"/>
      <c r="SZY183" s="82"/>
      <c r="SZZ183" s="82"/>
      <c r="TAA183" s="82"/>
      <c r="TAB183" s="82"/>
      <c r="TAC183" s="82"/>
      <c r="TAD183" s="82"/>
      <c r="TAE183" s="82"/>
      <c r="TAF183" s="82"/>
      <c r="TAG183" s="82"/>
      <c r="TAH183" s="82"/>
      <c r="TAI183" s="82"/>
      <c r="TAJ183" s="82"/>
      <c r="TAK183" s="82"/>
      <c r="TAL183" s="82"/>
      <c r="TAM183" s="82"/>
      <c r="TAN183" s="82"/>
      <c r="TAO183" s="82"/>
      <c r="TAP183" s="82"/>
      <c r="TAQ183" s="82"/>
      <c r="TAR183" s="82"/>
      <c r="TAS183" s="82"/>
      <c r="TAT183" s="82"/>
      <c r="TAU183" s="82"/>
      <c r="TAV183" s="82"/>
      <c r="TAW183" s="82"/>
      <c r="TAX183" s="82"/>
      <c r="TAY183" s="82"/>
      <c r="TAZ183" s="82"/>
      <c r="TBA183" s="82"/>
      <c r="TBB183" s="82"/>
      <c r="TBC183" s="82"/>
      <c r="TBD183" s="82"/>
      <c r="TBE183" s="82"/>
      <c r="TBF183" s="82"/>
      <c r="TBG183" s="82"/>
      <c r="TBH183" s="82"/>
      <c r="TBI183" s="82"/>
      <c r="TBJ183" s="82"/>
      <c r="TBK183" s="82"/>
      <c r="TBL183" s="82"/>
      <c r="TBM183" s="82"/>
      <c r="TBN183" s="82"/>
      <c r="TBO183" s="82"/>
      <c r="TBP183" s="82"/>
      <c r="TBQ183" s="82"/>
      <c r="TBR183" s="82"/>
      <c r="TBS183" s="82"/>
      <c r="TBT183" s="82"/>
      <c r="TBU183" s="82"/>
      <c r="TBV183" s="82"/>
      <c r="TBW183" s="82"/>
      <c r="TBX183" s="82"/>
      <c r="TBY183" s="82"/>
      <c r="TBZ183" s="82"/>
      <c r="TCA183" s="82"/>
      <c r="TCB183" s="82"/>
      <c r="TCC183" s="82"/>
      <c r="TCD183" s="82"/>
      <c r="TCE183" s="82"/>
      <c r="TCF183" s="82"/>
      <c r="TCG183" s="82"/>
      <c r="TCH183" s="82"/>
      <c r="TCI183" s="82"/>
      <c r="TCJ183" s="82"/>
      <c r="TCK183" s="82"/>
      <c r="TCL183" s="82"/>
      <c r="TCM183" s="82"/>
      <c r="TCN183" s="82"/>
      <c r="TCO183" s="82"/>
      <c r="TCP183" s="82"/>
      <c r="TCQ183" s="82"/>
      <c r="TCR183" s="82"/>
      <c r="TCS183" s="82"/>
      <c r="TCT183" s="82"/>
      <c r="TCU183" s="82"/>
      <c r="TCV183" s="82"/>
      <c r="TCW183" s="82"/>
      <c r="TCX183" s="82"/>
      <c r="TCY183" s="82"/>
      <c r="TCZ183" s="82"/>
      <c r="TDA183" s="82"/>
      <c r="TDB183" s="82"/>
      <c r="TDC183" s="82"/>
      <c r="TDD183" s="82"/>
      <c r="TDE183" s="82"/>
      <c r="TDF183" s="82"/>
      <c r="TDG183" s="82"/>
      <c r="TDH183" s="82"/>
      <c r="TDI183" s="82"/>
      <c r="TDJ183" s="82"/>
      <c r="TDK183" s="82"/>
      <c r="TDL183" s="82"/>
      <c r="TDM183" s="82"/>
      <c r="TDN183" s="82"/>
      <c r="TDO183" s="82"/>
      <c r="TDP183" s="82"/>
      <c r="TDQ183" s="82"/>
      <c r="TDR183" s="82"/>
      <c r="TDS183" s="82"/>
      <c r="TDT183" s="82"/>
      <c r="TDU183" s="82"/>
      <c r="TDV183" s="82"/>
      <c r="TDW183" s="82"/>
      <c r="TDX183" s="82"/>
      <c r="TDY183" s="82"/>
      <c r="TDZ183" s="82"/>
      <c r="TEA183" s="82"/>
      <c r="TEB183" s="82"/>
      <c r="TEC183" s="82"/>
      <c r="TED183" s="82"/>
      <c r="TEE183" s="82"/>
      <c r="TEF183" s="82"/>
      <c r="TEG183" s="82"/>
      <c r="TEH183" s="82"/>
      <c r="TEI183" s="82"/>
      <c r="TEJ183" s="82"/>
      <c r="TEK183" s="82"/>
      <c r="TEL183" s="82"/>
      <c r="TEM183" s="82"/>
      <c r="TEN183" s="82"/>
      <c r="TEO183" s="82"/>
      <c r="TEP183" s="82"/>
      <c r="TEQ183" s="82"/>
      <c r="TER183" s="82"/>
      <c r="TES183" s="82"/>
      <c r="TET183" s="82"/>
      <c r="TEU183" s="82"/>
      <c r="TEV183" s="82"/>
      <c r="TEW183" s="82"/>
      <c r="TEX183" s="82"/>
      <c r="TEY183" s="82"/>
      <c r="TEZ183" s="82"/>
      <c r="TFA183" s="82"/>
      <c r="TFB183" s="82"/>
      <c r="TFC183" s="82"/>
      <c r="TFD183" s="82"/>
      <c r="TFE183" s="82"/>
      <c r="TFF183" s="82"/>
      <c r="TFG183" s="82"/>
      <c r="TFH183" s="82"/>
      <c r="TFI183" s="82"/>
      <c r="TFJ183" s="82"/>
      <c r="TFK183" s="82"/>
      <c r="TFL183" s="82"/>
      <c r="TFM183" s="82"/>
      <c r="TFN183" s="82"/>
      <c r="TFO183" s="82"/>
      <c r="TFP183" s="82"/>
      <c r="TFQ183" s="82"/>
      <c r="TFR183" s="82"/>
      <c r="TFS183" s="82"/>
      <c r="TFT183" s="82"/>
      <c r="TFU183" s="82"/>
      <c r="TFV183" s="82"/>
      <c r="TFW183" s="82"/>
      <c r="TFX183" s="82"/>
      <c r="TFY183" s="82"/>
      <c r="TFZ183" s="82"/>
      <c r="TGA183" s="82"/>
      <c r="TGB183" s="82"/>
      <c r="TGC183" s="82"/>
      <c r="TGD183" s="82"/>
      <c r="TGE183" s="82"/>
      <c r="TGF183" s="82"/>
      <c r="TGG183" s="82"/>
      <c r="TGH183" s="82"/>
      <c r="TGI183" s="82"/>
      <c r="TGJ183" s="82"/>
      <c r="TGK183" s="82"/>
      <c r="TGL183" s="82"/>
      <c r="TGM183" s="82"/>
      <c r="TGN183" s="82"/>
      <c r="TGO183" s="82"/>
      <c r="TGP183" s="82"/>
      <c r="TGQ183" s="82"/>
      <c r="TGR183" s="82"/>
      <c r="TGS183" s="82"/>
      <c r="TGT183" s="82"/>
      <c r="TGU183" s="82"/>
      <c r="TGV183" s="82"/>
      <c r="TGW183" s="82"/>
      <c r="TGX183" s="82"/>
      <c r="TGY183" s="82"/>
      <c r="TGZ183" s="82"/>
      <c r="THA183" s="82"/>
      <c r="THB183" s="82"/>
      <c r="THC183" s="82"/>
      <c r="THD183" s="82"/>
      <c r="THE183" s="82"/>
      <c r="THF183" s="82"/>
      <c r="THG183" s="82"/>
      <c r="THH183" s="82"/>
      <c r="THI183" s="82"/>
      <c r="THJ183" s="82"/>
      <c r="THK183" s="82"/>
      <c r="THL183" s="82"/>
      <c r="THM183" s="82"/>
      <c r="THN183" s="82"/>
      <c r="THO183" s="82"/>
      <c r="THP183" s="82"/>
      <c r="THQ183" s="82"/>
      <c r="THR183" s="82"/>
      <c r="THS183" s="82"/>
      <c r="THT183" s="82"/>
      <c r="THU183" s="82"/>
      <c r="THV183" s="82"/>
      <c r="THW183" s="82"/>
      <c r="THX183" s="82"/>
      <c r="THY183" s="82"/>
      <c r="THZ183" s="82"/>
      <c r="TIA183" s="82"/>
      <c r="TIB183" s="82"/>
      <c r="TIC183" s="82"/>
      <c r="TID183" s="82"/>
      <c r="TIE183" s="82"/>
      <c r="TIF183" s="82"/>
      <c r="TIG183" s="82"/>
      <c r="TIH183" s="82"/>
      <c r="TII183" s="82"/>
      <c r="TIJ183" s="82"/>
      <c r="TIK183" s="82"/>
      <c r="TIL183" s="82"/>
      <c r="TIM183" s="82"/>
      <c r="TIN183" s="82"/>
      <c r="TIO183" s="82"/>
      <c r="TIP183" s="82"/>
      <c r="TIQ183" s="82"/>
      <c r="TIR183" s="82"/>
      <c r="TIS183" s="82"/>
      <c r="TIT183" s="82"/>
      <c r="TIU183" s="82"/>
      <c r="TIV183" s="82"/>
      <c r="TIW183" s="82"/>
      <c r="TIX183" s="82"/>
      <c r="TIY183" s="82"/>
      <c r="TIZ183" s="82"/>
      <c r="TJA183" s="82"/>
      <c r="TJB183" s="82"/>
      <c r="TJC183" s="82"/>
      <c r="TJD183" s="82"/>
      <c r="TJE183" s="82"/>
      <c r="TJF183" s="82"/>
      <c r="TJG183" s="82"/>
      <c r="TJH183" s="82"/>
      <c r="TJI183" s="82"/>
      <c r="TJJ183" s="82"/>
      <c r="TJK183" s="82"/>
      <c r="TJL183" s="82"/>
      <c r="TJM183" s="82"/>
      <c r="TJN183" s="82"/>
      <c r="TJO183" s="82"/>
      <c r="TJP183" s="82"/>
      <c r="TJQ183" s="82"/>
      <c r="TJR183" s="82"/>
      <c r="TJS183" s="82"/>
      <c r="TJT183" s="82"/>
      <c r="TJU183" s="82"/>
      <c r="TJV183" s="82"/>
      <c r="TJW183" s="82"/>
      <c r="TJX183" s="82"/>
      <c r="TJY183" s="82"/>
      <c r="TJZ183" s="82"/>
      <c r="TKA183" s="82"/>
      <c r="TKB183" s="82"/>
      <c r="TKC183" s="82"/>
      <c r="TKD183" s="82"/>
      <c r="TKE183" s="82"/>
      <c r="TKF183" s="82"/>
      <c r="TKG183" s="82"/>
      <c r="TKH183" s="82"/>
      <c r="TKI183" s="82"/>
      <c r="TKJ183" s="82"/>
      <c r="TKK183" s="82"/>
      <c r="TKL183" s="82"/>
      <c r="TKM183" s="82"/>
      <c r="TKN183" s="82"/>
      <c r="TKO183" s="82"/>
      <c r="TKP183" s="82"/>
      <c r="TKQ183" s="82"/>
      <c r="TKR183" s="82"/>
      <c r="TKS183" s="82"/>
      <c r="TKT183" s="82"/>
      <c r="TKU183" s="82"/>
      <c r="TKV183" s="82"/>
      <c r="TKW183" s="82"/>
      <c r="TKX183" s="82"/>
      <c r="TKY183" s="82"/>
      <c r="TKZ183" s="82"/>
      <c r="TLA183" s="82"/>
      <c r="TLB183" s="82"/>
      <c r="TLC183" s="82"/>
      <c r="TLD183" s="82"/>
      <c r="TLE183" s="82"/>
      <c r="TLF183" s="82"/>
      <c r="TLG183" s="82"/>
      <c r="TLH183" s="82"/>
      <c r="TLI183" s="82"/>
      <c r="TLJ183" s="82"/>
      <c r="TLK183" s="82"/>
      <c r="TLL183" s="82"/>
      <c r="TLM183" s="82"/>
      <c r="TLN183" s="82"/>
      <c r="TLO183" s="82"/>
      <c r="TLP183" s="82"/>
      <c r="TLQ183" s="82"/>
      <c r="TLR183" s="82"/>
      <c r="TLS183" s="82"/>
      <c r="TLT183" s="82"/>
      <c r="TLU183" s="82"/>
      <c r="TLV183" s="82"/>
      <c r="TLW183" s="82"/>
      <c r="TLX183" s="82"/>
      <c r="TLY183" s="82"/>
      <c r="TLZ183" s="82"/>
      <c r="TMA183" s="82"/>
      <c r="TMB183" s="82"/>
      <c r="TMC183" s="82"/>
      <c r="TMD183" s="82"/>
      <c r="TME183" s="82"/>
      <c r="TMF183" s="82"/>
      <c r="TMG183" s="82"/>
      <c r="TMH183" s="82"/>
      <c r="TMI183" s="82"/>
      <c r="TMJ183" s="82"/>
      <c r="TMK183" s="82"/>
      <c r="TML183" s="82"/>
      <c r="TMM183" s="82"/>
      <c r="TMN183" s="82"/>
      <c r="TMO183" s="82"/>
      <c r="TMP183" s="82"/>
      <c r="TMQ183" s="82"/>
      <c r="TMR183" s="82"/>
      <c r="TMS183" s="82"/>
      <c r="TMT183" s="82"/>
      <c r="TMU183" s="82"/>
      <c r="TMV183" s="82"/>
      <c r="TMW183" s="82"/>
      <c r="TMX183" s="82"/>
      <c r="TMY183" s="82"/>
      <c r="TMZ183" s="82"/>
      <c r="TNA183" s="82"/>
      <c r="TNB183" s="82"/>
      <c r="TNC183" s="82"/>
      <c r="TND183" s="82"/>
      <c r="TNE183" s="82"/>
      <c r="TNF183" s="82"/>
      <c r="TNG183" s="82"/>
      <c r="TNH183" s="82"/>
      <c r="TNI183" s="82"/>
      <c r="TNJ183" s="82"/>
      <c r="TNK183" s="82"/>
      <c r="TNL183" s="82"/>
      <c r="TNM183" s="82"/>
      <c r="TNN183" s="82"/>
      <c r="TNO183" s="82"/>
      <c r="TNP183" s="82"/>
      <c r="TNQ183" s="82"/>
      <c r="TNR183" s="82"/>
      <c r="TNS183" s="82"/>
      <c r="TNT183" s="82"/>
      <c r="TNU183" s="82"/>
      <c r="TNV183" s="82"/>
      <c r="TNW183" s="82"/>
      <c r="TNX183" s="82"/>
      <c r="TNY183" s="82"/>
      <c r="TNZ183" s="82"/>
      <c r="TOA183" s="82"/>
      <c r="TOB183" s="82"/>
      <c r="TOC183" s="82"/>
      <c r="TOD183" s="82"/>
      <c r="TOE183" s="82"/>
      <c r="TOF183" s="82"/>
      <c r="TOG183" s="82"/>
      <c r="TOH183" s="82"/>
      <c r="TOI183" s="82"/>
      <c r="TOJ183" s="82"/>
      <c r="TOK183" s="82"/>
      <c r="TOL183" s="82"/>
      <c r="TOM183" s="82"/>
      <c r="TON183" s="82"/>
      <c r="TOO183" s="82"/>
      <c r="TOP183" s="82"/>
      <c r="TOQ183" s="82"/>
      <c r="TOR183" s="82"/>
      <c r="TOS183" s="82"/>
      <c r="TOT183" s="82"/>
      <c r="TOU183" s="82"/>
      <c r="TOV183" s="82"/>
      <c r="TOW183" s="82"/>
      <c r="TOX183" s="82"/>
      <c r="TOY183" s="82"/>
      <c r="TOZ183" s="82"/>
      <c r="TPA183" s="82"/>
      <c r="TPB183" s="82"/>
      <c r="TPC183" s="82"/>
      <c r="TPD183" s="82"/>
      <c r="TPE183" s="82"/>
      <c r="TPF183" s="82"/>
      <c r="TPG183" s="82"/>
      <c r="TPH183" s="82"/>
      <c r="TPI183" s="82"/>
      <c r="TPJ183" s="82"/>
      <c r="TPK183" s="82"/>
      <c r="TPL183" s="82"/>
      <c r="TPM183" s="82"/>
      <c r="TPN183" s="82"/>
      <c r="TPO183" s="82"/>
      <c r="TPP183" s="82"/>
      <c r="TPQ183" s="82"/>
      <c r="TPR183" s="82"/>
      <c r="TPS183" s="82"/>
      <c r="TPT183" s="82"/>
      <c r="TPU183" s="82"/>
      <c r="TPV183" s="82"/>
      <c r="TPW183" s="82"/>
      <c r="TPX183" s="82"/>
      <c r="TPY183" s="82"/>
      <c r="TPZ183" s="82"/>
      <c r="TQA183" s="82"/>
      <c r="TQB183" s="82"/>
      <c r="TQC183" s="82"/>
      <c r="TQD183" s="82"/>
      <c r="TQE183" s="82"/>
      <c r="TQF183" s="82"/>
      <c r="TQG183" s="82"/>
      <c r="TQH183" s="82"/>
      <c r="TQI183" s="82"/>
      <c r="TQJ183" s="82"/>
      <c r="TQK183" s="82"/>
      <c r="TQL183" s="82"/>
      <c r="TQM183" s="82"/>
      <c r="TQN183" s="82"/>
      <c r="TQO183" s="82"/>
      <c r="TQP183" s="82"/>
      <c r="TQQ183" s="82"/>
      <c r="TQR183" s="82"/>
      <c r="TQS183" s="82"/>
      <c r="TQT183" s="82"/>
      <c r="TQU183" s="82"/>
      <c r="TQV183" s="82"/>
      <c r="TQW183" s="82"/>
      <c r="TQX183" s="82"/>
      <c r="TQY183" s="82"/>
      <c r="TQZ183" s="82"/>
      <c r="TRA183" s="82"/>
      <c r="TRB183" s="82"/>
      <c r="TRC183" s="82"/>
      <c r="TRD183" s="82"/>
      <c r="TRE183" s="82"/>
      <c r="TRF183" s="82"/>
      <c r="TRG183" s="82"/>
      <c r="TRH183" s="82"/>
      <c r="TRI183" s="82"/>
      <c r="TRJ183" s="82"/>
      <c r="TRK183" s="82"/>
      <c r="TRL183" s="82"/>
      <c r="TRM183" s="82"/>
      <c r="TRN183" s="82"/>
      <c r="TRO183" s="82"/>
      <c r="TRP183" s="82"/>
      <c r="TRQ183" s="82"/>
      <c r="TRR183" s="82"/>
      <c r="TRS183" s="82"/>
      <c r="TRT183" s="82"/>
      <c r="TRU183" s="82"/>
      <c r="TRV183" s="82"/>
      <c r="TRW183" s="82"/>
      <c r="TRX183" s="82"/>
      <c r="TRY183" s="82"/>
      <c r="TRZ183" s="82"/>
      <c r="TSA183" s="82"/>
      <c r="TSB183" s="82"/>
      <c r="TSC183" s="82"/>
      <c r="TSD183" s="82"/>
      <c r="TSE183" s="82"/>
      <c r="TSF183" s="82"/>
      <c r="TSG183" s="82"/>
      <c r="TSH183" s="82"/>
      <c r="TSI183" s="82"/>
      <c r="TSJ183" s="82"/>
      <c r="TSK183" s="82"/>
      <c r="TSL183" s="82"/>
      <c r="TSM183" s="82"/>
      <c r="TSN183" s="82"/>
      <c r="TSO183" s="82"/>
      <c r="TSP183" s="82"/>
      <c r="TSQ183" s="82"/>
      <c r="TSR183" s="82"/>
      <c r="TSS183" s="82"/>
      <c r="TST183" s="82"/>
      <c r="TSU183" s="82"/>
      <c r="TSV183" s="82"/>
      <c r="TSW183" s="82"/>
      <c r="TSX183" s="82"/>
      <c r="TSY183" s="82"/>
      <c r="TSZ183" s="82"/>
      <c r="TTA183" s="82"/>
      <c r="TTB183" s="82"/>
      <c r="TTC183" s="82"/>
      <c r="TTD183" s="82"/>
      <c r="TTE183" s="82"/>
      <c r="TTF183" s="82"/>
      <c r="TTG183" s="82"/>
      <c r="TTH183" s="82"/>
      <c r="TTI183" s="82"/>
      <c r="TTJ183" s="82"/>
      <c r="TTK183" s="82"/>
      <c r="TTL183" s="82"/>
      <c r="TTM183" s="82"/>
      <c r="TTN183" s="82"/>
      <c r="TTO183" s="82"/>
      <c r="TTP183" s="82"/>
      <c r="TTQ183" s="82"/>
      <c r="TTR183" s="82"/>
      <c r="TTS183" s="82"/>
      <c r="TTT183" s="82"/>
      <c r="TTU183" s="82"/>
      <c r="TTV183" s="82"/>
      <c r="TTW183" s="82"/>
      <c r="TTX183" s="82"/>
      <c r="TTY183" s="82"/>
      <c r="TTZ183" s="82"/>
      <c r="TUA183" s="82"/>
      <c r="TUB183" s="82"/>
      <c r="TUC183" s="82"/>
      <c r="TUD183" s="82"/>
      <c r="TUE183" s="82"/>
      <c r="TUF183" s="82"/>
      <c r="TUG183" s="82"/>
      <c r="TUH183" s="82"/>
      <c r="TUI183" s="82"/>
      <c r="TUJ183" s="82"/>
      <c r="TUK183" s="82"/>
      <c r="TUL183" s="82"/>
      <c r="TUM183" s="82"/>
      <c r="TUN183" s="82"/>
      <c r="TUO183" s="82"/>
      <c r="TUP183" s="82"/>
      <c r="TUQ183" s="82"/>
      <c r="TUR183" s="82"/>
      <c r="TUS183" s="82"/>
      <c r="TUT183" s="82"/>
      <c r="TUU183" s="82"/>
      <c r="TUV183" s="82"/>
      <c r="TUW183" s="82"/>
      <c r="TUX183" s="82"/>
      <c r="TUY183" s="82"/>
      <c r="TUZ183" s="82"/>
      <c r="TVA183" s="82"/>
      <c r="TVB183" s="82"/>
      <c r="TVC183" s="82"/>
      <c r="TVD183" s="82"/>
      <c r="TVE183" s="82"/>
      <c r="TVF183" s="82"/>
      <c r="TVG183" s="82"/>
      <c r="TVH183" s="82"/>
      <c r="TVI183" s="82"/>
      <c r="TVJ183" s="82"/>
      <c r="TVK183" s="82"/>
      <c r="TVL183" s="82"/>
      <c r="TVM183" s="82"/>
      <c r="TVN183" s="82"/>
      <c r="TVO183" s="82"/>
      <c r="TVP183" s="82"/>
      <c r="TVQ183" s="82"/>
      <c r="TVR183" s="82"/>
      <c r="TVS183" s="82"/>
      <c r="TVT183" s="82"/>
      <c r="TVU183" s="82"/>
      <c r="TVV183" s="82"/>
      <c r="TVW183" s="82"/>
      <c r="TVX183" s="82"/>
      <c r="TVY183" s="82"/>
      <c r="TVZ183" s="82"/>
      <c r="TWA183" s="82"/>
      <c r="TWB183" s="82"/>
      <c r="TWC183" s="82"/>
      <c r="TWD183" s="82"/>
      <c r="TWE183" s="82"/>
      <c r="TWF183" s="82"/>
      <c r="TWG183" s="82"/>
      <c r="TWH183" s="82"/>
      <c r="TWI183" s="82"/>
      <c r="TWJ183" s="82"/>
      <c r="TWK183" s="82"/>
      <c r="TWL183" s="82"/>
      <c r="TWM183" s="82"/>
      <c r="TWN183" s="82"/>
      <c r="TWO183" s="82"/>
      <c r="TWP183" s="82"/>
      <c r="TWQ183" s="82"/>
      <c r="TWR183" s="82"/>
      <c r="TWS183" s="82"/>
      <c r="TWT183" s="82"/>
      <c r="TWU183" s="82"/>
      <c r="TWV183" s="82"/>
      <c r="TWW183" s="82"/>
      <c r="TWX183" s="82"/>
      <c r="TWY183" s="82"/>
      <c r="TWZ183" s="82"/>
      <c r="TXA183" s="82"/>
      <c r="TXB183" s="82"/>
      <c r="TXC183" s="82"/>
      <c r="TXD183" s="82"/>
      <c r="TXE183" s="82"/>
      <c r="TXF183" s="82"/>
      <c r="TXG183" s="82"/>
      <c r="TXH183" s="82"/>
      <c r="TXI183" s="82"/>
      <c r="TXJ183" s="82"/>
      <c r="TXK183" s="82"/>
      <c r="TXL183" s="82"/>
      <c r="TXM183" s="82"/>
      <c r="TXN183" s="82"/>
      <c r="TXO183" s="82"/>
      <c r="TXP183" s="82"/>
      <c r="TXQ183" s="82"/>
      <c r="TXR183" s="82"/>
      <c r="TXS183" s="82"/>
      <c r="TXT183" s="82"/>
      <c r="TXU183" s="82"/>
      <c r="TXV183" s="82"/>
      <c r="TXW183" s="82"/>
      <c r="TXX183" s="82"/>
      <c r="TXY183" s="82"/>
      <c r="TXZ183" s="82"/>
      <c r="TYA183" s="82"/>
      <c r="TYB183" s="82"/>
      <c r="TYC183" s="82"/>
      <c r="TYD183" s="82"/>
      <c r="TYE183" s="82"/>
      <c r="TYF183" s="82"/>
      <c r="TYG183" s="82"/>
      <c r="TYH183" s="82"/>
      <c r="TYI183" s="82"/>
      <c r="TYJ183" s="82"/>
      <c r="TYK183" s="82"/>
      <c r="TYL183" s="82"/>
      <c r="TYM183" s="82"/>
      <c r="TYN183" s="82"/>
      <c r="TYO183" s="82"/>
      <c r="TYP183" s="82"/>
      <c r="TYQ183" s="82"/>
      <c r="TYR183" s="82"/>
      <c r="TYS183" s="82"/>
      <c r="TYT183" s="82"/>
      <c r="TYU183" s="82"/>
      <c r="TYV183" s="82"/>
      <c r="TYW183" s="82"/>
      <c r="TYX183" s="82"/>
      <c r="TYY183" s="82"/>
      <c r="TYZ183" s="82"/>
      <c r="TZA183" s="82"/>
      <c r="TZB183" s="82"/>
      <c r="TZC183" s="82"/>
      <c r="TZD183" s="82"/>
      <c r="TZE183" s="82"/>
      <c r="TZF183" s="82"/>
      <c r="TZG183" s="82"/>
      <c r="TZH183" s="82"/>
      <c r="TZI183" s="82"/>
      <c r="TZJ183" s="82"/>
      <c r="TZK183" s="82"/>
      <c r="TZL183" s="82"/>
      <c r="TZM183" s="82"/>
      <c r="TZN183" s="82"/>
      <c r="TZO183" s="82"/>
      <c r="TZP183" s="82"/>
      <c r="TZQ183" s="82"/>
      <c r="TZR183" s="82"/>
      <c r="TZS183" s="82"/>
      <c r="TZT183" s="82"/>
      <c r="TZU183" s="82"/>
      <c r="TZV183" s="82"/>
      <c r="TZW183" s="82"/>
      <c r="TZX183" s="82"/>
      <c r="TZY183" s="82"/>
      <c r="TZZ183" s="82"/>
      <c r="UAA183" s="82"/>
      <c r="UAB183" s="82"/>
      <c r="UAC183" s="82"/>
      <c r="UAD183" s="82"/>
      <c r="UAE183" s="82"/>
      <c r="UAF183" s="82"/>
      <c r="UAG183" s="82"/>
      <c r="UAH183" s="82"/>
      <c r="UAI183" s="82"/>
      <c r="UAJ183" s="82"/>
      <c r="UAK183" s="82"/>
      <c r="UAL183" s="82"/>
      <c r="UAM183" s="82"/>
      <c r="UAN183" s="82"/>
      <c r="UAO183" s="82"/>
      <c r="UAP183" s="82"/>
      <c r="UAQ183" s="82"/>
      <c r="UAR183" s="82"/>
      <c r="UAS183" s="82"/>
      <c r="UAT183" s="82"/>
      <c r="UAU183" s="82"/>
      <c r="UAV183" s="82"/>
      <c r="UAW183" s="82"/>
      <c r="UAX183" s="82"/>
      <c r="UAY183" s="82"/>
      <c r="UAZ183" s="82"/>
      <c r="UBA183" s="82"/>
      <c r="UBB183" s="82"/>
      <c r="UBC183" s="82"/>
      <c r="UBD183" s="82"/>
      <c r="UBE183" s="82"/>
      <c r="UBF183" s="82"/>
      <c r="UBG183" s="82"/>
      <c r="UBH183" s="82"/>
      <c r="UBI183" s="82"/>
      <c r="UBJ183" s="82"/>
      <c r="UBK183" s="82"/>
      <c r="UBL183" s="82"/>
      <c r="UBM183" s="82"/>
      <c r="UBN183" s="82"/>
      <c r="UBO183" s="82"/>
      <c r="UBP183" s="82"/>
      <c r="UBQ183" s="82"/>
      <c r="UBR183" s="82"/>
      <c r="UBS183" s="82"/>
      <c r="UBT183" s="82"/>
      <c r="UBU183" s="82"/>
      <c r="UBV183" s="82"/>
      <c r="UBW183" s="82"/>
      <c r="UBX183" s="82"/>
      <c r="UBY183" s="82"/>
      <c r="UBZ183" s="82"/>
      <c r="UCA183" s="82"/>
      <c r="UCB183" s="82"/>
      <c r="UCC183" s="82"/>
      <c r="UCD183" s="82"/>
      <c r="UCE183" s="82"/>
      <c r="UCF183" s="82"/>
      <c r="UCG183" s="82"/>
      <c r="UCH183" s="82"/>
      <c r="UCI183" s="82"/>
      <c r="UCJ183" s="82"/>
      <c r="UCK183" s="82"/>
      <c r="UCL183" s="82"/>
      <c r="UCM183" s="82"/>
      <c r="UCN183" s="82"/>
      <c r="UCO183" s="82"/>
      <c r="UCP183" s="82"/>
      <c r="UCQ183" s="82"/>
      <c r="UCR183" s="82"/>
      <c r="UCS183" s="82"/>
      <c r="UCT183" s="82"/>
      <c r="UCU183" s="82"/>
      <c r="UCV183" s="82"/>
      <c r="UCW183" s="82"/>
      <c r="UCX183" s="82"/>
      <c r="UCY183" s="82"/>
      <c r="UCZ183" s="82"/>
      <c r="UDA183" s="82"/>
      <c r="UDB183" s="82"/>
      <c r="UDC183" s="82"/>
      <c r="UDD183" s="82"/>
      <c r="UDE183" s="82"/>
      <c r="UDF183" s="82"/>
      <c r="UDG183" s="82"/>
      <c r="UDH183" s="82"/>
      <c r="UDI183" s="82"/>
      <c r="UDJ183" s="82"/>
      <c r="UDK183" s="82"/>
      <c r="UDL183" s="82"/>
      <c r="UDM183" s="82"/>
      <c r="UDN183" s="82"/>
      <c r="UDO183" s="82"/>
      <c r="UDP183" s="82"/>
      <c r="UDQ183" s="82"/>
      <c r="UDR183" s="82"/>
      <c r="UDS183" s="82"/>
      <c r="UDT183" s="82"/>
      <c r="UDU183" s="82"/>
      <c r="UDV183" s="82"/>
      <c r="UDW183" s="82"/>
      <c r="UDX183" s="82"/>
      <c r="UDY183" s="82"/>
      <c r="UDZ183" s="82"/>
      <c r="UEA183" s="82"/>
      <c r="UEB183" s="82"/>
      <c r="UEC183" s="82"/>
      <c r="UED183" s="82"/>
      <c r="UEE183" s="82"/>
      <c r="UEF183" s="82"/>
      <c r="UEG183" s="82"/>
      <c r="UEH183" s="82"/>
      <c r="UEI183" s="82"/>
      <c r="UEJ183" s="82"/>
      <c r="UEK183" s="82"/>
      <c r="UEL183" s="82"/>
      <c r="UEM183" s="82"/>
      <c r="UEN183" s="82"/>
      <c r="UEO183" s="82"/>
      <c r="UEP183" s="82"/>
      <c r="UEQ183" s="82"/>
      <c r="UER183" s="82"/>
      <c r="UES183" s="82"/>
      <c r="UET183" s="82"/>
      <c r="UEU183" s="82"/>
      <c r="UEV183" s="82"/>
      <c r="UEW183" s="82"/>
      <c r="UEX183" s="82"/>
      <c r="UEY183" s="82"/>
      <c r="UEZ183" s="82"/>
      <c r="UFA183" s="82"/>
      <c r="UFB183" s="82"/>
      <c r="UFC183" s="82"/>
      <c r="UFD183" s="82"/>
      <c r="UFE183" s="82"/>
      <c r="UFF183" s="82"/>
      <c r="UFG183" s="82"/>
      <c r="UFH183" s="82"/>
      <c r="UFI183" s="82"/>
      <c r="UFJ183" s="82"/>
      <c r="UFK183" s="82"/>
      <c r="UFL183" s="82"/>
      <c r="UFM183" s="82"/>
      <c r="UFN183" s="82"/>
      <c r="UFO183" s="82"/>
      <c r="UFP183" s="82"/>
      <c r="UFQ183" s="82"/>
      <c r="UFR183" s="82"/>
      <c r="UFS183" s="82"/>
      <c r="UFT183" s="82"/>
      <c r="UFU183" s="82"/>
      <c r="UFV183" s="82"/>
      <c r="UFW183" s="82"/>
      <c r="UFX183" s="82"/>
      <c r="UFY183" s="82"/>
      <c r="UFZ183" s="82"/>
      <c r="UGA183" s="82"/>
      <c r="UGB183" s="82"/>
      <c r="UGC183" s="82"/>
      <c r="UGD183" s="82"/>
      <c r="UGE183" s="82"/>
      <c r="UGF183" s="82"/>
      <c r="UGG183" s="82"/>
      <c r="UGH183" s="82"/>
      <c r="UGI183" s="82"/>
      <c r="UGJ183" s="82"/>
      <c r="UGK183" s="82"/>
      <c r="UGL183" s="82"/>
      <c r="UGM183" s="82"/>
      <c r="UGN183" s="82"/>
      <c r="UGO183" s="82"/>
      <c r="UGP183" s="82"/>
      <c r="UGQ183" s="82"/>
      <c r="UGR183" s="82"/>
      <c r="UGS183" s="82"/>
      <c r="UGT183" s="82"/>
      <c r="UGU183" s="82"/>
      <c r="UGV183" s="82"/>
      <c r="UGW183" s="82"/>
      <c r="UGX183" s="82"/>
      <c r="UGY183" s="82"/>
      <c r="UGZ183" s="82"/>
      <c r="UHA183" s="82"/>
      <c r="UHB183" s="82"/>
      <c r="UHC183" s="82"/>
      <c r="UHD183" s="82"/>
      <c r="UHE183" s="82"/>
      <c r="UHF183" s="82"/>
      <c r="UHG183" s="82"/>
      <c r="UHH183" s="82"/>
      <c r="UHI183" s="82"/>
      <c r="UHJ183" s="82"/>
      <c r="UHK183" s="82"/>
      <c r="UHL183" s="82"/>
      <c r="UHM183" s="82"/>
      <c r="UHN183" s="82"/>
      <c r="UHO183" s="82"/>
      <c r="UHP183" s="82"/>
      <c r="UHQ183" s="82"/>
      <c r="UHR183" s="82"/>
      <c r="UHS183" s="82"/>
      <c r="UHT183" s="82"/>
      <c r="UHU183" s="82"/>
      <c r="UHV183" s="82"/>
      <c r="UHW183" s="82"/>
      <c r="UHX183" s="82"/>
      <c r="UHY183" s="82"/>
      <c r="UHZ183" s="82"/>
      <c r="UIA183" s="82"/>
      <c r="UIB183" s="82"/>
      <c r="UIC183" s="82"/>
      <c r="UID183" s="82"/>
      <c r="UIE183" s="82"/>
      <c r="UIF183" s="82"/>
      <c r="UIG183" s="82"/>
      <c r="UIH183" s="82"/>
      <c r="UII183" s="82"/>
      <c r="UIJ183" s="82"/>
      <c r="UIK183" s="82"/>
      <c r="UIL183" s="82"/>
      <c r="UIM183" s="82"/>
      <c r="UIN183" s="82"/>
      <c r="UIO183" s="82"/>
      <c r="UIP183" s="82"/>
      <c r="UIQ183" s="82"/>
      <c r="UIR183" s="82"/>
      <c r="UIS183" s="82"/>
      <c r="UIT183" s="82"/>
      <c r="UIU183" s="82"/>
      <c r="UIV183" s="82"/>
      <c r="UIW183" s="82"/>
      <c r="UIX183" s="82"/>
      <c r="UIY183" s="82"/>
      <c r="UIZ183" s="82"/>
      <c r="UJA183" s="82"/>
      <c r="UJB183" s="82"/>
      <c r="UJC183" s="82"/>
      <c r="UJD183" s="82"/>
      <c r="UJE183" s="82"/>
      <c r="UJF183" s="82"/>
      <c r="UJG183" s="82"/>
      <c r="UJH183" s="82"/>
      <c r="UJI183" s="82"/>
      <c r="UJJ183" s="82"/>
      <c r="UJK183" s="82"/>
      <c r="UJL183" s="82"/>
      <c r="UJM183" s="82"/>
      <c r="UJN183" s="82"/>
      <c r="UJO183" s="82"/>
      <c r="UJP183" s="82"/>
      <c r="UJQ183" s="82"/>
      <c r="UJR183" s="82"/>
      <c r="UJS183" s="82"/>
      <c r="UJT183" s="82"/>
      <c r="UJU183" s="82"/>
      <c r="UJV183" s="82"/>
      <c r="UJW183" s="82"/>
      <c r="UJX183" s="82"/>
      <c r="UJY183" s="82"/>
      <c r="UJZ183" s="82"/>
      <c r="UKA183" s="82"/>
      <c r="UKB183" s="82"/>
      <c r="UKC183" s="82"/>
      <c r="UKD183" s="82"/>
      <c r="UKE183" s="82"/>
      <c r="UKF183" s="82"/>
      <c r="UKG183" s="82"/>
      <c r="UKH183" s="82"/>
      <c r="UKI183" s="82"/>
      <c r="UKJ183" s="82"/>
      <c r="UKK183" s="82"/>
      <c r="UKL183" s="82"/>
      <c r="UKM183" s="82"/>
      <c r="UKN183" s="82"/>
      <c r="UKO183" s="82"/>
      <c r="UKP183" s="82"/>
      <c r="UKQ183" s="82"/>
      <c r="UKR183" s="82"/>
      <c r="UKS183" s="82"/>
      <c r="UKT183" s="82"/>
      <c r="UKU183" s="82"/>
      <c r="UKV183" s="82"/>
      <c r="UKW183" s="82"/>
      <c r="UKX183" s="82"/>
      <c r="UKY183" s="82"/>
      <c r="UKZ183" s="82"/>
      <c r="ULA183" s="82"/>
      <c r="ULB183" s="82"/>
      <c r="ULC183" s="82"/>
      <c r="ULD183" s="82"/>
      <c r="ULE183" s="82"/>
      <c r="ULF183" s="82"/>
      <c r="ULG183" s="82"/>
      <c r="ULH183" s="82"/>
      <c r="ULI183" s="82"/>
      <c r="ULJ183" s="82"/>
      <c r="ULK183" s="82"/>
      <c r="ULL183" s="82"/>
      <c r="ULM183" s="82"/>
      <c r="ULN183" s="82"/>
      <c r="ULO183" s="82"/>
      <c r="ULP183" s="82"/>
      <c r="ULQ183" s="82"/>
      <c r="ULR183" s="82"/>
      <c r="ULS183" s="82"/>
      <c r="ULT183" s="82"/>
      <c r="ULU183" s="82"/>
      <c r="ULV183" s="82"/>
      <c r="ULW183" s="82"/>
      <c r="ULX183" s="82"/>
      <c r="ULY183" s="82"/>
      <c r="ULZ183" s="82"/>
      <c r="UMA183" s="82"/>
      <c r="UMB183" s="82"/>
      <c r="UMC183" s="82"/>
      <c r="UMD183" s="82"/>
      <c r="UME183" s="82"/>
      <c r="UMF183" s="82"/>
      <c r="UMG183" s="82"/>
      <c r="UMH183" s="82"/>
      <c r="UMI183" s="82"/>
      <c r="UMJ183" s="82"/>
      <c r="UMK183" s="82"/>
      <c r="UML183" s="82"/>
      <c r="UMM183" s="82"/>
      <c r="UMN183" s="82"/>
      <c r="UMO183" s="82"/>
      <c r="UMP183" s="82"/>
      <c r="UMQ183" s="82"/>
      <c r="UMR183" s="82"/>
      <c r="UMS183" s="82"/>
      <c r="UMT183" s="82"/>
      <c r="UMU183" s="82"/>
      <c r="UMV183" s="82"/>
      <c r="UMW183" s="82"/>
      <c r="UMX183" s="82"/>
      <c r="UMY183" s="82"/>
      <c r="UMZ183" s="82"/>
      <c r="UNA183" s="82"/>
      <c r="UNB183" s="82"/>
      <c r="UNC183" s="82"/>
      <c r="UND183" s="82"/>
      <c r="UNE183" s="82"/>
      <c r="UNF183" s="82"/>
      <c r="UNG183" s="82"/>
      <c r="UNH183" s="82"/>
      <c r="UNI183" s="82"/>
      <c r="UNJ183" s="82"/>
      <c r="UNK183" s="82"/>
      <c r="UNL183" s="82"/>
      <c r="UNM183" s="82"/>
      <c r="UNN183" s="82"/>
      <c r="UNO183" s="82"/>
      <c r="UNP183" s="82"/>
      <c r="UNQ183" s="82"/>
      <c r="UNR183" s="82"/>
      <c r="UNS183" s="82"/>
      <c r="UNT183" s="82"/>
      <c r="UNU183" s="82"/>
      <c r="UNV183" s="82"/>
      <c r="UNW183" s="82"/>
      <c r="UNX183" s="82"/>
      <c r="UNY183" s="82"/>
      <c r="UNZ183" s="82"/>
      <c r="UOA183" s="82"/>
      <c r="UOB183" s="82"/>
      <c r="UOC183" s="82"/>
      <c r="UOD183" s="82"/>
      <c r="UOE183" s="82"/>
      <c r="UOF183" s="82"/>
      <c r="UOG183" s="82"/>
      <c r="UOH183" s="82"/>
      <c r="UOI183" s="82"/>
      <c r="UOJ183" s="82"/>
      <c r="UOK183" s="82"/>
      <c r="UOL183" s="82"/>
      <c r="UOM183" s="82"/>
      <c r="UON183" s="82"/>
      <c r="UOO183" s="82"/>
      <c r="UOP183" s="82"/>
      <c r="UOQ183" s="82"/>
      <c r="UOR183" s="82"/>
      <c r="UOS183" s="82"/>
      <c r="UOT183" s="82"/>
      <c r="UOU183" s="82"/>
      <c r="UOV183" s="82"/>
      <c r="UOW183" s="82"/>
      <c r="UOX183" s="82"/>
      <c r="UOY183" s="82"/>
      <c r="UOZ183" s="82"/>
      <c r="UPA183" s="82"/>
      <c r="UPB183" s="82"/>
      <c r="UPC183" s="82"/>
      <c r="UPD183" s="82"/>
      <c r="UPE183" s="82"/>
      <c r="UPF183" s="82"/>
      <c r="UPG183" s="82"/>
      <c r="UPH183" s="82"/>
      <c r="UPI183" s="82"/>
      <c r="UPJ183" s="82"/>
      <c r="UPK183" s="82"/>
      <c r="UPL183" s="82"/>
      <c r="UPM183" s="82"/>
      <c r="UPN183" s="82"/>
      <c r="UPO183" s="82"/>
      <c r="UPP183" s="82"/>
      <c r="UPQ183" s="82"/>
      <c r="UPR183" s="82"/>
      <c r="UPS183" s="82"/>
      <c r="UPT183" s="82"/>
      <c r="UPU183" s="82"/>
      <c r="UPV183" s="82"/>
      <c r="UPW183" s="82"/>
      <c r="UPX183" s="82"/>
      <c r="UPY183" s="82"/>
      <c r="UPZ183" s="82"/>
      <c r="UQA183" s="82"/>
      <c r="UQB183" s="82"/>
      <c r="UQC183" s="82"/>
      <c r="UQD183" s="82"/>
      <c r="UQE183" s="82"/>
      <c r="UQF183" s="82"/>
      <c r="UQG183" s="82"/>
      <c r="UQH183" s="82"/>
      <c r="UQI183" s="82"/>
      <c r="UQJ183" s="82"/>
      <c r="UQK183" s="82"/>
      <c r="UQL183" s="82"/>
      <c r="UQM183" s="82"/>
      <c r="UQN183" s="82"/>
      <c r="UQO183" s="82"/>
      <c r="UQP183" s="82"/>
      <c r="UQQ183" s="82"/>
      <c r="UQR183" s="82"/>
      <c r="UQS183" s="82"/>
      <c r="UQT183" s="82"/>
      <c r="UQU183" s="82"/>
      <c r="UQV183" s="82"/>
      <c r="UQW183" s="82"/>
      <c r="UQX183" s="82"/>
      <c r="UQY183" s="82"/>
      <c r="UQZ183" s="82"/>
      <c r="URA183" s="82"/>
      <c r="URB183" s="82"/>
      <c r="URC183" s="82"/>
      <c r="URD183" s="82"/>
      <c r="URE183" s="82"/>
      <c r="URF183" s="82"/>
      <c r="URG183" s="82"/>
      <c r="URH183" s="82"/>
      <c r="URI183" s="82"/>
      <c r="URJ183" s="82"/>
      <c r="URK183" s="82"/>
      <c r="URL183" s="82"/>
      <c r="URM183" s="82"/>
      <c r="URN183" s="82"/>
      <c r="URO183" s="82"/>
      <c r="URP183" s="82"/>
      <c r="URQ183" s="82"/>
      <c r="URR183" s="82"/>
      <c r="URS183" s="82"/>
      <c r="URT183" s="82"/>
      <c r="URU183" s="82"/>
      <c r="URV183" s="82"/>
      <c r="URW183" s="82"/>
      <c r="URX183" s="82"/>
      <c r="URY183" s="82"/>
      <c r="URZ183" s="82"/>
      <c r="USA183" s="82"/>
      <c r="USB183" s="82"/>
      <c r="USC183" s="82"/>
      <c r="USD183" s="82"/>
      <c r="USE183" s="82"/>
      <c r="USF183" s="82"/>
      <c r="USG183" s="82"/>
      <c r="USH183" s="82"/>
      <c r="USI183" s="82"/>
      <c r="USJ183" s="82"/>
      <c r="USK183" s="82"/>
      <c r="USL183" s="82"/>
      <c r="USM183" s="82"/>
      <c r="USN183" s="82"/>
      <c r="USO183" s="82"/>
      <c r="USP183" s="82"/>
      <c r="USQ183" s="82"/>
      <c r="USR183" s="82"/>
      <c r="USS183" s="82"/>
      <c r="UST183" s="82"/>
      <c r="USU183" s="82"/>
      <c r="USV183" s="82"/>
      <c r="USW183" s="82"/>
      <c r="USX183" s="82"/>
      <c r="USY183" s="82"/>
      <c r="USZ183" s="82"/>
      <c r="UTA183" s="82"/>
      <c r="UTB183" s="82"/>
      <c r="UTC183" s="82"/>
      <c r="UTD183" s="82"/>
      <c r="UTE183" s="82"/>
      <c r="UTF183" s="82"/>
      <c r="UTG183" s="82"/>
      <c r="UTH183" s="82"/>
      <c r="UTI183" s="82"/>
      <c r="UTJ183" s="82"/>
      <c r="UTK183" s="82"/>
      <c r="UTL183" s="82"/>
      <c r="UTM183" s="82"/>
      <c r="UTN183" s="82"/>
      <c r="UTO183" s="82"/>
      <c r="UTP183" s="82"/>
      <c r="UTQ183" s="82"/>
      <c r="UTR183" s="82"/>
      <c r="UTS183" s="82"/>
      <c r="UTT183" s="82"/>
      <c r="UTU183" s="82"/>
      <c r="UTV183" s="82"/>
      <c r="UTW183" s="82"/>
      <c r="UTX183" s="82"/>
      <c r="UTY183" s="82"/>
      <c r="UTZ183" s="82"/>
      <c r="UUA183" s="82"/>
      <c r="UUB183" s="82"/>
      <c r="UUC183" s="82"/>
      <c r="UUD183" s="82"/>
      <c r="UUE183" s="82"/>
      <c r="UUF183" s="82"/>
      <c r="UUG183" s="82"/>
      <c r="UUH183" s="82"/>
      <c r="UUI183" s="82"/>
      <c r="UUJ183" s="82"/>
      <c r="UUK183" s="82"/>
      <c r="UUL183" s="82"/>
      <c r="UUM183" s="82"/>
      <c r="UUN183" s="82"/>
      <c r="UUO183" s="82"/>
      <c r="UUP183" s="82"/>
      <c r="UUQ183" s="82"/>
      <c r="UUR183" s="82"/>
      <c r="UUS183" s="82"/>
      <c r="UUT183" s="82"/>
      <c r="UUU183" s="82"/>
      <c r="UUV183" s="82"/>
      <c r="UUW183" s="82"/>
      <c r="UUX183" s="82"/>
      <c r="UUY183" s="82"/>
      <c r="UUZ183" s="82"/>
      <c r="UVA183" s="82"/>
      <c r="UVB183" s="82"/>
      <c r="UVC183" s="82"/>
      <c r="UVD183" s="82"/>
      <c r="UVE183" s="82"/>
      <c r="UVF183" s="82"/>
      <c r="UVG183" s="82"/>
      <c r="UVH183" s="82"/>
      <c r="UVI183" s="82"/>
      <c r="UVJ183" s="82"/>
      <c r="UVK183" s="82"/>
      <c r="UVL183" s="82"/>
      <c r="UVM183" s="82"/>
      <c r="UVN183" s="82"/>
      <c r="UVO183" s="82"/>
      <c r="UVP183" s="82"/>
      <c r="UVQ183" s="82"/>
      <c r="UVR183" s="82"/>
      <c r="UVS183" s="82"/>
      <c r="UVT183" s="82"/>
      <c r="UVU183" s="82"/>
      <c r="UVV183" s="82"/>
      <c r="UVW183" s="82"/>
      <c r="UVX183" s="82"/>
      <c r="UVY183" s="82"/>
      <c r="UVZ183" s="82"/>
      <c r="UWA183" s="82"/>
      <c r="UWB183" s="82"/>
      <c r="UWC183" s="82"/>
      <c r="UWD183" s="82"/>
      <c r="UWE183" s="82"/>
      <c r="UWF183" s="82"/>
      <c r="UWG183" s="82"/>
      <c r="UWH183" s="82"/>
      <c r="UWI183" s="82"/>
      <c r="UWJ183" s="82"/>
      <c r="UWK183" s="82"/>
      <c r="UWL183" s="82"/>
      <c r="UWM183" s="82"/>
      <c r="UWN183" s="82"/>
      <c r="UWO183" s="82"/>
      <c r="UWP183" s="82"/>
      <c r="UWQ183" s="82"/>
      <c r="UWR183" s="82"/>
      <c r="UWS183" s="82"/>
      <c r="UWT183" s="82"/>
      <c r="UWU183" s="82"/>
      <c r="UWV183" s="82"/>
      <c r="UWW183" s="82"/>
      <c r="UWX183" s="82"/>
      <c r="UWY183" s="82"/>
      <c r="UWZ183" s="82"/>
      <c r="UXA183" s="82"/>
      <c r="UXB183" s="82"/>
      <c r="UXC183" s="82"/>
      <c r="UXD183" s="82"/>
      <c r="UXE183" s="82"/>
      <c r="UXF183" s="82"/>
      <c r="UXG183" s="82"/>
      <c r="UXH183" s="82"/>
      <c r="UXI183" s="82"/>
      <c r="UXJ183" s="82"/>
      <c r="UXK183" s="82"/>
      <c r="UXL183" s="82"/>
      <c r="UXM183" s="82"/>
      <c r="UXN183" s="82"/>
      <c r="UXO183" s="82"/>
      <c r="UXP183" s="82"/>
      <c r="UXQ183" s="82"/>
      <c r="UXR183" s="82"/>
      <c r="UXS183" s="82"/>
      <c r="UXT183" s="82"/>
      <c r="UXU183" s="82"/>
      <c r="UXV183" s="82"/>
      <c r="UXW183" s="82"/>
      <c r="UXX183" s="82"/>
      <c r="UXY183" s="82"/>
      <c r="UXZ183" s="82"/>
      <c r="UYA183" s="82"/>
      <c r="UYB183" s="82"/>
      <c r="UYC183" s="82"/>
      <c r="UYD183" s="82"/>
      <c r="UYE183" s="82"/>
      <c r="UYF183" s="82"/>
      <c r="UYG183" s="82"/>
      <c r="UYH183" s="82"/>
      <c r="UYI183" s="82"/>
      <c r="UYJ183" s="82"/>
      <c r="UYK183" s="82"/>
      <c r="UYL183" s="82"/>
      <c r="UYM183" s="82"/>
      <c r="UYN183" s="82"/>
      <c r="UYO183" s="82"/>
      <c r="UYP183" s="82"/>
      <c r="UYQ183" s="82"/>
      <c r="UYR183" s="82"/>
      <c r="UYS183" s="82"/>
      <c r="UYT183" s="82"/>
      <c r="UYU183" s="82"/>
      <c r="UYV183" s="82"/>
      <c r="UYW183" s="82"/>
      <c r="UYX183" s="82"/>
      <c r="UYY183" s="82"/>
      <c r="UYZ183" s="82"/>
      <c r="UZA183" s="82"/>
      <c r="UZB183" s="82"/>
      <c r="UZC183" s="82"/>
      <c r="UZD183" s="82"/>
      <c r="UZE183" s="82"/>
      <c r="UZF183" s="82"/>
      <c r="UZG183" s="82"/>
      <c r="UZH183" s="82"/>
      <c r="UZI183" s="82"/>
      <c r="UZJ183" s="82"/>
      <c r="UZK183" s="82"/>
      <c r="UZL183" s="82"/>
      <c r="UZM183" s="82"/>
      <c r="UZN183" s="82"/>
      <c r="UZO183" s="82"/>
      <c r="UZP183" s="82"/>
      <c r="UZQ183" s="82"/>
      <c r="UZR183" s="82"/>
      <c r="UZS183" s="82"/>
      <c r="UZT183" s="82"/>
      <c r="UZU183" s="82"/>
      <c r="UZV183" s="82"/>
      <c r="UZW183" s="82"/>
      <c r="UZX183" s="82"/>
      <c r="UZY183" s="82"/>
      <c r="UZZ183" s="82"/>
      <c r="VAA183" s="82"/>
      <c r="VAB183" s="82"/>
      <c r="VAC183" s="82"/>
      <c r="VAD183" s="82"/>
      <c r="VAE183" s="82"/>
      <c r="VAF183" s="82"/>
      <c r="VAG183" s="82"/>
      <c r="VAH183" s="82"/>
      <c r="VAI183" s="82"/>
      <c r="VAJ183" s="82"/>
      <c r="VAK183" s="82"/>
      <c r="VAL183" s="82"/>
      <c r="VAM183" s="82"/>
      <c r="VAN183" s="82"/>
      <c r="VAO183" s="82"/>
      <c r="VAP183" s="82"/>
      <c r="VAQ183" s="82"/>
      <c r="VAR183" s="82"/>
      <c r="VAS183" s="82"/>
      <c r="VAT183" s="82"/>
      <c r="VAU183" s="82"/>
      <c r="VAV183" s="82"/>
      <c r="VAW183" s="82"/>
      <c r="VAX183" s="82"/>
      <c r="VAY183" s="82"/>
      <c r="VAZ183" s="82"/>
      <c r="VBA183" s="82"/>
      <c r="VBB183" s="82"/>
      <c r="VBC183" s="82"/>
      <c r="VBD183" s="82"/>
      <c r="VBE183" s="82"/>
      <c r="VBF183" s="82"/>
      <c r="VBG183" s="82"/>
      <c r="VBH183" s="82"/>
      <c r="VBI183" s="82"/>
      <c r="VBJ183" s="82"/>
      <c r="VBK183" s="82"/>
      <c r="VBL183" s="82"/>
      <c r="VBM183" s="82"/>
      <c r="VBN183" s="82"/>
      <c r="VBO183" s="82"/>
      <c r="VBP183" s="82"/>
      <c r="VBQ183" s="82"/>
      <c r="VBR183" s="82"/>
      <c r="VBS183" s="82"/>
      <c r="VBT183" s="82"/>
      <c r="VBU183" s="82"/>
      <c r="VBV183" s="82"/>
      <c r="VBW183" s="82"/>
      <c r="VBX183" s="82"/>
      <c r="VBY183" s="82"/>
      <c r="VBZ183" s="82"/>
      <c r="VCA183" s="82"/>
      <c r="VCB183" s="82"/>
      <c r="VCC183" s="82"/>
      <c r="VCD183" s="82"/>
      <c r="VCE183" s="82"/>
      <c r="VCF183" s="82"/>
      <c r="VCG183" s="82"/>
      <c r="VCH183" s="82"/>
      <c r="VCI183" s="82"/>
      <c r="VCJ183" s="82"/>
      <c r="VCK183" s="82"/>
      <c r="VCL183" s="82"/>
      <c r="VCM183" s="82"/>
      <c r="VCN183" s="82"/>
      <c r="VCO183" s="82"/>
      <c r="VCP183" s="82"/>
      <c r="VCQ183" s="82"/>
      <c r="VCR183" s="82"/>
      <c r="VCS183" s="82"/>
      <c r="VCT183" s="82"/>
      <c r="VCU183" s="82"/>
      <c r="VCV183" s="82"/>
      <c r="VCW183" s="82"/>
      <c r="VCX183" s="82"/>
      <c r="VCY183" s="82"/>
      <c r="VCZ183" s="82"/>
      <c r="VDA183" s="82"/>
      <c r="VDB183" s="82"/>
      <c r="VDC183" s="82"/>
      <c r="VDD183" s="82"/>
      <c r="VDE183" s="82"/>
      <c r="VDF183" s="82"/>
      <c r="VDG183" s="82"/>
      <c r="VDH183" s="82"/>
      <c r="VDI183" s="82"/>
      <c r="VDJ183" s="82"/>
      <c r="VDK183" s="82"/>
      <c r="VDL183" s="82"/>
      <c r="VDM183" s="82"/>
      <c r="VDN183" s="82"/>
      <c r="VDO183" s="82"/>
      <c r="VDP183" s="82"/>
      <c r="VDQ183" s="82"/>
      <c r="VDR183" s="82"/>
      <c r="VDS183" s="82"/>
      <c r="VDT183" s="82"/>
      <c r="VDU183" s="82"/>
      <c r="VDV183" s="82"/>
      <c r="VDW183" s="82"/>
      <c r="VDX183" s="82"/>
      <c r="VDY183" s="82"/>
      <c r="VDZ183" s="82"/>
      <c r="VEA183" s="82"/>
      <c r="VEB183" s="82"/>
      <c r="VEC183" s="82"/>
      <c r="VED183" s="82"/>
      <c r="VEE183" s="82"/>
      <c r="VEF183" s="82"/>
      <c r="VEG183" s="82"/>
      <c r="VEH183" s="82"/>
      <c r="VEI183" s="82"/>
      <c r="VEJ183" s="82"/>
      <c r="VEK183" s="82"/>
      <c r="VEL183" s="82"/>
      <c r="VEM183" s="82"/>
      <c r="VEN183" s="82"/>
      <c r="VEO183" s="82"/>
      <c r="VEP183" s="82"/>
      <c r="VEQ183" s="82"/>
      <c r="VER183" s="82"/>
      <c r="VES183" s="82"/>
      <c r="VET183" s="82"/>
      <c r="VEU183" s="82"/>
      <c r="VEV183" s="82"/>
      <c r="VEW183" s="82"/>
      <c r="VEX183" s="82"/>
      <c r="VEY183" s="82"/>
      <c r="VEZ183" s="82"/>
      <c r="VFA183" s="82"/>
      <c r="VFB183" s="82"/>
      <c r="VFC183" s="82"/>
      <c r="VFD183" s="82"/>
      <c r="VFE183" s="82"/>
      <c r="VFF183" s="82"/>
      <c r="VFG183" s="82"/>
      <c r="VFH183" s="82"/>
      <c r="VFI183" s="82"/>
      <c r="VFJ183" s="82"/>
      <c r="VFK183" s="82"/>
      <c r="VFL183" s="82"/>
      <c r="VFM183" s="82"/>
      <c r="VFN183" s="82"/>
      <c r="VFO183" s="82"/>
      <c r="VFP183" s="82"/>
      <c r="VFQ183" s="82"/>
      <c r="VFR183" s="82"/>
      <c r="VFS183" s="82"/>
      <c r="VFT183" s="82"/>
      <c r="VFU183" s="82"/>
      <c r="VFV183" s="82"/>
      <c r="VFW183" s="82"/>
      <c r="VFX183" s="82"/>
      <c r="VFY183" s="82"/>
      <c r="VFZ183" s="82"/>
      <c r="VGA183" s="82"/>
      <c r="VGB183" s="82"/>
      <c r="VGC183" s="82"/>
      <c r="VGD183" s="82"/>
      <c r="VGE183" s="82"/>
      <c r="VGF183" s="82"/>
      <c r="VGG183" s="82"/>
      <c r="VGH183" s="82"/>
      <c r="VGI183" s="82"/>
      <c r="VGJ183" s="82"/>
      <c r="VGK183" s="82"/>
      <c r="VGL183" s="82"/>
      <c r="VGM183" s="82"/>
      <c r="VGN183" s="82"/>
      <c r="VGO183" s="82"/>
      <c r="VGP183" s="82"/>
      <c r="VGQ183" s="82"/>
      <c r="VGR183" s="82"/>
      <c r="VGS183" s="82"/>
      <c r="VGT183" s="82"/>
      <c r="VGU183" s="82"/>
      <c r="VGV183" s="82"/>
      <c r="VGW183" s="82"/>
      <c r="VGX183" s="82"/>
      <c r="VGY183" s="82"/>
      <c r="VGZ183" s="82"/>
      <c r="VHA183" s="82"/>
      <c r="VHB183" s="82"/>
      <c r="VHC183" s="82"/>
      <c r="VHD183" s="82"/>
      <c r="VHE183" s="82"/>
      <c r="VHF183" s="82"/>
      <c r="VHG183" s="82"/>
      <c r="VHH183" s="82"/>
      <c r="VHI183" s="82"/>
      <c r="VHJ183" s="82"/>
      <c r="VHK183" s="82"/>
      <c r="VHL183" s="82"/>
      <c r="VHM183" s="82"/>
      <c r="VHN183" s="82"/>
      <c r="VHO183" s="82"/>
      <c r="VHP183" s="82"/>
      <c r="VHQ183" s="82"/>
      <c r="VHR183" s="82"/>
      <c r="VHS183" s="82"/>
      <c r="VHT183" s="82"/>
      <c r="VHU183" s="82"/>
      <c r="VHV183" s="82"/>
      <c r="VHW183" s="82"/>
      <c r="VHX183" s="82"/>
      <c r="VHY183" s="82"/>
      <c r="VHZ183" s="82"/>
      <c r="VIA183" s="82"/>
      <c r="VIB183" s="82"/>
      <c r="VIC183" s="82"/>
      <c r="VID183" s="82"/>
      <c r="VIE183" s="82"/>
      <c r="VIF183" s="82"/>
      <c r="VIG183" s="82"/>
      <c r="VIH183" s="82"/>
      <c r="VII183" s="82"/>
      <c r="VIJ183" s="82"/>
      <c r="VIK183" s="82"/>
      <c r="VIL183" s="82"/>
      <c r="VIM183" s="82"/>
      <c r="VIN183" s="82"/>
      <c r="VIO183" s="82"/>
      <c r="VIP183" s="82"/>
      <c r="VIQ183" s="82"/>
      <c r="VIR183" s="82"/>
      <c r="VIS183" s="82"/>
      <c r="VIT183" s="82"/>
      <c r="VIU183" s="82"/>
      <c r="VIV183" s="82"/>
      <c r="VIW183" s="82"/>
      <c r="VIX183" s="82"/>
      <c r="VIY183" s="82"/>
      <c r="VIZ183" s="82"/>
      <c r="VJA183" s="82"/>
      <c r="VJB183" s="82"/>
      <c r="VJC183" s="82"/>
      <c r="VJD183" s="82"/>
      <c r="VJE183" s="82"/>
      <c r="VJF183" s="82"/>
      <c r="VJG183" s="82"/>
      <c r="VJH183" s="82"/>
      <c r="VJI183" s="82"/>
      <c r="VJJ183" s="82"/>
      <c r="VJK183" s="82"/>
      <c r="VJL183" s="82"/>
      <c r="VJM183" s="82"/>
      <c r="VJN183" s="82"/>
      <c r="VJO183" s="82"/>
      <c r="VJP183" s="82"/>
      <c r="VJQ183" s="82"/>
      <c r="VJR183" s="82"/>
      <c r="VJS183" s="82"/>
      <c r="VJT183" s="82"/>
      <c r="VJU183" s="82"/>
      <c r="VJV183" s="82"/>
      <c r="VJW183" s="82"/>
      <c r="VJX183" s="82"/>
      <c r="VJY183" s="82"/>
      <c r="VJZ183" s="82"/>
      <c r="VKA183" s="82"/>
      <c r="VKB183" s="82"/>
      <c r="VKC183" s="82"/>
      <c r="VKD183" s="82"/>
      <c r="VKE183" s="82"/>
      <c r="VKF183" s="82"/>
      <c r="VKG183" s="82"/>
      <c r="VKH183" s="82"/>
      <c r="VKI183" s="82"/>
      <c r="VKJ183" s="82"/>
      <c r="VKK183" s="82"/>
      <c r="VKL183" s="82"/>
      <c r="VKM183" s="82"/>
      <c r="VKN183" s="82"/>
      <c r="VKO183" s="82"/>
      <c r="VKP183" s="82"/>
      <c r="VKQ183" s="82"/>
      <c r="VKR183" s="82"/>
      <c r="VKS183" s="82"/>
      <c r="VKT183" s="82"/>
      <c r="VKU183" s="82"/>
      <c r="VKV183" s="82"/>
      <c r="VKW183" s="82"/>
      <c r="VKX183" s="82"/>
      <c r="VKY183" s="82"/>
      <c r="VKZ183" s="82"/>
      <c r="VLA183" s="82"/>
      <c r="VLB183" s="82"/>
      <c r="VLC183" s="82"/>
      <c r="VLD183" s="82"/>
      <c r="VLE183" s="82"/>
      <c r="VLF183" s="82"/>
      <c r="VLG183" s="82"/>
      <c r="VLH183" s="82"/>
      <c r="VLI183" s="82"/>
      <c r="VLJ183" s="82"/>
      <c r="VLK183" s="82"/>
      <c r="VLL183" s="82"/>
      <c r="VLM183" s="82"/>
      <c r="VLN183" s="82"/>
      <c r="VLO183" s="82"/>
      <c r="VLP183" s="82"/>
      <c r="VLQ183" s="82"/>
      <c r="VLR183" s="82"/>
      <c r="VLS183" s="82"/>
      <c r="VLT183" s="82"/>
      <c r="VLU183" s="82"/>
      <c r="VLV183" s="82"/>
      <c r="VLW183" s="82"/>
      <c r="VLX183" s="82"/>
      <c r="VLY183" s="82"/>
      <c r="VLZ183" s="82"/>
      <c r="VMA183" s="82"/>
      <c r="VMB183" s="82"/>
      <c r="VMC183" s="82"/>
      <c r="VMD183" s="82"/>
      <c r="VME183" s="82"/>
      <c r="VMF183" s="82"/>
      <c r="VMG183" s="82"/>
      <c r="VMH183" s="82"/>
      <c r="VMI183" s="82"/>
      <c r="VMJ183" s="82"/>
      <c r="VMK183" s="82"/>
      <c r="VML183" s="82"/>
      <c r="VMM183" s="82"/>
      <c r="VMN183" s="82"/>
      <c r="VMO183" s="82"/>
      <c r="VMP183" s="82"/>
      <c r="VMQ183" s="82"/>
      <c r="VMR183" s="82"/>
      <c r="VMS183" s="82"/>
      <c r="VMT183" s="82"/>
      <c r="VMU183" s="82"/>
      <c r="VMV183" s="82"/>
      <c r="VMW183" s="82"/>
      <c r="VMX183" s="82"/>
      <c r="VMY183" s="82"/>
      <c r="VMZ183" s="82"/>
      <c r="VNA183" s="82"/>
      <c r="VNB183" s="82"/>
      <c r="VNC183" s="82"/>
      <c r="VND183" s="82"/>
      <c r="VNE183" s="82"/>
      <c r="VNF183" s="82"/>
      <c r="VNG183" s="82"/>
      <c r="VNH183" s="82"/>
      <c r="VNI183" s="82"/>
      <c r="VNJ183" s="82"/>
      <c r="VNK183" s="82"/>
      <c r="VNL183" s="82"/>
      <c r="VNM183" s="82"/>
      <c r="VNN183" s="82"/>
      <c r="VNO183" s="82"/>
      <c r="VNP183" s="82"/>
      <c r="VNQ183" s="82"/>
      <c r="VNR183" s="82"/>
      <c r="VNS183" s="82"/>
      <c r="VNT183" s="82"/>
      <c r="VNU183" s="82"/>
      <c r="VNV183" s="82"/>
      <c r="VNW183" s="82"/>
      <c r="VNX183" s="82"/>
      <c r="VNY183" s="82"/>
      <c r="VNZ183" s="82"/>
      <c r="VOA183" s="82"/>
      <c r="VOB183" s="82"/>
      <c r="VOC183" s="82"/>
      <c r="VOD183" s="82"/>
      <c r="VOE183" s="82"/>
      <c r="VOF183" s="82"/>
      <c r="VOG183" s="82"/>
      <c r="VOH183" s="82"/>
      <c r="VOI183" s="82"/>
      <c r="VOJ183" s="82"/>
      <c r="VOK183" s="82"/>
      <c r="VOL183" s="82"/>
      <c r="VOM183" s="82"/>
      <c r="VON183" s="82"/>
      <c r="VOO183" s="82"/>
      <c r="VOP183" s="82"/>
      <c r="VOQ183" s="82"/>
      <c r="VOR183" s="82"/>
      <c r="VOS183" s="82"/>
      <c r="VOT183" s="82"/>
      <c r="VOU183" s="82"/>
      <c r="VOV183" s="82"/>
      <c r="VOW183" s="82"/>
      <c r="VOX183" s="82"/>
      <c r="VOY183" s="82"/>
      <c r="VOZ183" s="82"/>
      <c r="VPA183" s="82"/>
      <c r="VPB183" s="82"/>
      <c r="VPC183" s="82"/>
      <c r="VPD183" s="82"/>
      <c r="VPE183" s="82"/>
      <c r="VPF183" s="82"/>
      <c r="VPG183" s="82"/>
      <c r="VPH183" s="82"/>
      <c r="VPI183" s="82"/>
      <c r="VPJ183" s="82"/>
      <c r="VPK183" s="82"/>
      <c r="VPL183" s="82"/>
      <c r="VPM183" s="82"/>
      <c r="VPN183" s="82"/>
      <c r="VPO183" s="82"/>
      <c r="VPP183" s="82"/>
      <c r="VPQ183" s="82"/>
      <c r="VPR183" s="82"/>
      <c r="VPS183" s="82"/>
      <c r="VPT183" s="82"/>
      <c r="VPU183" s="82"/>
      <c r="VPV183" s="82"/>
      <c r="VPW183" s="82"/>
      <c r="VPX183" s="82"/>
      <c r="VPY183" s="82"/>
      <c r="VPZ183" s="82"/>
      <c r="VQA183" s="82"/>
      <c r="VQB183" s="82"/>
      <c r="VQC183" s="82"/>
      <c r="VQD183" s="82"/>
      <c r="VQE183" s="82"/>
      <c r="VQF183" s="82"/>
      <c r="VQG183" s="82"/>
      <c r="VQH183" s="82"/>
      <c r="VQI183" s="82"/>
      <c r="VQJ183" s="82"/>
      <c r="VQK183" s="82"/>
      <c r="VQL183" s="82"/>
      <c r="VQM183" s="82"/>
      <c r="VQN183" s="82"/>
      <c r="VQO183" s="82"/>
      <c r="VQP183" s="82"/>
      <c r="VQQ183" s="82"/>
      <c r="VQR183" s="82"/>
      <c r="VQS183" s="82"/>
      <c r="VQT183" s="82"/>
      <c r="VQU183" s="82"/>
      <c r="VQV183" s="82"/>
      <c r="VQW183" s="82"/>
      <c r="VQX183" s="82"/>
      <c r="VQY183" s="82"/>
      <c r="VQZ183" s="82"/>
      <c r="VRA183" s="82"/>
      <c r="VRB183" s="82"/>
      <c r="VRC183" s="82"/>
      <c r="VRD183" s="82"/>
      <c r="VRE183" s="82"/>
      <c r="VRF183" s="82"/>
      <c r="VRG183" s="82"/>
      <c r="VRH183" s="82"/>
      <c r="VRI183" s="82"/>
      <c r="VRJ183" s="82"/>
      <c r="VRK183" s="82"/>
      <c r="VRL183" s="82"/>
      <c r="VRM183" s="82"/>
      <c r="VRN183" s="82"/>
      <c r="VRO183" s="82"/>
      <c r="VRP183" s="82"/>
      <c r="VRQ183" s="82"/>
      <c r="VRR183" s="82"/>
      <c r="VRS183" s="82"/>
      <c r="VRT183" s="82"/>
      <c r="VRU183" s="82"/>
      <c r="VRV183" s="82"/>
      <c r="VRW183" s="82"/>
      <c r="VRX183" s="82"/>
      <c r="VRY183" s="82"/>
      <c r="VRZ183" s="82"/>
      <c r="VSA183" s="82"/>
      <c r="VSB183" s="82"/>
      <c r="VSC183" s="82"/>
      <c r="VSD183" s="82"/>
      <c r="VSE183" s="82"/>
      <c r="VSF183" s="82"/>
      <c r="VSG183" s="82"/>
      <c r="VSH183" s="82"/>
      <c r="VSI183" s="82"/>
      <c r="VSJ183" s="82"/>
      <c r="VSK183" s="82"/>
      <c r="VSL183" s="82"/>
      <c r="VSM183" s="82"/>
      <c r="VSN183" s="82"/>
      <c r="VSO183" s="82"/>
      <c r="VSP183" s="82"/>
      <c r="VSQ183" s="82"/>
      <c r="VSR183" s="82"/>
      <c r="VSS183" s="82"/>
      <c r="VST183" s="82"/>
      <c r="VSU183" s="82"/>
      <c r="VSV183" s="82"/>
      <c r="VSW183" s="82"/>
      <c r="VSX183" s="82"/>
      <c r="VSY183" s="82"/>
      <c r="VSZ183" s="82"/>
      <c r="VTA183" s="82"/>
      <c r="VTB183" s="82"/>
      <c r="VTC183" s="82"/>
      <c r="VTD183" s="82"/>
      <c r="VTE183" s="82"/>
      <c r="VTF183" s="82"/>
      <c r="VTG183" s="82"/>
      <c r="VTH183" s="82"/>
      <c r="VTI183" s="82"/>
      <c r="VTJ183" s="82"/>
      <c r="VTK183" s="82"/>
      <c r="VTL183" s="82"/>
      <c r="VTM183" s="82"/>
      <c r="VTN183" s="82"/>
      <c r="VTO183" s="82"/>
      <c r="VTP183" s="82"/>
      <c r="VTQ183" s="82"/>
      <c r="VTR183" s="82"/>
      <c r="VTS183" s="82"/>
      <c r="VTT183" s="82"/>
      <c r="VTU183" s="82"/>
      <c r="VTV183" s="82"/>
      <c r="VTW183" s="82"/>
      <c r="VTX183" s="82"/>
      <c r="VTY183" s="82"/>
      <c r="VTZ183" s="82"/>
      <c r="VUA183" s="82"/>
      <c r="VUB183" s="82"/>
      <c r="VUC183" s="82"/>
      <c r="VUD183" s="82"/>
      <c r="VUE183" s="82"/>
      <c r="VUF183" s="82"/>
      <c r="VUG183" s="82"/>
      <c r="VUH183" s="82"/>
      <c r="VUI183" s="82"/>
      <c r="VUJ183" s="82"/>
      <c r="VUK183" s="82"/>
      <c r="VUL183" s="82"/>
      <c r="VUM183" s="82"/>
      <c r="VUN183" s="82"/>
      <c r="VUO183" s="82"/>
      <c r="VUP183" s="82"/>
      <c r="VUQ183" s="82"/>
      <c r="VUR183" s="82"/>
      <c r="VUS183" s="82"/>
      <c r="VUT183" s="82"/>
      <c r="VUU183" s="82"/>
      <c r="VUV183" s="82"/>
      <c r="VUW183" s="82"/>
      <c r="VUX183" s="82"/>
      <c r="VUY183" s="82"/>
      <c r="VUZ183" s="82"/>
      <c r="VVA183" s="82"/>
      <c r="VVB183" s="82"/>
      <c r="VVC183" s="82"/>
      <c r="VVD183" s="82"/>
      <c r="VVE183" s="82"/>
      <c r="VVF183" s="82"/>
      <c r="VVG183" s="82"/>
      <c r="VVH183" s="82"/>
      <c r="VVI183" s="82"/>
      <c r="VVJ183" s="82"/>
      <c r="VVK183" s="82"/>
      <c r="VVL183" s="82"/>
      <c r="VVM183" s="82"/>
      <c r="VVN183" s="82"/>
      <c r="VVO183" s="82"/>
      <c r="VVP183" s="82"/>
      <c r="VVQ183" s="82"/>
      <c r="VVR183" s="82"/>
      <c r="VVS183" s="82"/>
      <c r="VVT183" s="82"/>
      <c r="VVU183" s="82"/>
      <c r="VVV183" s="82"/>
      <c r="VVW183" s="82"/>
      <c r="VVX183" s="82"/>
      <c r="VVY183" s="82"/>
      <c r="VVZ183" s="82"/>
      <c r="VWA183" s="82"/>
      <c r="VWB183" s="82"/>
      <c r="VWC183" s="82"/>
      <c r="VWD183" s="82"/>
      <c r="VWE183" s="82"/>
      <c r="VWF183" s="82"/>
      <c r="VWG183" s="82"/>
      <c r="VWH183" s="82"/>
      <c r="VWI183" s="82"/>
      <c r="VWJ183" s="82"/>
      <c r="VWK183" s="82"/>
      <c r="VWL183" s="82"/>
      <c r="VWM183" s="82"/>
      <c r="VWN183" s="82"/>
      <c r="VWO183" s="82"/>
      <c r="VWP183" s="82"/>
      <c r="VWQ183" s="82"/>
      <c r="VWR183" s="82"/>
      <c r="VWS183" s="82"/>
      <c r="VWT183" s="82"/>
      <c r="VWU183" s="82"/>
      <c r="VWV183" s="82"/>
      <c r="VWW183" s="82"/>
      <c r="VWX183" s="82"/>
      <c r="VWY183" s="82"/>
      <c r="VWZ183" s="82"/>
      <c r="VXA183" s="82"/>
      <c r="VXB183" s="82"/>
      <c r="VXC183" s="82"/>
      <c r="VXD183" s="82"/>
      <c r="VXE183" s="82"/>
      <c r="VXF183" s="82"/>
      <c r="VXG183" s="82"/>
      <c r="VXH183" s="82"/>
      <c r="VXI183" s="82"/>
      <c r="VXJ183" s="82"/>
      <c r="VXK183" s="82"/>
      <c r="VXL183" s="82"/>
      <c r="VXM183" s="82"/>
      <c r="VXN183" s="82"/>
      <c r="VXO183" s="82"/>
      <c r="VXP183" s="82"/>
      <c r="VXQ183" s="82"/>
      <c r="VXR183" s="82"/>
      <c r="VXS183" s="82"/>
      <c r="VXT183" s="82"/>
      <c r="VXU183" s="82"/>
      <c r="VXV183" s="82"/>
      <c r="VXW183" s="82"/>
      <c r="VXX183" s="82"/>
      <c r="VXY183" s="82"/>
      <c r="VXZ183" s="82"/>
      <c r="VYA183" s="82"/>
      <c r="VYB183" s="82"/>
      <c r="VYC183" s="82"/>
      <c r="VYD183" s="82"/>
      <c r="VYE183" s="82"/>
      <c r="VYF183" s="82"/>
      <c r="VYG183" s="82"/>
      <c r="VYH183" s="82"/>
      <c r="VYI183" s="82"/>
      <c r="VYJ183" s="82"/>
      <c r="VYK183" s="82"/>
      <c r="VYL183" s="82"/>
      <c r="VYM183" s="82"/>
      <c r="VYN183" s="82"/>
      <c r="VYO183" s="82"/>
      <c r="VYP183" s="82"/>
      <c r="VYQ183" s="82"/>
      <c r="VYR183" s="82"/>
      <c r="VYS183" s="82"/>
      <c r="VYT183" s="82"/>
      <c r="VYU183" s="82"/>
      <c r="VYV183" s="82"/>
      <c r="VYW183" s="82"/>
      <c r="VYX183" s="82"/>
      <c r="VYY183" s="82"/>
      <c r="VYZ183" s="82"/>
      <c r="VZA183" s="82"/>
      <c r="VZB183" s="82"/>
      <c r="VZC183" s="82"/>
      <c r="VZD183" s="82"/>
      <c r="VZE183" s="82"/>
      <c r="VZF183" s="82"/>
      <c r="VZG183" s="82"/>
      <c r="VZH183" s="82"/>
      <c r="VZI183" s="82"/>
      <c r="VZJ183" s="82"/>
      <c r="VZK183" s="82"/>
      <c r="VZL183" s="82"/>
      <c r="VZM183" s="82"/>
      <c r="VZN183" s="82"/>
      <c r="VZO183" s="82"/>
      <c r="VZP183" s="82"/>
      <c r="VZQ183" s="82"/>
      <c r="VZR183" s="82"/>
      <c r="VZS183" s="82"/>
      <c r="VZT183" s="82"/>
      <c r="VZU183" s="82"/>
      <c r="VZV183" s="82"/>
      <c r="VZW183" s="82"/>
      <c r="VZX183" s="82"/>
      <c r="VZY183" s="82"/>
      <c r="VZZ183" s="82"/>
      <c r="WAA183" s="82"/>
      <c r="WAB183" s="82"/>
      <c r="WAC183" s="82"/>
      <c r="WAD183" s="82"/>
      <c r="WAE183" s="82"/>
      <c r="WAF183" s="82"/>
      <c r="WAG183" s="82"/>
      <c r="WAH183" s="82"/>
      <c r="WAI183" s="82"/>
      <c r="WAJ183" s="82"/>
      <c r="WAK183" s="82"/>
      <c r="WAL183" s="82"/>
      <c r="WAM183" s="82"/>
      <c r="WAN183" s="82"/>
      <c r="WAO183" s="82"/>
      <c r="WAP183" s="82"/>
      <c r="WAQ183" s="82"/>
      <c r="WAR183" s="82"/>
      <c r="WAS183" s="82"/>
      <c r="WAT183" s="82"/>
      <c r="WAU183" s="82"/>
      <c r="WAV183" s="82"/>
      <c r="WAW183" s="82"/>
      <c r="WAX183" s="82"/>
      <c r="WAY183" s="82"/>
      <c r="WAZ183" s="82"/>
      <c r="WBA183" s="82"/>
      <c r="WBB183" s="82"/>
      <c r="WBC183" s="82"/>
      <c r="WBD183" s="82"/>
      <c r="WBE183" s="82"/>
      <c r="WBF183" s="82"/>
      <c r="WBG183" s="82"/>
      <c r="WBH183" s="82"/>
      <c r="WBI183" s="82"/>
      <c r="WBJ183" s="82"/>
      <c r="WBK183" s="82"/>
      <c r="WBL183" s="82"/>
      <c r="WBM183" s="82"/>
      <c r="WBN183" s="82"/>
      <c r="WBO183" s="82"/>
      <c r="WBP183" s="82"/>
      <c r="WBQ183" s="82"/>
      <c r="WBR183" s="82"/>
      <c r="WBS183" s="82"/>
      <c r="WBT183" s="82"/>
      <c r="WBU183" s="82"/>
      <c r="WBV183" s="82"/>
      <c r="WBW183" s="82"/>
      <c r="WBX183" s="82"/>
      <c r="WBY183" s="82"/>
      <c r="WBZ183" s="82"/>
      <c r="WCA183" s="82"/>
      <c r="WCB183" s="82"/>
      <c r="WCC183" s="82"/>
      <c r="WCD183" s="82"/>
      <c r="WCE183" s="82"/>
      <c r="WCF183" s="82"/>
      <c r="WCG183" s="82"/>
      <c r="WCH183" s="82"/>
      <c r="WCI183" s="82"/>
      <c r="WCJ183" s="82"/>
      <c r="WCK183" s="82"/>
      <c r="WCL183" s="82"/>
      <c r="WCM183" s="82"/>
      <c r="WCN183" s="82"/>
      <c r="WCO183" s="82"/>
      <c r="WCP183" s="82"/>
      <c r="WCQ183" s="82"/>
      <c r="WCR183" s="82"/>
      <c r="WCS183" s="82"/>
      <c r="WCT183" s="82"/>
      <c r="WCU183" s="82"/>
      <c r="WCV183" s="82"/>
      <c r="WCW183" s="82"/>
      <c r="WCX183" s="82"/>
      <c r="WCY183" s="82"/>
      <c r="WCZ183" s="82"/>
      <c r="WDA183" s="82"/>
      <c r="WDB183" s="82"/>
      <c r="WDC183" s="82"/>
      <c r="WDD183" s="82"/>
      <c r="WDE183" s="82"/>
      <c r="WDF183" s="82"/>
      <c r="WDG183" s="82"/>
      <c r="WDH183" s="82"/>
      <c r="WDI183" s="82"/>
      <c r="WDJ183" s="82"/>
      <c r="WDK183" s="82"/>
      <c r="WDL183" s="82"/>
      <c r="WDM183" s="82"/>
      <c r="WDN183" s="82"/>
      <c r="WDO183" s="82"/>
      <c r="WDP183" s="82"/>
      <c r="WDQ183" s="82"/>
      <c r="WDR183" s="82"/>
      <c r="WDS183" s="82"/>
      <c r="WDT183" s="82"/>
      <c r="WDU183" s="82"/>
      <c r="WDV183" s="82"/>
      <c r="WDW183" s="82"/>
      <c r="WDX183" s="82"/>
      <c r="WDY183" s="82"/>
      <c r="WDZ183" s="82"/>
      <c r="WEA183" s="82"/>
      <c r="WEB183" s="82"/>
      <c r="WEC183" s="82"/>
      <c r="WED183" s="82"/>
      <c r="WEE183" s="82"/>
      <c r="WEF183" s="82"/>
      <c r="WEG183" s="82"/>
      <c r="WEH183" s="82"/>
      <c r="WEI183" s="82"/>
      <c r="WEJ183" s="82"/>
      <c r="WEK183" s="82"/>
      <c r="WEL183" s="82"/>
      <c r="WEM183" s="82"/>
      <c r="WEN183" s="82"/>
      <c r="WEO183" s="82"/>
      <c r="WEP183" s="82"/>
      <c r="WEQ183" s="82"/>
      <c r="WER183" s="82"/>
      <c r="WES183" s="82"/>
      <c r="WET183" s="82"/>
      <c r="WEU183" s="82"/>
      <c r="WEV183" s="82"/>
      <c r="WEW183" s="82"/>
      <c r="WEX183" s="82"/>
      <c r="WEY183" s="82"/>
      <c r="WEZ183" s="82"/>
      <c r="WFA183" s="82"/>
      <c r="WFB183" s="82"/>
      <c r="WFC183" s="82"/>
      <c r="WFD183" s="82"/>
      <c r="WFE183" s="82"/>
      <c r="WFF183" s="82"/>
      <c r="WFG183" s="82"/>
      <c r="WFH183" s="82"/>
      <c r="WFI183" s="82"/>
      <c r="WFJ183" s="82"/>
      <c r="WFK183" s="82"/>
      <c r="WFL183" s="82"/>
      <c r="WFM183" s="82"/>
      <c r="WFN183" s="82"/>
      <c r="WFO183" s="82"/>
      <c r="WFP183" s="82"/>
      <c r="WFQ183" s="82"/>
      <c r="WFR183" s="82"/>
      <c r="WFS183" s="82"/>
      <c r="WFT183" s="82"/>
      <c r="WFU183" s="82"/>
      <c r="WFV183" s="82"/>
      <c r="WFW183" s="82"/>
      <c r="WFX183" s="82"/>
      <c r="WFY183" s="82"/>
      <c r="WFZ183" s="82"/>
      <c r="WGA183" s="82"/>
      <c r="WGB183" s="82"/>
      <c r="WGC183" s="82"/>
      <c r="WGD183" s="82"/>
      <c r="WGE183" s="82"/>
      <c r="WGF183" s="82"/>
      <c r="WGG183" s="82"/>
      <c r="WGH183" s="82"/>
      <c r="WGI183" s="82"/>
      <c r="WGJ183" s="82"/>
      <c r="WGK183" s="82"/>
      <c r="WGL183" s="82"/>
      <c r="WGM183" s="82"/>
      <c r="WGN183" s="82"/>
      <c r="WGO183" s="82"/>
      <c r="WGP183" s="82"/>
      <c r="WGQ183" s="82"/>
      <c r="WGR183" s="82"/>
      <c r="WGS183" s="82"/>
      <c r="WGT183" s="82"/>
      <c r="WGU183" s="82"/>
      <c r="WGV183" s="82"/>
      <c r="WGW183" s="82"/>
      <c r="WGX183" s="82"/>
      <c r="WGY183" s="82"/>
      <c r="WGZ183" s="82"/>
      <c r="WHA183" s="82"/>
      <c r="WHB183" s="82"/>
      <c r="WHC183" s="82"/>
      <c r="WHD183" s="82"/>
      <c r="WHE183" s="82"/>
      <c r="WHF183" s="82"/>
      <c r="WHG183" s="82"/>
      <c r="WHH183" s="82"/>
      <c r="WHI183" s="82"/>
      <c r="WHJ183" s="82"/>
      <c r="WHK183" s="82"/>
      <c r="WHL183" s="82"/>
      <c r="WHM183" s="82"/>
      <c r="WHN183" s="82"/>
      <c r="WHO183" s="82"/>
      <c r="WHP183" s="82"/>
      <c r="WHQ183" s="82"/>
      <c r="WHR183" s="82"/>
      <c r="WHS183" s="82"/>
      <c r="WHT183" s="82"/>
      <c r="WHU183" s="82"/>
      <c r="WHV183" s="82"/>
      <c r="WHW183" s="82"/>
      <c r="WHX183" s="82"/>
      <c r="WHY183" s="82"/>
      <c r="WHZ183" s="82"/>
      <c r="WIA183" s="82"/>
      <c r="WIB183" s="82"/>
      <c r="WIC183" s="82"/>
      <c r="WID183" s="82"/>
      <c r="WIE183" s="82"/>
      <c r="WIF183" s="82"/>
      <c r="WIG183" s="82"/>
      <c r="WIH183" s="82"/>
      <c r="WII183" s="82"/>
      <c r="WIJ183" s="82"/>
      <c r="WIK183" s="82"/>
      <c r="WIL183" s="82"/>
      <c r="WIM183" s="82"/>
      <c r="WIN183" s="82"/>
      <c r="WIO183" s="82"/>
      <c r="WIP183" s="82"/>
      <c r="WIQ183" s="82"/>
      <c r="WIR183" s="82"/>
      <c r="WIS183" s="82"/>
      <c r="WIT183" s="82"/>
      <c r="WIU183" s="82"/>
      <c r="WIV183" s="82"/>
      <c r="WIW183" s="82"/>
      <c r="WIX183" s="82"/>
      <c r="WIY183" s="82"/>
      <c r="WIZ183" s="82"/>
      <c r="WJA183" s="82"/>
      <c r="WJB183" s="82"/>
      <c r="WJC183" s="82"/>
      <c r="WJD183" s="82"/>
      <c r="WJE183" s="82"/>
      <c r="WJF183" s="82"/>
      <c r="WJG183" s="82"/>
      <c r="WJH183" s="82"/>
      <c r="WJI183" s="82"/>
      <c r="WJJ183" s="82"/>
      <c r="WJK183" s="82"/>
      <c r="WJL183" s="82"/>
      <c r="WJM183" s="82"/>
      <c r="WJN183" s="82"/>
      <c r="WJO183" s="82"/>
      <c r="WJP183" s="82"/>
      <c r="WJQ183" s="82"/>
      <c r="WJR183" s="82"/>
      <c r="WJS183" s="82"/>
      <c r="WJT183" s="82"/>
      <c r="WJU183" s="82"/>
      <c r="WJV183" s="82"/>
      <c r="WJW183" s="82"/>
      <c r="WJX183" s="82"/>
      <c r="WJY183" s="82"/>
      <c r="WJZ183" s="82"/>
      <c r="WKA183" s="82"/>
      <c r="WKB183" s="82"/>
      <c r="WKC183" s="82"/>
      <c r="WKD183" s="82"/>
      <c r="WKE183" s="82"/>
      <c r="WKF183" s="82"/>
      <c r="WKG183" s="82"/>
      <c r="WKH183" s="82"/>
      <c r="WKI183" s="82"/>
      <c r="WKJ183" s="82"/>
      <c r="WKK183" s="82"/>
      <c r="WKL183" s="82"/>
      <c r="WKM183" s="82"/>
      <c r="WKN183" s="82"/>
      <c r="WKO183" s="82"/>
      <c r="WKP183" s="82"/>
      <c r="WKQ183" s="82"/>
      <c r="WKR183" s="82"/>
      <c r="WKS183" s="82"/>
      <c r="WKT183" s="82"/>
      <c r="WKU183" s="82"/>
      <c r="WKV183" s="82"/>
      <c r="WKW183" s="82"/>
      <c r="WKX183" s="82"/>
      <c r="WKY183" s="82"/>
      <c r="WKZ183" s="82"/>
      <c r="WLA183" s="82"/>
      <c r="WLB183" s="82"/>
      <c r="WLC183" s="82"/>
      <c r="WLD183" s="82"/>
      <c r="WLE183" s="82"/>
      <c r="WLF183" s="82"/>
      <c r="WLG183" s="82"/>
      <c r="WLH183" s="82"/>
      <c r="WLI183" s="82"/>
      <c r="WLJ183" s="82"/>
      <c r="WLK183" s="82"/>
      <c r="WLL183" s="82"/>
      <c r="WLM183" s="82"/>
      <c r="WLN183" s="82"/>
      <c r="WLO183" s="82"/>
      <c r="WLP183" s="82"/>
      <c r="WLQ183" s="82"/>
      <c r="WLR183" s="82"/>
      <c r="WLS183" s="82"/>
      <c r="WLT183" s="82"/>
      <c r="WLU183" s="82"/>
      <c r="WLV183" s="82"/>
      <c r="WLW183" s="82"/>
      <c r="WLX183" s="82"/>
      <c r="WLY183" s="82"/>
      <c r="WLZ183" s="82"/>
      <c r="WMA183" s="82"/>
      <c r="WMB183" s="82"/>
      <c r="WMC183" s="82"/>
      <c r="WMD183" s="82"/>
      <c r="WME183" s="82"/>
      <c r="WMF183" s="82"/>
      <c r="WMG183" s="82"/>
      <c r="WMH183" s="82"/>
      <c r="WMI183" s="82"/>
      <c r="WMJ183" s="82"/>
      <c r="WMK183" s="82"/>
      <c r="WML183" s="82"/>
      <c r="WMM183" s="82"/>
      <c r="WMN183" s="82"/>
      <c r="WMO183" s="82"/>
      <c r="WMP183" s="82"/>
      <c r="WMQ183" s="82"/>
      <c r="WMR183" s="82"/>
      <c r="WMS183" s="82"/>
      <c r="WMT183" s="82"/>
      <c r="WMU183" s="82"/>
      <c r="WMV183" s="82"/>
      <c r="WMW183" s="82"/>
      <c r="WMX183" s="82"/>
      <c r="WMY183" s="82"/>
      <c r="WMZ183" s="82"/>
      <c r="WNA183" s="82"/>
      <c r="WNB183" s="82"/>
      <c r="WNC183" s="82"/>
      <c r="WND183" s="82"/>
      <c r="WNE183" s="82"/>
      <c r="WNF183" s="82"/>
      <c r="WNG183" s="82"/>
      <c r="WNH183" s="82"/>
      <c r="WNI183" s="82"/>
      <c r="WNJ183" s="82"/>
      <c r="WNK183" s="82"/>
      <c r="WNL183" s="82"/>
      <c r="WNM183" s="82"/>
      <c r="WNN183" s="82"/>
      <c r="WNO183" s="82"/>
      <c r="WNP183" s="82"/>
      <c r="WNQ183" s="82"/>
      <c r="WNR183" s="82"/>
      <c r="WNS183" s="82"/>
      <c r="WNT183" s="82"/>
      <c r="WNU183" s="82"/>
      <c r="WNV183" s="82"/>
      <c r="WNW183" s="82"/>
      <c r="WNX183" s="82"/>
      <c r="WNY183" s="82"/>
      <c r="WNZ183" s="82"/>
      <c r="WOA183" s="82"/>
      <c r="WOB183" s="82"/>
      <c r="WOC183" s="82"/>
      <c r="WOD183" s="82"/>
      <c r="WOE183" s="82"/>
      <c r="WOF183" s="82"/>
      <c r="WOG183" s="82"/>
      <c r="WOH183" s="82"/>
      <c r="WOI183" s="82"/>
      <c r="WOJ183" s="82"/>
      <c r="WOK183" s="82"/>
      <c r="WOL183" s="82"/>
      <c r="WOM183" s="82"/>
      <c r="WON183" s="82"/>
      <c r="WOO183" s="82"/>
      <c r="WOP183" s="82"/>
      <c r="WOQ183" s="82"/>
      <c r="WOR183" s="82"/>
      <c r="WOS183" s="82"/>
      <c r="WOT183" s="82"/>
      <c r="WOU183" s="82"/>
      <c r="WOV183" s="82"/>
      <c r="WOW183" s="82"/>
      <c r="WOX183" s="82"/>
      <c r="WOY183" s="82"/>
      <c r="WOZ183" s="82"/>
      <c r="WPA183" s="82"/>
      <c r="WPB183" s="82"/>
      <c r="WPC183" s="82"/>
      <c r="WPD183" s="82"/>
      <c r="WPE183" s="82"/>
      <c r="WPF183" s="82"/>
      <c r="WPG183" s="82"/>
      <c r="WPH183" s="82"/>
      <c r="WPI183" s="82"/>
      <c r="WPJ183" s="82"/>
      <c r="WPK183" s="82"/>
      <c r="WPL183" s="82"/>
      <c r="WPM183" s="82"/>
      <c r="WPN183" s="82"/>
      <c r="WPO183" s="82"/>
      <c r="WPP183" s="82"/>
      <c r="WPQ183" s="82"/>
      <c r="WPR183" s="82"/>
      <c r="WPS183" s="82"/>
      <c r="WPT183" s="82"/>
      <c r="WPU183" s="82"/>
      <c r="WPV183" s="82"/>
      <c r="WPW183" s="82"/>
      <c r="WPX183" s="82"/>
      <c r="WPY183" s="82"/>
      <c r="WPZ183" s="82"/>
      <c r="WQA183" s="82"/>
      <c r="WQB183" s="82"/>
      <c r="WQC183" s="82"/>
      <c r="WQD183" s="82"/>
      <c r="WQE183" s="82"/>
      <c r="WQF183" s="82"/>
      <c r="WQG183" s="82"/>
      <c r="WQH183" s="82"/>
      <c r="WQI183" s="82"/>
      <c r="WQJ183" s="82"/>
      <c r="WQK183" s="82"/>
      <c r="WQL183" s="82"/>
      <c r="WQM183" s="82"/>
      <c r="WQN183" s="82"/>
      <c r="WQO183" s="82"/>
      <c r="WQP183" s="82"/>
      <c r="WQQ183" s="82"/>
      <c r="WQR183" s="82"/>
      <c r="WQS183" s="82"/>
      <c r="WQT183" s="82"/>
      <c r="WQU183" s="82"/>
      <c r="WQV183" s="82"/>
      <c r="WQW183" s="82"/>
      <c r="WQX183" s="82"/>
      <c r="WQY183" s="82"/>
      <c r="WQZ183" s="82"/>
      <c r="WRA183" s="82"/>
      <c r="WRB183" s="82"/>
      <c r="WRC183" s="82"/>
      <c r="WRD183" s="82"/>
      <c r="WRE183" s="82"/>
      <c r="WRF183" s="82"/>
      <c r="WRG183" s="82"/>
      <c r="WRH183" s="82"/>
      <c r="WRI183" s="82"/>
      <c r="WRJ183" s="82"/>
      <c r="WRK183" s="82"/>
      <c r="WRL183" s="82"/>
      <c r="WRM183" s="82"/>
      <c r="WRN183" s="82"/>
      <c r="WRO183" s="82"/>
      <c r="WRP183" s="82"/>
      <c r="WRQ183" s="82"/>
      <c r="WRR183" s="82"/>
      <c r="WRS183" s="82"/>
      <c r="WRT183" s="82"/>
      <c r="WRU183" s="82"/>
      <c r="WRV183" s="82"/>
      <c r="WRW183" s="82"/>
      <c r="WRX183" s="82"/>
      <c r="WRY183" s="82"/>
      <c r="WRZ183" s="82"/>
      <c r="WSA183" s="82"/>
      <c r="WSB183" s="82"/>
      <c r="WSC183" s="82"/>
      <c r="WSD183" s="82"/>
      <c r="WSE183" s="82"/>
      <c r="WSF183" s="82"/>
      <c r="WSG183" s="82"/>
      <c r="WSH183" s="82"/>
      <c r="WSI183" s="82"/>
      <c r="WSJ183" s="82"/>
      <c r="WSK183" s="82"/>
      <c r="WSL183" s="82"/>
      <c r="WSM183" s="82"/>
      <c r="WSN183" s="82"/>
      <c r="WSO183" s="82"/>
      <c r="WSP183" s="82"/>
      <c r="WSQ183" s="82"/>
      <c r="WSR183" s="82"/>
      <c r="WSS183" s="82"/>
      <c r="WST183" s="82"/>
      <c r="WSU183" s="82"/>
      <c r="WSV183" s="82"/>
      <c r="WSW183" s="82"/>
      <c r="WSX183" s="82"/>
      <c r="WSY183" s="82"/>
      <c r="WSZ183" s="82"/>
      <c r="WTA183" s="82"/>
      <c r="WTB183" s="82"/>
      <c r="WTC183" s="82"/>
      <c r="WTD183" s="82"/>
      <c r="WTE183" s="82"/>
      <c r="WTF183" s="82"/>
      <c r="WTG183" s="82"/>
      <c r="WTH183" s="82"/>
      <c r="WTI183" s="82"/>
      <c r="WTJ183" s="82"/>
      <c r="WTK183" s="82"/>
      <c r="WTL183" s="82"/>
      <c r="WTM183" s="82"/>
      <c r="WTN183" s="82"/>
      <c r="WTO183" s="82"/>
      <c r="WTP183" s="82"/>
      <c r="WTQ183" s="82"/>
      <c r="WTR183" s="82"/>
      <c r="WTS183" s="82"/>
      <c r="WTT183" s="82"/>
      <c r="WTU183" s="82"/>
      <c r="WTV183" s="82"/>
      <c r="WTW183" s="82"/>
      <c r="WTX183" s="82"/>
      <c r="WTY183" s="82"/>
      <c r="WTZ183" s="82"/>
      <c r="WUA183" s="82"/>
      <c r="WUB183" s="82"/>
      <c r="WUC183" s="82"/>
      <c r="WUD183" s="82"/>
      <c r="WUE183" s="82"/>
      <c r="WUF183" s="82"/>
      <c r="WUG183" s="82"/>
      <c r="WUH183" s="82"/>
      <c r="WUI183" s="82"/>
      <c r="WUJ183" s="82"/>
      <c r="WUK183" s="82"/>
      <c r="WUL183" s="82"/>
      <c r="WUM183" s="82"/>
      <c r="WUN183" s="82"/>
      <c r="WUO183" s="82"/>
      <c r="WUP183" s="82"/>
      <c r="WUQ183" s="82"/>
      <c r="WUR183" s="82"/>
      <c r="WUS183" s="82"/>
      <c r="WUT183" s="82"/>
      <c r="WUU183" s="82"/>
      <c r="WUV183" s="82"/>
      <c r="WUW183" s="82"/>
      <c r="WUX183" s="82"/>
      <c r="WUY183" s="82"/>
      <c r="WUZ183" s="82"/>
      <c r="WVA183" s="82"/>
      <c r="WVB183" s="82"/>
      <c r="WVC183" s="82"/>
      <c r="WVD183" s="82"/>
      <c r="WVE183" s="82"/>
      <c r="WVF183" s="82"/>
      <c r="WVG183" s="82"/>
      <c r="WVH183" s="82"/>
      <c r="WVI183" s="82"/>
      <c r="WVJ183" s="82"/>
      <c r="WVK183" s="82"/>
      <c r="WVL183" s="82"/>
      <c r="WVM183" s="82"/>
      <c r="WVN183" s="82"/>
      <c r="WVO183" s="82"/>
      <c r="WVP183" s="82"/>
      <c r="WVQ183" s="82"/>
      <c r="WVR183" s="82"/>
      <c r="WVS183" s="82"/>
      <c r="WVT183" s="82"/>
      <c r="WVU183" s="82"/>
      <c r="WVV183" s="82"/>
      <c r="WVW183" s="82"/>
      <c r="WVX183" s="82"/>
      <c r="WVY183" s="82"/>
      <c r="WVZ183" s="82"/>
      <c r="WWA183" s="82"/>
      <c r="WWB183" s="82"/>
      <c r="WWC183" s="82"/>
      <c r="WWD183" s="82"/>
      <c r="WWE183" s="82"/>
      <c r="WWF183" s="82"/>
      <c r="WWG183" s="82"/>
      <c r="WWH183" s="82"/>
      <c r="WWI183" s="82"/>
      <c r="WWJ183" s="82"/>
      <c r="WWK183" s="82"/>
      <c r="WWL183" s="82"/>
      <c r="WWM183" s="82"/>
      <c r="WWN183" s="82"/>
      <c r="WWO183" s="82"/>
      <c r="WWP183" s="82"/>
      <c r="WWQ183" s="82"/>
      <c r="WWR183" s="82"/>
      <c r="WWS183" s="82"/>
      <c r="WWT183" s="82"/>
      <c r="WWU183" s="82"/>
      <c r="WWV183" s="82"/>
      <c r="WWW183" s="82"/>
      <c r="WWX183" s="82"/>
      <c r="WWY183" s="82"/>
      <c r="WWZ183" s="82"/>
      <c r="WXA183" s="82"/>
      <c r="WXB183" s="82"/>
      <c r="WXC183" s="82"/>
      <c r="WXD183" s="82"/>
      <c r="WXE183" s="82"/>
      <c r="WXF183" s="82"/>
      <c r="WXG183" s="82"/>
      <c r="WXH183" s="82"/>
      <c r="WXI183" s="82"/>
      <c r="WXJ183" s="82"/>
      <c r="WXK183" s="82"/>
      <c r="WXL183" s="82"/>
      <c r="WXM183" s="82"/>
      <c r="WXN183" s="82"/>
      <c r="WXO183" s="82"/>
      <c r="WXP183" s="82"/>
      <c r="WXQ183" s="82"/>
      <c r="WXR183" s="82"/>
      <c r="WXS183" s="82"/>
      <c r="WXT183" s="82"/>
      <c r="WXU183" s="82"/>
      <c r="WXV183" s="82"/>
      <c r="WXW183" s="82"/>
      <c r="WXX183" s="82"/>
      <c r="WXY183" s="82"/>
      <c r="WXZ183" s="82"/>
      <c r="WYA183" s="82"/>
      <c r="WYB183" s="82"/>
      <c r="WYC183" s="82"/>
      <c r="WYD183" s="82"/>
      <c r="WYE183" s="82"/>
      <c r="WYF183" s="82"/>
      <c r="WYG183" s="82"/>
      <c r="WYH183" s="82"/>
      <c r="WYI183" s="82"/>
      <c r="WYJ183" s="82"/>
      <c r="WYK183" s="82"/>
      <c r="WYL183" s="82"/>
      <c r="WYM183" s="82"/>
      <c r="WYN183" s="82"/>
      <c r="WYO183" s="82"/>
      <c r="WYP183" s="82"/>
      <c r="WYQ183" s="82"/>
      <c r="WYR183" s="82"/>
      <c r="WYS183" s="82"/>
      <c r="WYT183" s="82"/>
      <c r="WYU183" s="82"/>
      <c r="WYV183" s="82"/>
      <c r="WYW183" s="82"/>
      <c r="WYX183" s="82"/>
      <c r="WYY183" s="82"/>
      <c r="WYZ183" s="82"/>
      <c r="WZA183" s="82"/>
      <c r="WZB183" s="82"/>
      <c r="WZC183" s="82"/>
      <c r="WZD183" s="82"/>
      <c r="WZE183" s="82"/>
      <c r="WZF183" s="82"/>
      <c r="WZG183" s="82"/>
      <c r="WZH183" s="82"/>
      <c r="WZI183" s="82"/>
      <c r="WZJ183" s="82"/>
      <c r="WZK183" s="82"/>
      <c r="WZL183" s="82"/>
      <c r="WZM183" s="82"/>
      <c r="WZN183" s="82"/>
      <c r="WZO183" s="82"/>
      <c r="WZP183" s="82"/>
      <c r="WZQ183" s="82"/>
      <c r="WZR183" s="82"/>
      <c r="WZS183" s="82"/>
      <c r="WZT183" s="82"/>
      <c r="WZU183" s="82"/>
      <c r="WZV183" s="82"/>
      <c r="WZW183" s="82"/>
      <c r="WZX183" s="82"/>
      <c r="WZY183" s="82"/>
      <c r="WZZ183" s="82"/>
      <c r="XAA183" s="82"/>
      <c r="XAB183" s="82"/>
      <c r="XAC183" s="82"/>
      <c r="XAD183" s="82"/>
      <c r="XAE183" s="82"/>
      <c r="XAF183" s="82"/>
      <c r="XAG183" s="82"/>
      <c r="XAH183" s="82"/>
      <c r="XAI183" s="82"/>
      <c r="XAJ183" s="82"/>
      <c r="XAK183" s="82"/>
      <c r="XAL183" s="82"/>
      <c r="XAM183" s="82"/>
      <c r="XAN183" s="82"/>
      <c r="XAO183" s="82"/>
      <c r="XAP183" s="82"/>
      <c r="XAQ183" s="82"/>
      <c r="XAR183" s="82"/>
      <c r="XAS183" s="82"/>
      <c r="XAT183" s="82"/>
      <c r="XAU183" s="82"/>
      <c r="XAV183" s="82"/>
      <c r="XAW183" s="82"/>
      <c r="XAX183" s="82"/>
      <c r="XAY183" s="82"/>
      <c r="XAZ183" s="82"/>
      <c r="XBA183" s="82"/>
      <c r="XBB183" s="82"/>
      <c r="XBC183" s="82"/>
      <c r="XBD183" s="82"/>
      <c r="XBE183" s="82"/>
      <c r="XBF183" s="82"/>
      <c r="XBG183" s="82"/>
      <c r="XBH183" s="82"/>
      <c r="XBI183" s="82"/>
      <c r="XBJ183" s="82"/>
      <c r="XBK183" s="82"/>
      <c r="XBL183" s="82"/>
      <c r="XBM183" s="82"/>
      <c r="XBN183" s="82"/>
      <c r="XBO183" s="82"/>
      <c r="XBP183" s="82"/>
      <c r="XBQ183" s="82"/>
      <c r="XBR183" s="82"/>
      <c r="XBS183" s="82"/>
      <c r="XBT183" s="82"/>
      <c r="XBU183" s="82"/>
      <c r="XBV183" s="82"/>
      <c r="XBW183" s="82"/>
      <c r="XBX183" s="82"/>
      <c r="XBY183" s="82"/>
      <c r="XBZ183" s="82"/>
      <c r="XCA183" s="82"/>
      <c r="XCB183" s="82"/>
      <c r="XCC183" s="82"/>
      <c r="XCD183" s="82"/>
      <c r="XCE183" s="82"/>
      <c r="XCF183" s="82"/>
      <c r="XCG183" s="82"/>
      <c r="XCH183" s="82"/>
      <c r="XCI183" s="82"/>
      <c r="XCJ183" s="82"/>
      <c r="XCK183" s="82"/>
      <c r="XCL183" s="82"/>
      <c r="XCM183" s="82"/>
      <c r="XCN183" s="82"/>
      <c r="XCO183" s="82"/>
      <c r="XCP183" s="82"/>
      <c r="XCQ183" s="82"/>
      <c r="XCR183" s="82"/>
      <c r="XCS183" s="82"/>
      <c r="XCT183" s="82"/>
      <c r="XCU183" s="82"/>
      <c r="XCV183" s="82"/>
      <c r="XCW183" s="82"/>
      <c r="XCX183" s="82"/>
      <c r="XCY183" s="82"/>
      <c r="XCZ183" s="82"/>
      <c r="XDA183" s="82"/>
      <c r="XDB183" s="82"/>
      <c r="XDC183" s="82"/>
      <c r="XDD183" s="82"/>
      <c r="XDE183" s="82"/>
      <c r="XDF183" s="82"/>
      <c r="XDG183" s="82"/>
      <c r="XDH183" s="82"/>
      <c r="XDI183" s="82"/>
      <c r="XDJ183" s="82"/>
      <c r="XDK183" s="82"/>
      <c r="XDL183" s="82"/>
      <c r="XDM183" s="82"/>
      <c r="XDN183" s="82"/>
      <c r="XDO183" s="82"/>
      <c r="XDP183" s="82"/>
      <c r="XDQ183" s="82"/>
      <c r="XDR183" s="82"/>
      <c r="XDS183" s="82"/>
      <c r="XDT183" s="82"/>
      <c r="XDU183" s="82"/>
      <c r="XDV183" s="82"/>
      <c r="XDW183" s="82"/>
      <c r="XDX183" s="82"/>
      <c r="XDY183" s="82"/>
      <c r="XDZ183" s="82"/>
      <c r="XEA183" s="82"/>
      <c r="XEB183" s="82"/>
      <c r="XEC183" s="82"/>
      <c r="XED183" s="82"/>
      <c r="XEE183" s="82"/>
      <c r="XEF183" s="82"/>
      <c r="XEG183" s="82"/>
      <c r="XEH183" s="82"/>
      <c r="XEI183" s="82"/>
      <c r="XEJ183" s="82"/>
      <c r="XEK183" s="82"/>
      <c r="XEL183" s="82"/>
      <c r="XEM183" s="82"/>
      <c r="XEN183" s="82"/>
      <c r="XEO183" s="82"/>
      <c r="XEP183" s="82"/>
      <c r="XEQ183" s="82"/>
      <c r="XER183" s="82"/>
      <c r="XES183" s="82"/>
      <c r="XET183" s="82"/>
      <c r="XEU183" s="82"/>
      <c r="XEV183" s="82"/>
      <c r="XEW183" s="82"/>
      <c r="XEX183" s="82"/>
      <c r="XEY183" s="82"/>
      <c r="XEZ183" s="82"/>
      <c r="XFA183" s="82"/>
      <c r="XFB183" s="82"/>
      <c r="XFC183" s="82"/>
      <c r="XFD183" s="82"/>
    </row>
    <row r="184" spans="2:16384" ht="15" customHeight="1">
      <c r="B184" s="83"/>
      <c r="C184" s="83"/>
      <c r="D184" s="83"/>
      <c r="E184" s="323" t="str">
        <f>C176</f>
        <v>CO 1</v>
      </c>
      <c r="F184" s="324"/>
      <c r="G184" s="325">
        <f>IFERROR(SUM(D176:AB176)/COUNTIF(D176:AB176,"&gt;=0"),0)</f>
        <v>64.255639097744364</v>
      </c>
      <c r="H184" s="326"/>
      <c r="I184" s="322">
        <f t="shared" ref="I184:I188" si="33">IF(G184&gt;=$E$9,$D$9,IF(AND(G184&gt;=$E$10,G184&lt;$E$9),$D$10,IF(AND(G184&gt;=$E$11,G184&lt;$E$10),$D$11,IF(AND(G184&gt;=$E$12,G184&lt;$E$11),$D$12,IF(AND(G184&gt;=$E$13,G184&lt;$E$12),$D$13,0)))))</f>
        <v>3</v>
      </c>
      <c r="J184" s="322"/>
      <c r="L184" s="217">
        <f>IF($C$3=H219,   IF($H$3=I219,(J219*External!$I$184*0.01+K219*'2'!$O$184*0.01+L219*AssgQuiz!$H$174*0.01+M219*AssgQuiz!$H$175*0.01),   IF($H$3=I220,(J220*External!$I$184*0.01+K220*'2'!$O$184*0.01+L220*AssgQuiz!$H$174*0.01+M220*AssgQuiz!$H$175*0.01),   IF($H$3=I221,(J221*External!$I$184*0.01+K221*'2'!$O$184*0.01+L221*AssgQuiz!$H$174*0.01+M221*AssgQuiz!$H$175*0.01),   IF($H$3=I222,(J222*External!$I$184*0.01+K222*'2'!$O$184*0.01+L222*AssgQuiz!$H$174*0.01+M222*AssgQuiz!$H$175*0.01),0)))), IF($C$3=H226,   IF($H$3=I226,(J226*External!$I$184*0.01+K226*'2'!$O$184*0.01+L226*AssgQuiz!$H$174*0.01+M226*AssgQuiz!$H$175*0.01),   IF($H$3=I227,(J227*External!$I$184*0.01+K227*'2'!$O$184*0.01+L227*AssgQuiz!$H$174*0.01+M227*AssgQuiz!$H$175*0.01),   IF($H$3=I228,(J228*External!$I$184*0.01+K228*'2'!$O$184*0.01+L228*AssgQuiz!$H$174*0.01+M228*AssgQuiz!$H$175*0.01),   IF($H$3=I229,(J229*External!$I$184*0.01+K229*'2'!$O$184*0.01+L229*AssgQuiz!$H$174*0.01+M229*AssgQuiz!$H$175*0.01),0)))), IF($C$3=H233,   IF($H$3=I233,(J233*External!$I$184*0.01+K233*'2'!$O$184*0.01+L233*AssgQuiz!$H$174*0.01+M233*AssgQuiz!$H$175*0.01),   IF($H$3=I234,(J234*External!$I$184*0.01+K234*'2'!$O$184*0.01+L234*AssgQuiz!$H$174*0.01+M234*AssgQuiz!$H$175*0.01),   IF($H$3=I235,(J235*External!$I$184*0.01+K235*'2'!$O$184*0.01+L235*AssgQuiz!$H$174*0.01+M235*AssgQuiz!$H$175*0.01),   IF($H$3=I236,(J236*External!$I$184*0.01+K236*'2'!$O$184*0.01+L236*AssgQuiz!$H$174*0.01+M236*AssgQuiz!$H$175*0.01),0)))), IF($C$3=H240,   IF($H$3=I240,(J240*External!$I$184*0.01+K240*'2'!$O$184*0.01+L240*AssgQuiz!$H$174*0.01+M240*AssgQuiz!$H$175*0.01),   IF($H$3=I241,(J241*External!$I$184*0.01+K241*'2'!$O$184*0.01+L241*AssgQuiz!$H$174*0.01+M241*AssgQuiz!$H$175*0.01),   IF($H$3=I242,(J242*External!$I$184*0.01+K242*'2'!$O$184*0.01+L242*AssgQuiz!$H$174*0.01+M242*AssgQuiz!$H$175*0.01),   IF($H$3=I243,(J243*External!$I$184*0.01+K243*'2'!$O$184*0.01+L243*AssgQuiz!$H$174*0.01+M243*AssgQuiz!$H$175*0.01),0))))))))</f>
        <v>3</v>
      </c>
      <c r="M184" s="82"/>
      <c r="N184" s="82"/>
      <c r="O184" s="82"/>
      <c r="P184" s="82"/>
      <c r="Q184" s="82"/>
      <c r="W184" s="82"/>
      <c r="X184" s="82"/>
      <c r="Y184" s="82"/>
      <c r="Z184" s="82"/>
      <c r="AA184" s="82"/>
      <c r="AB184" s="82"/>
      <c r="AC184" s="82"/>
      <c r="AD184" s="82"/>
      <c r="AE184" s="82"/>
      <c r="AF184" s="82"/>
      <c r="AG184" s="82"/>
      <c r="AH184" s="82"/>
      <c r="AI184" s="82"/>
      <c r="AJ184" s="82"/>
      <c r="AK184" s="82"/>
      <c r="AL184" s="82"/>
      <c r="AM184" s="82"/>
      <c r="AN184" s="82"/>
      <c r="AO184" s="82"/>
      <c r="AP184" s="82"/>
      <c r="AQ184" s="82"/>
      <c r="AR184" s="82"/>
      <c r="AS184" s="82"/>
      <c r="AT184" s="82"/>
      <c r="AU184" s="82"/>
      <c r="AV184" s="82"/>
      <c r="AW184" s="82"/>
      <c r="AX184" s="82"/>
      <c r="AY184" s="82"/>
      <c r="AZ184" s="82"/>
      <c r="BA184" s="82"/>
      <c r="BB184" s="82"/>
      <c r="BC184" s="82"/>
      <c r="BD184" s="82"/>
      <c r="BE184" s="82"/>
      <c r="BF184" s="82"/>
      <c r="BG184" s="82"/>
      <c r="BH184" s="82"/>
      <c r="BI184" s="82"/>
      <c r="BJ184" s="82"/>
      <c r="BK184" s="82"/>
      <c r="BL184" s="82"/>
      <c r="BM184" s="82"/>
      <c r="BN184" s="82"/>
      <c r="BO184" s="82"/>
      <c r="BP184" s="82"/>
      <c r="BQ184" s="82"/>
      <c r="BR184" s="82"/>
      <c r="BS184" s="82"/>
      <c r="BT184" s="82"/>
      <c r="BU184" s="82"/>
      <c r="BV184" s="82"/>
      <c r="BW184" s="82"/>
      <c r="BX184" s="82"/>
      <c r="BY184" s="82"/>
      <c r="BZ184" s="82"/>
      <c r="CA184" s="82"/>
      <c r="CB184" s="82"/>
      <c r="CC184" s="82"/>
      <c r="CD184" s="82"/>
      <c r="CE184" s="82"/>
      <c r="CF184" s="82"/>
      <c r="CG184" s="82"/>
      <c r="CH184" s="82"/>
      <c r="CI184" s="82"/>
      <c r="CJ184" s="82"/>
      <c r="CK184" s="82"/>
      <c r="CL184" s="82"/>
      <c r="CM184" s="82"/>
      <c r="CN184" s="82"/>
      <c r="CO184" s="82"/>
      <c r="CP184" s="82"/>
      <c r="CQ184" s="82"/>
      <c r="CR184" s="82"/>
      <c r="CS184" s="82"/>
      <c r="CT184" s="82"/>
      <c r="CU184" s="82"/>
      <c r="CV184" s="82"/>
      <c r="CW184" s="82"/>
      <c r="CX184" s="82"/>
      <c r="CY184" s="82"/>
      <c r="CZ184" s="82"/>
      <c r="DA184" s="82"/>
      <c r="DB184" s="82"/>
      <c r="DC184" s="82"/>
      <c r="DD184" s="82"/>
      <c r="DE184" s="82"/>
      <c r="DF184" s="82"/>
      <c r="DG184" s="82"/>
      <c r="DH184" s="82"/>
      <c r="DI184" s="82"/>
      <c r="DJ184" s="82"/>
      <c r="DK184" s="82"/>
      <c r="DL184" s="82"/>
      <c r="DM184" s="82"/>
      <c r="DN184" s="82"/>
      <c r="DO184" s="82"/>
      <c r="DP184" s="82"/>
      <c r="DQ184" s="82"/>
      <c r="DR184" s="82"/>
      <c r="DS184" s="82"/>
      <c r="DT184" s="82"/>
      <c r="DU184" s="82"/>
      <c r="DV184" s="82"/>
      <c r="DW184" s="82"/>
      <c r="DX184" s="82"/>
      <c r="DY184" s="82"/>
      <c r="DZ184" s="82"/>
      <c r="EA184" s="82"/>
      <c r="EB184" s="82"/>
      <c r="EC184" s="82"/>
      <c r="ED184" s="82"/>
      <c r="EE184" s="82"/>
      <c r="EF184" s="82"/>
      <c r="EG184" s="82"/>
      <c r="EH184" s="82"/>
      <c r="EI184" s="82"/>
      <c r="EJ184" s="82"/>
      <c r="EK184" s="82"/>
      <c r="EL184" s="82"/>
      <c r="EM184" s="82"/>
      <c r="EN184" s="82"/>
      <c r="EO184" s="82"/>
      <c r="EP184" s="82"/>
      <c r="EQ184" s="82"/>
      <c r="ER184" s="82"/>
      <c r="ES184" s="82"/>
      <c r="ET184" s="82"/>
      <c r="EU184" s="82"/>
      <c r="EV184" s="82"/>
      <c r="EW184" s="82"/>
      <c r="EX184" s="82"/>
      <c r="EY184" s="82"/>
      <c r="EZ184" s="82"/>
      <c r="FA184" s="82"/>
      <c r="FB184" s="82"/>
      <c r="FC184" s="82"/>
      <c r="FD184" s="82"/>
      <c r="FE184" s="82"/>
      <c r="FF184" s="82"/>
      <c r="FG184" s="82"/>
      <c r="FH184" s="82"/>
      <c r="FI184" s="82"/>
      <c r="FJ184" s="82"/>
      <c r="FK184" s="82"/>
      <c r="FL184" s="82"/>
      <c r="FM184" s="82"/>
      <c r="FN184" s="82"/>
      <c r="FO184" s="82"/>
      <c r="FP184" s="82"/>
      <c r="FQ184" s="82"/>
      <c r="FR184" s="82"/>
      <c r="FS184" s="82"/>
      <c r="FT184" s="82"/>
      <c r="FU184" s="82"/>
      <c r="FV184" s="82"/>
      <c r="FW184" s="82"/>
      <c r="FX184" s="82"/>
      <c r="FY184" s="82"/>
      <c r="FZ184" s="82"/>
      <c r="GA184" s="82"/>
      <c r="GB184" s="82"/>
      <c r="GC184" s="82"/>
      <c r="GD184" s="82"/>
      <c r="GE184" s="82"/>
      <c r="GF184" s="82"/>
      <c r="GG184" s="82"/>
      <c r="GH184" s="82"/>
      <c r="GI184" s="82"/>
      <c r="GJ184" s="82"/>
      <c r="GK184" s="82"/>
      <c r="GL184" s="82"/>
      <c r="GM184" s="82"/>
      <c r="GN184" s="82"/>
      <c r="GO184" s="82"/>
      <c r="GP184" s="82"/>
      <c r="GQ184" s="82"/>
      <c r="GR184" s="82"/>
      <c r="GS184" s="82"/>
      <c r="GT184" s="82"/>
      <c r="GU184" s="82"/>
      <c r="GV184" s="82"/>
      <c r="GW184" s="82"/>
      <c r="GX184" s="82"/>
      <c r="GY184" s="82"/>
      <c r="GZ184" s="82"/>
      <c r="HA184" s="82"/>
      <c r="HB184" s="82"/>
      <c r="HC184" s="82"/>
      <c r="HD184" s="82"/>
      <c r="HE184" s="82"/>
      <c r="HF184" s="82"/>
      <c r="HG184" s="82"/>
      <c r="HH184" s="82"/>
      <c r="HI184" s="82"/>
      <c r="HJ184" s="82"/>
      <c r="HK184" s="82"/>
      <c r="HL184" s="82"/>
      <c r="HM184" s="82"/>
      <c r="HN184" s="82"/>
      <c r="HO184" s="82"/>
      <c r="HP184" s="82"/>
      <c r="HQ184" s="82"/>
      <c r="HR184" s="82"/>
      <c r="HS184" s="82"/>
      <c r="HT184" s="82"/>
      <c r="HU184" s="82"/>
      <c r="HV184" s="82"/>
      <c r="HW184" s="82"/>
      <c r="HX184" s="82"/>
      <c r="HY184" s="82"/>
      <c r="HZ184" s="82"/>
      <c r="IA184" s="82"/>
      <c r="IB184" s="82"/>
      <c r="IC184" s="82"/>
      <c r="ID184" s="82"/>
      <c r="IE184" s="82"/>
      <c r="IF184" s="82"/>
      <c r="IG184" s="82"/>
      <c r="IH184" s="82"/>
      <c r="II184" s="82"/>
      <c r="IJ184" s="82"/>
      <c r="IK184" s="82"/>
      <c r="IL184" s="82"/>
      <c r="IM184" s="82"/>
      <c r="IN184" s="82"/>
      <c r="IO184" s="82"/>
      <c r="IP184" s="82"/>
      <c r="IQ184" s="82"/>
      <c r="IR184" s="82"/>
      <c r="IS184" s="82"/>
      <c r="IT184" s="82"/>
      <c r="IU184" s="82"/>
      <c r="IV184" s="82"/>
      <c r="IW184" s="82"/>
      <c r="IX184" s="82"/>
      <c r="IY184" s="82"/>
      <c r="IZ184" s="82"/>
      <c r="JA184" s="82"/>
      <c r="JB184" s="82"/>
      <c r="JC184" s="82"/>
      <c r="JD184" s="82"/>
      <c r="JE184" s="82"/>
      <c r="JF184" s="82"/>
      <c r="JG184" s="82"/>
      <c r="JH184" s="82"/>
      <c r="JI184" s="82"/>
      <c r="JJ184" s="82"/>
      <c r="JK184" s="82"/>
      <c r="JL184" s="82"/>
      <c r="JM184" s="82"/>
      <c r="JN184" s="82"/>
      <c r="JO184" s="82"/>
      <c r="JP184" s="82"/>
      <c r="JQ184" s="82"/>
      <c r="JR184" s="82"/>
      <c r="JS184" s="82"/>
      <c r="JT184" s="82"/>
      <c r="JU184" s="82"/>
      <c r="JV184" s="82"/>
      <c r="JW184" s="82"/>
      <c r="JX184" s="82"/>
      <c r="JY184" s="82"/>
      <c r="JZ184" s="82"/>
      <c r="KA184" s="82"/>
      <c r="KB184" s="82"/>
      <c r="KC184" s="82"/>
      <c r="KD184" s="82"/>
      <c r="KE184" s="82"/>
      <c r="KF184" s="82"/>
      <c r="KG184" s="82"/>
      <c r="KH184" s="82"/>
      <c r="KI184" s="82"/>
      <c r="KJ184" s="82"/>
      <c r="KK184" s="82"/>
      <c r="KL184" s="82"/>
      <c r="KM184" s="82"/>
      <c r="KN184" s="82"/>
      <c r="KO184" s="82"/>
      <c r="KP184" s="82"/>
      <c r="KQ184" s="82"/>
      <c r="KR184" s="82"/>
      <c r="KS184" s="82"/>
      <c r="KT184" s="82"/>
      <c r="KU184" s="82"/>
      <c r="KV184" s="82"/>
      <c r="KW184" s="82"/>
      <c r="KX184" s="82"/>
      <c r="KY184" s="82"/>
      <c r="KZ184" s="82"/>
      <c r="LA184" s="82"/>
      <c r="LB184" s="82"/>
      <c r="LC184" s="82"/>
      <c r="LD184" s="82"/>
      <c r="LE184" s="82"/>
      <c r="LF184" s="82"/>
      <c r="LG184" s="82"/>
      <c r="LH184" s="82"/>
      <c r="LI184" s="82"/>
      <c r="LJ184" s="82"/>
      <c r="LK184" s="82"/>
      <c r="LL184" s="82"/>
      <c r="LM184" s="82"/>
      <c r="LN184" s="82"/>
      <c r="LO184" s="82"/>
      <c r="LP184" s="82"/>
      <c r="LQ184" s="82"/>
      <c r="LR184" s="82"/>
      <c r="LS184" s="82"/>
      <c r="LT184" s="82"/>
      <c r="LU184" s="82"/>
      <c r="LV184" s="82"/>
      <c r="LW184" s="82"/>
      <c r="LX184" s="82"/>
      <c r="LY184" s="82"/>
      <c r="LZ184" s="82"/>
      <c r="MA184" s="82"/>
      <c r="MB184" s="82"/>
      <c r="MC184" s="82"/>
      <c r="MD184" s="82"/>
      <c r="ME184" s="82"/>
      <c r="MF184" s="82"/>
      <c r="MG184" s="82"/>
      <c r="MH184" s="82"/>
      <c r="MI184" s="82"/>
      <c r="MJ184" s="82"/>
      <c r="MK184" s="82"/>
      <c r="ML184" s="82"/>
      <c r="MM184" s="82"/>
      <c r="MN184" s="82"/>
      <c r="MO184" s="82"/>
      <c r="MP184" s="82"/>
      <c r="MQ184" s="82"/>
      <c r="MR184" s="82"/>
      <c r="MS184" s="82"/>
      <c r="MT184" s="82"/>
      <c r="MU184" s="82"/>
      <c r="MV184" s="82"/>
      <c r="MW184" s="82"/>
      <c r="MX184" s="82"/>
      <c r="MY184" s="82"/>
      <c r="MZ184" s="82"/>
      <c r="NA184" s="82"/>
      <c r="NB184" s="82"/>
      <c r="NC184" s="82"/>
      <c r="ND184" s="82"/>
      <c r="NE184" s="82"/>
      <c r="NF184" s="82"/>
      <c r="NG184" s="82"/>
      <c r="NH184" s="82"/>
      <c r="NI184" s="82"/>
      <c r="NJ184" s="82"/>
      <c r="NK184" s="82"/>
      <c r="NL184" s="82"/>
      <c r="NM184" s="82"/>
      <c r="NN184" s="82"/>
      <c r="NO184" s="82"/>
      <c r="NP184" s="82"/>
      <c r="NQ184" s="82"/>
      <c r="NR184" s="82"/>
      <c r="NS184" s="82"/>
      <c r="NT184" s="82"/>
      <c r="NU184" s="82"/>
      <c r="NV184" s="82"/>
      <c r="NW184" s="82"/>
      <c r="NX184" s="82"/>
      <c r="NY184" s="82"/>
      <c r="NZ184" s="82"/>
      <c r="OA184" s="82"/>
      <c r="OB184" s="82"/>
      <c r="OC184" s="82"/>
      <c r="OD184" s="82"/>
      <c r="OE184" s="82"/>
      <c r="OF184" s="82"/>
      <c r="OG184" s="82"/>
      <c r="OH184" s="82"/>
      <c r="OI184" s="82"/>
      <c r="OJ184" s="82"/>
      <c r="OK184" s="82"/>
      <c r="OL184" s="82"/>
      <c r="OM184" s="82"/>
      <c r="ON184" s="82"/>
      <c r="OO184" s="82"/>
      <c r="OP184" s="82"/>
      <c r="OQ184" s="82"/>
      <c r="OR184" s="82"/>
      <c r="OS184" s="82"/>
      <c r="OT184" s="82"/>
      <c r="OU184" s="82"/>
      <c r="OV184" s="82"/>
      <c r="OW184" s="82"/>
      <c r="OX184" s="82"/>
      <c r="OY184" s="82"/>
      <c r="OZ184" s="82"/>
      <c r="PA184" s="82"/>
      <c r="PB184" s="82"/>
      <c r="PC184" s="82"/>
      <c r="PD184" s="82"/>
      <c r="PE184" s="82"/>
      <c r="PF184" s="82"/>
      <c r="PG184" s="82"/>
      <c r="PH184" s="82"/>
      <c r="PI184" s="82"/>
      <c r="PJ184" s="82"/>
      <c r="PK184" s="82"/>
      <c r="PL184" s="82"/>
      <c r="PM184" s="82"/>
      <c r="PN184" s="82"/>
      <c r="PO184" s="82"/>
      <c r="PP184" s="82"/>
      <c r="PQ184" s="82"/>
      <c r="PR184" s="82"/>
      <c r="PS184" s="82"/>
      <c r="PT184" s="82"/>
      <c r="PU184" s="82"/>
      <c r="PV184" s="82"/>
      <c r="PW184" s="82"/>
      <c r="PX184" s="82"/>
      <c r="PY184" s="82"/>
      <c r="PZ184" s="82"/>
      <c r="QA184" s="82"/>
      <c r="QB184" s="82"/>
      <c r="QC184" s="82"/>
      <c r="QD184" s="82"/>
      <c r="QE184" s="82"/>
      <c r="QF184" s="82"/>
      <c r="QG184" s="82"/>
      <c r="QH184" s="82"/>
      <c r="QI184" s="82"/>
      <c r="QJ184" s="82"/>
      <c r="QK184" s="82"/>
      <c r="QL184" s="82"/>
      <c r="QM184" s="82"/>
      <c r="QN184" s="82"/>
      <c r="QO184" s="82"/>
      <c r="QP184" s="82"/>
      <c r="QQ184" s="82"/>
      <c r="QR184" s="82"/>
      <c r="QS184" s="82"/>
      <c r="QT184" s="82"/>
      <c r="QU184" s="82"/>
      <c r="QV184" s="82"/>
      <c r="QW184" s="82"/>
      <c r="QX184" s="82"/>
      <c r="QY184" s="82"/>
      <c r="QZ184" s="82"/>
      <c r="RA184" s="82"/>
      <c r="RB184" s="82"/>
      <c r="RC184" s="82"/>
      <c r="RD184" s="82"/>
      <c r="RE184" s="82"/>
      <c r="RF184" s="82"/>
      <c r="RG184" s="82"/>
      <c r="RH184" s="82"/>
      <c r="RI184" s="82"/>
      <c r="RJ184" s="82"/>
      <c r="RK184" s="82"/>
      <c r="RL184" s="82"/>
      <c r="RM184" s="82"/>
      <c r="RN184" s="82"/>
      <c r="RO184" s="82"/>
      <c r="RP184" s="82"/>
      <c r="RQ184" s="82"/>
      <c r="RR184" s="82"/>
      <c r="RS184" s="82"/>
      <c r="RT184" s="82"/>
      <c r="RU184" s="82"/>
      <c r="RV184" s="82"/>
      <c r="RW184" s="82"/>
      <c r="RX184" s="82"/>
      <c r="RY184" s="82"/>
      <c r="RZ184" s="82"/>
      <c r="SA184" s="82"/>
      <c r="SB184" s="82"/>
      <c r="SC184" s="82"/>
      <c r="SD184" s="82"/>
      <c r="SE184" s="82"/>
      <c r="SF184" s="82"/>
      <c r="SG184" s="82"/>
      <c r="SH184" s="82"/>
      <c r="SI184" s="82"/>
      <c r="SJ184" s="82"/>
      <c r="SK184" s="82"/>
      <c r="SL184" s="82"/>
      <c r="SM184" s="82"/>
      <c r="SN184" s="82"/>
      <c r="SO184" s="82"/>
      <c r="SP184" s="82"/>
      <c r="SQ184" s="82"/>
      <c r="SR184" s="82"/>
      <c r="SS184" s="82"/>
      <c r="ST184" s="82"/>
      <c r="SU184" s="82"/>
      <c r="SV184" s="82"/>
      <c r="SW184" s="82"/>
      <c r="SX184" s="82"/>
      <c r="SY184" s="82"/>
      <c r="SZ184" s="82"/>
      <c r="TA184" s="82"/>
      <c r="TB184" s="82"/>
      <c r="TC184" s="82"/>
      <c r="TD184" s="82"/>
      <c r="TE184" s="82"/>
      <c r="TF184" s="82"/>
      <c r="TG184" s="82"/>
      <c r="TH184" s="82"/>
      <c r="TI184" s="82"/>
      <c r="TJ184" s="82"/>
      <c r="TK184" s="82"/>
      <c r="TL184" s="82"/>
      <c r="TM184" s="82"/>
      <c r="TN184" s="82"/>
      <c r="TO184" s="82"/>
      <c r="TP184" s="82"/>
      <c r="TQ184" s="82"/>
      <c r="TR184" s="82"/>
      <c r="TS184" s="82"/>
      <c r="TT184" s="82"/>
      <c r="TU184" s="82"/>
      <c r="TV184" s="82"/>
      <c r="TW184" s="82"/>
      <c r="TX184" s="82"/>
      <c r="TY184" s="82"/>
      <c r="TZ184" s="82"/>
      <c r="UA184" s="82"/>
      <c r="UB184" s="82"/>
      <c r="UC184" s="82"/>
      <c r="UD184" s="82"/>
      <c r="UE184" s="82"/>
      <c r="UF184" s="82"/>
      <c r="UG184" s="82"/>
      <c r="UH184" s="82"/>
      <c r="UI184" s="82"/>
      <c r="UJ184" s="82"/>
      <c r="UK184" s="82"/>
      <c r="UL184" s="82"/>
      <c r="UM184" s="82"/>
      <c r="UN184" s="82"/>
      <c r="UO184" s="82"/>
      <c r="UP184" s="82"/>
      <c r="UQ184" s="82"/>
      <c r="UR184" s="82"/>
      <c r="US184" s="82"/>
      <c r="UT184" s="82"/>
      <c r="UU184" s="82"/>
      <c r="UV184" s="82"/>
      <c r="UW184" s="82"/>
      <c r="UX184" s="82"/>
      <c r="UY184" s="82"/>
      <c r="UZ184" s="82"/>
      <c r="VA184" s="82"/>
      <c r="VB184" s="82"/>
      <c r="VC184" s="82"/>
      <c r="VD184" s="82"/>
      <c r="VE184" s="82"/>
      <c r="VF184" s="82"/>
      <c r="VG184" s="82"/>
      <c r="VH184" s="82"/>
      <c r="VI184" s="82"/>
      <c r="VJ184" s="82"/>
      <c r="VK184" s="82"/>
      <c r="VL184" s="82"/>
      <c r="VM184" s="82"/>
      <c r="VN184" s="82"/>
      <c r="VO184" s="82"/>
      <c r="VP184" s="82"/>
      <c r="VQ184" s="82"/>
      <c r="VR184" s="82"/>
      <c r="VS184" s="82"/>
      <c r="VT184" s="82"/>
      <c r="VU184" s="82"/>
      <c r="VV184" s="82"/>
      <c r="VW184" s="82"/>
      <c r="VX184" s="82"/>
      <c r="VY184" s="82"/>
      <c r="VZ184" s="82"/>
      <c r="WA184" s="82"/>
      <c r="WB184" s="82"/>
      <c r="WC184" s="82"/>
      <c r="WD184" s="82"/>
      <c r="WE184" s="82"/>
      <c r="WF184" s="82"/>
      <c r="WG184" s="82"/>
      <c r="WH184" s="82"/>
      <c r="WI184" s="82"/>
      <c r="WJ184" s="82"/>
      <c r="WK184" s="82"/>
      <c r="WL184" s="82"/>
      <c r="WM184" s="82"/>
      <c r="WN184" s="82"/>
      <c r="WO184" s="82"/>
      <c r="WP184" s="82"/>
      <c r="WQ184" s="82"/>
      <c r="WR184" s="82"/>
      <c r="WS184" s="82"/>
      <c r="WT184" s="82"/>
      <c r="WU184" s="82"/>
      <c r="WV184" s="82"/>
      <c r="WW184" s="82"/>
      <c r="WX184" s="82"/>
      <c r="WY184" s="82"/>
      <c r="WZ184" s="82"/>
      <c r="XA184" s="82"/>
      <c r="XB184" s="82"/>
      <c r="XC184" s="82"/>
      <c r="XD184" s="82"/>
      <c r="XE184" s="82"/>
      <c r="XF184" s="82"/>
      <c r="XG184" s="82"/>
      <c r="XH184" s="82"/>
      <c r="XI184" s="82"/>
      <c r="XJ184" s="82"/>
      <c r="XK184" s="82"/>
      <c r="XL184" s="82"/>
      <c r="XM184" s="82"/>
      <c r="XN184" s="82"/>
      <c r="XO184" s="82"/>
      <c r="XP184" s="82"/>
      <c r="XQ184" s="82"/>
      <c r="XR184" s="82"/>
      <c r="XS184" s="82"/>
      <c r="XT184" s="82"/>
      <c r="XU184" s="82"/>
      <c r="XV184" s="82"/>
      <c r="XW184" s="82"/>
      <c r="XX184" s="82"/>
      <c r="XY184" s="82"/>
      <c r="XZ184" s="82"/>
      <c r="YA184" s="82"/>
      <c r="YB184" s="82"/>
      <c r="YC184" s="82"/>
      <c r="YD184" s="82"/>
      <c r="YE184" s="82"/>
      <c r="YF184" s="82"/>
      <c r="YG184" s="82"/>
      <c r="YH184" s="82"/>
      <c r="YI184" s="82"/>
      <c r="YJ184" s="82"/>
      <c r="YK184" s="82"/>
      <c r="YL184" s="82"/>
      <c r="YM184" s="82"/>
      <c r="YN184" s="82"/>
      <c r="YO184" s="82"/>
      <c r="YP184" s="82"/>
      <c r="YQ184" s="82"/>
      <c r="YR184" s="82"/>
      <c r="YS184" s="82"/>
      <c r="YT184" s="82"/>
      <c r="YU184" s="82"/>
      <c r="YV184" s="82"/>
      <c r="YW184" s="82"/>
      <c r="YX184" s="82"/>
      <c r="YY184" s="82"/>
      <c r="YZ184" s="82"/>
      <c r="ZA184" s="82"/>
      <c r="ZB184" s="82"/>
      <c r="ZC184" s="82"/>
      <c r="ZD184" s="82"/>
      <c r="ZE184" s="82"/>
      <c r="ZF184" s="82"/>
      <c r="ZG184" s="82"/>
      <c r="ZH184" s="82"/>
      <c r="ZI184" s="82"/>
      <c r="ZJ184" s="82"/>
      <c r="ZK184" s="82"/>
      <c r="ZL184" s="82"/>
      <c r="ZM184" s="82"/>
      <c r="ZN184" s="82"/>
      <c r="ZO184" s="82"/>
      <c r="ZP184" s="82"/>
      <c r="ZQ184" s="82"/>
      <c r="ZR184" s="82"/>
      <c r="ZS184" s="82"/>
      <c r="ZT184" s="82"/>
      <c r="ZU184" s="82"/>
      <c r="ZV184" s="82"/>
      <c r="ZW184" s="82"/>
      <c r="ZX184" s="82"/>
      <c r="ZY184" s="82"/>
      <c r="ZZ184" s="82"/>
      <c r="AAA184" s="82"/>
      <c r="AAB184" s="82"/>
      <c r="AAC184" s="82"/>
      <c r="AAD184" s="82"/>
      <c r="AAE184" s="82"/>
      <c r="AAF184" s="82"/>
      <c r="AAG184" s="82"/>
      <c r="AAH184" s="82"/>
      <c r="AAI184" s="82"/>
      <c r="AAJ184" s="82"/>
      <c r="AAK184" s="82"/>
      <c r="AAL184" s="82"/>
      <c r="AAM184" s="82"/>
      <c r="AAN184" s="82"/>
      <c r="AAO184" s="82"/>
      <c r="AAP184" s="82"/>
      <c r="AAQ184" s="82"/>
      <c r="AAR184" s="82"/>
      <c r="AAS184" s="82"/>
      <c r="AAT184" s="82"/>
      <c r="AAU184" s="82"/>
      <c r="AAV184" s="82"/>
      <c r="AAW184" s="82"/>
      <c r="AAX184" s="82"/>
      <c r="AAY184" s="82"/>
      <c r="AAZ184" s="82"/>
      <c r="ABA184" s="82"/>
      <c r="ABB184" s="82"/>
      <c r="ABC184" s="82"/>
      <c r="ABD184" s="82"/>
      <c r="ABE184" s="82"/>
      <c r="ABF184" s="82"/>
      <c r="ABG184" s="82"/>
      <c r="ABH184" s="82"/>
      <c r="ABI184" s="82"/>
      <c r="ABJ184" s="82"/>
      <c r="ABK184" s="82"/>
      <c r="ABL184" s="82"/>
      <c r="ABM184" s="82"/>
      <c r="ABN184" s="82"/>
      <c r="ABO184" s="82"/>
      <c r="ABP184" s="82"/>
      <c r="ABQ184" s="82"/>
      <c r="ABR184" s="82"/>
      <c r="ABS184" s="82"/>
      <c r="ABT184" s="82"/>
      <c r="ABU184" s="82"/>
      <c r="ABV184" s="82"/>
      <c r="ABW184" s="82"/>
      <c r="ABX184" s="82"/>
      <c r="ABY184" s="82"/>
      <c r="ABZ184" s="82"/>
      <c r="ACA184" s="82"/>
      <c r="ACB184" s="82"/>
      <c r="ACC184" s="82"/>
      <c r="ACD184" s="82"/>
      <c r="ACE184" s="82"/>
      <c r="ACF184" s="82"/>
      <c r="ACG184" s="82"/>
      <c r="ACH184" s="82"/>
      <c r="ACI184" s="82"/>
      <c r="ACJ184" s="82"/>
      <c r="ACK184" s="82"/>
      <c r="ACL184" s="82"/>
      <c r="ACM184" s="82"/>
      <c r="ACN184" s="82"/>
      <c r="ACO184" s="82"/>
      <c r="ACP184" s="82"/>
      <c r="ACQ184" s="82"/>
      <c r="ACR184" s="82"/>
      <c r="ACS184" s="82"/>
      <c r="ACT184" s="82"/>
      <c r="ACU184" s="82"/>
      <c r="ACV184" s="82"/>
      <c r="ACW184" s="82"/>
      <c r="ACX184" s="82"/>
      <c r="ACY184" s="82"/>
      <c r="ACZ184" s="82"/>
      <c r="ADA184" s="82"/>
      <c r="ADB184" s="82"/>
      <c r="ADC184" s="82"/>
      <c r="ADD184" s="82"/>
      <c r="ADE184" s="82"/>
      <c r="ADF184" s="82"/>
      <c r="ADG184" s="82"/>
      <c r="ADH184" s="82"/>
      <c r="ADI184" s="82"/>
      <c r="ADJ184" s="82"/>
      <c r="ADK184" s="82"/>
      <c r="ADL184" s="82"/>
      <c r="ADM184" s="82"/>
      <c r="ADN184" s="82"/>
      <c r="ADO184" s="82"/>
      <c r="ADP184" s="82"/>
      <c r="ADQ184" s="82"/>
      <c r="ADR184" s="82"/>
      <c r="ADS184" s="82"/>
      <c r="ADT184" s="82"/>
      <c r="ADU184" s="82"/>
      <c r="ADV184" s="82"/>
      <c r="ADW184" s="82"/>
      <c r="ADX184" s="82"/>
      <c r="ADY184" s="82"/>
      <c r="ADZ184" s="82"/>
      <c r="AEA184" s="82"/>
      <c r="AEB184" s="82"/>
      <c r="AEC184" s="82"/>
      <c r="AED184" s="82"/>
      <c r="AEE184" s="82"/>
      <c r="AEF184" s="82"/>
      <c r="AEG184" s="82"/>
      <c r="AEH184" s="82"/>
      <c r="AEI184" s="82"/>
      <c r="AEJ184" s="82"/>
      <c r="AEK184" s="82"/>
      <c r="AEL184" s="82"/>
      <c r="AEM184" s="82"/>
      <c r="AEN184" s="82"/>
      <c r="AEO184" s="82"/>
      <c r="AEP184" s="82"/>
      <c r="AEQ184" s="82"/>
      <c r="AER184" s="82"/>
      <c r="AES184" s="82"/>
      <c r="AET184" s="82"/>
      <c r="AEU184" s="82"/>
      <c r="AEV184" s="82"/>
      <c r="AEW184" s="82"/>
      <c r="AEX184" s="82"/>
      <c r="AEY184" s="82"/>
      <c r="AEZ184" s="82"/>
      <c r="AFA184" s="82"/>
      <c r="AFB184" s="82"/>
      <c r="AFC184" s="82"/>
      <c r="AFD184" s="82"/>
      <c r="AFE184" s="82"/>
      <c r="AFF184" s="82"/>
      <c r="AFG184" s="82"/>
      <c r="AFH184" s="82"/>
      <c r="AFI184" s="82"/>
      <c r="AFJ184" s="82"/>
      <c r="AFK184" s="82"/>
      <c r="AFL184" s="82"/>
      <c r="AFM184" s="82"/>
      <c r="AFN184" s="82"/>
      <c r="AFO184" s="82"/>
      <c r="AFP184" s="82"/>
      <c r="AFQ184" s="82"/>
      <c r="AFR184" s="82"/>
      <c r="AFS184" s="82"/>
      <c r="AFT184" s="82"/>
      <c r="AFU184" s="82"/>
      <c r="AFV184" s="82"/>
      <c r="AFW184" s="82"/>
      <c r="AFX184" s="82"/>
      <c r="AFY184" s="82"/>
      <c r="AFZ184" s="82"/>
      <c r="AGA184" s="82"/>
      <c r="AGB184" s="82"/>
      <c r="AGC184" s="82"/>
      <c r="AGD184" s="82"/>
      <c r="AGE184" s="82"/>
      <c r="AGF184" s="82"/>
      <c r="AGG184" s="82"/>
      <c r="AGH184" s="82"/>
      <c r="AGI184" s="82"/>
      <c r="AGJ184" s="82"/>
      <c r="AGK184" s="82"/>
      <c r="AGL184" s="82"/>
      <c r="AGM184" s="82"/>
      <c r="AGN184" s="82"/>
      <c r="AGO184" s="82"/>
      <c r="AGP184" s="82"/>
      <c r="AGQ184" s="82"/>
      <c r="AGR184" s="82"/>
      <c r="AGS184" s="82"/>
      <c r="AGT184" s="82"/>
      <c r="AGU184" s="82"/>
      <c r="AGV184" s="82"/>
      <c r="AGW184" s="82"/>
      <c r="AGX184" s="82"/>
      <c r="AGY184" s="82"/>
      <c r="AGZ184" s="82"/>
      <c r="AHA184" s="82"/>
      <c r="AHB184" s="82"/>
      <c r="AHC184" s="82"/>
      <c r="AHD184" s="82"/>
      <c r="AHE184" s="82"/>
      <c r="AHF184" s="82"/>
      <c r="AHG184" s="82"/>
      <c r="AHH184" s="82"/>
      <c r="AHI184" s="82"/>
      <c r="AHJ184" s="82"/>
      <c r="AHK184" s="82"/>
      <c r="AHL184" s="82"/>
      <c r="AHM184" s="82"/>
      <c r="AHN184" s="82"/>
      <c r="AHO184" s="82"/>
      <c r="AHP184" s="82"/>
      <c r="AHQ184" s="82"/>
      <c r="AHR184" s="82"/>
      <c r="AHS184" s="82"/>
      <c r="AHT184" s="82"/>
      <c r="AHU184" s="82"/>
      <c r="AHV184" s="82"/>
      <c r="AHW184" s="82"/>
      <c r="AHX184" s="82"/>
      <c r="AHY184" s="82"/>
      <c r="AHZ184" s="82"/>
      <c r="AIA184" s="82"/>
      <c r="AIB184" s="82"/>
      <c r="AIC184" s="82"/>
      <c r="AID184" s="82"/>
      <c r="AIE184" s="82"/>
      <c r="AIF184" s="82"/>
      <c r="AIG184" s="82"/>
      <c r="AIH184" s="82"/>
      <c r="AII184" s="82"/>
      <c r="AIJ184" s="82"/>
      <c r="AIK184" s="82"/>
      <c r="AIL184" s="82"/>
      <c r="AIM184" s="82"/>
      <c r="AIN184" s="82"/>
      <c r="AIO184" s="82"/>
      <c r="AIP184" s="82"/>
      <c r="AIQ184" s="82"/>
      <c r="AIR184" s="82"/>
      <c r="AIS184" s="82"/>
      <c r="AIT184" s="82"/>
      <c r="AIU184" s="82"/>
      <c r="AIV184" s="82"/>
      <c r="AIW184" s="82"/>
      <c r="AIX184" s="82"/>
      <c r="AIY184" s="82"/>
      <c r="AIZ184" s="82"/>
      <c r="AJA184" s="82"/>
      <c r="AJB184" s="82"/>
      <c r="AJC184" s="82"/>
      <c r="AJD184" s="82"/>
      <c r="AJE184" s="82"/>
      <c r="AJF184" s="82"/>
      <c r="AJG184" s="82"/>
      <c r="AJH184" s="82"/>
      <c r="AJI184" s="82"/>
      <c r="AJJ184" s="82"/>
      <c r="AJK184" s="82"/>
      <c r="AJL184" s="82"/>
      <c r="AJM184" s="82"/>
      <c r="AJN184" s="82"/>
      <c r="AJO184" s="82"/>
      <c r="AJP184" s="82"/>
      <c r="AJQ184" s="82"/>
      <c r="AJR184" s="82"/>
      <c r="AJS184" s="82"/>
      <c r="AJT184" s="82"/>
      <c r="AJU184" s="82"/>
      <c r="AJV184" s="82"/>
      <c r="AJW184" s="82"/>
      <c r="AJX184" s="82"/>
      <c r="AJY184" s="82"/>
      <c r="AJZ184" s="82"/>
      <c r="AKA184" s="82"/>
      <c r="AKB184" s="82"/>
      <c r="AKC184" s="82"/>
      <c r="AKD184" s="82"/>
      <c r="AKE184" s="82"/>
      <c r="AKF184" s="82"/>
      <c r="AKG184" s="82"/>
      <c r="AKH184" s="82"/>
      <c r="AKI184" s="82"/>
      <c r="AKJ184" s="82"/>
      <c r="AKK184" s="82"/>
      <c r="AKL184" s="82"/>
      <c r="AKM184" s="82"/>
      <c r="AKN184" s="82"/>
      <c r="AKO184" s="82"/>
      <c r="AKP184" s="82"/>
      <c r="AKQ184" s="82"/>
      <c r="AKR184" s="82"/>
      <c r="AKS184" s="82"/>
      <c r="AKT184" s="82"/>
      <c r="AKU184" s="82"/>
      <c r="AKV184" s="82"/>
      <c r="AKW184" s="82"/>
      <c r="AKX184" s="82"/>
      <c r="AKY184" s="82"/>
      <c r="AKZ184" s="82"/>
      <c r="ALA184" s="82"/>
      <c r="ALB184" s="82"/>
      <c r="ALC184" s="82"/>
      <c r="ALD184" s="82"/>
      <c r="ALE184" s="82"/>
      <c r="ALF184" s="82"/>
      <c r="ALG184" s="82"/>
      <c r="ALH184" s="82"/>
      <c r="ALI184" s="82"/>
      <c r="ALJ184" s="82"/>
      <c r="ALK184" s="82"/>
      <c r="ALL184" s="82"/>
      <c r="ALM184" s="82"/>
      <c r="ALN184" s="82"/>
      <c r="ALO184" s="82"/>
      <c r="ALP184" s="82"/>
      <c r="ALQ184" s="82"/>
      <c r="ALR184" s="82"/>
      <c r="ALS184" s="82"/>
      <c r="ALT184" s="82"/>
      <c r="ALU184" s="82"/>
      <c r="ALV184" s="82"/>
      <c r="ALW184" s="82"/>
      <c r="ALX184" s="82"/>
      <c r="ALY184" s="82"/>
      <c r="ALZ184" s="82"/>
      <c r="AMA184" s="82"/>
      <c r="AMB184" s="82"/>
      <c r="AMC184" s="82"/>
      <c r="AMD184" s="82"/>
      <c r="AME184" s="82"/>
      <c r="AMF184" s="82"/>
      <c r="AMG184" s="82"/>
      <c r="AMH184" s="82"/>
      <c r="AMI184" s="82"/>
      <c r="AMJ184" s="82"/>
      <c r="AMK184" s="82"/>
      <c r="AML184" s="82"/>
      <c r="AMM184" s="82"/>
      <c r="AMN184" s="82"/>
      <c r="AMO184" s="82"/>
      <c r="AMP184" s="82"/>
      <c r="AMQ184" s="82"/>
      <c r="AMR184" s="82"/>
      <c r="AMS184" s="82"/>
      <c r="AMT184" s="82"/>
      <c r="AMU184" s="82"/>
      <c r="AMV184" s="82"/>
      <c r="AMW184" s="82"/>
      <c r="AMX184" s="82"/>
      <c r="AMY184" s="82"/>
      <c r="AMZ184" s="82"/>
      <c r="ANA184" s="82"/>
      <c r="ANB184" s="82"/>
      <c r="ANC184" s="82"/>
      <c r="AND184" s="82"/>
      <c r="ANE184" s="82"/>
      <c r="ANF184" s="82"/>
      <c r="ANG184" s="82"/>
      <c r="ANH184" s="82"/>
      <c r="ANI184" s="82"/>
      <c r="ANJ184" s="82"/>
      <c r="ANK184" s="82"/>
      <c r="ANL184" s="82"/>
      <c r="ANM184" s="82"/>
      <c r="ANN184" s="82"/>
      <c r="ANO184" s="82"/>
      <c r="ANP184" s="82"/>
      <c r="ANQ184" s="82"/>
      <c r="ANR184" s="82"/>
      <c r="ANS184" s="82"/>
      <c r="ANT184" s="82"/>
      <c r="ANU184" s="82"/>
      <c r="ANV184" s="82"/>
      <c r="ANW184" s="82"/>
      <c r="ANX184" s="82"/>
      <c r="ANY184" s="82"/>
      <c r="ANZ184" s="82"/>
      <c r="AOA184" s="82"/>
      <c r="AOB184" s="82"/>
      <c r="AOC184" s="82"/>
      <c r="AOD184" s="82"/>
      <c r="AOE184" s="82"/>
      <c r="AOF184" s="82"/>
      <c r="AOG184" s="82"/>
      <c r="AOH184" s="82"/>
      <c r="AOI184" s="82"/>
      <c r="AOJ184" s="82"/>
      <c r="AOK184" s="82"/>
      <c r="AOL184" s="82"/>
      <c r="AOM184" s="82"/>
      <c r="AON184" s="82"/>
      <c r="AOO184" s="82"/>
      <c r="AOP184" s="82"/>
      <c r="AOQ184" s="82"/>
      <c r="AOR184" s="82"/>
      <c r="AOS184" s="82"/>
      <c r="AOT184" s="82"/>
      <c r="AOU184" s="82"/>
      <c r="AOV184" s="82"/>
      <c r="AOW184" s="82"/>
      <c r="AOX184" s="82"/>
      <c r="AOY184" s="82"/>
      <c r="AOZ184" s="82"/>
      <c r="APA184" s="82"/>
      <c r="APB184" s="82"/>
      <c r="APC184" s="82"/>
      <c r="APD184" s="82"/>
      <c r="APE184" s="82"/>
      <c r="APF184" s="82"/>
      <c r="APG184" s="82"/>
      <c r="APH184" s="82"/>
      <c r="API184" s="82"/>
      <c r="APJ184" s="82"/>
      <c r="APK184" s="82"/>
      <c r="APL184" s="82"/>
      <c r="APM184" s="82"/>
      <c r="APN184" s="82"/>
      <c r="APO184" s="82"/>
      <c r="APP184" s="82"/>
      <c r="APQ184" s="82"/>
      <c r="APR184" s="82"/>
      <c r="APS184" s="82"/>
      <c r="APT184" s="82"/>
      <c r="APU184" s="82"/>
      <c r="APV184" s="82"/>
      <c r="APW184" s="82"/>
      <c r="APX184" s="82"/>
      <c r="APY184" s="82"/>
      <c r="APZ184" s="82"/>
      <c r="AQA184" s="82"/>
      <c r="AQB184" s="82"/>
      <c r="AQC184" s="82"/>
      <c r="AQD184" s="82"/>
      <c r="AQE184" s="82"/>
      <c r="AQF184" s="82"/>
      <c r="AQG184" s="82"/>
      <c r="AQH184" s="82"/>
      <c r="AQI184" s="82"/>
      <c r="AQJ184" s="82"/>
      <c r="AQK184" s="82"/>
      <c r="AQL184" s="82"/>
      <c r="AQM184" s="82"/>
      <c r="AQN184" s="82"/>
      <c r="AQO184" s="82"/>
      <c r="AQP184" s="82"/>
      <c r="AQQ184" s="82"/>
      <c r="AQR184" s="82"/>
      <c r="AQS184" s="82"/>
      <c r="AQT184" s="82"/>
      <c r="AQU184" s="82"/>
      <c r="AQV184" s="82"/>
      <c r="AQW184" s="82"/>
      <c r="AQX184" s="82"/>
      <c r="AQY184" s="82"/>
      <c r="AQZ184" s="82"/>
      <c r="ARA184" s="82"/>
      <c r="ARB184" s="82"/>
      <c r="ARC184" s="82"/>
      <c r="ARD184" s="82"/>
      <c r="ARE184" s="82"/>
      <c r="ARF184" s="82"/>
      <c r="ARG184" s="82"/>
      <c r="ARH184" s="82"/>
      <c r="ARI184" s="82"/>
      <c r="ARJ184" s="82"/>
      <c r="ARK184" s="82"/>
      <c r="ARL184" s="82"/>
      <c r="ARM184" s="82"/>
      <c r="ARN184" s="82"/>
      <c r="ARO184" s="82"/>
      <c r="ARP184" s="82"/>
      <c r="ARQ184" s="82"/>
      <c r="ARR184" s="82"/>
      <c r="ARS184" s="82"/>
      <c r="ART184" s="82"/>
      <c r="ARU184" s="82"/>
      <c r="ARV184" s="82"/>
      <c r="ARW184" s="82"/>
      <c r="ARX184" s="82"/>
      <c r="ARY184" s="82"/>
      <c r="ARZ184" s="82"/>
      <c r="ASA184" s="82"/>
      <c r="ASB184" s="82"/>
      <c r="ASC184" s="82"/>
      <c r="ASD184" s="82"/>
      <c r="ASE184" s="82"/>
      <c r="ASF184" s="82"/>
      <c r="ASG184" s="82"/>
      <c r="ASH184" s="82"/>
      <c r="ASI184" s="82"/>
      <c r="ASJ184" s="82"/>
      <c r="ASK184" s="82"/>
      <c r="ASL184" s="82"/>
      <c r="ASM184" s="82"/>
      <c r="ASN184" s="82"/>
      <c r="ASO184" s="82"/>
      <c r="ASP184" s="82"/>
      <c r="ASQ184" s="82"/>
      <c r="ASR184" s="82"/>
      <c r="ASS184" s="82"/>
      <c r="AST184" s="82"/>
      <c r="ASU184" s="82"/>
      <c r="ASV184" s="82"/>
      <c r="ASW184" s="82"/>
      <c r="ASX184" s="82"/>
      <c r="ASY184" s="82"/>
      <c r="ASZ184" s="82"/>
      <c r="ATA184" s="82"/>
      <c r="ATB184" s="82"/>
      <c r="ATC184" s="82"/>
      <c r="ATD184" s="82"/>
      <c r="ATE184" s="82"/>
      <c r="ATF184" s="82"/>
      <c r="ATG184" s="82"/>
      <c r="ATH184" s="82"/>
      <c r="ATI184" s="82"/>
      <c r="ATJ184" s="82"/>
      <c r="ATK184" s="82"/>
      <c r="ATL184" s="82"/>
      <c r="ATM184" s="82"/>
      <c r="ATN184" s="82"/>
      <c r="ATO184" s="82"/>
      <c r="ATP184" s="82"/>
      <c r="ATQ184" s="82"/>
      <c r="ATR184" s="82"/>
      <c r="ATS184" s="82"/>
      <c r="ATT184" s="82"/>
      <c r="ATU184" s="82"/>
      <c r="ATV184" s="82"/>
      <c r="ATW184" s="82"/>
      <c r="ATX184" s="82"/>
      <c r="ATY184" s="82"/>
      <c r="ATZ184" s="82"/>
      <c r="AUA184" s="82"/>
      <c r="AUB184" s="82"/>
      <c r="AUC184" s="82"/>
      <c r="AUD184" s="82"/>
      <c r="AUE184" s="82"/>
      <c r="AUF184" s="82"/>
      <c r="AUG184" s="82"/>
      <c r="AUH184" s="82"/>
      <c r="AUI184" s="82"/>
      <c r="AUJ184" s="82"/>
      <c r="AUK184" s="82"/>
      <c r="AUL184" s="82"/>
      <c r="AUM184" s="82"/>
      <c r="AUN184" s="82"/>
      <c r="AUO184" s="82"/>
      <c r="AUP184" s="82"/>
      <c r="AUQ184" s="82"/>
      <c r="AUR184" s="82"/>
      <c r="AUS184" s="82"/>
      <c r="AUT184" s="82"/>
      <c r="AUU184" s="82"/>
      <c r="AUV184" s="82"/>
      <c r="AUW184" s="82"/>
      <c r="AUX184" s="82"/>
      <c r="AUY184" s="82"/>
      <c r="AUZ184" s="82"/>
      <c r="AVA184" s="82"/>
      <c r="AVB184" s="82"/>
      <c r="AVC184" s="82"/>
      <c r="AVD184" s="82"/>
      <c r="AVE184" s="82"/>
      <c r="AVF184" s="82"/>
      <c r="AVG184" s="82"/>
      <c r="AVH184" s="82"/>
      <c r="AVI184" s="82"/>
      <c r="AVJ184" s="82"/>
      <c r="AVK184" s="82"/>
      <c r="AVL184" s="82"/>
      <c r="AVM184" s="82"/>
      <c r="AVN184" s="82"/>
      <c r="AVO184" s="82"/>
      <c r="AVP184" s="82"/>
      <c r="AVQ184" s="82"/>
      <c r="AVR184" s="82"/>
      <c r="AVS184" s="82"/>
      <c r="AVT184" s="82"/>
      <c r="AVU184" s="82"/>
      <c r="AVV184" s="82"/>
      <c r="AVW184" s="82"/>
      <c r="AVX184" s="82"/>
      <c r="AVY184" s="82"/>
      <c r="AVZ184" s="82"/>
      <c r="AWA184" s="82"/>
      <c r="AWB184" s="82"/>
      <c r="AWC184" s="82"/>
      <c r="AWD184" s="82"/>
      <c r="AWE184" s="82"/>
      <c r="AWF184" s="82"/>
      <c r="AWG184" s="82"/>
      <c r="AWH184" s="82"/>
      <c r="AWI184" s="82"/>
      <c r="AWJ184" s="82"/>
      <c r="AWK184" s="82"/>
      <c r="AWL184" s="82"/>
      <c r="AWM184" s="82"/>
      <c r="AWN184" s="82"/>
      <c r="AWO184" s="82"/>
      <c r="AWP184" s="82"/>
      <c r="AWQ184" s="82"/>
      <c r="AWR184" s="82"/>
      <c r="AWS184" s="82"/>
      <c r="AWT184" s="82"/>
      <c r="AWU184" s="82"/>
      <c r="AWV184" s="82"/>
      <c r="AWW184" s="82"/>
      <c r="AWX184" s="82"/>
      <c r="AWY184" s="82"/>
      <c r="AWZ184" s="82"/>
      <c r="AXA184" s="82"/>
      <c r="AXB184" s="82"/>
      <c r="AXC184" s="82"/>
      <c r="AXD184" s="82"/>
      <c r="AXE184" s="82"/>
      <c r="AXF184" s="82"/>
      <c r="AXG184" s="82"/>
      <c r="AXH184" s="82"/>
      <c r="AXI184" s="82"/>
      <c r="AXJ184" s="82"/>
      <c r="AXK184" s="82"/>
      <c r="AXL184" s="82"/>
      <c r="AXM184" s="82"/>
      <c r="AXN184" s="82"/>
      <c r="AXO184" s="82"/>
      <c r="AXP184" s="82"/>
      <c r="AXQ184" s="82"/>
      <c r="AXR184" s="82"/>
      <c r="AXS184" s="82"/>
      <c r="AXT184" s="82"/>
      <c r="AXU184" s="82"/>
      <c r="AXV184" s="82"/>
      <c r="AXW184" s="82"/>
      <c r="AXX184" s="82"/>
      <c r="AXY184" s="82"/>
      <c r="AXZ184" s="82"/>
      <c r="AYA184" s="82"/>
      <c r="AYB184" s="82"/>
      <c r="AYC184" s="82"/>
      <c r="AYD184" s="82"/>
      <c r="AYE184" s="82"/>
      <c r="AYF184" s="82"/>
      <c r="AYG184" s="82"/>
      <c r="AYH184" s="82"/>
      <c r="AYI184" s="82"/>
      <c r="AYJ184" s="82"/>
      <c r="AYK184" s="82"/>
      <c r="AYL184" s="82"/>
      <c r="AYM184" s="82"/>
      <c r="AYN184" s="82"/>
      <c r="AYO184" s="82"/>
      <c r="AYP184" s="82"/>
      <c r="AYQ184" s="82"/>
      <c r="AYR184" s="82"/>
      <c r="AYS184" s="82"/>
      <c r="AYT184" s="82"/>
      <c r="AYU184" s="82"/>
      <c r="AYV184" s="82"/>
      <c r="AYW184" s="82"/>
      <c r="AYX184" s="82"/>
      <c r="AYY184" s="82"/>
      <c r="AYZ184" s="82"/>
      <c r="AZA184" s="82"/>
      <c r="AZB184" s="82"/>
      <c r="AZC184" s="82"/>
      <c r="AZD184" s="82"/>
      <c r="AZE184" s="82"/>
      <c r="AZF184" s="82"/>
      <c r="AZG184" s="82"/>
      <c r="AZH184" s="82"/>
      <c r="AZI184" s="82"/>
      <c r="AZJ184" s="82"/>
      <c r="AZK184" s="82"/>
      <c r="AZL184" s="82"/>
      <c r="AZM184" s="82"/>
      <c r="AZN184" s="82"/>
      <c r="AZO184" s="82"/>
      <c r="AZP184" s="82"/>
      <c r="AZQ184" s="82"/>
      <c r="AZR184" s="82"/>
      <c r="AZS184" s="82"/>
      <c r="AZT184" s="82"/>
      <c r="AZU184" s="82"/>
      <c r="AZV184" s="82"/>
      <c r="AZW184" s="82"/>
      <c r="AZX184" s="82"/>
      <c r="AZY184" s="82"/>
      <c r="AZZ184" s="82"/>
      <c r="BAA184" s="82"/>
      <c r="BAB184" s="82"/>
      <c r="BAC184" s="82"/>
      <c r="BAD184" s="82"/>
      <c r="BAE184" s="82"/>
      <c r="BAF184" s="82"/>
      <c r="BAG184" s="82"/>
      <c r="BAH184" s="82"/>
      <c r="BAI184" s="82"/>
      <c r="BAJ184" s="82"/>
      <c r="BAK184" s="82"/>
      <c r="BAL184" s="82"/>
      <c r="BAM184" s="82"/>
      <c r="BAN184" s="82"/>
      <c r="BAO184" s="82"/>
      <c r="BAP184" s="82"/>
      <c r="BAQ184" s="82"/>
      <c r="BAR184" s="82"/>
      <c r="BAS184" s="82"/>
      <c r="BAT184" s="82"/>
      <c r="BAU184" s="82"/>
      <c r="BAV184" s="82"/>
      <c r="BAW184" s="82"/>
      <c r="BAX184" s="82"/>
      <c r="BAY184" s="82"/>
      <c r="BAZ184" s="82"/>
      <c r="BBA184" s="82"/>
      <c r="BBB184" s="82"/>
      <c r="BBC184" s="82"/>
      <c r="BBD184" s="82"/>
      <c r="BBE184" s="82"/>
      <c r="BBF184" s="82"/>
      <c r="BBG184" s="82"/>
      <c r="BBH184" s="82"/>
      <c r="BBI184" s="82"/>
      <c r="BBJ184" s="82"/>
      <c r="BBK184" s="82"/>
      <c r="BBL184" s="82"/>
      <c r="BBM184" s="82"/>
      <c r="BBN184" s="82"/>
      <c r="BBO184" s="82"/>
      <c r="BBP184" s="82"/>
      <c r="BBQ184" s="82"/>
      <c r="BBR184" s="82"/>
      <c r="BBS184" s="82"/>
      <c r="BBT184" s="82"/>
      <c r="BBU184" s="82"/>
      <c r="BBV184" s="82"/>
      <c r="BBW184" s="82"/>
      <c r="BBX184" s="82"/>
      <c r="BBY184" s="82"/>
      <c r="BBZ184" s="82"/>
      <c r="BCA184" s="82"/>
      <c r="BCB184" s="82"/>
      <c r="BCC184" s="82"/>
      <c r="BCD184" s="82"/>
      <c r="BCE184" s="82"/>
      <c r="BCF184" s="82"/>
      <c r="BCG184" s="82"/>
      <c r="BCH184" s="82"/>
      <c r="BCI184" s="82"/>
      <c r="BCJ184" s="82"/>
      <c r="BCK184" s="82"/>
      <c r="BCL184" s="82"/>
      <c r="BCM184" s="82"/>
      <c r="BCN184" s="82"/>
      <c r="BCO184" s="82"/>
      <c r="BCP184" s="82"/>
      <c r="BCQ184" s="82"/>
      <c r="BCR184" s="82"/>
      <c r="BCS184" s="82"/>
      <c r="BCT184" s="82"/>
      <c r="BCU184" s="82"/>
      <c r="BCV184" s="82"/>
      <c r="BCW184" s="82"/>
      <c r="BCX184" s="82"/>
      <c r="BCY184" s="82"/>
      <c r="BCZ184" s="82"/>
      <c r="BDA184" s="82"/>
      <c r="BDB184" s="82"/>
      <c r="BDC184" s="82"/>
      <c r="BDD184" s="82"/>
      <c r="BDE184" s="82"/>
      <c r="BDF184" s="82"/>
      <c r="BDG184" s="82"/>
      <c r="BDH184" s="82"/>
      <c r="BDI184" s="82"/>
      <c r="BDJ184" s="82"/>
      <c r="BDK184" s="82"/>
      <c r="BDL184" s="82"/>
      <c r="BDM184" s="82"/>
      <c r="BDN184" s="82"/>
      <c r="BDO184" s="82"/>
      <c r="BDP184" s="82"/>
      <c r="BDQ184" s="82"/>
      <c r="BDR184" s="82"/>
      <c r="BDS184" s="82"/>
      <c r="BDT184" s="82"/>
      <c r="BDU184" s="82"/>
      <c r="BDV184" s="82"/>
      <c r="BDW184" s="82"/>
      <c r="BDX184" s="82"/>
      <c r="BDY184" s="82"/>
      <c r="BDZ184" s="82"/>
      <c r="BEA184" s="82"/>
      <c r="BEB184" s="82"/>
      <c r="BEC184" s="82"/>
      <c r="BED184" s="82"/>
      <c r="BEE184" s="82"/>
      <c r="BEF184" s="82"/>
      <c r="BEG184" s="82"/>
      <c r="BEH184" s="82"/>
      <c r="BEI184" s="82"/>
      <c r="BEJ184" s="82"/>
      <c r="BEK184" s="82"/>
      <c r="BEL184" s="82"/>
      <c r="BEM184" s="82"/>
      <c r="BEN184" s="82"/>
      <c r="BEO184" s="82"/>
      <c r="BEP184" s="82"/>
      <c r="BEQ184" s="82"/>
      <c r="BER184" s="82"/>
      <c r="BES184" s="82"/>
      <c r="BET184" s="82"/>
      <c r="BEU184" s="82"/>
      <c r="BEV184" s="82"/>
      <c r="BEW184" s="82"/>
      <c r="BEX184" s="82"/>
      <c r="BEY184" s="82"/>
      <c r="BEZ184" s="82"/>
      <c r="BFA184" s="82"/>
      <c r="BFB184" s="82"/>
      <c r="BFC184" s="82"/>
      <c r="BFD184" s="82"/>
      <c r="BFE184" s="82"/>
      <c r="BFF184" s="82"/>
      <c r="BFG184" s="82"/>
      <c r="BFH184" s="82"/>
      <c r="BFI184" s="82"/>
      <c r="BFJ184" s="82"/>
      <c r="BFK184" s="82"/>
      <c r="BFL184" s="82"/>
      <c r="BFM184" s="82"/>
      <c r="BFN184" s="82"/>
      <c r="BFO184" s="82"/>
      <c r="BFP184" s="82"/>
      <c r="BFQ184" s="82"/>
      <c r="BFR184" s="82"/>
      <c r="BFS184" s="82"/>
      <c r="BFT184" s="82"/>
      <c r="BFU184" s="82"/>
      <c r="BFV184" s="82"/>
      <c r="BFW184" s="82"/>
      <c r="BFX184" s="82"/>
      <c r="BFY184" s="82"/>
      <c r="BFZ184" s="82"/>
      <c r="BGA184" s="82"/>
      <c r="BGB184" s="82"/>
      <c r="BGC184" s="82"/>
      <c r="BGD184" s="82"/>
      <c r="BGE184" s="82"/>
      <c r="BGF184" s="82"/>
      <c r="BGG184" s="82"/>
      <c r="BGH184" s="82"/>
      <c r="BGI184" s="82"/>
      <c r="BGJ184" s="82"/>
      <c r="BGK184" s="82"/>
      <c r="BGL184" s="82"/>
      <c r="BGM184" s="82"/>
      <c r="BGN184" s="82"/>
      <c r="BGO184" s="82"/>
      <c r="BGP184" s="82"/>
      <c r="BGQ184" s="82"/>
      <c r="BGR184" s="82"/>
      <c r="BGS184" s="82"/>
      <c r="BGT184" s="82"/>
      <c r="BGU184" s="82"/>
      <c r="BGV184" s="82"/>
      <c r="BGW184" s="82"/>
      <c r="BGX184" s="82"/>
      <c r="BGY184" s="82"/>
      <c r="BGZ184" s="82"/>
      <c r="BHA184" s="82"/>
      <c r="BHB184" s="82"/>
      <c r="BHC184" s="82"/>
      <c r="BHD184" s="82"/>
      <c r="BHE184" s="82"/>
      <c r="BHF184" s="82"/>
      <c r="BHG184" s="82"/>
      <c r="BHH184" s="82"/>
      <c r="BHI184" s="82"/>
      <c r="BHJ184" s="82"/>
      <c r="BHK184" s="82"/>
      <c r="BHL184" s="82"/>
      <c r="BHM184" s="82"/>
      <c r="BHN184" s="82"/>
      <c r="BHO184" s="82"/>
      <c r="BHP184" s="82"/>
      <c r="BHQ184" s="82"/>
      <c r="BHR184" s="82"/>
      <c r="BHS184" s="82"/>
      <c r="BHT184" s="82"/>
      <c r="BHU184" s="82"/>
      <c r="BHV184" s="82"/>
      <c r="BHW184" s="82"/>
      <c r="BHX184" s="82"/>
      <c r="BHY184" s="82"/>
      <c r="BHZ184" s="82"/>
      <c r="BIA184" s="82"/>
      <c r="BIB184" s="82"/>
      <c r="BIC184" s="82"/>
      <c r="BID184" s="82"/>
      <c r="BIE184" s="82"/>
      <c r="BIF184" s="82"/>
      <c r="BIG184" s="82"/>
      <c r="BIH184" s="82"/>
      <c r="BII184" s="82"/>
      <c r="BIJ184" s="82"/>
      <c r="BIK184" s="82"/>
      <c r="BIL184" s="82"/>
      <c r="BIM184" s="82"/>
      <c r="BIN184" s="82"/>
      <c r="BIO184" s="82"/>
      <c r="BIP184" s="82"/>
      <c r="BIQ184" s="82"/>
      <c r="BIR184" s="82"/>
      <c r="BIS184" s="82"/>
      <c r="BIT184" s="82"/>
      <c r="BIU184" s="82"/>
      <c r="BIV184" s="82"/>
      <c r="BIW184" s="82"/>
      <c r="BIX184" s="82"/>
      <c r="BIY184" s="82"/>
      <c r="BIZ184" s="82"/>
      <c r="BJA184" s="82"/>
      <c r="BJB184" s="82"/>
      <c r="BJC184" s="82"/>
      <c r="BJD184" s="82"/>
      <c r="BJE184" s="82"/>
      <c r="BJF184" s="82"/>
      <c r="BJG184" s="82"/>
      <c r="BJH184" s="82"/>
      <c r="BJI184" s="82"/>
      <c r="BJJ184" s="82"/>
      <c r="BJK184" s="82"/>
      <c r="BJL184" s="82"/>
      <c r="BJM184" s="82"/>
      <c r="BJN184" s="82"/>
      <c r="BJO184" s="82"/>
      <c r="BJP184" s="82"/>
      <c r="BJQ184" s="82"/>
      <c r="BJR184" s="82"/>
      <c r="BJS184" s="82"/>
      <c r="BJT184" s="82"/>
      <c r="BJU184" s="82"/>
      <c r="BJV184" s="82"/>
      <c r="BJW184" s="82"/>
      <c r="BJX184" s="82"/>
      <c r="BJY184" s="82"/>
      <c r="BJZ184" s="82"/>
      <c r="BKA184" s="82"/>
      <c r="BKB184" s="82"/>
      <c r="BKC184" s="82"/>
      <c r="BKD184" s="82"/>
      <c r="BKE184" s="82"/>
      <c r="BKF184" s="82"/>
      <c r="BKG184" s="82"/>
      <c r="BKH184" s="82"/>
      <c r="BKI184" s="82"/>
      <c r="BKJ184" s="82"/>
      <c r="BKK184" s="82"/>
      <c r="BKL184" s="82"/>
      <c r="BKM184" s="82"/>
      <c r="BKN184" s="82"/>
      <c r="BKO184" s="82"/>
      <c r="BKP184" s="82"/>
      <c r="BKQ184" s="82"/>
      <c r="BKR184" s="82"/>
      <c r="BKS184" s="82"/>
      <c r="BKT184" s="82"/>
      <c r="BKU184" s="82"/>
      <c r="BKV184" s="82"/>
      <c r="BKW184" s="82"/>
      <c r="BKX184" s="82"/>
      <c r="BKY184" s="82"/>
      <c r="BKZ184" s="82"/>
      <c r="BLA184" s="82"/>
      <c r="BLB184" s="82"/>
      <c r="BLC184" s="82"/>
      <c r="BLD184" s="82"/>
      <c r="BLE184" s="82"/>
      <c r="BLF184" s="82"/>
      <c r="BLG184" s="82"/>
      <c r="BLH184" s="82"/>
      <c r="BLI184" s="82"/>
      <c r="BLJ184" s="82"/>
      <c r="BLK184" s="82"/>
      <c r="BLL184" s="82"/>
      <c r="BLM184" s="82"/>
      <c r="BLN184" s="82"/>
      <c r="BLO184" s="82"/>
      <c r="BLP184" s="82"/>
      <c r="BLQ184" s="82"/>
      <c r="BLR184" s="82"/>
      <c r="BLS184" s="82"/>
      <c r="BLT184" s="82"/>
      <c r="BLU184" s="82"/>
      <c r="BLV184" s="82"/>
      <c r="BLW184" s="82"/>
      <c r="BLX184" s="82"/>
      <c r="BLY184" s="82"/>
      <c r="BLZ184" s="82"/>
      <c r="BMA184" s="82"/>
      <c r="BMB184" s="82"/>
      <c r="BMC184" s="82"/>
      <c r="BMD184" s="82"/>
      <c r="BME184" s="82"/>
      <c r="BMF184" s="82"/>
      <c r="BMG184" s="82"/>
      <c r="BMH184" s="82"/>
      <c r="BMI184" s="82"/>
      <c r="BMJ184" s="82"/>
      <c r="BMK184" s="82"/>
      <c r="BML184" s="82"/>
      <c r="BMM184" s="82"/>
      <c r="BMN184" s="82"/>
      <c r="BMO184" s="82"/>
      <c r="BMP184" s="82"/>
      <c r="BMQ184" s="82"/>
      <c r="BMR184" s="82"/>
      <c r="BMS184" s="82"/>
      <c r="BMT184" s="82"/>
      <c r="BMU184" s="82"/>
      <c r="BMV184" s="82"/>
      <c r="BMW184" s="82"/>
      <c r="BMX184" s="82"/>
      <c r="BMY184" s="82"/>
      <c r="BMZ184" s="82"/>
      <c r="BNA184" s="82"/>
      <c r="BNB184" s="82"/>
      <c r="BNC184" s="82"/>
      <c r="BND184" s="82"/>
      <c r="BNE184" s="82"/>
      <c r="BNF184" s="82"/>
      <c r="BNG184" s="82"/>
      <c r="BNH184" s="82"/>
      <c r="BNI184" s="82"/>
      <c r="BNJ184" s="82"/>
      <c r="BNK184" s="82"/>
      <c r="BNL184" s="82"/>
      <c r="BNM184" s="82"/>
      <c r="BNN184" s="82"/>
      <c r="BNO184" s="82"/>
      <c r="BNP184" s="82"/>
      <c r="BNQ184" s="82"/>
      <c r="BNR184" s="82"/>
      <c r="BNS184" s="82"/>
      <c r="BNT184" s="82"/>
      <c r="BNU184" s="82"/>
      <c r="BNV184" s="82"/>
      <c r="BNW184" s="82"/>
      <c r="BNX184" s="82"/>
      <c r="BNY184" s="82"/>
      <c r="BNZ184" s="82"/>
      <c r="BOA184" s="82"/>
      <c r="BOB184" s="82"/>
      <c r="BOC184" s="82"/>
      <c r="BOD184" s="82"/>
      <c r="BOE184" s="82"/>
      <c r="BOF184" s="82"/>
      <c r="BOG184" s="82"/>
      <c r="BOH184" s="82"/>
      <c r="BOI184" s="82"/>
      <c r="BOJ184" s="82"/>
      <c r="BOK184" s="82"/>
      <c r="BOL184" s="82"/>
      <c r="BOM184" s="82"/>
      <c r="BON184" s="82"/>
      <c r="BOO184" s="82"/>
      <c r="BOP184" s="82"/>
      <c r="BOQ184" s="82"/>
      <c r="BOR184" s="82"/>
      <c r="BOS184" s="82"/>
      <c r="BOT184" s="82"/>
      <c r="BOU184" s="82"/>
      <c r="BOV184" s="82"/>
      <c r="BOW184" s="82"/>
      <c r="BOX184" s="82"/>
      <c r="BOY184" s="82"/>
      <c r="BOZ184" s="82"/>
      <c r="BPA184" s="82"/>
      <c r="BPB184" s="82"/>
      <c r="BPC184" s="82"/>
      <c r="BPD184" s="82"/>
      <c r="BPE184" s="82"/>
      <c r="BPF184" s="82"/>
      <c r="BPG184" s="82"/>
      <c r="BPH184" s="82"/>
      <c r="BPI184" s="82"/>
      <c r="BPJ184" s="82"/>
      <c r="BPK184" s="82"/>
      <c r="BPL184" s="82"/>
      <c r="BPM184" s="82"/>
      <c r="BPN184" s="82"/>
      <c r="BPO184" s="82"/>
      <c r="BPP184" s="82"/>
      <c r="BPQ184" s="82"/>
      <c r="BPR184" s="82"/>
      <c r="BPS184" s="82"/>
      <c r="BPT184" s="82"/>
      <c r="BPU184" s="82"/>
      <c r="BPV184" s="82"/>
      <c r="BPW184" s="82"/>
      <c r="BPX184" s="82"/>
      <c r="BPY184" s="82"/>
      <c r="BPZ184" s="82"/>
      <c r="BQA184" s="82"/>
      <c r="BQB184" s="82"/>
      <c r="BQC184" s="82"/>
      <c r="BQD184" s="82"/>
      <c r="BQE184" s="82"/>
      <c r="BQF184" s="82"/>
      <c r="BQG184" s="82"/>
      <c r="BQH184" s="82"/>
      <c r="BQI184" s="82"/>
      <c r="BQJ184" s="82"/>
      <c r="BQK184" s="82"/>
      <c r="BQL184" s="82"/>
      <c r="BQM184" s="82"/>
      <c r="BQN184" s="82"/>
      <c r="BQO184" s="82"/>
      <c r="BQP184" s="82"/>
      <c r="BQQ184" s="82"/>
      <c r="BQR184" s="82"/>
      <c r="BQS184" s="82"/>
      <c r="BQT184" s="82"/>
      <c r="BQU184" s="82"/>
      <c r="BQV184" s="82"/>
      <c r="BQW184" s="82"/>
      <c r="BQX184" s="82"/>
      <c r="BQY184" s="82"/>
      <c r="BQZ184" s="82"/>
      <c r="BRA184" s="82"/>
      <c r="BRB184" s="82"/>
      <c r="BRC184" s="82"/>
      <c r="BRD184" s="82"/>
      <c r="BRE184" s="82"/>
      <c r="BRF184" s="82"/>
      <c r="BRG184" s="82"/>
      <c r="BRH184" s="82"/>
      <c r="BRI184" s="82"/>
      <c r="BRJ184" s="82"/>
      <c r="BRK184" s="82"/>
      <c r="BRL184" s="82"/>
      <c r="BRM184" s="82"/>
      <c r="BRN184" s="82"/>
      <c r="BRO184" s="82"/>
      <c r="BRP184" s="82"/>
      <c r="BRQ184" s="82"/>
      <c r="BRR184" s="82"/>
      <c r="BRS184" s="82"/>
      <c r="BRT184" s="82"/>
      <c r="BRU184" s="82"/>
      <c r="BRV184" s="82"/>
      <c r="BRW184" s="82"/>
      <c r="BRX184" s="82"/>
      <c r="BRY184" s="82"/>
      <c r="BRZ184" s="82"/>
      <c r="BSA184" s="82"/>
      <c r="BSB184" s="82"/>
      <c r="BSC184" s="82"/>
      <c r="BSD184" s="82"/>
      <c r="BSE184" s="82"/>
      <c r="BSF184" s="82"/>
      <c r="BSG184" s="82"/>
      <c r="BSH184" s="82"/>
      <c r="BSI184" s="82"/>
      <c r="BSJ184" s="82"/>
      <c r="BSK184" s="82"/>
      <c r="BSL184" s="82"/>
      <c r="BSM184" s="82"/>
      <c r="BSN184" s="82"/>
      <c r="BSO184" s="82"/>
      <c r="BSP184" s="82"/>
      <c r="BSQ184" s="82"/>
      <c r="BSR184" s="82"/>
      <c r="BSS184" s="82"/>
      <c r="BST184" s="82"/>
      <c r="BSU184" s="82"/>
      <c r="BSV184" s="82"/>
      <c r="BSW184" s="82"/>
      <c r="BSX184" s="82"/>
      <c r="BSY184" s="82"/>
      <c r="BSZ184" s="82"/>
      <c r="BTA184" s="82"/>
      <c r="BTB184" s="82"/>
      <c r="BTC184" s="82"/>
      <c r="BTD184" s="82"/>
      <c r="BTE184" s="82"/>
      <c r="BTF184" s="82"/>
      <c r="BTG184" s="82"/>
      <c r="BTH184" s="82"/>
      <c r="BTI184" s="82"/>
      <c r="BTJ184" s="82"/>
      <c r="BTK184" s="82"/>
      <c r="BTL184" s="82"/>
      <c r="BTM184" s="82"/>
      <c r="BTN184" s="82"/>
      <c r="BTO184" s="82"/>
      <c r="BTP184" s="82"/>
      <c r="BTQ184" s="82"/>
      <c r="BTR184" s="82"/>
      <c r="BTS184" s="82"/>
      <c r="BTT184" s="82"/>
      <c r="BTU184" s="82"/>
      <c r="BTV184" s="82"/>
      <c r="BTW184" s="82"/>
      <c r="BTX184" s="82"/>
      <c r="BTY184" s="82"/>
      <c r="BTZ184" s="82"/>
      <c r="BUA184" s="82"/>
      <c r="BUB184" s="82"/>
      <c r="BUC184" s="82"/>
      <c r="BUD184" s="82"/>
      <c r="BUE184" s="82"/>
      <c r="BUF184" s="82"/>
      <c r="BUG184" s="82"/>
      <c r="BUH184" s="82"/>
      <c r="BUI184" s="82"/>
      <c r="BUJ184" s="82"/>
      <c r="BUK184" s="82"/>
      <c r="BUL184" s="82"/>
      <c r="BUM184" s="82"/>
      <c r="BUN184" s="82"/>
      <c r="BUO184" s="82"/>
      <c r="BUP184" s="82"/>
      <c r="BUQ184" s="82"/>
      <c r="BUR184" s="82"/>
      <c r="BUS184" s="82"/>
      <c r="BUT184" s="82"/>
      <c r="BUU184" s="82"/>
      <c r="BUV184" s="82"/>
      <c r="BUW184" s="82"/>
      <c r="BUX184" s="82"/>
      <c r="BUY184" s="82"/>
      <c r="BUZ184" s="82"/>
      <c r="BVA184" s="82"/>
      <c r="BVB184" s="82"/>
      <c r="BVC184" s="82"/>
      <c r="BVD184" s="82"/>
      <c r="BVE184" s="82"/>
      <c r="BVF184" s="82"/>
      <c r="BVG184" s="82"/>
      <c r="BVH184" s="82"/>
      <c r="BVI184" s="82"/>
      <c r="BVJ184" s="82"/>
      <c r="BVK184" s="82"/>
      <c r="BVL184" s="82"/>
      <c r="BVM184" s="82"/>
      <c r="BVN184" s="82"/>
      <c r="BVO184" s="82"/>
      <c r="BVP184" s="82"/>
      <c r="BVQ184" s="82"/>
      <c r="BVR184" s="82"/>
      <c r="BVS184" s="82"/>
      <c r="BVT184" s="82"/>
      <c r="BVU184" s="82"/>
      <c r="BVV184" s="82"/>
      <c r="BVW184" s="82"/>
      <c r="BVX184" s="82"/>
      <c r="BVY184" s="82"/>
      <c r="BVZ184" s="82"/>
      <c r="BWA184" s="82"/>
      <c r="BWB184" s="82"/>
      <c r="BWC184" s="82"/>
      <c r="BWD184" s="82"/>
      <c r="BWE184" s="82"/>
      <c r="BWF184" s="82"/>
      <c r="BWG184" s="82"/>
      <c r="BWH184" s="82"/>
      <c r="BWI184" s="82"/>
      <c r="BWJ184" s="82"/>
      <c r="BWK184" s="82"/>
      <c r="BWL184" s="82"/>
      <c r="BWM184" s="82"/>
      <c r="BWN184" s="82"/>
      <c r="BWO184" s="82"/>
      <c r="BWP184" s="82"/>
      <c r="BWQ184" s="82"/>
      <c r="BWR184" s="82"/>
      <c r="BWS184" s="82"/>
      <c r="BWT184" s="82"/>
      <c r="BWU184" s="82"/>
      <c r="BWV184" s="82"/>
      <c r="BWW184" s="82"/>
      <c r="BWX184" s="82"/>
      <c r="BWY184" s="82"/>
      <c r="BWZ184" s="82"/>
      <c r="BXA184" s="82"/>
      <c r="BXB184" s="82"/>
      <c r="BXC184" s="82"/>
      <c r="BXD184" s="82"/>
      <c r="BXE184" s="82"/>
      <c r="BXF184" s="82"/>
      <c r="BXG184" s="82"/>
      <c r="BXH184" s="82"/>
      <c r="BXI184" s="82"/>
      <c r="BXJ184" s="82"/>
      <c r="BXK184" s="82"/>
      <c r="BXL184" s="82"/>
      <c r="BXM184" s="82"/>
      <c r="BXN184" s="82"/>
      <c r="BXO184" s="82"/>
      <c r="BXP184" s="82"/>
      <c r="BXQ184" s="82"/>
      <c r="BXR184" s="82"/>
      <c r="BXS184" s="82"/>
      <c r="BXT184" s="82"/>
      <c r="BXU184" s="82"/>
      <c r="BXV184" s="82"/>
      <c r="BXW184" s="82"/>
      <c r="BXX184" s="82"/>
      <c r="BXY184" s="82"/>
      <c r="BXZ184" s="82"/>
      <c r="BYA184" s="82"/>
      <c r="BYB184" s="82"/>
      <c r="BYC184" s="82"/>
      <c r="BYD184" s="82"/>
      <c r="BYE184" s="82"/>
      <c r="BYF184" s="82"/>
      <c r="BYG184" s="82"/>
      <c r="BYH184" s="82"/>
      <c r="BYI184" s="82"/>
      <c r="BYJ184" s="82"/>
      <c r="BYK184" s="82"/>
      <c r="BYL184" s="82"/>
      <c r="BYM184" s="82"/>
      <c r="BYN184" s="82"/>
      <c r="BYO184" s="82"/>
      <c r="BYP184" s="82"/>
      <c r="BYQ184" s="82"/>
      <c r="BYR184" s="82"/>
      <c r="BYS184" s="82"/>
      <c r="BYT184" s="82"/>
      <c r="BYU184" s="82"/>
      <c r="BYV184" s="82"/>
      <c r="BYW184" s="82"/>
      <c r="BYX184" s="82"/>
      <c r="BYY184" s="82"/>
      <c r="BYZ184" s="82"/>
      <c r="BZA184" s="82"/>
      <c r="BZB184" s="82"/>
      <c r="BZC184" s="82"/>
      <c r="BZD184" s="82"/>
      <c r="BZE184" s="82"/>
      <c r="BZF184" s="82"/>
      <c r="BZG184" s="82"/>
      <c r="BZH184" s="82"/>
      <c r="BZI184" s="82"/>
      <c r="BZJ184" s="82"/>
      <c r="BZK184" s="82"/>
      <c r="BZL184" s="82"/>
      <c r="BZM184" s="82"/>
      <c r="BZN184" s="82"/>
      <c r="BZO184" s="82"/>
      <c r="BZP184" s="82"/>
      <c r="BZQ184" s="82"/>
      <c r="BZR184" s="82"/>
      <c r="BZS184" s="82"/>
      <c r="BZT184" s="82"/>
      <c r="BZU184" s="82"/>
      <c r="BZV184" s="82"/>
      <c r="BZW184" s="82"/>
      <c r="BZX184" s="82"/>
      <c r="BZY184" s="82"/>
      <c r="BZZ184" s="82"/>
      <c r="CAA184" s="82"/>
      <c r="CAB184" s="82"/>
      <c r="CAC184" s="82"/>
      <c r="CAD184" s="82"/>
      <c r="CAE184" s="82"/>
      <c r="CAF184" s="82"/>
      <c r="CAG184" s="82"/>
      <c r="CAH184" s="82"/>
      <c r="CAI184" s="82"/>
      <c r="CAJ184" s="82"/>
      <c r="CAK184" s="82"/>
      <c r="CAL184" s="82"/>
      <c r="CAM184" s="82"/>
      <c r="CAN184" s="82"/>
      <c r="CAO184" s="82"/>
      <c r="CAP184" s="82"/>
      <c r="CAQ184" s="82"/>
      <c r="CAR184" s="82"/>
      <c r="CAS184" s="82"/>
      <c r="CAT184" s="82"/>
      <c r="CAU184" s="82"/>
      <c r="CAV184" s="82"/>
      <c r="CAW184" s="82"/>
      <c r="CAX184" s="82"/>
      <c r="CAY184" s="82"/>
      <c r="CAZ184" s="82"/>
      <c r="CBA184" s="82"/>
      <c r="CBB184" s="82"/>
      <c r="CBC184" s="82"/>
      <c r="CBD184" s="82"/>
      <c r="CBE184" s="82"/>
      <c r="CBF184" s="82"/>
      <c r="CBG184" s="82"/>
      <c r="CBH184" s="82"/>
      <c r="CBI184" s="82"/>
      <c r="CBJ184" s="82"/>
      <c r="CBK184" s="82"/>
      <c r="CBL184" s="82"/>
      <c r="CBM184" s="82"/>
      <c r="CBN184" s="82"/>
      <c r="CBO184" s="82"/>
      <c r="CBP184" s="82"/>
      <c r="CBQ184" s="82"/>
      <c r="CBR184" s="82"/>
      <c r="CBS184" s="82"/>
      <c r="CBT184" s="82"/>
      <c r="CBU184" s="82"/>
      <c r="CBV184" s="82"/>
      <c r="CBW184" s="82"/>
      <c r="CBX184" s="82"/>
      <c r="CBY184" s="82"/>
      <c r="CBZ184" s="82"/>
      <c r="CCA184" s="82"/>
      <c r="CCB184" s="82"/>
      <c r="CCC184" s="82"/>
      <c r="CCD184" s="82"/>
      <c r="CCE184" s="82"/>
      <c r="CCF184" s="82"/>
      <c r="CCG184" s="82"/>
      <c r="CCH184" s="82"/>
      <c r="CCI184" s="82"/>
      <c r="CCJ184" s="82"/>
      <c r="CCK184" s="82"/>
      <c r="CCL184" s="82"/>
      <c r="CCM184" s="82"/>
      <c r="CCN184" s="82"/>
      <c r="CCO184" s="82"/>
      <c r="CCP184" s="82"/>
      <c r="CCQ184" s="82"/>
      <c r="CCR184" s="82"/>
      <c r="CCS184" s="82"/>
      <c r="CCT184" s="82"/>
      <c r="CCU184" s="82"/>
      <c r="CCV184" s="82"/>
      <c r="CCW184" s="82"/>
      <c r="CCX184" s="82"/>
      <c r="CCY184" s="82"/>
      <c r="CCZ184" s="82"/>
      <c r="CDA184" s="82"/>
      <c r="CDB184" s="82"/>
      <c r="CDC184" s="82"/>
      <c r="CDD184" s="82"/>
      <c r="CDE184" s="82"/>
      <c r="CDF184" s="82"/>
      <c r="CDG184" s="82"/>
      <c r="CDH184" s="82"/>
      <c r="CDI184" s="82"/>
      <c r="CDJ184" s="82"/>
      <c r="CDK184" s="82"/>
      <c r="CDL184" s="82"/>
      <c r="CDM184" s="82"/>
      <c r="CDN184" s="82"/>
      <c r="CDO184" s="82"/>
      <c r="CDP184" s="82"/>
      <c r="CDQ184" s="82"/>
      <c r="CDR184" s="82"/>
      <c r="CDS184" s="82"/>
      <c r="CDT184" s="82"/>
      <c r="CDU184" s="82"/>
      <c r="CDV184" s="82"/>
      <c r="CDW184" s="82"/>
      <c r="CDX184" s="82"/>
      <c r="CDY184" s="82"/>
      <c r="CDZ184" s="82"/>
      <c r="CEA184" s="82"/>
      <c r="CEB184" s="82"/>
      <c r="CEC184" s="82"/>
      <c r="CED184" s="82"/>
      <c r="CEE184" s="82"/>
      <c r="CEF184" s="82"/>
      <c r="CEG184" s="82"/>
      <c r="CEH184" s="82"/>
      <c r="CEI184" s="82"/>
      <c r="CEJ184" s="82"/>
      <c r="CEK184" s="82"/>
      <c r="CEL184" s="82"/>
      <c r="CEM184" s="82"/>
      <c r="CEN184" s="82"/>
      <c r="CEO184" s="82"/>
      <c r="CEP184" s="82"/>
      <c r="CEQ184" s="82"/>
      <c r="CER184" s="82"/>
      <c r="CES184" s="82"/>
      <c r="CET184" s="82"/>
      <c r="CEU184" s="82"/>
      <c r="CEV184" s="82"/>
      <c r="CEW184" s="82"/>
      <c r="CEX184" s="82"/>
      <c r="CEY184" s="82"/>
      <c r="CEZ184" s="82"/>
      <c r="CFA184" s="82"/>
      <c r="CFB184" s="82"/>
      <c r="CFC184" s="82"/>
      <c r="CFD184" s="82"/>
      <c r="CFE184" s="82"/>
      <c r="CFF184" s="82"/>
      <c r="CFG184" s="82"/>
      <c r="CFH184" s="82"/>
      <c r="CFI184" s="82"/>
      <c r="CFJ184" s="82"/>
      <c r="CFK184" s="82"/>
      <c r="CFL184" s="82"/>
      <c r="CFM184" s="82"/>
      <c r="CFN184" s="82"/>
      <c r="CFO184" s="82"/>
      <c r="CFP184" s="82"/>
      <c r="CFQ184" s="82"/>
      <c r="CFR184" s="82"/>
      <c r="CFS184" s="82"/>
      <c r="CFT184" s="82"/>
      <c r="CFU184" s="82"/>
      <c r="CFV184" s="82"/>
      <c r="CFW184" s="82"/>
      <c r="CFX184" s="82"/>
      <c r="CFY184" s="82"/>
      <c r="CFZ184" s="82"/>
      <c r="CGA184" s="82"/>
      <c r="CGB184" s="82"/>
      <c r="CGC184" s="82"/>
      <c r="CGD184" s="82"/>
      <c r="CGE184" s="82"/>
      <c r="CGF184" s="82"/>
      <c r="CGG184" s="82"/>
      <c r="CGH184" s="82"/>
      <c r="CGI184" s="82"/>
      <c r="CGJ184" s="82"/>
      <c r="CGK184" s="82"/>
      <c r="CGL184" s="82"/>
      <c r="CGM184" s="82"/>
      <c r="CGN184" s="82"/>
      <c r="CGO184" s="82"/>
      <c r="CGP184" s="82"/>
      <c r="CGQ184" s="82"/>
      <c r="CGR184" s="82"/>
      <c r="CGS184" s="82"/>
      <c r="CGT184" s="82"/>
      <c r="CGU184" s="82"/>
      <c r="CGV184" s="82"/>
      <c r="CGW184" s="82"/>
      <c r="CGX184" s="82"/>
      <c r="CGY184" s="82"/>
      <c r="CGZ184" s="82"/>
      <c r="CHA184" s="82"/>
      <c r="CHB184" s="82"/>
      <c r="CHC184" s="82"/>
      <c r="CHD184" s="82"/>
      <c r="CHE184" s="82"/>
      <c r="CHF184" s="82"/>
      <c r="CHG184" s="82"/>
      <c r="CHH184" s="82"/>
      <c r="CHI184" s="82"/>
      <c r="CHJ184" s="82"/>
      <c r="CHK184" s="82"/>
      <c r="CHL184" s="82"/>
      <c r="CHM184" s="82"/>
      <c r="CHN184" s="82"/>
      <c r="CHO184" s="82"/>
      <c r="CHP184" s="82"/>
      <c r="CHQ184" s="82"/>
      <c r="CHR184" s="82"/>
      <c r="CHS184" s="82"/>
      <c r="CHT184" s="82"/>
      <c r="CHU184" s="82"/>
      <c r="CHV184" s="82"/>
      <c r="CHW184" s="82"/>
      <c r="CHX184" s="82"/>
      <c r="CHY184" s="82"/>
      <c r="CHZ184" s="82"/>
      <c r="CIA184" s="82"/>
      <c r="CIB184" s="82"/>
      <c r="CIC184" s="82"/>
      <c r="CID184" s="82"/>
      <c r="CIE184" s="82"/>
      <c r="CIF184" s="82"/>
      <c r="CIG184" s="82"/>
      <c r="CIH184" s="82"/>
      <c r="CII184" s="82"/>
      <c r="CIJ184" s="82"/>
      <c r="CIK184" s="82"/>
      <c r="CIL184" s="82"/>
      <c r="CIM184" s="82"/>
      <c r="CIN184" s="82"/>
      <c r="CIO184" s="82"/>
      <c r="CIP184" s="82"/>
      <c r="CIQ184" s="82"/>
      <c r="CIR184" s="82"/>
      <c r="CIS184" s="82"/>
      <c r="CIT184" s="82"/>
      <c r="CIU184" s="82"/>
      <c r="CIV184" s="82"/>
      <c r="CIW184" s="82"/>
      <c r="CIX184" s="82"/>
      <c r="CIY184" s="82"/>
      <c r="CIZ184" s="82"/>
      <c r="CJA184" s="82"/>
      <c r="CJB184" s="82"/>
      <c r="CJC184" s="82"/>
      <c r="CJD184" s="82"/>
      <c r="CJE184" s="82"/>
      <c r="CJF184" s="82"/>
      <c r="CJG184" s="82"/>
      <c r="CJH184" s="82"/>
      <c r="CJI184" s="82"/>
      <c r="CJJ184" s="82"/>
      <c r="CJK184" s="82"/>
      <c r="CJL184" s="82"/>
      <c r="CJM184" s="82"/>
      <c r="CJN184" s="82"/>
      <c r="CJO184" s="82"/>
      <c r="CJP184" s="82"/>
      <c r="CJQ184" s="82"/>
      <c r="CJR184" s="82"/>
      <c r="CJS184" s="82"/>
      <c r="CJT184" s="82"/>
      <c r="CJU184" s="82"/>
      <c r="CJV184" s="82"/>
      <c r="CJW184" s="82"/>
      <c r="CJX184" s="82"/>
      <c r="CJY184" s="82"/>
      <c r="CJZ184" s="82"/>
      <c r="CKA184" s="82"/>
      <c r="CKB184" s="82"/>
      <c r="CKC184" s="82"/>
      <c r="CKD184" s="82"/>
      <c r="CKE184" s="82"/>
      <c r="CKF184" s="82"/>
      <c r="CKG184" s="82"/>
      <c r="CKH184" s="82"/>
      <c r="CKI184" s="82"/>
      <c r="CKJ184" s="82"/>
      <c r="CKK184" s="82"/>
      <c r="CKL184" s="82"/>
      <c r="CKM184" s="82"/>
      <c r="CKN184" s="82"/>
      <c r="CKO184" s="82"/>
      <c r="CKP184" s="82"/>
      <c r="CKQ184" s="82"/>
      <c r="CKR184" s="82"/>
      <c r="CKS184" s="82"/>
      <c r="CKT184" s="82"/>
      <c r="CKU184" s="82"/>
      <c r="CKV184" s="82"/>
      <c r="CKW184" s="82"/>
      <c r="CKX184" s="82"/>
      <c r="CKY184" s="82"/>
      <c r="CKZ184" s="82"/>
      <c r="CLA184" s="82"/>
      <c r="CLB184" s="82"/>
      <c r="CLC184" s="82"/>
      <c r="CLD184" s="82"/>
      <c r="CLE184" s="82"/>
      <c r="CLF184" s="82"/>
      <c r="CLG184" s="82"/>
      <c r="CLH184" s="82"/>
      <c r="CLI184" s="82"/>
      <c r="CLJ184" s="82"/>
      <c r="CLK184" s="82"/>
      <c r="CLL184" s="82"/>
      <c r="CLM184" s="82"/>
      <c r="CLN184" s="82"/>
      <c r="CLO184" s="82"/>
      <c r="CLP184" s="82"/>
      <c r="CLQ184" s="82"/>
      <c r="CLR184" s="82"/>
      <c r="CLS184" s="82"/>
      <c r="CLT184" s="82"/>
      <c r="CLU184" s="82"/>
      <c r="CLV184" s="82"/>
      <c r="CLW184" s="82"/>
      <c r="CLX184" s="82"/>
      <c r="CLY184" s="82"/>
      <c r="CLZ184" s="82"/>
      <c r="CMA184" s="82"/>
      <c r="CMB184" s="82"/>
      <c r="CMC184" s="82"/>
      <c r="CMD184" s="82"/>
      <c r="CME184" s="82"/>
      <c r="CMF184" s="82"/>
      <c r="CMG184" s="82"/>
      <c r="CMH184" s="82"/>
      <c r="CMI184" s="82"/>
      <c r="CMJ184" s="82"/>
      <c r="CMK184" s="82"/>
      <c r="CML184" s="82"/>
      <c r="CMM184" s="82"/>
      <c r="CMN184" s="82"/>
      <c r="CMO184" s="82"/>
      <c r="CMP184" s="82"/>
      <c r="CMQ184" s="82"/>
      <c r="CMR184" s="82"/>
      <c r="CMS184" s="82"/>
      <c r="CMT184" s="82"/>
      <c r="CMU184" s="82"/>
      <c r="CMV184" s="82"/>
      <c r="CMW184" s="82"/>
      <c r="CMX184" s="82"/>
      <c r="CMY184" s="82"/>
      <c r="CMZ184" s="82"/>
      <c r="CNA184" s="82"/>
      <c r="CNB184" s="82"/>
      <c r="CNC184" s="82"/>
      <c r="CND184" s="82"/>
      <c r="CNE184" s="82"/>
      <c r="CNF184" s="82"/>
      <c r="CNG184" s="82"/>
      <c r="CNH184" s="82"/>
      <c r="CNI184" s="82"/>
      <c r="CNJ184" s="82"/>
      <c r="CNK184" s="82"/>
      <c r="CNL184" s="82"/>
      <c r="CNM184" s="82"/>
      <c r="CNN184" s="82"/>
      <c r="CNO184" s="82"/>
      <c r="CNP184" s="82"/>
      <c r="CNQ184" s="82"/>
      <c r="CNR184" s="82"/>
      <c r="CNS184" s="82"/>
      <c r="CNT184" s="82"/>
      <c r="CNU184" s="82"/>
      <c r="CNV184" s="82"/>
      <c r="CNW184" s="82"/>
      <c r="CNX184" s="82"/>
      <c r="CNY184" s="82"/>
      <c r="CNZ184" s="82"/>
      <c r="COA184" s="82"/>
      <c r="COB184" s="82"/>
      <c r="COC184" s="82"/>
      <c r="COD184" s="82"/>
      <c r="COE184" s="82"/>
      <c r="COF184" s="82"/>
      <c r="COG184" s="82"/>
      <c r="COH184" s="82"/>
      <c r="COI184" s="82"/>
      <c r="COJ184" s="82"/>
      <c r="COK184" s="82"/>
      <c r="COL184" s="82"/>
      <c r="COM184" s="82"/>
      <c r="CON184" s="82"/>
      <c r="COO184" s="82"/>
      <c r="COP184" s="82"/>
      <c r="COQ184" s="82"/>
      <c r="COR184" s="82"/>
      <c r="COS184" s="82"/>
      <c r="COT184" s="82"/>
      <c r="COU184" s="82"/>
      <c r="COV184" s="82"/>
      <c r="COW184" s="82"/>
      <c r="COX184" s="82"/>
      <c r="COY184" s="82"/>
      <c r="COZ184" s="82"/>
      <c r="CPA184" s="82"/>
      <c r="CPB184" s="82"/>
      <c r="CPC184" s="82"/>
      <c r="CPD184" s="82"/>
      <c r="CPE184" s="82"/>
      <c r="CPF184" s="82"/>
      <c r="CPG184" s="82"/>
      <c r="CPH184" s="82"/>
      <c r="CPI184" s="82"/>
      <c r="CPJ184" s="82"/>
      <c r="CPK184" s="82"/>
      <c r="CPL184" s="82"/>
      <c r="CPM184" s="82"/>
      <c r="CPN184" s="82"/>
      <c r="CPO184" s="82"/>
      <c r="CPP184" s="82"/>
      <c r="CPQ184" s="82"/>
      <c r="CPR184" s="82"/>
      <c r="CPS184" s="82"/>
      <c r="CPT184" s="82"/>
      <c r="CPU184" s="82"/>
      <c r="CPV184" s="82"/>
      <c r="CPW184" s="82"/>
      <c r="CPX184" s="82"/>
      <c r="CPY184" s="82"/>
      <c r="CPZ184" s="82"/>
      <c r="CQA184" s="82"/>
      <c r="CQB184" s="82"/>
      <c r="CQC184" s="82"/>
      <c r="CQD184" s="82"/>
      <c r="CQE184" s="82"/>
      <c r="CQF184" s="82"/>
      <c r="CQG184" s="82"/>
      <c r="CQH184" s="82"/>
      <c r="CQI184" s="82"/>
      <c r="CQJ184" s="82"/>
      <c r="CQK184" s="82"/>
      <c r="CQL184" s="82"/>
      <c r="CQM184" s="82"/>
      <c r="CQN184" s="82"/>
      <c r="CQO184" s="82"/>
      <c r="CQP184" s="82"/>
      <c r="CQQ184" s="82"/>
      <c r="CQR184" s="82"/>
      <c r="CQS184" s="82"/>
      <c r="CQT184" s="82"/>
      <c r="CQU184" s="82"/>
      <c r="CQV184" s="82"/>
      <c r="CQW184" s="82"/>
      <c r="CQX184" s="82"/>
      <c r="CQY184" s="82"/>
      <c r="CQZ184" s="82"/>
      <c r="CRA184" s="82"/>
      <c r="CRB184" s="82"/>
      <c r="CRC184" s="82"/>
      <c r="CRD184" s="82"/>
      <c r="CRE184" s="82"/>
      <c r="CRF184" s="82"/>
      <c r="CRG184" s="82"/>
      <c r="CRH184" s="82"/>
      <c r="CRI184" s="82"/>
      <c r="CRJ184" s="82"/>
      <c r="CRK184" s="82"/>
      <c r="CRL184" s="82"/>
      <c r="CRM184" s="82"/>
      <c r="CRN184" s="82"/>
      <c r="CRO184" s="82"/>
      <c r="CRP184" s="82"/>
      <c r="CRQ184" s="82"/>
      <c r="CRR184" s="82"/>
      <c r="CRS184" s="82"/>
      <c r="CRT184" s="82"/>
      <c r="CRU184" s="82"/>
      <c r="CRV184" s="82"/>
      <c r="CRW184" s="82"/>
      <c r="CRX184" s="82"/>
      <c r="CRY184" s="82"/>
      <c r="CRZ184" s="82"/>
      <c r="CSA184" s="82"/>
      <c r="CSB184" s="82"/>
      <c r="CSC184" s="82"/>
      <c r="CSD184" s="82"/>
      <c r="CSE184" s="82"/>
      <c r="CSF184" s="82"/>
      <c r="CSG184" s="82"/>
      <c r="CSH184" s="82"/>
      <c r="CSI184" s="82"/>
      <c r="CSJ184" s="82"/>
      <c r="CSK184" s="82"/>
      <c r="CSL184" s="82"/>
      <c r="CSM184" s="82"/>
      <c r="CSN184" s="82"/>
      <c r="CSO184" s="82"/>
      <c r="CSP184" s="82"/>
      <c r="CSQ184" s="82"/>
      <c r="CSR184" s="82"/>
      <c r="CSS184" s="82"/>
      <c r="CST184" s="82"/>
      <c r="CSU184" s="82"/>
      <c r="CSV184" s="82"/>
      <c r="CSW184" s="82"/>
      <c r="CSX184" s="82"/>
      <c r="CSY184" s="82"/>
      <c r="CSZ184" s="82"/>
      <c r="CTA184" s="82"/>
      <c r="CTB184" s="82"/>
      <c r="CTC184" s="82"/>
      <c r="CTD184" s="82"/>
      <c r="CTE184" s="82"/>
      <c r="CTF184" s="82"/>
      <c r="CTG184" s="82"/>
      <c r="CTH184" s="82"/>
      <c r="CTI184" s="82"/>
      <c r="CTJ184" s="82"/>
      <c r="CTK184" s="82"/>
      <c r="CTL184" s="82"/>
      <c r="CTM184" s="82"/>
      <c r="CTN184" s="82"/>
      <c r="CTO184" s="82"/>
      <c r="CTP184" s="82"/>
      <c r="CTQ184" s="82"/>
      <c r="CTR184" s="82"/>
      <c r="CTS184" s="82"/>
      <c r="CTT184" s="82"/>
      <c r="CTU184" s="82"/>
      <c r="CTV184" s="82"/>
      <c r="CTW184" s="82"/>
      <c r="CTX184" s="82"/>
      <c r="CTY184" s="82"/>
      <c r="CTZ184" s="82"/>
      <c r="CUA184" s="82"/>
      <c r="CUB184" s="82"/>
      <c r="CUC184" s="82"/>
      <c r="CUD184" s="82"/>
      <c r="CUE184" s="82"/>
      <c r="CUF184" s="82"/>
      <c r="CUG184" s="82"/>
      <c r="CUH184" s="82"/>
      <c r="CUI184" s="82"/>
      <c r="CUJ184" s="82"/>
      <c r="CUK184" s="82"/>
      <c r="CUL184" s="82"/>
      <c r="CUM184" s="82"/>
      <c r="CUN184" s="82"/>
      <c r="CUO184" s="82"/>
      <c r="CUP184" s="82"/>
      <c r="CUQ184" s="82"/>
      <c r="CUR184" s="82"/>
      <c r="CUS184" s="82"/>
      <c r="CUT184" s="82"/>
      <c r="CUU184" s="82"/>
      <c r="CUV184" s="82"/>
      <c r="CUW184" s="82"/>
      <c r="CUX184" s="82"/>
      <c r="CUY184" s="82"/>
      <c r="CUZ184" s="82"/>
      <c r="CVA184" s="82"/>
      <c r="CVB184" s="82"/>
      <c r="CVC184" s="82"/>
      <c r="CVD184" s="82"/>
      <c r="CVE184" s="82"/>
      <c r="CVF184" s="82"/>
      <c r="CVG184" s="82"/>
      <c r="CVH184" s="82"/>
      <c r="CVI184" s="82"/>
      <c r="CVJ184" s="82"/>
      <c r="CVK184" s="82"/>
      <c r="CVL184" s="82"/>
      <c r="CVM184" s="82"/>
      <c r="CVN184" s="82"/>
      <c r="CVO184" s="82"/>
      <c r="CVP184" s="82"/>
      <c r="CVQ184" s="82"/>
      <c r="CVR184" s="82"/>
      <c r="CVS184" s="82"/>
      <c r="CVT184" s="82"/>
      <c r="CVU184" s="82"/>
      <c r="CVV184" s="82"/>
      <c r="CVW184" s="82"/>
      <c r="CVX184" s="82"/>
      <c r="CVY184" s="82"/>
      <c r="CVZ184" s="82"/>
      <c r="CWA184" s="82"/>
      <c r="CWB184" s="82"/>
      <c r="CWC184" s="82"/>
      <c r="CWD184" s="82"/>
      <c r="CWE184" s="82"/>
      <c r="CWF184" s="82"/>
      <c r="CWG184" s="82"/>
      <c r="CWH184" s="82"/>
      <c r="CWI184" s="82"/>
      <c r="CWJ184" s="82"/>
      <c r="CWK184" s="82"/>
      <c r="CWL184" s="82"/>
      <c r="CWM184" s="82"/>
      <c r="CWN184" s="82"/>
      <c r="CWO184" s="82"/>
      <c r="CWP184" s="82"/>
      <c r="CWQ184" s="82"/>
      <c r="CWR184" s="82"/>
      <c r="CWS184" s="82"/>
      <c r="CWT184" s="82"/>
      <c r="CWU184" s="82"/>
      <c r="CWV184" s="82"/>
      <c r="CWW184" s="82"/>
      <c r="CWX184" s="82"/>
      <c r="CWY184" s="82"/>
      <c r="CWZ184" s="82"/>
      <c r="CXA184" s="82"/>
      <c r="CXB184" s="82"/>
      <c r="CXC184" s="82"/>
      <c r="CXD184" s="82"/>
      <c r="CXE184" s="82"/>
      <c r="CXF184" s="82"/>
      <c r="CXG184" s="82"/>
      <c r="CXH184" s="82"/>
      <c r="CXI184" s="82"/>
      <c r="CXJ184" s="82"/>
      <c r="CXK184" s="82"/>
      <c r="CXL184" s="82"/>
      <c r="CXM184" s="82"/>
      <c r="CXN184" s="82"/>
      <c r="CXO184" s="82"/>
      <c r="CXP184" s="82"/>
      <c r="CXQ184" s="82"/>
      <c r="CXR184" s="82"/>
      <c r="CXS184" s="82"/>
      <c r="CXT184" s="82"/>
      <c r="CXU184" s="82"/>
      <c r="CXV184" s="82"/>
      <c r="CXW184" s="82"/>
      <c r="CXX184" s="82"/>
      <c r="CXY184" s="82"/>
      <c r="CXZ184" s="82"/>
      <c r="CYA184" s="82"/>
      <c r="CYB184" s="82"/>
      <c r="CYC184" s="82"/>
      <c r="CYD184" s="82"/>
      <c r="CYE184" s="82"/>
      <c r="CYF184" s="82"/>
      <c r="CYG184" s="82"/>
      <c r="CYH184" s="82"/>
      <c r="CYI184" s="82"/>
      <c r="CYJ184" s="82"/>
      <c r="CYK184" s="82"/>
      <c r="CYL184" s="82"/>
      <c r="CYM184" s="82"/>
      <c r="CYN184" s="82"/>
      <c r="CYO184" s="82"/>
      <c r="CYP184" s="82"/>
      <c r="CYQ184" s="82"/>
      <c r="CYR184" s="82"/>
      <c r="CYS184" s="82"/>
      <c r="CYT184" s="82"/>
      <c r="CYU184" s="82"/>
      <c r="CYV184" s="82"/>
      <c r="CYW184" s="82"/>
      <c r="CYX184" s="82"/>
      <c r="CYY184" s="82"/>
      <c r="CYZ184" s="82"/>
      <c r="CZA184" s="82"/>
      <c r="CZB184" s="82"/>
      <c r="CZC184" s="82"/>
      <c r="CZD184" s="82"/>
      <c r="CZE184" s="82"/>
      <c r="CZF184" s="82"/>
      <c r="CZG184" s="82"/>
      <c r="CZH184" s="82"/>
      <c r="CZI184" s="82"/>
      <c r="CZJ184" s="82"/>
      <c r="CZK184" s="82"/>
      <c r="CZL184" s="82"/>
      <c r="CZM184" s="82"/>
      <c r="CZN184" s="82"/>
      <c r="CZO184" s="82"/>
      <c r="CZP184" s="82"/>
      <c r="CZQ184" s="82"/>
      <c r="CZR184" s="82"/>
      <c r="CZS184" s="82"/>
      <c r="CZT184" s="82"/>
      <c r="CZU184" s="82"/>
      <c r="CZV184" s="82"/>
      <c r="CZW184" s="82"/>
      <c r="CZX184" s="82"/>
      <c r="CZY184" s="82"/>
      <c r="CZZ184" s="82"/>
      <c r="DAA184" s="82"/>
      <c r="DAB184" s="82"/>
      <c r="DAC184" s="82"/>
      <c r="DAD184" s="82"/>
      <c r="DAE184" s="82"/>
      <c r="DAF184" s="82"/>
      <c r="DAG184" s="82"/>
      <c r="DAH184" s="82"/>
      <c r="DAI184" s="82"/>
      <c r="DAJ184" s="82"/>
      <c r="DAK184" s="82"/>
      <c r="DAL184" s="82"/>
      <c r="DAM184" s="82"/>
      <c r="DAN184" s="82"/>
      <c r="DAO184" s="82"/>
      <c r="DAP184" s="82"/>
      <c r="DAQ184" s="82"/>
      <c r="DAR184" s="82"/>
      <c r="DAS184" s="82"/>
      <c r="DAT184" s="82"/>
      <c r="DAU184" s="82"/>
      <c r="DAV184" s="82"/>
      <c r="DAW184" s="82"/>
      <c r="DAX184" s="82"/>
      <c r="DAY184" s="82"/>
      <c r="DAZ184" s="82"/>
      <c r="DBA184" s="82"/>
      <c r="DBB184" s="82"/>
      <c r="DBC184" s="82"/>
      <c r="DBD184" s="82"/>
      <c r="DBE184" s="82"/>
      <c r="DBF184" s="82"/>
      <c r="DBG184" s="82"/>
      <c r="DBH184" s="82"/>
      <c r="DBI184" s="82"/>
      <c r="DBJ184" s="82"/>
      <c r="DBK184" s="82"/>
      <c r="DBL184" s="82"/>
      <c r="DBM184" s="82"/>
      <c r="DBN184" s="82"/>
      <c r="DBO184" s="82"/>
      <c r="DBP184" s="82"/>
      <c r="DBQ184" s="82"/>
      <c r="DBR184" s="82"/>
      <c r="DBS184" s="82"/>
      <c r="DBT184" s="82"/>
      <c r="DBU184" s="82"/>
      <c r="DBV184" s="82"/>
      <c r="DBW184" s="82"/>
      <c r="DBX184" s="82"/>
      <c r="DBY184" s="82"/>
      <c r="DBZ184" s="82"/>
      <c r="DCA184" s="82"/>
      <c r="DCB184" s="82"/>
      <c r="DCC184" s="82"/>
      <c r="DCD184" s="82"/>
      <c r="DCE184" s="82"/>
      <c r="DCF184" s="82"/>
      <c r="DCG184" s="82"/>
      <c r="DCH184" s="82"/>
      <c r="DCI184" s="82"/>
      <c r="DCJ184" s="82"/>
      <c r="DCK184" s="82"/>
      <c r="DCL184" s="82"/>
      <c r="DCM184" s="82"/>
      <c r="DCN184" s="82"/>
      <c r="DCO184" s="82"/>
      <c r="DCP184" s="82"/>
      <c r="DCQ184" s="82"/>
      <c r="DCR184" s="82"/>
      <c r="DCS184" s="82"/>
      <c r="DCT184" s="82"/>
      <c r="DCU184" s="82"/>
      <c r="DCV184" s="82"/>
      <c r="DCW184" s="82"/>
      <c r="DCX184" s="82"/>
      <c r="DCY184" s="82"/>
      <c r="DCZ184" s="82"/>
      <c r="DDA184" s="82"/>
      <c r="DDB184" s="82"/>
      <c r="DDC184" s="82"/>
      <c r="DDD184" s="82"/>
      <c r="DDE184" s="82"/>
      <c r="DDF184" s="82"/>
      <c r="DDG184" s="82"/>
      <c r="DDH184" s="82"/>
      <c r="DDI184" s="82"/>
      <c r="DDJ184" s="82"/>
      <c r="DDK184" s="82"/>
      <c r="DDL184" s="82"/>
      <c r="DDM184" s="82"/>
      <c r="DDN184" s="82"/>
      <c r="DDO184" s="82"/>
      <c r="DDP184" s="82"/>
      <c r="DDQ184" s="82"/>
      <c r="DDR184" s="82"/>
      <c r="DDS184" s="82"/>
      <c r="DDT184" s="82"/>
      <c r="DDU184" s="82"/>
      <c r="DDV184" s="82"/>
      <c r="DDW184" s="82"/>
      <c r="DDX184" s="82"/>
      <c r="DDY184" s="82"/>
      <c r="DDZ184" s="82"/>
      <c r="DEA184" s="82"/>
      <c r="DEB184" s="82"/>
      <c r="DEC184" s="82"/>
      <c r="DED184" s="82"/>
      <c r="DEE184" s="82"/>
      <c r="DEF184" s="82"/>
      <c r="DEG184" s="82"/>
      <c r="DEH184" s="82"/>
      <c r="DEI184" s="82"/>
      <c r="DEJ184" s="82"/>
      <c r="DEK184" s="82"/>
      <c r="DEL184" s="82"/>
      <c r="DEM184" s="82"/>
      <c r="DEN184" s="82"/>
      <c r="DEO184" s="82"/>
      <c r="DEP184" s="82"/>
      <c r="DEQ184" s="82"/>
      <c r="DER184" s="82"/>
      <c r="DES184" s="82"/>
      <c r="DET184" s="82"/>
      <c r="DEU184" s="82"/>
      <c r="DEV184" s="82"/>
      <c r="DEW184" s="82"/>
      <c r="DEX184" s="82"/>
      <c r="DEY184" s="82"/>
      <c r="DEZ184" s="82"/>
      <c r="DFA184" s="82"/>
      <c r="DFB184" s="82"/>
      <c r="DFC184" s="82"/>
      <c r="DFD184" s="82"/>
      <c r="DFE184" s="82"/>
      <c r="DFF184" s="82"/>
      <c r="DFG184" s="82"/>
      <c r="DFH184" s="82"/>
      <c r="DFI184" s="82"/>
      <c r="DFJ184" s="82"/>
      <c r="DFK184" s="82"/>
      <c r="DFL184" s="82"/>
      <c r="DFM184" s="82"/>
      <c r="DFN184" s="82"/>
      <c r="DFO184" s="82"/>
      <c r="DFP184" s="82"/>
      <c r="DFQ184" s="82"/>
      <c r="DFR184" s="82"/>
      <c r="DFS184" s="82"/>
      <c r="DFT184" s="82"/>
      <c r="DFU184" s="82"/>
      <c r="DFV184" s="82"/>
      <c r="DFW184" s="82"/>
      <c r="DFX184" s="82"/>
      <c r="DFY184" s="82"/>
      <c r="DFZ184" s="82"/>
      <c r="DGA184" s="82"/>
      <c r="DGB184" s="82"/>
      <c r="DGC184" s="82"/>
      <c r="DGD184" s="82"/>
      <c r="DGE184" s="82"/>
      <c r="DGF184" s="82"/>
      <c r="DGG184" s="82"/>
      <c r="DGH184" s="82"/>
      <c r="DGI184" s="82"/>
      <c r="DGJ184" s="82"/>
      <c r="DGK184" s="82"/>
      <c r="DGL184" s="82"/>
      <c r="DGM184" s="82"/>
      <c r="DGN184" s="82"/>
      <c r="DGO184" s="82"/>
      <c r="DGP184" s="82"/>
      <c r="DGQ184" s="82"/>
      <c r="DGR184" s="82"/>
      <c r="DGS184" s="82"/>
      <c r="DGT184" s="82"/>
      <c r="DGU184" s="82"/>
      <c r="DGV184" s="82"/>
      <c r="DGW184" s="82"/>
      <c r="DGX184" s="82"/>
      <c r="DGY184" s="82"/>
      <c r="DGZ184" s="82"/>
      <c r="DHA184" s="82"/>
      <c r="DHB184" s="82"/>
      <c r="DHC184" s="82"/>
      <c r="DHD184" s="82"/>
      <c r="DHE184" s="82"/>
      <c r="DHF184" s="82"/>
      <c r="DHG184" s="82"/>
      <c r="DHH184" s="82"/>
      <c r="DHI184" s="82"/>
      <c r="DHJ184" s="82"/>
      <c r="DHK184" s="82"/>
      <c r="DHL184" s="82"/>
      <c r="DHM184" s="82"/>
      <c r="DHN184" s="82"/>
      <c r="DHO184" s="82"/>
      <c r="DHP184" s="82"/>
      <c r="DHQ184" s="82"/>
      <c r="DHR184" s="82"/>
      <c r="DHS184" s="82"/>
      <c r="DHT184" s="82"/>
      <c r="DHU184" s="82"/>
      <c r="DHV184" s="82"/>
      <c r="DHW184" s="82"/>
      <c r="DHX184" s="82"/>
      <c r="DHY184" s="82"/>
      <c r="DHZ184" s="82"/>
      <c r="DIA184" s="82"/>
      <c r="DIB184" s="82"/>
      <c r="DIC184" s="82"/>
      <c r="DID184" s="82"/>
      <c r="DIE184" s="82"/>
      <c r="DIF184" s="82"/>
      <c r="DIG184" s="82"/>
      <c r="DIH184" s="82"/>
      <c r="DII184" s="82"/>
      <c r="DIJ184" s="82"/>
      <c r="DIK184" s="82"/>
      <c r="DIL184" s="82"/>
      <c r="DIM184" s="82"/>
      <c r="DIN184" s="82"/>
      <c r="DIO184" s="82"/>
      <c r="DIP184" s="82"/>
      <c r="DIQ184" s="82"/>
      <c r="DIR184" s="82"/>
      <c r="DIS184" s="82"/>
      <c r="DIT184" s="82"/>
      <c r="DIU184" s="82"/>
      <c r="DIV184" s="82"/>
      <c r="DIW184" s="82"/>
      <c r="DIX184" s="82"/>
      <c r="DIY184" s="82"/>
      <c r="DIZ184" s="82"/>
      <c r="DJA184" s="82"/>
      <c r="DJB184" s="82"/>
      <c r="DJC184" s="82"/>
      <c r="DJD184" s="82"/>
      <c r="DJE184" s="82"/>
      <c r="DJF184" s="82"/>
      <c r="DJG184" s="82"/>
      <c r="DJH184" s="82"/>
      <c r="DJI184" s="82"/>
      <c r="DJJ184" s="82"/>
      <c r="DJK184" s="82"/>
      <c r="DJL184" s="82"/>
      <c r="DJM184" s="82"/>
      <c r="DJN184" s="82"/>
      <c r="DJO184" s="82"/>
      <c r="DJP184" s="82"/>
      <c r="DJQ184" s="82"/>
      <c r="DJR184" s="82"/>
      <c r="DJS184" s="82"/>
      <c r="DJT184" s="82"/>
      <c r="DJU184" s="82"/>
      <c r="DJV184" s="82"/>
      <c r="DJW184" s="82"/>
      <c r="DJX184" s="82"/>
      <c r="DJY184" s="82"/>
      <c r="DJZ184" s="82"/>
      <c r="DKA184" s="82"/>
      <c r="DKB184" s="82"/>
      <c r="DKC184" s="82"/>
      <c r="DKD184" s="82"/>
      <c r="DKE184" s="82"/>
      <c r="DKF184" s="82"/>
      <c r="DKG184" s="82"/>
      <c r="DKH184" s="82"/>
      <c r="DKI184" s="82"/>
      <c r="DKJ184" s="82"/>
      <c r="DKK184" s="82"/>
      <c r="DKL184" s="82"/>
      <c r="DKM184" s="82"/>
      <c r="DKN184" s="82"/>
      <c r="DKO184" s="82"/>
      <c r="DKP184" s="82"/>
      <c r="DKQ184" s="82"/>
      <c r="DKR184" s="82"/>
      <c r="DKS184" s="82"/>
      <c r="DKT184" s="82"/>
      <c r="DKU184" s="82"/>
      <c r="DKV184" s="82"/>
      <c r="DKW184" s="82"/>
      <c r="DKX184" s="82"/>
      <c r="DKY184" s="82"/>
      <c r="DKZ184" s="82"/>
      <c r="DLA184" s="82"/>
      <c r="DLB184" s="82"/>
      <c r="DLC184" s="82"/>
      <c r="DLD184" s="82"/>
      <c r="DLE184" s="82"/>
      <c r="DLF184" s="82"/>
      <c r="DLG184" s="82"/>
      <c r="DLH184" s="82"/>
      <c r="DLI184" s="82"/>
      <c r="DLJ184" s="82"/>
      <c r="DLK184" s="82"/>
      <c r="DLL184" s="82"/>
      <c r="DLM184" s="82"/>
      <c r="DLN184" s="82"/>
      <c r="DLO184" s="82"/>
      <c r="DLP184" s="82"/>
      <c r="DLQ184" s="82"/>
      <c r="DLR184" s="82"/>
      <c r="DLS184" s="82"/>
      <c r="DLT184" s="82"/>
      <c r="DLU184" s="82"/>
      <c r="DLV184" s="82"/>
      <c r="DLW184" s="82"/>
      <c r="DLX184" s="82"/>
      <c r="DLY184" s="82"/>
      <c r="DLZ184" s="82"/>
      <c r="DMA184" s="82"/>
      <c r="DMB184" s="82"/>
      <c r="DMC184" s="82"/>
      <c r="DMD184" s="82"/>
      <c r="DME184" s="82"/>
      <c r="DMF184" s="82"/>
      <c r="DMG184" s="82"/>
      <c r="DMH184" s="82"/>
      <c r="DMI184" s="82"/>
      <c r="DMJ184" s="82"/>
      <c r="DMK184" s="82"/>
      <c r="DML184" s="82"/>
      <c r="DMM184" s="82"/>
      <c r="DMN184" s="82"/>
      <c r="DMO184" s="82"/>
      <c r="DMP184" s="82"/>
      <c r="DMQ184" s="82"/>
      <c r="DMR184" s="82"/>
      <c r="DMS184" s="82"/>
      <c r="DMT184" s="82"/>
      <c r="DMU184" s="82"/>
      <c r="DMV184" s="82"/>
      <c r="DMW184" s="82"/>
      <c r="DMX184" s="82"/>
      <c r="DMY184" s="82"/>
      <c r="DMZ184" s="82"/>
      <c r="DNA184" s="82"/>
      <c r="DNB184" s="82"/>
      <c r="DNC184" s="82"/>
      <c r="DND184" s="82"/>
      <c r="DNE184" s="82"/>
      <c r="DNF184" s="82"/>
      <c r="DNG184" s="82"/>
      <c r="DNH184" s="82"/>
      <c r="DNI184" s="82"/>
      <c r="DNJ184" s="82"/>
      <c r="DNK184" s="82"/>
      <c r="DNL184" s="82"/>
      <c r="DNM184" s="82"/>
      <c r="DNN184" s="82"/>
      <c r="DNO184" s="82"/>
      <c r="DNP184" s="82"/>
      <c r="DNQ184" s="82"/>
      <c r="DNR184" s="82"/>
      <c r="DNS184" s="82"/>
      <c r="DNT184" s="82"/>
      <c r="DNU184" s="82"/>
      <c r="DNV184" s="82"/>
      <c r="DNW184" s="82"/>
      <c r="DNX184" s="82"/>
      <c r="DNY184" s="82"/>
      <c r="DNZ184" s="82"/>
      <c r="DOA184" s="82"/>
      <c r="DOB184" s="82"/>
      <c r="DOC184" s="82"/>
      <c r="DOD184" s="82"/>
      <c r="DOE184" s="82"/>
      <c r="DOF184" s="82"/>
      <c r="DOG184" s="82"/>
      <c r="DOH184" s="82"/>
      <c r="DOI184" s="82"/>
      <c r="DOJ184" s="82"/>
      <c r="DOK184" s="82"/>
      <c r="DOL184" s="82"/>
      <c r="DOM184" s="82"/>
      <c r="DON184" s="82"/>
      <c r="DOO184" s="82"/>
      <c r="DOP184" s="82"/>
      <c r="DOQ184" s="82"/>
      <c r="DOR184" s="82"/>
      <c r="DOS184" s="82"/>
      <c r="DOT184" s="82"/>
      <c r="DOU184" s="82"/>
      <c r="DOV184" s="82"/>
      <c r="DOW184" s="82"/>
      <c r="DOX184" s="82"/>
      <c r="DOY184" s="82"/>
      <c r="DOZ184" s="82"/>
      <c r="DPA184" s="82"/>
      <c r="DPB184" s="82"/>
      <c r="DPC184" s="82"/>
      <c r="DPD184" s="82"/>
      <c r="DPE184" s="82"/>
      <c r="DPF184" s="82"/>
      <c r="DPG184" s="82"/>
      <c r="DPH184" s="82"/>
      <c r="DPI184" s="82"/>
      <c r="DPJ184" s="82"/>
      <c r="DPK184" s="82"/>
      <c r="DPL184" s="82"/>
      <c r="DPM184" s="82"/>
      <c r="DPN184" s="82"/>
      <c r="DPO184" s="82"/>
      <c r="DPP184" s="82"/>
      <c r="DPQ184" s="82"/>
      <c r="DPR184" s="82"/>
      <c r="DPS184" s="82"/>
      <c r="DPT184" s="82"/>
      <c r="DPU184" s="82"/>
      <c r="DPV184" s="82"/>
      <c r="DPW184" s="82"/>
      <c r="DPX184" s="82"/>
      <c r="DPY184" s="82"/>
      <c r="DPZ184" s="82"/>
      <c r="DQA184" s="82"/>
      <c r="DQB184" s="82"/>
      <c r="DQC184" s="82"/>
      <c r="DQD184" s="82"/>
      <c r="DQE184" s="82"/>
      <c r="DQF184" s="82"/>
      <c r="DQG184" s="82"/>
      <c r="DQH184" s="82"/>
      <c r="DQI184" s="82"/>
      <c r="DQJ184" s="82"/>
      <c r="DQK184" s="82"/>
      <c r="DQL184" s="82"/>
      <c r="DQM184" s="82"/>
      <c r="DQN184" s="82"/>
      <c r="DQO184" s="82"/>
      <c r="DQP184" s="82"/>
      <c r="DQQ184" s="82"/>
      <c r="DQR184" s="82"/>
      <c r="DQS184" s="82"/>
      <c r="DQT184" s="82"/>
      <c r="DQU184" s="82"/>
      <c r="DQV184" s="82"/>
      <c r="DQW184" s="82"/>
      <c r="DQX184" s="82"/>
      <c r="DQY184" s="82"/>
      <c r="DQZ184" s="82"/>
      <c r="DRA184" s="82"/>
      <c r="DRB184" s="82"/>
      <c r="DRC184" s="82"/>
      <c r="DRD184" s="82"/>
      <c r="DRE184" s="82"/>
      <c r="DRF184" s="82"/>
      <c r="DRG184" s="82"/>
      <c r="DRH184" s="82"/>
      <c r="DRI184" s="82"/>
      <c r="DRJ184" s="82"/>
      <c r="DRK184" s="82"/>
      <c r="DRL184" s="82"/>
      <c r="DRM184" s="82"/>
      <c r="DRN184" s="82"/>
      <c r="DRO184" s="82"/>
      <c r="DRP184" s="82"/>
      <c r="DRQ184" s="82"/>
      <c r="DRR184" s="82"/>
      <c r="DRS184" s="82"/>
      <c r="DRT184" s="82"/>
      <c r="DRU184" s="82"/>
      <c r="DRV184" s="82"/>
      <c r="DRW184" s="82"/>
      <c r="DRX184" s="82"/>
      <c r="DRY184" s="82"/>
      <c r="DRZ184" s="82"/>
      <c r="DSA184" s="82"/>
      <c r="DSB184" s="82"/>
      <c r="DSC184" s="82"/>
      <c r="DSD184" s="82"/>
      <c r="DSE184" s="82"/>
      <c r="DSF184" s="82"/>
      <c r="DSG184" s="82"/>
      <c r="DSH184" s="82"/>
      <c r="DSI184" s="82"/>
      <c r="DSJ184" s="82"/>
      <c r="DSK184" s="82"/>
      <c r="DSL184" s="82"/>
      <c r="DSM184" s="82"/>
      <c r="DSN184" s="82"/>
      <c r="DSO184" s="82"/>
      <c r="DSP184" s="82"/>
      <c r="DSQ184" s="82"/>
      <c r="DSR184" s="82"/>
      <c r="DSS184" s="82"/>
      <c r="DST184" s="82"/>
      <c r="DSU184" s="82"/>
      <c r="DSV184" s="82"/>
      <c r="DSW184" s="82"/>
      <c r="DSX184" s="82"/>
      <c r="DSY184" s="82"/>
      <c r="DSZ184" s="82"/>
      <c r="DTA184" s="82"/>
      <c r="DTB184" s="82"/>
      <c r="DTC184" s="82"/>
      <c r="DTD184" s="82"/>
      <c r="DTE184" s="82"/>
      <c r="DTF184" s="82"/>
      <c r="DTG184" s="82"/>
      <c r="DTH184" s="82"/>
      <c r="DTI184" s="82"/>
      <c r="DTJ184" s="82"/>
      <c r="DTK184" s="82"/>
      <c r="DTL184" s="82"/>
      <c r="DTM184" s="82"/>
      <c r="DTN184" s="82"/>
      <c r="DTO184" s="82"/>
      <c r="DTP184" s="82"/>
      <c r="DTQ184" s="82"/>
      <c r="DTR184" s="82"/>
      <c r="DTS184" s="82"/>
      <c r="DTT184" s="82"/>
      <c r="DTU184" s="82"/>
      <c r="DTV184" s="82"/>
      <c r="DTW184" s="82"/>
      <c r="DTX184" s="82"/>
      <c r="DTY184" s="82"/>
      <c r="DTZ184" s="82"/>
      <c r="DUA184" s="82"/>
      <c r="DUB184" s="82"/>
      <c r="DUC184" s="82"/>
      <c r="DUD184" s="82"/>
      <c r="DUE184" s="82"/>
      <c r="DUF184" s="82"/>
      <c r="DUG184" s="82"/>
      <c r="DUH184" s="82"/>
      <c r="DUI184" s="82"/>
      <c r="DUJ184" s="82"/>
      <c r="DUK184" s="82"/>
      <c r="DUL184" s="82"/>
      <c r="DUM184" s="82"/>
      <c r="DUN184" s="82"/>
      <c r="DUO184" s="82"/>
      <c r="DUP184" s="82"/>
      <c r="DUQ184" s="82"/>
      <c r="DUR184" s="82"/>
      <c r="DUS184" s="82"/>
      <c r="DUT184" s="82"/>
      <c r="DUU184" s="82"/>
      <c r="DUV184" s="82"/>
      <c r="DUW184" s="82"/>
      <c r="DUX184" s="82"/>
      <c r="DUY184" s="82"/>
      <c r="DUZ184" s="82"/>
      <c r="DVA184" s="82"/>
      <c r="DVB184" s="82"/>
      <c r="DVC184" s="82"/>
      <c r="DVD184" s="82"/>
      <c r="DVE184" s="82"/>
      <c r="DVF184" s="82"/>
      <c r="DVG184" s="82"/>
      <c r="DVH184" s="82"/>
      <c r="DVI184" s="82"/>
      <c r="DVJ184" s="82"/>
      <c r="DVK184" s="82"/>
      <c r="DVL184" s="82"/>
      <c r="DVM184" s="82"/>
      <c r="DVN184" s="82"/>
      <c r="DVO184" s="82"/>
      <c r="DVP184" s="82"/>
      <c r="DVQ184" s="82"/>
      <c r="DVR184" s="82"/>
      <c r="DVS184" s="82"/>
      <c r="DVT184" s="82"/>
      <c r="DVU184" s="82"/>
      <c r="DVV184" s="82"/>
      <c r="DVW184" s="82"/>
      <c r="DVX184" s="82"/>
      <c r="DVY184" s="82"/>
      <c r="DVZ184" s="82"/>
      <c r="DWA184" s="82"/>
      <c r="DWB184" s="82"/>
      <c r="DWC184" s="82"/>
      <c r="DWD184" s="82"/>
      <c r="DWE184" s="82"/>
      <c r="DWF184" s="82"/>
      <c r="DWG184" s="82"/>
      <c r="DWH184" s="82"/>
      <c r="DWI184" s="82"/>
      <c r="DWJ184" s="82"/>
      <c r="DWK184" s="82"/>
      <c r="DWL184" s="82"/>
      <c r="DWM184" s="82"/>
      <c r="DWN184" s="82"/>
      <c r="DWO184" s="82"/>
      <c r="DWP184" s="82"/>
      <c r="DWQ184" s="82"/>
      <c r="DWR184" s="82"/>
      <c r="DWS184" s="82"/>
      <c r="DWT184" s="82"/>
      <c r="DWU184" s="82"/>
      <c r="DWV184" s="82"/>
      <c r="DWW184" s="82"/>
      <c r="DWX184" s="82"/>
      <c r="DWY184" s="82"/>
      <c r="DWZ184" s="82"/>
      <c r="DXA184" s="82"/>
      <c r="DXB184" s="82"/>
      <c r="DXC184" s="82"/>
      <c r="DXD184" s="82"/>
      <c r="DXE184" s="82"/>
      <c r="DXF184" s="82"/>
      <c r="DXG184" s="82"/>
      <c r="DXH184" s="82"/>
      <c r="DXI184" s="82"/>
      <c r="DXJ184" s="82"/>
      <c r="DXK184" s="82"/>
      <c r="DXL184" s="82"/>
      <c r="DXM184" s="82"/>
      <c r="DXN184" s="82"/>
      <c r="DXO184" s="82"/>
      <c r="DXP184" s="82"/>
      <c r="DXQ184" s="82"/>
      <c r="DXR184" s="82"/>
      <c r="DXS184" s="82"/>
      <c r="DXT184" s="82"/>
      <c r="DXU184" s="82"/>
      <c r="DXV184" s="82"/>
      <c r="DXW184" s="82"/>
      <c r="DXX184" s="82"/>
      <c r="DXY184" s="82"/>
      <c r="DXZ184" s="82"/>
      <c r="DYA184" s="82"/>
      <c r="DYB184" s="82"/>
      <c r="DYC184" s="82"/>
      <c r="DYD184" s="82"/>
      <c r="DYE184" s="82"/>
      <c r="DYF184" s="82"/>
      <c r="DYG184" s="82"/>
      <c r="DYH184" s="82"/>
      <c r="DYI184" s="82"/>
      <c r="DYJ184" s="82"/>
      <c r="DYK184" s="82"/>
      <c r="DYL184" s="82"/>
      <c r="DYM184" s="82"/>
      <c r="DYN184" s="82"/>
      <c r="DYO184" s="82"/>
      <c r="DYP184" s="82"/>
      <c r="DYQ184" s="82"/>
      <c r="DYR184" s="82"/>
      <c r="DYS184" s="82"/>
      <c r="DYT184" s="82"/>
      <c r="DYU184" s="82"/>
      <c r="DYV184" s="82"/>
      <c r="DYW184" s="82"/>
      <c r="DYX184" s="82"/>
      <c r="DYY184" s="82"/>
      <c r="DYZ184" s="82"/>
      <c r="DZA184" s="82"/>
      <c r="DZB184" s="82"/>
      <c r="DZC184" s="82"/>
      <c r="DZD184" s="82"/>
      <c r="DZE184" s="82"/>
      <c r="DZF184" s="82"/>
      <c r="DZG184" s="82"/>
      <c r="DZH184" s="82"/>
      <c r="DZI184" s="82"/>
      <c r="DZJ184" s="82"/>
      <c r="DZK184" s="82"/>
      <c r="DZL184" s="82"/>
      <c r="DZM184" s="82"/>
      <c r="DZN184" s="82"/>
      <c r="DZO184" s="82"/>
      <c r="DZP184" s="82"/>
      <c r="DZQ184" s="82"/>
      <c r="DZR184" s="82"/>
      <c r="DZS184" s="82"/>
      <c r="DZT184" s="82"/>
      <c r="DZU184" s="82"/>
      <c r="DZV184" s="82"/>
      <c r="DZW184" s="82"/>
      <c r="DZX184" s="82"/>
      <c r="DZY184" s="82"/>
      <c r="DZZ184" s="82"/>
      <c r="EAA184" s="82"/>
      <c r="EAB184" s="82"/>
      <c r="EAC184" s="82"/>
      <c r="EAD184" s="82"/>
      <c r="EAE184" s="82"/>
      <c r="EAF184" s="82"/>
      <c r="EAG184" s="82"/>
      <c r="EAH184" s="82"/>
      <c r="EAI184" s="82"/>
      <c r="EAJ184" s="82"/>
      <c r="EAK184" s="82"/>
      <c r="EAL184" s="82"/>
      <c r="EAM184" s="82"/>
      <c r="EAN184" s="82"/>
      <c r="EAO184" s="82"/>
      <c r="EAP184" s="82"/>
      <c r="EAQ184" s="82"/>
      <c r="EAR184" s="82"/>
      <c r="EAS184" s="82"/>
      <c r="EAT184" s="82"/>
      <c r="EAU184" s="82"/>
      <c r="EAV184" s="82"/>
      <c r="EAW184" s="82"/>
      <c r="EAX184" s="82"/>
      <c r="EAY184" s="82"/>
      <c r="EAZ184" s="82"/>
      <c r="EBA184" s="82"/>
      <c r="EBB184" s="82"/>
      <c r="EBC184" s="82"/>
      <c r="EBD184" s="82"/>
      <c r="EBE184" s="82"/>
      <c r="EBF184" s="82"/>
      <c r="EBG184" s="82"/>
      <c r="EBH184" s="82"/>
      <c r="EBI184" s="82"/>
      <c r="EBJ184" s="82"/>
      <c r="EBK184" s="82"/>
      <c r="EBL184" s="82"/>
      <c r="EBM184" s="82"/>
      <c r="EBN184" s="82"/>
      <c r="EBO184" s="82"/>
      <c r="EBP184" s="82"/>
      <c r="EBQ184" s="82"/>
      <c r="EBR184" s="82"/>
      <c r="EBS184" s="82"/>
      <c r="EBT184" s="82"/>
      <c r="EBU184" s="82"/>
      <c r="EBV184" s="82"/>
      <c r="EBW184" s="82"/>
      <c r="EBX184" s="82"/>
      <c r="EBY184" s="82"/>
      <c r="EBZ184" s="82"/>
      <c r="ECA184" s="82"/>
      <c r="ECB184" s="82"/>
      <c r="ECC184" s="82"/>
      <c r="ECD184" s="82"/>
      <c r="ECE184" s="82"/>
      <c r="ECF184" s="82"/>
      <c r="ECG184" s="82"/>
      <c r="ECH184" s="82"/>
      <c r="ECI184" s="82"/>
      <c r="ECJ184" s="82"/>
      <c r="ECK184" s="82"/>
      <c r="ECL184" s="82"/>
      <c r="ECM184" s="82"/>
      <c r="ECN184" s="82"/>
      <c r="ECO184" s="82"/>
      <c r="ECP184" s="82"/>
      <c r="ECQ184" s="82"/>
      <c r="ECR184" s="82"/>
      <c r="ECS184" s="82"/>
      <c r="ECT184" s="82"/>
      <c r="ECU184" s="82"/>
      <c r="ECV184" s="82"/>
      <c r="ECW184" s="82"/>
      <c r="ECX184" s="82"/>
      <c r="ECY184" s="82"/>
      <c r="ECZ184" s="82"/>
      <c r="EDA184" s="82"/>
      <c r="EDB184" s="82"/>
      <c r="EDC184" s="82"/>
      <c r="EDD184" s="82"/>
      <c r="EDE184" s="82"/>
      <c r="EDF184" s="82"/>
      <c r="EDG184" s="82"/>
      <c r="EDH184" s="82"/>
      <c r="EDI184" s="82"/>
      <c r="EDJ184" s="82"/>
      <c r="EDK184" s="82"/>
      <c r="EDL184" s="82"/>
      <c r="EDM184" s="82"/>
      <c r="EDN184" s="82"/>
      <c r="EDO184" s="82"/>
      <c r="EDP184" s="82"/>
      <c r="EDQ184" s="82"/>
      <c r="EDR184" s="82"/>
      <c r="EDS184" s="82"/>
      <c r="EDT184" s="82"/>
      <c r="EDU184" s="82"/>
      <c r="EDV184" s="82"/>
      <c r="EDW184" s="82"/>
      <c r="EDX184" s="82"/>
      <c r="EDY184" s="82"/>
      <c r="EDZ184" s="82"/>
      <c r="EEA184" s="82"/>
      <c r="EEB184" s="82"/>
      <c r="EEC184" s="82"/>
      <c r="EED184" s="82"/>
      <c r="EEE184" s="82"/>
      <c r="EEF184" s="82"/>
      <c r="EEG184" s="82"/>
      <c r="EEH184" s="82"/>
      <c r="EEI184" s="82"/>
      <c r="EEJ184" s="82"/>
      <c r="EEK184" s="82"/>
      <c r="EEL184" s="82"/>
      <c r="EEM184" s="82"/>
      <c r="EEN184" s="82"/>
      <c r="EEO184" s="82"/>
      <c r="EEP184" s="82"/>
      <c r="EEQ184" s="82"/>
      <c r="EER184" s="82"/>
      <c r="EES184" s="82"/>
      <c r="EET184" s="82"/>
      <c r="EEU184" s="82"/>
      <c r="EEV184" s="82"/>
      <c r="EEW184" s="82"/>
      <c r="EEX184" s="82"/>
      <c r="EEY184" s="82"/>
      <c r="EEZ184" s="82"/>
      <c r="EFA184" s="82"/>
      <c r="EFB184" s="82"/>
      <c r="EFC184" s="82"/>
      <c r="EFD184" s="82"/>
      <c r="EFE184" s="82"/>
      <c r="EFF184" s="82"/>
      <c r="EFG184" s="82"/>
      <c r="EFH184" s="82"/>
      <c r="EFI184" s="82"/>
      <c r="EFJ184" s="82"/>
      <c r="EFK184" s="82"/>
      <c r="EFL184" s="82"/>
      <c r="EFM184" s="82"/>
      <c r="EFN184" s="82"/>
      <c r="EFO184" s="82"/>
      <c r="EFP184" s="82"/>
      <c r="EFQ184" s="82"/>
      <c r="EFR184" s="82"/>
      <c r="EFS184" s="82"/>
      <c r="EFT184" s="82"/>
      <c r="EFU184" s="82"/>
      <c r="EFV184" s="82"/>
      <c r="EFW184" s="82"/>
      <c r="EFX184" s="82"/>
      <c r="EFY184" s="82"/>
      <c r="EFZ184" s="82"/>
      <c r="EGA184" s="82"/>
      <c r="EGB184" s="82"/>
      <c r="EGC184" s="82"/>
      <c r="EGD184" s="82"/>
      <c r="EGE184" s="82"/>
      <c r="EGF184" s="82"/>
      <c r="EGG184" s="82"/>
      <c r="EGH184" s="82"/>
      <c r="EGI184" s="82"/>
      <c r="EGJ184" s="82"/>
      <c r="EGK184" s="82"/>
      <c r="EGL184" s="82"/>
      <c r="EGM184" s="82"/>
      <c r="EGN184" s="82"/>
      <c r="EGO184" s="82"/>
      <c r="EGP184" s="82"/>
      <c r="EGQ184" s="82"/>
      <c r="EGR184" s="82"/>
      <c r="EGS184" s="82"/>
      <c r="EGT184" s="82"/>
      <c r="EGU184" s="82"/>
      <c r="EGV184" s="82"/>
      <c r="EGW184" s="82"/>
      <c r="EGX184" s="82"/>
      <c r="EGY184" s="82"/>
      <c r="EGZ184" s="82"/>
      <c r="EHA184" s="82"/>
      <c r="EHB184" s="82"/>
      <c r="EHC184" s="82"/>
      <c r="EHD184" s="82"/>
      <c r="EHE184" s="82"/>
      <c r="EHF184" s="82"/>
      <c r="EHG184" s="82"/>
      <c r="EHH184" s="82"/>
      <c r="EHI184" s="82"/>
      <c r="EHJ184" s="82"/>
      <c r="EHK184" s="82"/>
      <c r="EHL184" s="82"/>
      <c r="EHM184" s="82"/>
      <c r="EHN184" s="82"/>
      <c r="EHO184" s="82"/>
      <c r="EHP184" s="82"/>
      <c r="EHQ184" s="82"/>
      <c r="EHR184" s="82"/>
      <c r="EHS184" s="82"/>
      <c r="EHT184" s="82"/>
      <c r="EHU184" s="82"/>
      <c r="EHV184" s="82"/>
      <c r="EHW184" s="82"/>
      <c r="EHX184" s="82"/>
      <c r="EHY184" s="82"/>
      <c r="EHZ184" s="82"/>
      <c r="EIA184" s="82"/>
      <c r="EIB184" s="82"/>
      <c r="EIC184" s="82"/>
      <c r="EID184" s="82"/>
      <c r="EIE184" s="82"/>
      <c r="EIF184" s="82"/>
      <c r="EIG184" s="82"/>
      <c r="EIH184" s="82"/>
      <c r="EII184" s="82"/>
      <c r="EIJ184" s="82"/>
      <c r="EIK184" s="82"/>
      <c r="EIL184" s="82"/>
      <c r="EIM184" s="82"/>
      <c r="EIN184" s="82"/>
      <c r="EIO184" s="82"/>
      <c r="EIP184" s="82"/>
      <c r="EIQ184" s="82"/>
      <c r="EIR184" s="82"/>
      <c r="EIS184" s="82"/>
      <c r="EIT184" s="82"/>
      <c r="EIU184" s="82"/>
      <c r="EIV184" s="82"/>
      <c r="EIW184" s="82"/>
      <c r="EIX184" s="82"/>
      <c r="EIY184" s="82"/>
      <c r="EIZ184" s="82"/>
      <c r="EJA184" s="82"/>
      <c r="EJB184" s="82"/>
      <c r="EJC184" s="82"/>
      <c r="EJD184" s="82"/>
      <c r="EJE184" s="82"/>
      <c r="EJF184" s="82"/>
      <c r="EJG184" s="82"/>
      <c r="EJH184" s="82"/>
      <c r="EJI184" s="82"/>
      <c r="EJJ184" s="82"/>
      <c r="EJK184" s="82"/>
      <c r="EJL184" s="82"/>
      <c r="EJM184" s="82"/>
      <c r="EJN184" s="82"/>
      <c r="EJO184" s="82"/>
      <c r="EJP184" s="82"/>
      <c r="EJQ184" s="82"/>
      <c r="EJR184" s="82"/>
      <c r="EJS184" s="82"/>
      <c r="EJT184" s="82"/>
      <c r="EJU184" s="82"/>
      <c r="EJV184" s="82"/>
      <c r="EJW184" s="82"/>
      <c r="EJX184" s="82"/>
      <c r="EJY184" s="82"/>
      <c r="EJZ184" s="82"/>
      <c r="EKA184" s="82"/>
      <c r="EKB184" s="82"/>
      <c r="EKC184" s="82"/>
      <c r="EKD184" s="82"/>
      <c r="EKE184" s="82"/>
      <c r="EKF184" s="82"/>
      <c r="EKG184" s="82"/>
      <c r="EKH184" s="82"/>
      <c r="EKI184" s="82"/>
      <c r="EKJ184" s="82"/>
      <c r="EKK184" s="82"/>
      <c r="EKL184" s="82"/>
      <c r="EKM184" s="82"/>
      <c r="EKN184" s="82"/>
      <c r="EKO184" s="82"/>
      <c r="EKP184" s="82"/>
      <c r="EKQ184" s="82"/>
      <c r="EKR184" s="82"/>
      <c r="EKS184" s="82"/>
      <c r="EKT184" s="82"/>
      <c r="EKU184" s="82"/>
      <c r="EKV184" s="82"/>
      <c r="EKW184" s="82"/>
      <c r="EKX184" s="82"/>
      <c r="EKY184" s="82"/>
      <c r="EKZ184" s="82"/>
      <c r="ELA184" s="82"/>
      <c r="ELB184" s="82"/>
      <c r="ELC184" s="82"/>
      <c r="ELD184" s="82"/>
      <c r="ELE184" s="82"/>
      <c r="ELF184" s="82"/>
      <c r="ELG184" s="82"/>
      <c r="ELH184" s="82"/>
      <c r="ELI184" s="82"/>
      <c r="ELJ184" s="82"/>
      <c r="ELK184" s="82"/>
      <c r="ELL184" s="82"/>
      <c r="ELM184" s="82"/>
      <c r="ELN184" s="82"/>
      <c r="ELO184" s="82"/>
      <c r="ELP184" s="82"/>
      <c r="ELQ184" s="82"/>
      <c r="ELR184" s="82"/>
      <c r="ELS184" s="82"/>
      <c r="ELT184" s="82"/>
      <c r="ELU184" s="82"/>
      <c r="ELV184" s="82"/>
      <c r="ELW184" s="82"/>
      <c r="ELX184" s="82"/>
      <c r="ELY184" s="82"/>
      <c r="ELZ184" s="82"/>
      <c r="EMA184" s="82"/>
      <c r="EMB184" s="82"/>
      <c r="EMC184" s="82"/>
      <c r="EMD184" s="82"/>
      <c r="EME184" s="82"/>
      <c r="EMF184" s="82"/>
      <c r="EMG184" s="82"/>
      <c r="EMH184" s="82"/>
      <c r="EMI184" s="82"/>
      <c r="EMJ184" s="82"/>
      <c r="EMK184" s="82"/>
      <c r="EML184" s="82"/>
      <c r="EMM184" s="82"/>
      <c r="EMN184" s="82"/>
      <c r="EMO184" s="82"/>
      <c r="EMP184" s="82"/>
      <c r="EMQ184" s="82"/>
      <c r="EMR184" s="82"/>
      <c r="EMS184" s="82"/>
      <c r="EMT184" s="82"/>
      <c r="EMU184" s="82"/>
      <c r="EMV184" s="82"/>
      <c r="EMW184" s="82"/>
      <c r="EMX184" s="82"/>
      <c r="EMY184" s="82"/>
      <c r="EMZ184" s="82"/>
      <c r="ENA184" s="82"/>
      <c r="ENB184" s="82"/>
      <c r="ENC184" s="82"/>
      <c r="END184" s="82"/>
      <c r="ENE184" s="82"/>
      <c r="ENF184" s="82"/>
      <c r="ENG184" s="82"/>
      <c r="ENH184" s="82"/>
      <c r="ENI184" s="82"/>
      <c r="ENJ184" s="82"/>
      <c r="ENK184" s="82"/>
      <c r="ENL184" s="82"/>
      <c r="ENM184" s="82"/>
      <c r="ENN184" s="82"/>
      <c r="ENO184" s="82"/>
      <c r="ENP184" s="82"/>
      <c r="ENQ184" s="82"/>
      <c r="ENR184" s="82"/>
      <c r="ENS184" s="82"/>
      <c r="ENT184" s="82"/>
      <c r="ENU184" s="82"/>
      <c r="ENV184" s="82"/>
      <c r="ENW184" s="82"/>
      <c r="ENX184" s="82"/>
      <c r="ENY184" s="82"/>
      <c r="ENZ184" s="82"/>
      <c r="EOA184" s="82"/>
      <c r="EOB184" s="82"/>
      <c r="EOC184" s="82"/>
      <c r="EOD184" s="82"/>
      <c r="EOE184" s="82"/>
      <c r="EOF184" s="82"/>
      <c r="EOG184" s="82"/>
      <c r="EOH184" s="82"/>
      <c r="EOI184" s="82"/>
      <c r="EOJ184" s="82"/>
      <c r="EOK184" s="82"/>
      <c r="EOL184" s="82"/>
      <c r="EOM184" s="82"/>
      <c r="EON184" s="82"/>
      <c r="EOO184" s="82"/>
      <c r="EOP184" s="82"/>
      <c r="EOQ184" s="82"/>
      <c r="EOR184" s="82"/>
      <c r="EOS184" s="82"/>
      <c r="EOT184" s="82"/>
      <c r="EOU184" s="82"/>
      <c r="EOV184" s="82"/>
      <c r="EOW184" s="82"/>
      <c r="EOX184" s="82"/>
      <c r="EOY184" s="82"/>
      <c r="EOZ184" s="82"/>
      <c r="EPA184" s="82"/>
      <c r="EPB184" s="82"/>
      <c r="EPC184" s="82"/>
      <c r="EPD184" s="82"/>
      <c r="EPE184" s="82"/>
      <c r="EPF184" s="82"/>
      <c r="EPG184" s="82"/>
      <c r="EPH184" s="82"/>
      <c r="EPI184" s="82"/>
      <c r="EPJ184" s="82"/>
      <c r="EPK184" s="82"/>
      <c r="EPL184" s="82"/>
      <c r="EPM184" s="82"/>
      <c r="EPN184" s="82"/>
      <c r="EPO184" s="82"/>
      <c r="EPP184" s="82"/>
      <c r="EPQ184" s="82"/>
      <c r="EPR184" s="82"/>
      <c r="EPS184" s="82"/>
      <c r="EPT184" s="82"/>
      <c r="EPU184" s="82"/>
      <c r="EPV184" s="82"/>
      <c r="EPW184" s="82"/>
      <c r="EPX184" s="82"/>
      <c r="EPY184" s="82"/>
      <c r="EPZ184" s="82"/>
      <c r="EQA184" s="82"/>
      <c r="EQB184" s="82"/>
      <c r="EQC184" s="82"/>
      <c r="EQD184" s="82"/>
      <c r="EQE184" s="82"/>
      <c r="EQF184" s="82"/>
      <c r="EQG184" s="82"/>
      <c r="EQH184" s="82"/>
      <c r="EQI184" s="82"/>
      <c r="EQJ184" s="82"/>
      <c r="EQK184" s="82"/>
      <c r="EQL184" s="82"/>
      <c r="EQM184" s="82"/>
      <c r="EQN184" s="82"/>
      <c r="EQO184" s="82"/>
      <c r="EQP184" s="82"/>
      <c r="EQQ184" s="82"/>
      <c r="EQR184" s="82"/>
      <c r="EQS184" s="82"/>
      <c r="EQT184" s="82"/>
      <c r="EQU184" s="82"/>
      <c r="EQV184" s="82"/>
      <c r="EQW184" s="82"/>
      <c r="EQX184" s="82"/>
      <c r="EQY184" s="82"/>
      <c r="EQZ184" s="82"/>
      <c r="ERA184" s="82"/>
      <c r="ERB184" s="82"/>
      <c r="ERC184" s="82"/>
      <c r="ERD184" s="82"/>
      <c r="ERE184" s="82"/>
      <c r="ERF184" s="82"/>
      <c r="ERG184" s="82"/>
      <c r="ERH184" s="82"/>
      <c r="ERI184" s="82"/>
      <c r="ERJ184" s="82"/>
      <c r="ERK184" s="82"/>
      <c r="ERL184" s="82"/>
      <c r="ERM184" s="82"/>
      <c r="ERN184" s="82"/>
      <c r="ERO184" s="82"/>
      <c r="ERP184" s="82"/>
      <c r="ERQ184" s="82"/>
      <c r="ERR184" s="82"/>
      <c r="ERS184" s="82"/>
      <c r="ERT184" s="82"/>
      <c r="ERU184" s="82"/>
      <c r="ERV184" s="82"/>
      <c r="ERW184" s="82"/>
      <c r="ERX184" s="82"/>
      <c r="ERY184" s="82"/>
      <c r="ERZ184" s="82"/>
      <c r="ESA184" s="82"/>
      <c r="ESB184" s="82"/>
      <c r="ESC184" s="82"/>
      <c r="ESD184" s="82"/>
      <c r="ESE184" s="82"/>
      <c r="ESF184" s="82"/>
      <c r="ESG184" s="82"/>
      <c r="ESH184" s="82"/>
      <c r="ESI184" s="82"/>
      <c r="ESJ184" s="82"/>
      <c r="ESK184" s="82"/>
      <c r="ESL184" s="82"/>
      <c r="ESM184" s="82"/>
      <c r="ESN184" s="82"/>
      <c r="ESO184" s="82"/>
      <c r="ESP184" s="82"/>
      <c r="ESQ184" s="82"/>
      <c r="ESR184" s="82"/>
      <c r="ESS184" s="82"/>
      <c r="EST184" s="82"/>
      <c r="ESU184" s="82"/>
      <c r="ESV184" s="82"/>
      <c r="ESW184" s="82"/>
      <c r="ESX184" s="82"/>
      <c r="ESY184" s="82"/>
      <c r="ESZ184" s="82"/>
      <c r="ETA184" s="82"/>
      <c r="ETB184" s="82"/>
      <c r="ETC184" s="82"/>
      <c r="ETD184" s="82"/>
      <c r="ETE184" s="82"/>
      <c r="ETF184" s="82"/>
      <c r="ETG184" s="82"/>
      <c r="ETH184" s="82"/>
      <c r="ETI184" s="82"/>
      <c r="ETJ184" s="82"/>
      <c r="ETK184" s="82"/>
      <c r="ETL184" s="82"/>
      <c r="ETM184" s="82"/>
      <c r="ETN184" s="82"/>
      <c r="ETO184" s="82"/>
      <c r="ETP184" s="82"/>
      <c r="ETQ184" s="82"/>
      <c r="ETR184" s="82"/>
      <c r="ETS184" s="82"/>
      <c r="ETT184" s="82"/>
      <c r="ETU184" s="82"/>
      <c r="ETV184" s="82"/>
      <c r="ETW184" s="82"/>
      <c r="ETX184" s="82"/>
      <c r="ETY184" s="82"/>
      <c r="ETZ184" s="82"/>
      <c r="EUA184" s="82"/>
      <c r="EUB184" s="82"/>
      <c r="EUC184" s="82"/>
      <c r="EUD184" s="82"/>
      <c r="EUE184" s="82"/>
      <c r="EUF184" s="82"/>
      <c r="EUG184" s="82"/>
      <c r="EUH184" s="82"/>
      <c r="EUI184" s="82"/>
      <c r="EUJ184" s="82"/>
      <c r="EUK184" s="82"/>
      <c r="EUL184" s="82"/>
      <c r="EUM184" s="82"/>
      <c r="EUN184" s="82"/>
      <c r="EUO184" s="82"/>
      <c r="EUP184" s="82"/>
      <c r="EUQ184" s="82"/>
      <c r="EUR184" s="82"/>
      <c r="EUS184" s="82"/>
      <c r="EUT184" s="82"/>
      <c r="EUU184" s="82"/>
      <c r="EUV184" s="82"/>
      <c r="EUW184" s="82"/>
      <c r="EUX184" s="82"/>
      <c r="EUY184" s="82"/>
      <c r="EUZ184" s="82"/>
      <c r="EVA184" s="82"/>
      <c r="EVB184" s="82"/>
      <c r="EVC184" s="82"/>
      <c r="EVD184" s="82"/>
      <c r="EVE184" s="82"/>
      <c r="EVF184" s="82"/>
      <c r="EVG184" s="82"/>
      <c r="EVH184" s="82"/>
      <c r="EVI184" s="82"/>
      <c r="EVJ184" s="82"/>
      <c r="EVK184" s="82"/>
      <c r="EVL184" s="82"/>
      <c r="EVM184" s="82"/>
      <c r="EVN184" s="82"/>
      <c r="EVO184" s="82"/>
      <c r="EVP184" s="82"/>
      <c r="EVQ184" s="82"/>
      <c r="EVR184" s="82"/>
      <c r="EVS184" s="82"/>
      <c r="EVT184" s="82"/>
      <c r="EVU184" s="82"/>
      <c r="EVV184" s="82"/>
      <c r="EVW184" s="82"/>
      <c r="EVX184" s="82"/>
      <c r="EVY184" s="82"/>
      <c r="EVZ184" s="82"/>
      <c r="EWA184" s="82"/>
      <c r="EWB184" s="82"/>
      <c r="EWC184" s="82"/>
      <c r="EWD184" s="82"/>
      <c r="EWE184" s="82"/>
      <c r="EWF184" s="82"/>
      <c r="EWG184" s="82"/>
      <c r="EWH184" s="82"/>
      <c r="EWI184" s="82"/>
      <c r="EWJ184" s="82"/>
      <c r="EWK184" s="82"/>
      <c r="EWL184" s="82"/>
      <c r="EWM184" s="82"/>
      <c r="EWN184" s="82"/>
      <c r="EWO184" s="82"/>
      <c r="EWP184" s="82"/>
      <c r="EWQ184" s="82"/>
      <c r="EWR184" s="82"/>
      <c r="EWS184" s="82"/>
      <c r="EWT184" s="82"/>
      <c r="EWU184" s="82"/>
      <c r="EWV184" s="82"/>
      <c r="EWW184" s="82"/>
      <c r="EWX184" s="82"/>
      <c r="EWY184" s="82"/>
      <c r="EWZ184" s="82"/>
      <c r="EXA184" s="82"/>
      <c r="EXB184" s="82"/>
      <c r="EXC184" s="82"/>
      <c r="EXD184" s="82"/>
      <c r="EXE184" s="82"/>
      <c r="EXF184" s="82"/>
      <c r="EXG184" s="82"/>
      <c r="EXH184" s="82"/>
      <c r="EXI184" s="82"/>
      <c r="EXJ184" s="82"/>
      <c r="EXK184" s="82"/>
      <c r="EXL184" s="82"/>
      <c r="EXM184" s="82"/>
      <c r="EXN184" s="82"/>
      <c r="EXO184" s="82"/>
      <c r="EXP184" s="82"/>
      <c r="EXQ184" s="82"/>
      <c r="EXR184" s="82"/>
      <c r="EXS184" s="82"/>
      <c r="EXT184" s="82"/>
      <c r="EXU184" s="82"/>
      <c r="EXV184" s="82"/>
      <c r="EXW184" s="82"/>
      <c r="EXX184" s="82"/>
      <c r="EXY184" s="82"/>
      <c r="EXZ184" s="82"/>
      <c r="EYA184" s="82"/>
      <c r="EYB184" s="82"/>
      <c r="EYC184" s="82"/>
      <c r="EYD184" s="82"/>
      <c r="EYE184" s="82"/>
      <c r="EYF184" s="82"/>
      <c r="EYG184" s="82"/>
      <c r="EYH184" s="82"/>
      <c r="EYI184" s="82"/>
      <c r="EYJ184" s="82"/>
      <c r="EYK184" s="82"/>
      <c r="EYL184" s="82"/>
      <c r="EYM184" s="82"/>
      <c r="EYN184" s="82"/>
      <c r="EYO184" s="82"/>
      <c r="EYP184" s="82"/>
      <c r="EYQ184" s="82"/>
      <c r="EYR184" s="82"/>
      <c r="EYS184" s="82"/>
      <c r="EYT184" s="82"/>
      <c r="EYU184" s="82"/>
      <c r="EYV184" s="82"/>
      <c r="EYW184" s="82"/>
      <c r="EYX184" s="82"/>
      <c r="EYY184" s="82"/>
      <c r="EYZ184" s="82"/>
      <c r="EZA184" s="82"/>
      <c r="EZB184" s="82"/>
      <c r="EZC184" s="82"/>
      <c r="EZD184" s="82"/>
      <c r="EZE184" s="82"/>
      <c r="EZF184" s="82"/>
      <c r="EZG184" s="82"/>
      <c r="EZH184" s="82"/>
      <c r="EZI184" s="82"/>
      <c r="EZJ184" s="82"/>
      <c r="EZK184" s="82"/>
      <c r="EZL184" s="82"/>
      <c r="EZM184" s="82"/>
      <c r="EZN184" s="82"/>
      <c r="EZO184" s="82"/>
      <c r="EZP184" s="82"/>
      <c r="EZQ184" s="82"/>
      <c r="EZR184" s="82"/>
      <c r="EZS184" s="82"/>
      <c r="EZT184" s="82"/>
      <c r="EZU184" s="82"/>
      <c r="EZV184" s="82"/>
      <c r="EZW184" s="82"/>
      <c r="EZX184" s="82"/>
      <c r="EZY184" s="82"/>
      <c r="EZZ184" s="82"/>
      <c r="FAA184" s="82"/>
      <c r="FAB184" s="82"/>
      <c r="FAC184" s="82"/>
      <c r="FAD184" s="82"/>
      <c r="FAE184" s="82"/>
      <c r="FAF184" s="82"/>
      <c r="FAG184" s="82"/>
      <c r="FAH184" s="82"/>
      <c r="FAI184" s="82"/>
      <c r="FAJ184" s="82"/>
      <c r="FAK184" s="82"/>
      <c r="FAL184" s="82"/>
      <c r="FAM184" s="82"/>
      <c r="FAN184" s="82"/>
      <c r="FAO184" s="82"/>
      <c r="FAP184" s="82"/>
      <c r="FAQ184" s="82"/>
      <c r="FAR184" s="82"/>
      <c r="FAS184" s="82"/>
      <c r="FAT184" s="82"/>
      <c r="FAU184" s="82"/>
      <c r="FAV184" s="82"/>
      <c r="FAW184" s="82"/>
      <c r="FAX184" s="82"/>
      <c r="FAY184" s="82"/>
      <c r="FAZ184" s="82"/>
      <c r="FBA184" s="82"/>
      <c r="FBB184" s="82"/>
      <c r="FBC184" s="82"/>
      <c r="FBD184" s="82"/>
      <c r="FBE184" s="82"/>
      <c r="FBF184" s="82"/>
      <c r="FBG184" s="82"/>
      <c r="FBH184" s="82"/>
      <c r="FBI184" s="82"/>
      <c r="FBJ184" s="82"/>
      <c r="FBK184" s="82"/>
      <c r="FBL184" s="82"/>
      <c r="FBM184" s="82"/>
      <c r="FBN184" s="82"/>
      <c r="FBO184" s="82"/>
      <c r="FBP184" s="82"/>
      <c r="FBQ184" s="82"/>
      <c r="FBR184" s="82"/>
      <c r="FBS184" s="82"/>
      <c r="FBT184" s="82"/>
      <c r="FBU184" s="82"/>
      <c r="FBV184" s="82"/>
      <c r="FBW184" s="82"/>
      <c r="FBX184" s="82"/>
      <c r="FBY184" s="82"/>
      <c r="FBZ184" s="82"/>
      <c r="FCA184" s="82"/>
      <c r="FCB184" s="82"/>
      <c r="FCC184" s="82"/>
      <c r="FCD184" s="82"/>
      <c r="FCE184" s="82"/>
      <c r="FCF184" s="82"/>
      <c r="FCG184" s="82"/>
      <c r="FCH184" s="82"/>
      <c r="FCI184" s="82"/>
      <c r="FCJ184" s="82"/>
      <c r="FCK184" s="82"/>
      <c r="FCL184" s="82"/>
      <c r="FCM184" s="82"/>
      <c r="FCN184" s="82"/>
      <c r="FCO184" s="82"/>
      <c r="FCP184" s="82"/>
      <c r="FCQ184" s="82"/>
      <c r="FCR184" s="82"/>
      <c r="FCS184" s="82"/>
      <c r="FCT184" s="82"/>
      <c r="FCU184" s="82"/>
      <c r="FCV184" s="82"/>
      <c r="FCW184" s="82"/>
      <c r="FCX184" s="82"/>
      <c r="FCY184" s="82"/>
      <c r="FCZ184" s="82"/>
      <c r="FDA184" s="82"/>
      <c r="FDB184" s="82"/>
      <c r="FDC184" s="82"/>
      <c r="FDD184" s="82"/>
      <c r="FDE184" s="82"/>
      <c r="FDF184" s="82"/>
      <c r="FDG184" s="82"/>
      <c r="FDH184" s="82"/>
      <c r="FDI184" s="82"/>
      <c r="FDJ184" s="82"/>
      <c r="FDK184" s="82"/>
      <c r="FDL184" s="82"/>
      <c r="FDM184" s="82"/>
      <c r="FDN184" s="82"/>
      <c r="FDO184" s="82"/>
      <c r="FDP184" s="82"/>
      <c r="FDQ184" s="82"/>
      <c r="FDR184" s="82"/>
      <c r="FDS184" s="82"/>
      <c r="FDT184" s="82"/>
      <c r="FDU184" s="82"/>
      <c r="FDV184" s="82"/>
      <c r="FDW184" s="82"/>
      <c r="FDX184" s="82"/>
      <c r="FDY184" s="82"/>
      <c r="FDZ184" s="82"/>
      <c r="FEA184" s="82"/>
      <c r="FEB184" s="82"/>
      <c r="FEC184" s="82"/>
      <c r="FED184" s="82"/>
      <c r="FEE184" s="82"/>
      <c r="FEF184" s="82"/>
      <c r="FEG184" s="82"/>
      <c r="FEH184" s="82"/>
      <c r="FEI184" s="82"/>
      <c r="FEJ184" s="82"/>
      <c r="FEK184" s="82"/>
      <c r="FEL184" s="82"/>
      <c r="FEM184" s="82"/>
      <c r="FEN184" s="82"/>
      <c r="FEO184" s="82"/>
      <c r="FEP184" s="82"/>
      <c r="FEQ184" s="82"/>
      <c r="FER184" s="82"/>
      <c r="FES184" s="82"/>
      <c r="FET184" s="82"/>
      <c r="FEU184" s="82"/>
      <c r="FEV184" s="82"/>
      <c r="FEW184" s="82"/>
      <c r="FEX184" s="82"/>
      <c r="FEY184" s="82"/>
      <c r="FEZ184" s="82"/>
      <c r="FFA184" s="82"/>
      <c r="FFB184" s="82"/>
      <c r="FFC184" s="82"/>
      <c r="FFD184" s="82"/>
      <c r="FFE184" s="82"/>
      <c r="FFF184" s="82"/>
      <c r="FFG184" s="82"/>
      <c r="FFH184" s="82"/>
      <c r="FFI184" s="82"/>
      <c r="FFJ184" s="82"/>
      <c r="FFK184" s="82"/>
      <c r="FFL184" s="82"/>
      <c r="FFM184" s="82"/>
      <c r="FFN184" s="82"/>
      <c r="FFO184" s="82"/>
      <c r="FFP184" s="82"/>
      <c r="FFQ184" s="82"/>
      <c r="FFR184" s="82"/>
      <c r="FFS184" s="82"/>
      <c r="FFT184" s="82"/>
      <c r="FFU184" s="82"/>
      <c r="FFV184" s="82"/>
      <c r="FFW184" s="82"/>
      <c r="FFX184" s="82"/>
      <c r="FFY184" s="82"/>
      <c r="FFZ184" s="82"/>
      <c r="FGA184" s="82"/>
      <c r="FGB184" s="82"/>
      <c r="FGC184" s="82"/>
      <c r="FGD184" s="82"/>
      <c r="FGE184" s="82"/>
      <c r="FGF184" s="82"/>
      <c r="FGG184" s="82"/>
      <c r="FGH184" s="82"/>
      <c r="FGI184" s="82"/>
      <c r="FGJ184" s="82"/>
      <c r="FGK184" s="82"/>
      <c r="FGL184" s="82"/>
      <c r="FGM184" s="82"/>
      <c r="FGN184" s="82"/>
      <c r="FGO184" s="82"/>
      <c r="FGP184" s="82"/>
      <c r="FGQ184" s="82"/>
      <c r="FGR184" s="82"/>
      <c r="FGS184" s="82"/>
      <c r="FGT184" s="82"/>
      <c r="FGU184" s="82"/>
      <c r="FGV184" s="82"/>
      <c r="FGW184" s="82"/>
      <c r="FGX184" s="82"/>
      <c r="FGY184" s="82"/>
      <c r="FGZ184" s="82"/>
      <c r="FHA184" s="82"/>
      <c r="FHB184" s="82"/>
      <c r="FHC184" s="82"/>
      <c r="FHD184" s="82"/>
      <c r="FHE184" s="82"/>
      <c r="FHF184" s="82"/>
      <c r="FHG184" s="82"/>
      <c r="FHH184" s="82"/>
      <c r="FHI184" s="82"/>
      <c r="FHJ184" s="82"/>
      <c r="FHK184" s="82"/>
      <c r="FHL184" s="82"/>
      <c r="FHM184" s="82"/>
      <c r="FHN184" s="82"/>
      <c r="FHO184" s="82"/>
      <c r="FHP184" s="82"/>
      <c r="FHQ184" s="82"/>
      <c r="FHR184" s="82"/>
      <c r="FHS184" s="82"/>
      <c r="FHT184" s="82"/>
      <c r="FHU184" s="82"/>
      <c r="FHV184" s="82"/>
      <c r="FHW184" s="82"/>
      <c r="FHX184" s="82"/>
      <c r="FHY184" s="82"/>
      <c r="FHZ184" s="82"/>
      <c r="FIA184" s="82"/>
      <c r="FIB184" s="82"/>
      <c r="FIC184" s="82"/>
      <c r="FID184" s="82"/>
      <c r="FIE184" s="82"/>
      <c r="FIF184" s="82"/>
      <c r="FIG184" s="82"/>
      <c r="FIH184" s="82"/>
      <c r="FII184" s="82"/>
      <c r="FIJ184" s="82"/>
      <c r="FIK184" s="82"/>
      <c r="FIL184" s="82"/>
      <c r="FIM184" s="82"/>
      <c r="FIN184" s="82"/>
      <c r="FIO184" s="82"/>
      <c r="FIP184" s="82"/>
      <c r="FIQ184" s="82"/>
      <c r="FIR184" s="82"/>
      <c r="FIS184" s="82"/>
      <c r="FIT184" s="82"/>
      <c r="FIU184" s="82"/>
      <c r="FIV184" s="82"/>
      <c r="FIW184" s="82"/>
      <c r="FIX184" s="82"/>
      <c r="FIY184" s="82"/>
      <c r="FIZ184" s="82"/>
      <c r="FJA184" s="82"/>
      <c r="FJB184" s="82"/>
      <c r="FJC184" s="82"/>
      <c r="FJD184" s="82"/>
      <c r="FJE184" s="82"/>
      <c r="FJF184" s="82"/>
      <c r="FJG184" s="82"/>
      <c r="FJH184" s="82"/>
      <c r="FJI184" s="82"/>
      <c r="FJJ184" s="82"/>
      <c r="FJK184" s="82"/>
      <c r="FJL184" s="82"/>
      <c r="FJM184" s="82"/>
      <c r="FJN184" s="82"/>
      <c r="FJO184" s="82"/>
      <c r="FJP184" s="82"/>
      <c r="FJQ184" s="82"/>
      <c r="FJR184" s="82"/>
      <c r="FJS184" s="82"/>
      <c r="FJT184" s="82"/>
      <c r="FJU184" s="82"/>
      <c r="FJV184" s="82"/>
      <c r="FJW184" s="82"/>
      <c r="FJX184" s="82"/>
      <c r="FJY184" s="82"/>
      <c r="FJZ184" s="82"/>
      <c r="FKA184" s="82"/>
      <c r="FKB184" s="82"/>
      <c r="FKC184" s="82"/>
      <c r="FKD184" s="82"/>
      <c r="FKE184" s="82"/>
      <c r="FKF184" s="82"/>
      <c r="FKG184" s="82"/>
      <c r="FKH184" s="82"/>
      <c r="FKI184" s="82"/>
      <c r="FKJ184" s="82"/>
      <c r="FKK184" s="82"/>
      <c r="FKL184" s="82"/>
      <c r="FKM184" s="82"/>
      <c r="FKN184" s="82"/>
      <c r="FKO184" s="82"/>
      <c r="FKP184" s="82"/>
      <c r="FKQ184" s="82"/>
      <c r="FKR184" s="82"/>
      <c r="FKS184" s="82"/>
      <c r="FKT184" s="82"/>
      <c r="FKU184" s="82"/>
      <c r="FKV184" s="82"/>
      <c r="FKW184" s="82"/>
      <c r="FKX184" s="82"/>
      <c r="FKY184" s="82"/>
      <c r="FKZ184" s="82"/>
      <c r="FLA184" s="82"/>
      <c r="FLB184" s="82"/>
      <c r="FLC184" s="82"/>
      <c r="FLD184" s="82"/>
      <c r="FLE184" s="82"/>
      <c r="FLF184" s="82"/>
      <c r="FLG184" s="82"/>
      <c r="FLH184" s="82"/>
      <c r="FLI184" s="82"/>
      <c r="FLJ184" s="82"/>
      <c r="FLK184" s="82"/>
      <c r="FLL184" s="82"/>
      <c r="FLM184" s="82"/>
      <c r="FLN184" s="82"/>
      <c r="FLO184" s="82"/>
      <c r="FLP184" s="82"/>
      <c r="FLQ184" s="82"/>
      <c r="FLR184" s="82"/>
      <c r="FLS184" s="82"/>
      <c r="FLT184" s="82"/>
      <c r="FLU184" s="82"/>
      <c r="FLV184" s="82"/>
      <c r="FLW184" s="82"/>
      <c r="FLX184" s="82"/>
      <c r="FLY184" s="82"/>
      <c r="FLZ184" s="82"/>
      <c r="FMA184" s="82"/>
      <c r="FMB184" s="82"/>
      <c r="FMC184" s="82"/>
      <c r="FMD184" s="82"/>
      <c r="FME184" s="82"/>
      <c r="FMF184" s="82"/>
      <c r="FMG184" s="82"/>
      <c r="FMH184" s="82"/>
      <c r="FMI184" s="82"/>
      <c r="FMJ184" s="82"/>
      <c r="FMK184" s="82"/>
      <c r="FML184" s="82"/>
      <c r="FMM184" s="82"/>
      <c r="FMN184" s="82"/>
      <c r="FMO184" s="82"/>
      <c r="FMP184" s="82"/>
      <c r="FMQ184" s="82"/>
      <c r="FMR184" s="82"/>
      <c r="FMS184" s="82"/>
      <c r="FMT184" s="82"/>
      <c r="FMU184" s="82"/>
      <c r="FMV184" s="82"/>
      <c r="FMW184" s="82"/>
      <c r="FMX184" s="82"/>
      <c r="FMY184" s="82"/>
      <c r="FMZ184" s="82"/>
      <c r="FNA184" s="82"/>
      <c r="FNB184" s="82"/>
      <c r="FNC184" s="82"/>
      <c r="FND184" s="82"/>
      <c r="FNE184" s="82"/>
      <c r="FNF184" s="82"/>
      <c r="FNG184" s="82"/>
      <c r="FNH184" s="82"/>
      <c r="FNI184" s="82"/>
      <c r="FNJ184" s="82"/>
      <c r="FNK184" s="82"/>
      <c r="FNL184" s="82"/>
      <c r="FNM184" s="82"/>
      <c r="FNN184" s="82"/>
      <c r="FNO184" s="82"/>
      <c r="FNP184" s="82"/>
      <c r="FNQ184" s="82"/>
      <c r="FNR184" s="82"/>
      <c r="FNS184" s="82"/>
      <c r="FNT184" s="82"/>
      <c r="FNU184" s="82"/>
      <c r="FNV184" s="82"/>
      <c r="FNW184" s="82"/>
      <c r="FNX184" s="82"/>
      <c r="FNY184" s="82"/>
      <c r="FNZ184" s="82"/>
      <c r="FOA184" s="82"/>
      <c r="FOB184" s="82"/>
      <c r="FOC184" s="82"/>
      <c r="FOD184" s="82"/>
      <c r="FOE184" s="82"/>
      <c r="FOF184" s="82"/>
      <c r="FOG184" s="82"/>
      <c r="FOH184" s="82"/>
      <c r="FOI184" s="82"/>
      <c r="FOJ184" s="82"/>
      <c r="FOK184" s="82"/>
      <c r="FOL184" s="82"/>
      <c r="FOM184" s="82"/>
      <c r="FON184" s="82"/>
      <c r="FOO184" s="82"/>
      <c r="FOP184" s="82"/>
      <c r="FOQ184" s="82"/>
      <c r="FOR184" s="82"/>
      <c r="FOS184" s="82"/>
      <c r="FOT184" s="82"/>
      <c r="FOU184" s="82"/>
      <c r="FOV184" s="82"/>
      <c r="FOW184" s="82"/>
      <c r="FOX184" s="82"/>
      <c r="FOY184" s="82"/>
      <c r="FOZ184" s="82"/>
      <c r="FPA184" s="82"/>
      <c r="FPB184" s="82"/>
      <c r="FPC184" s="82"/>
      <c r="FPD184" s="82"/>
      <c r="FPE184" s="82"/>
      <c r="FPF184" s="82"/>
      <c r="FPG184" s="82"/>
      <c r="FPH184" s="82"/>
      <c r="FPI184" s="82"/>
      <c r="FPJ184" s="82"/>
      <c r="FPK184" s="82"/>
      <c r="FPL184" s="82"/>
      <c r="FPM184" s="82"/>
      <c r="FPN184" s="82"/>
      <c r="FPO184" s="82"/>
      <c r="FPP184" s="82"/>
      <c r="FPQ184" s="82"/>
      <c r="FPR184" s="82"/>
      <c r="FPS184" s="82"/>
      <c r="FPT184" s="82"/>
      <c r="FPU184" s="82"/>
      <c r="FPV184" s="82"/>
      <c r="FPW184" s="82"/>
      <c r="FPX184" s="82"/>
      <c r="FPY184" s="82"/>
      <c r="FPZ184" s="82"/>
      <c r="FQA184" s="82"/>
      <c r="FQB184" s="82"/>
      <c r="FQC184" s="82"/>
      <c r="FQD184" s="82"/>
      <c r="FQE184" s="82"/>
      <c r="FQF184" s="82"/>
      <c r="FQG184" s="82"/>
      <c r="FQH184" s="82"/>
      <c r="FQI184" s="82"/>
      <c r="FQJ184" s="82"/>
      <c r="FQK184" s="82"/>
      <c r="FQL184" s="82"/>
      <c r="FQM184" s="82"/>
      <c r="FQN184" s="82"/>
      <c r="FQO184" s="82"/>
      <c r="FQP184" s="82"/>
      <c r="FQQ184" s="82"/>
      <c r="FQR184" s="82"/>
      <c r="FQS184" s="82"/>
      <c r="FQT184" s="82"/>
      <c r="FQU184" s="82"/>
      <c r="FQV184" s="82"/>
      <c r="FQW184" s="82"/>
      <c r="FQX184" s="82"/>
      <c r="FQY184" s="82"/>
      <c r="FQZ184" s="82"/>
      <c r="FRA184" s="82"/>
      <c r="FRB184" s="82"/>
      <c r="FRC184" s="82"/>
      <c r="FRD184" s="82"/>
      <c r="FRE184" s="82"/>
      <c r="FRF184" s="82"/>
      <c r="FRG184" s="82"/>
      <c r="FRH184" s="82"/>
      <c r="FRI184" s="82"/>
      <c r="FRJ184" s="82"/>
      <c r="FRK184" s="82"/>
      <c r="FRL184" s="82"/>
      <c r="FRM184" s="82"/>
      <c r="FRN184" s="82"/>
      <c r="FRO184" s="82"/>
      <c r="FRP184" s="82"/>
      <c r="FRQ184" s="82"/>
      <c r="FRR184" s="82"/>
      <c r="FRS184" s="82"/>
      <c r="FRT184" s="82"/>
      <c r="FRU184" s="82"/>
      <c r="FRV184" s="82"/>
      <c r="FRW184" s="82"/>
      <c r="FRX184" s="82"/>
      <c r="FRY184" s="82"/>
      <c r="FRZ184" s="82"/>
      <c r="FSA184" s="82"/>
      <c r="FSB184" s="82"/>
      <c r="FSC184" s="82"/>
      <c r="FSD184" s="82"/>
      <c r="FSE184" s="82"/>
      <c r="FSF184" s="82"/>
      <c r="FSG184" s="82"/>
      <c r="FSH184" s="82"/>
      <c r="FSI184" s="82"/>
      <c r="FSJ184" s="82"/>
      <c r="FSK184" s="82"/>
      <c r="FSL184" s="82"/>
      <c r="FSM184" s="82"/>
      <c r="FSN184" s="82"/>
      <c r="FSO184" s="82"/>
      <c r="FSP184" s="82"/>
      <c r="FSQ184" s="82"/>
      <c r="FSR184" s="82"/>
      <c r="FSS184" s="82"/>
      <c r="FST184" s="82"/>
      <c r="FSU184" s="82"/>
      <c r="FSV184" s="82"/>
      <c r="FSW184" s="82"/>
      <c r="FSX184" s="82"/>
      <c r="FSY184" s="82"/>
      <c r="FSZ184" s="82"/>
      <c r="FTA184" s="82"/>
      <c r="FTB184" s="82"/>
      <c r="FTC184" s="82"/>
      <c r="FTD184" s="82"/>
      <c r="FTE184" s="82"/>
      <c r="FTF184" s="82"/>
      <c r="FTG184" s="82"/>
      <c r="FTH184" s="82"/>
      <c r="FTI184" s="82"/>
      <c r="FTJ184" s="82"/>
      <c r="FTK184" s="82"/>
      <c r="FTL184" s="82"/>
      <c r="FTM184" s="82"/>
      <c r="FTN184" s="82"/>
      <c r="FTO184" s="82"/>
      <c r="FTP184" s="82"/>
      <c r="FTQ184" s="82"/>
      <c r="FTR184" s="82"/>
      <c r="FTS184" s="82"/>
      <c r="FTT184" s="82"/>
      <c r="FTU184" s="82"/>
      <c r="FTV184" s="82"/>
      <c r="FTW184" s="82"/>
      <c r="FTX184" s="82"/>
      <c r="FTY184" s="82"/>
      <c r="FTZ184" s="82"/>
      <c r="FUA184" s="82"/>
      <c r="FUB184" s="82"/>
      <c r="FUC184" s="82"/>
      <c r="FUD184" s="82"/>
      <c r="FUE184" s="82"/>
      <c r="FUF184" s="82"/>
      <c r="FUG184" s="82"/>
      <c r="FUH184" s="82"/>
      <c r="FUI184" s="82"/>
      <c r="FUJ184" s="82"/>
      <c r="FUK184" s="82"/>
      <c r="FUL184" s="82"/>
      <c r="FUM184" s="82"/>
      <c r="FUN184" s="82"/>
      <c r="FUO184" s="82"/>
      <c r="FUP184" s="82"/>
      <c r="FUQ184" s="82"/>
      <c r="FUR184" s="82"/>
      <c r="FUS184" s="82"/>
      <c r="FUT184" s="82"/>
      <c r="FUU184" s="82"/>
      <c r="FUV184" s="82"/>
      <c r="FUW184" s="82"/>
      <c r="FUX184" s="82"/>
      <c r="FUY184" s="82"/>
      <c r="FUZ184" s="82"/>
      <c r="FVA184" s="82"/>
      <c r="FVB184" s="82"/>
      <c r="FVC184" s="82"/>
      <c r="FVD184" s="82"/>
      <c r="FVE184" s="82"/>
      <c r="FVF184" s="82"/>
      <c r="FVG184" s="82"/>
      <c r="FVH184" s="82"/>
      <c r="FVI184" s="82"/>
      <c r="FVJ184" s="82"/>
      <c r="FVK184" s="82"/>
      <c r="FVL184" s="82"/>
      <c r="FVM184" s="82"/>
      <c r="FVN184" s="82"/>
      <c r="FVO184" s="82"/>
      <c r="FVP184" s="82"/>
      <c r="FVQ184" s="82"/>
      <c r="FVR184" s="82"/>
      <c r="FVS184" s="82"/>
      <c r="FVT184" s="82"/>
      <c r="FVU184" s="82"/>
      <c r="FVV184" s="82"/>
      <c r="FVW184" s="82"/>
      <c r="FVX184" s="82"/>
      <c r="FVY184" s="82"/>
      <c r="FVZ184" s="82"/>
      <c r="FWA184" s="82"/>
      <c r="FWB184" s="82"/>
      <c r="FWC184" s="82"/>
      <c r="FWD184" s="82"/>
      <c r="FWE184" s="82"/>
      <c r="FWF184" s="82"/>
      <c r="FWG184" s="82"/>
      <c r="FWH184" s="82"/>
      <c r="FWI184" s="82"/>
      <c r="FWJ184" s="82"/>
      <c r="FWK184" s="82"/>
      <c r="FWL184" s="82"/>
      <c r="FWM184" s="82"/>
      <c r="FWN184" s="82"/>
      <c r="FWO184" s="82"/>
      <c r="FWP184" s="82"/>
      <c r="FWQ184" s="82"/>
      <c r="FWR184" s="82"/>
      <c r="FWS184" s="82"/>
      <c r="FWT184" s="82"/>
      <c r="FWU184" s="82"/>
      <c r="FWV184" s="82"/>
      <c r="FWW184" s="82"/>
      <c r="FWX184" s="82"/>
      <c r="FWY184" s="82"/>
      <c r="FWZ184" s="82"/>
      <c r="FXA184" s="82"/>
      <c r="FXB184" s="82"/>
      <c r="FXC184" s="82"/>
      <c r="FXD184" s="82"/>
      <c r="FXE184" s="82"/>
      <c r="FXF184" s="82"/>
      <c r="FXG184" s="82"/>
      <c r="FXH184" s="82"/>
      <c r="FXI184" s="82"/>
      <c r="FXJ184" s="82"/>
      <c r="FXK184" s="82"/>
      <c r="FXL184" s="82"/>
      <c r="FXM184" s="82"/>
      <c r="FXN184" s="82"/>
      <c r="FXO184" s="82"/>
      <c r="FXP184" s="82"/>
      <c r="FXQ184" s="82"/>
      <c r="FXR184" s="82"/>
      <c r="FXS184" s="82"/>
      <c r="FXT184" s="82"/>
      <c r="FXU184" s="82"/>
      <c r="FXV184" s="82"/>
      <c r="FXW184" s="82"/>
      <c r="FXX184" s="82"/>
      <c r="FXY184" s="82"/>
      <c r="FXZ184" s="82"/>
      <c r="FYA184" s="82"/>
      <c r="FYB184" s="82"/>
      <c r="FYC184" s="82"/>
      <c r="FYD184" s="82"/>
      <c r="FYE184" s="82"/>
      <c r="FYF184" s="82"/>
      <c r="FYG184" s="82"/>
      <c r="FYH184" s="82"/>
      <c r="FYI184" s="82"/>
      <c r="FYJ184" s="82"/>
      <c r="FYK184" s="82"/>
      <c r="FYL184" s="82"/>
      <c r="FYM184" s="82"/>
      <c r="FYN184" s="82"/>
      <c r="FYO184" s="82"/>
      <c r="FYP184" s="82"/>
      <c r="FYQ184" s="82"/>
      <c r="FYR184" s="82"/>
      <c r="FYS184" s="82"/>
      <c r="FYT184" s="82"/>
      <c r="FYU184" s="82"/>
      <c r="FYV184" s="82"/>
      <c r="FYW184" s="82"/>
      <c r="FYX184" s="82"/>
      <c r="FYY184" s="82"/>
      <c r="FYZ184" s="82"/>
      <c r="FZA184" s="82"/>
      <c r="FZB184" s="82"/>
      <c r="FZC184" s="82"/>
      <c r="FZD184" s="82"/>
      <c r="FZE184" s="82"/>
      <c r="FZF184" s="82"/>
      <c r="FZG184" s="82"/>
      <c r="FZH184" s="82"/>
      <c r="FZI184" s="82"/>
      <c r="FZJ184" s="82"/>
      <c r="FZK184" s="82"/>
      <c r="FZL184" s="82"/>
      <c r="FZM184" s="82"/>
      <c r="FZN184" s="82"/>
      <c r="FZO184" s="82"/>
      <c r="FZP184" s="82"/>
      <c r="FZQ184" s="82"/>
      <c r="FZR184" s="82"/>
      <c r="FZS184" s="82"/>
      <c r="FZT184" s="82"/>
      <c r="FZU184" s="82"/>
      <c r="FZV184" s="82"/>
      <c r="FZW184" s="82"/>
      <c r="FZX184" s="82"/>
      <c r="FZY184" s="82"/>
      <c r="FZZ184" s="82"/>
      <c r="GAA184" s="82"/>
      <c r="GAB184" s="82"/>
      <c r="GAC184" s="82"/>
      <c r="GAD184" s="82"/>
      <c r="GAE184" s="82"/>
      <c r="GAF184" s="82"/>
      <c r="GAG184" s="82"/>
      <c r="GAH184" s="82"/>
      <c r="GAI184" s="82"/>
      <c r="GAJ184" s="82"/>
      <c r="GAK184" s="82"/>
      <c r="GAL184" s="82"/>
      <c r="GAM184" s="82"/>
      <c r="GAN184" s="82"/>
      <c r="GAO184" s="82"/>
      <c r="GAP184" s="82"/>
      <c r="GAQ184" s="82"/>
      <c r="GAR184" s="82"/>
      <c r="GAS184" s="82"/>
      <c r="GAT184" s="82"/>
      <c r="GAU184" s="82"/>
      <c r="GAV184" s="82"/>
      <c r="GAW184" s="82"/>
      <c r="GAX184" s="82"/>
      <c r="GAY184" s="82"/>
      <c r="GAZ184" s="82"/>
      <c r="GBA184" s="82"/>
      <c r="GBB184" s="82"/>
      <c r="GBC184" s="82"/>
      <c r="GBD184" s="82"/>
      <c r="GBE184" s="82"/>
      <c r="GBF184" s="82"/>
      <c r="GBG184" s="82"/>
      <c r="GBH184" s="82"/>
      <c r="GBI184" s="82"/>
      <c r="GBJ184" s="82"/>
      <c r="GBK184" s="82"/>
      <c r="GBL184" s="82"/>
      <c r="GBM184" s="82"/>
      <c r="GBN184" s="82"/>
      <c r="GBO184" s="82"/>
      <c r="GBP184" s="82"/>
      <c r="GBQ184" s="82"/>
      <c r="GBR184" s="82"/>
      <c r="GBS184" s="82"/>
      <c r="GBT184" s="82"/>
      <c r="GBU184" s="82"/>
      <c r="GBV184" s="82"/>
      <c r="GBW184" s="82"/>
      <c r="GBX184" s="82"/>
      <c r="GBY184" s="82"/>
      <c r="GBZ184" s="82"/>
      <c r="GCA184" s="82"/>
      <c r="GCB184" s="82"/>
      <c r="GCC184" s="82"/>
      <c r="GCD184" s="82"/>
      <c r="GCE184" s="82"/>
      <c r="GCF184" s="82"/>
      <c r="GCG184" s="82"/>
      <c r="GCH184" s="82"/>
      <c r="GCI184" s="82"/>
      <c r="GCJ184" s="82"/>
      <c r="GCK184" s="82"/>
      <c r="GCL184" s="82"/>
      <c r="GCM184" s="82"/>
      <c r="GCN184" s="82"/>
      <c r="GCO184" s="82"/>
      <c r="GCP184" s="82"/>
      <c r="GCQ184" s="82"/>
      <c r="GCR184" s="82"/>
      <c r="GCS184" s="82"/>
      <c r="GCT184" s="82"/>
      <c r="GCU184" s="82"/>
      <c r="GCV184" s="82"/>
      <c r="GCW184" s="82"/>
      <c r="GCX184" s="82"/>
      <c r="GCY184" s="82"/>
      <c r="GCZ184" s="82"/>
      <c r="GDA184" s="82"/>
      <c r="GDB184" s="82"/>
      <c r="GDC184" s="82"/>
      <c r="GDD184" s="82"/>
      <c r="GDE184" s="82"/>
      <c r="GDF184" s="82"/>
      <c r="GDG184" s="82"/>
      <c r="GDH184" s="82"/>
      <c r="GDI184" s="82"/>
      <c r="GDJ184" s="82"/>
      <c r="GDK184" s="82"/>
      <c r="GDL184" s="82"/>
      <c r="GDM184" s="82"/>
      <c r="GDN184" s="82"/>
      <c r="GDO184" s="82"/>
      <c r="GDP184" s="82"/>
      <c r="GDQ184" s="82"/>
      <c r="GDR184" s="82"/>
      <c r="GDS184" s="82"/>
      <c r="GDT184" s="82"/>
      <c r="GDU184" s="82"/>
      <c r="GDV184" s="82"/>
      <c r="GDW184" s="82"/>
      <c r="GDX184" s="82"/>
      <c r="GDY184" s="82"/>
      <c r="GDZ184" s="82"/>
      <c r="GEA184" s="82"/>
      <c r="GEB184" s="82"/>
      <c r="GEC184" s="82"/>
      <c r="GED184" s="82"/>
      <c r="GEE184" s="82"/>
      <c r="GEF184" s="82"/>
      <c r="GEG184" s="82"/>
      <c r="GEH184" s="82"/>
      <c r="GEI184" s="82"/>
      <c r="GEJ184" s="82"/>
      <c r="GEK184" s="82"/>
      <c r="GEL184" s="82"/>
      <c r="GEM184" s="82"/>
      <c r="GEN184" s="82"/>
      <c r="GEO184" s="82"/>
      <c r="GEP184" s="82"/>
      <c r="GEQ184" s="82"/>
      <c r="GER184" s="82"/>
      <c r="GES184" s="82"/>
      <c r="GET184" s="82"/>
      <c r="GEU184" s="82"/>
      <c r="GEV184" s="82"/>
      <c r="GEW184" s="82"/>
      <c r="GEX184" s="82"/>
      <c r="GEY184" s="82"/>
      <c r="GEZ184" s="82"/>
      <c r="GFA184" s="82"/>
      <c r="GFB184" s="82"/>
      <c r="GFC184" s="82"/>
      <c r="GFD184" s="82"/>
      <c r="GFE184" s="82"/>
      <c r="GFF184" s="82"/>
      <c r="GFG184" s="82"/>
      <c r="GFH184" s="82"/>
      <c r="GFI184" s="82"/>
      <c r="GFJ184" s="82"/>
      <c r="GFK184" s="82"/>
      <c r="GFL184" s="82"/>
      <c r="GFM184" s="82"/>
      <c r="GFN184" s="82"/>
      <c r="GFO184" s="82"/>
      <c r="GFP184" s="82"/>
      <c r="GFQ184" s="82"/>
      <c r="GFR184" s="82"/>
      <c r="GFS184" s="82"/>
      <c r="GFT184" s="82"/>
      <c r="GFU184" s="82"/>
      <c r="GFV184" s="82"/>
      <c r="GFW184" s="82"/>
      <c r="GFX184" s="82"/>
      <c r="GFY184" s="82"/>
      <c r="GFZ184" s="82"/>
      <c r="GGA184" s="82"/>
      <c r="GGB184" s="82"/>
      <c r="GGC184" s="82"/>
      <c r="GGD184" s="82"/>
      <c r="GGE184" s="82"/>
      <c r="GGF184" s="82"/>
      <c r="GGG184" s="82"/>
      <c r="GGH184" s="82"/>
      <c r="GGI184" s="82"/>
      <c r="GGJ184" s="82"/>
      <c r="GGK184" s="82"/>
      <c r="GGL184" s="82"/>
      <c r="GGM184" s="82"/>
      <c r="GGN184" s="82"/>
      <c r="GGO184" s="82"/>
      <c r="GGP184" s="82"/>
      <c r="GGQ184" s="82"/>
      <c r="GGR184" s="82"/>
      <c r="GGS184" s="82"/>
      <c r="GGT184" s="82"/>
      <c r="GGU184" s="82"/>
      <c r="GGV184" s="82"/>
      <c r="GGW184" s="82"/>
      <c r="GGX184" s="82"/>
      <c r="GGY184" s="82"/>
      <c r="GGZ184" s="82"/>
      <c r="GHA184" s="82"/>
      <c r="GHB184" s="82"/>
      <c r="GHC184" s="82"/>
      <c r="GHD184" s="82"/>
      <c r="GHE184" s="82"/>
      <c r="GHF184" s="82"/>
      <c r="GHG184" s="82"/>
      <c r="GHH184" s="82"/>
      <c r="GHI184" s="82"/>
      <c r="GHJ184" s="82"/>
      <c r="GHK184" s="82"/>
      <c r="GHL184" s="82"/>
      <c r="GHM184" s="82"/>
      <c r="GHN184" s="82"/>
      <c r="GHO184" s="82"/>
      <c r="GHP184" s="82"/>
      <c r="GHQ184" s="82"/>
      <c r="GHR184" s="82"/>
      <c r="GHS184" s="82"/>
      <c r="GHT184" s="82"/>
      <c r="GHU184" s="82"/>
      <c r="GHV184" s="82"/>
      <c r="GHW184" s="82"/>
      <c r="GHX184" s="82"/>
      <c r="GHY184" s="82"/>
      <c r="GHZ184" s="82"/>
      <c r="GIA184" s="82"/>
      <c r="GIB184" s="82"/>
      <c r="GIC184" s="82"/>
      <c r="GID184" s="82"/>
      <c r="GIE184" s="82"/>
      <c r="GIF184" s="82"/>
      <c r="GIG184" s="82"/>
      <c r="GIH184" s="82"/>
      <c r="GII184" s="82"/>
      <c r="GIJ184" s="82"/>
      <c r="GIK184" s="82"/>
      <c r="GIL184" s="82"/>
      <c r="GIM184" s="82"/>
      <c r="GIN184" s="82"/>
      <c r="GIO184" s="82"/>
      <c r="GIP184" s="82"/>
      <c r="GIQ184" s="82"/>
      <c r="GIR184" s="82"/>
      <c r="GIS184" s="82"/>
      <c r="GIT184" s="82"/>
      <c r="GIU184" s="82"/>
      <c r="GIV184" s="82"/>
      <c r="GIW184" s="82"/>
      <c r="GIX184" s="82"/>
      <c r="GIY184" s="82"/>
      <c r="GIZ184" s="82"/>
      <c r="GJA184" s="82"/>
      <c r="GJB184" s="82"/>
      <c r="GJC184" s="82"/>
      <c r="GJD184" s="82"/>
      <c r="GJE184" s="82"/>
      <c r="GJF184" s="82"/>
      <c r="GJG184" s="82"/>
      <c r="GJH184" s="82"/>
      <c r="GJI184" s="82"/>
      <c r="GJJ184" s="82"/>
      <c r="GJK184" s="82"/>
      <c r="GJL184" s="82"/>
      <c r="GJM184" s="82"/>
      <c r="GJN184" s="82"/>
      <c r="GJO184" s="82"/>
      <c r="GJP184" s="82"/>
      <c r="GJQ184" s="82"/>
      <c r="GJR184" s="82"/>
      <c r="GJS184" s="82"/>
      <c r="GJT184" s="82"/>
      <c r="GJU184" s="82"/>
      <c r="GJV184" s="82"/>
      <c r="GJW184" s="82"/>
      <c r="GJX184" s="82"/>
      <c r="GJY184" s="82"/>
      <c r="GJZ184" s="82"/>
      <c r="GKA184" s="82"/>
      <c r="GKB184" s="82"/>
      <c r="GKC184" s="82"/>
      <c r="GKD184" s="82"/>
      <c r="GKE184" s="82"/>
      <c r="GKF184" s="82"/>
      <c r="GKG184" s="82"/>
      <c r="GKH184" s="82"/>
      <c r="GKI184" s="82"/>
      <c r="GKJ184" s="82"/>
      <c r="GKK184" s="82"/>
      <c r="GKL184" s="82"/>
      <c r="GKM184" s="82"/>
      <c r="GKN184" s="82"/>
      <c r="GKO184" s="82"/>
      <c r="GKP184" s="82"/>
      <c r="GKQ184" s="82"/>
      <c r="GKR184" s="82"/>
      <c r="GKS184" s="82"/>
      <c r="GKT184" s="82"/>
      <c r="GKU184" s="82"/>
      <c r="GKV184" s="82"/>
      <c r="GKW184" s="82"/>
      <c r="GKX184" s="82"/>
      <c r="GKY184" s="82"/>
      <c r="GKZ184" s="82"/>
      <c r="GLA184" s="82"/>
      <c r="GLB184" s="82"/>
      <c r="GLC184" s="82"/>
      <c r="GLD184" s="82"/>
      <c r="GLE184" s="82"/>
      <c r="GLF184" s="82"/>
      <c r="GLG184" s="82"/>
      <c r="GLH184" s="82"/>
      <c r="GLI184" s="82"/>
      <c r="GLJ184" s="82"/>
      <c r="GLK184" s="82"/>
      <c r="GLL184" s="82"/>
      <c r="GLM184" s="82"/>
      <c r="GLN184" s="82"/>
      <c r="GLO184" s="82"/>
      <c r="GLP184" s="82"/>
      <c r="GLQ184" s="82"/>
      <c r="GLR184" s="82"/>
      <c r="GLS184" s="82"/>
      <c r="GLT184" s="82"/>
      <c r="GLU184" s="82"/>
      <c r="GLV184" s="82"/>
      <c r="GLW184" s="82"/>
      <c r="GLX184" s="82"/>
      <c r="GLY184" s="82"/>
      <c r="GLZ184" s="82"/>
      <c r="GMA184" s="82"/>
      <c r="GMB184" s="82"/>
      <c r="GMC184" s="82"/>
      <c r="GMD184" s="82"/>
      <c r="GME184" s="82"/>
      <c r="GMF184" s="82"/>
      <c r="GMG184" s="82"/>
      <c r="GMH184" s="82"/>
      <c r="GMI184" s="82"/>
      <c r="GMJ184" s="82"/>
      <c r="GMK184" s="82"/>
      <c r="GML184" s="82"/>
      <c r="GMM184" s="82"/>
      <c r="GMN184" s="82"/>
      <c r="GMO184" s="82"/>
      <c r="GMP184" s="82"/>
      <c r="GMQ184" s="82"/>
      <c r="GMR184" s="82"/>
      <c r="GMS184" s="82"/>
      <c r="GMT184" s="82"/>
      <c r="GMU184" s="82"/>
      <c r="GMV184" s="82"/>
      <c r="GMW184" s="82"/>
      <c r="GMX184" s="82"/>
      <c r="GMY184" s="82"/>
      <c r="GMZ184" s="82"/>
      <c r="GNA184" s="82"/>
      <c r="GNB184" s="82"/>
      <c r="GNC184" s="82"/>
      <c r="GND184" s="82"/>
      <c r="GNE184" s="82"/>
      <c r="GNF184" s="82"/>
      <c r="GNG184" s="82"/>
      <c r="GNH184" s="82"/>
      <c r="GNI184" s="82"/>
      <c r="GNJ184" s="82"/>
      <c r="GNK184" s="82"/>
      <c r="GNL184" s="82"/>
      <c r="GNM184" s="82"/>
      <c r="GNN184" s="82"/>
      <c r="GNO184" s="82"/>
      <c r="GNP184" s="82"/>
      <c r="GNQ184" s="82"/>
      <c r="GNR184" s="82"/>
      <c r="GNS184" s="82"/>
      <c r="GNT184" s="82"/>
      <c r="GNU184" s="82"/>
      <c r="GNV184" s="82"/>
      <c r="GNW184" s="82"/>
      <c r="GNX184" s="82"/>
      <c r="GNY184" s="82"/>
      <c r="GNZ184" s="82"/>
      <c r="GOA184" s="82"/>
      <c r="GOB184" s="82"/>
      <c r="GOC184" s="82"/>
      <c r="GOD184" s="82"/>
      <c r="GOE184" s="82"/>
      <c r="GOF184" s="82"/>
      <c r="GOG184" s="82"/>
      <c r="GOH184" s="82"/>
      <c r="GOI184" s="82"/>
      <c r="GOJ184" s="82"/>
      <c r="GOK184" s="82"/>
      <c r="GOL184" s="82"/>
      <c r="GOM184" s="82"/>
      <c r="GON184" s="82"/>
      <c r="GOO184" s="82"/>
      <c r="GOP184" s="82"/>
      <c r="GOQ184" s="82"/>
      <c r="GOR184" s="82"/>
      <c r="GOS184" s="82"/>
      <c r="GOT184" s="82"/>
      <c r="GOU184" s="82"/>
      <c r="GOV184" s="82"/>
      <c r="GOW184" s="82"/>
      <c r="GOX184" s="82"/>
      <c r="GOY184" s="82"/>
      <c r="GOZ184" s="82"/>
      <c r="GPA184" s="82"/>
      <c r="GPB184" s="82"/>
      <c r="GPC184" s="82"/>
      <c r="GPD184" s="82"/>
      <c r="GPE184" s="82"/>
      <c r="GPF184" s="82"/>
      <c r="GPG184" s="82"/>
      <c r="GPH184" s="82"/>
      <c r="GPI184" s="82"/>
      <c r="GPJ184" s="82"/>
      <c r="GPK184" s="82"/>
      <c r="GPL184" s="82"/>
      <c r="GPM184" s="82"/>
      <c r="GPN184" s="82"/>
      <c r="GPO184" s="82"/>
      <c r="GPP184" s="82"/>
      <c r="GPQ184" s="82"/>
      <c r="GPR184" s="82"/>
      <c r="GPS184" s="82"/>
      <c r="GPT184" s="82"/>
      <c r="GPU184" s="82"/>
      <c r="GPV184" s="82"/>
      <c r="GPW184" s="82"/>
      <c r="GPX184" s="82"/>
      <c r="GPY184" s="82"/>
      <c r="GPZ184" s="82"/>
      <c r="GQA184" s="82"/>
      <c r="GQB184" s="82"/>
      <c r="GQC184" s="82"/>
      <c r="GQD184" s="82"/>
      <c r="GQE184" s="82"/>
      <c r="GQF184" s="82"/>
      <c r="GQG184" s="82"/>
      <c r="GQH184" s="82"/>
      <c r="GQI184" s="82"/>
      <c r="GQJ184" s="82"/>
      <c r="GQK184" s="82"/>
      <c r="GQL184" s="82"/>
      <c r="GQM184" s="82"/>
      <c r="GQN184" s="82"/>
      <c r="GQO184" s="82"/>
      <c r="GQP184" s="82"/>
      <c r="GQQ184" s="82"/>
      <c r="GQR184" s="82"/>
      <c r="GQS184" s="82"/>
      <c r="GQT184" s="82"/>
      <c r="GQU184" s="82"/>
      <c r="GQV184" s="82"/>
      <c r="GQW184" s="82"/>
      <c r="GQX184" s="82"/>
      <c r="GQY184" s="82"/>
      <c r="GQZ184" s="82"/>
      <c r="GRA184" s="82"/>
      <c r="GRB184" s="82"/>
      <c r="GRC184" s="82"/>
      <c r="GRD184" s="82"/>
      <c r="GRE184" s="82"/>
      <c r="GRF184" s="82"/>
      <c r="GRG184" s="82"/>
      <c r="GRH184" s="82"/>
      <c r="GRI184" s="82"/>
      <c r="GRJ184" s="82"/>
      <c r="GRK184" s="82"/>
      <c r="GRL184" s="82"/>
      <c r="GRM184" s="82"/>
      <c r="GRN184" s="82"/>
      <c r="GRO184" s="82"/>
      <c r="GRP184" s="82"/>
      <c r="GRQ184" s="82"/>
      <c r="GRR184" s="82"/>
      <c r="GRS184" s="82"/>
      <c r="GRT184" s="82"/>
      <c r="GRU184" s="82"/>
      <c r="GRV184" s="82"/>
      <c r="GRW184" s="82"/>
      <c r="GRX184" s="82"/>
      <c r="GRY184" s="82"/>
      <c r="GRZ184" s="82"/>
      <c r="GSA184" s="82"/>
      <c r="GSB184" s="82"/>
      <c r="GSC184" s="82"/>
      <c r="GSD184" s="82"/>
      <c r="GSE184" s="82"/>
      <c r="GSF184" s="82"/>
      <c r="GSG184" s="82"/>
      <c r="GSH184" s="82"/>
      <c r="GSI184" s="82"/>
      <c r="GSJ184" s="82"/>
      <c r="GSK184" s="82"/>
      <c r="GSL184" s="82"/>
      <c r="GSM184" s="82"/>
      <c r="GSN184" s="82"/>
      <c r="GSO184" s="82"/>
      <c r="GSP184" s="82"/>
      <c r="GSQ184" s="82"/>
      <c r="GSR184" s="82"/>
      <c r="GSS184" s="82"/>
      <c r="GST184" s="82"/>
      <c r="GSU184" s="82"/>
      <c r="GSV184" s="82"/>
      <c r="GSW184" s="82"/>
      <c r="GSX184" s="82"/>
      <c r="GSY184" s="82"/>
      <c r="GSZ184" s="82"/>
      <c r="GTA184" s="82"/>
      <c r="GTB184" s="82"/>
      <c r="GTC184" s="82"/>
      <c r="GTD184" s="82"/>
      <c r="GTE184" s="82"/>
      <c r="GTF184" s="82"/>
      <c r="GTG184" s="82"/>
      <c r="GTH184" s="82"/>
      <c r="GTI184" s="82"/>
      <c r="GTJ184" s="82"/>
      <c r="GTK184" s="82"/>
      <c r="GTL184" s="82"/>
      <c r="GTM184" s="82"/>
      <c r="GTN184" s="82"/>
      <c r="GTO184" s="82"/>
      <c r="GTP184" s="82"/>
      <c r="GTQ184" s="82"/>
      <c r="GTR184" s="82"/>
      <c r="GTS184" s="82"/>
      <c r="GTT184" s="82"/>
      <c r="GTU184" s="82"/>
      <c r="GTV184" s="82"/>
      <c r="GTW184" s="82"/>
      <c r="GTX184" s="82"/>
      <c r="GTY184" s="82"/>
      <c r="GTZ184" s="82"/>
      <c r="GUA184" s="82"/>
      <c r="GUB184" s="82"/>
      <c r="GUC184" s="82"/>
      <c r="GUD184" s="82"/>
      <c r="GUE184" s="82"/>
      <c r="GUF184" s="82"/>
      <c r="GUG184" s="82"/>
      <c r="GUH184" s="82"/>
      <c r="GUI184" s="82"/>
      <c r="GUJ184" s="82"/>
      <c r="GUK184" s="82"/>
      <c r="GUL184" s="82"/>
      <c r="GUM184" s="82"/>
      <c r="GUN184" s="82"/>
      <c r="GUO184" s="82"/>
      <c r="GUP184" s="82"/>
      <c r="GUQ184" s="82"/>
      <c r="GUR184" s="82"/>
      <c r="GUS184" s="82"/>
      <c r="GUT184" s="82"/>
      <c r="GUU184" s="82"/>
      <c r="GUV184" s="82"/>
      <c r="GUW184" s="82"/>
      <c r="GUX184" s="82"/>
      <c r="GUY184" s="82"/>
      <c r="GUZ184" s="82"/>
      <c r="GVA184" s="82"/>
      <c r="GVB184" s="82"/>
      <c r="GVC184" s="82"/>
      <c r="GVD184" s="82"/>
      <c r="GVE184" s="82"/>
      <c r="GVF184" s="82"/>
      <c r="GVG184" s="82"/>
      <c r="GVH184" s="82"/>
      <c r="GVI184" s="82"/>
      <c r="GVJ184" s="82"/>
      <c r="GVK184" s="82"/>
      <c r="GVL184" s="82"/>
      <c r="GVM184" s="82"/>
      <c r="GVN184" s="82"/>
      <c r="GVO184" s="82"/>
      <c r="GVP184" s="82"/>
      <c r="GVQ184" s="82"/>
      <c r="GVR184" s="82"/>
      <c r="GVS184" s="82"/>
      <c r="GVT184" s="82"/>
      <c r="GVU184" s="82"/>
      <c r="GVV184" s="82"/>
      <c r="GVW184" s="82"/>
      <c r="GVX184" s="82"/>
      <c r="GVY184" s="82"/>
      <c r="GVZ184" s="82"/>
      <c r="GWA184" s="82"/>
      <c r="GWB184" s="82"/>
      <c r="GWC184" s="82"/>
      <c r="GWD184" s="82"/>
      <c r="GWE184" s="82"/>
      <c r="GWF184" s="82"/>
      <c r="GWG184" s="82"/>
      <c r="GWH184" s="82"/>
      <c r="GWI184" s="82"/>
      <c r="GWJ184" s="82"/>
      <c r="GWK184" s="82"/>
      <c r="GWL184" s="82"/>
      <c r="GWM184" s="82"/>
      <c r="GWN184" s="82"/>
      <c r="GWO184" s="82"/>
      <c r="GWP184" s="82"/>
      <c r="GWQ184" s="82"/>
      <c r="GWR184" s="82"/>
      <c r="GWS184" s="82"/>
      <c r="GWT184" s="82"/>
      <c r="GWU184" s="82"/>
      <c r="GWV184" s="82"/>
      <c r="GWW184" s="82"/>
      <c r="GWX184" s="82"/>
      <c r="GWY184" s="82"/>
      <c r="GWZ184" s="82"/>
      <c r="GXA184" s="82"/>
      <c r="GXB184" s="82"/>
      <c r="GXC184" s="82"/>
      <c r="GXD184" s="82"/>
      <c r="GXE184" s="82"/>
      <c r="GXF184" s="82"/>
      <c r="GXG184" s="82"/>
      <c r="GXH184" s="82"/>
      <c r="GXI184" s="82"/>
      <c r="GXJ184" s="82"/>
      <c r="GXK184" s="82"/>
      <c r="GXL184" s="82"/>
      <c r="GXM184" s="82"/>
      <c r="GXN184" s="82"/>
      <c r="GXO184" s="82"/>
      <c r="GXP184" s="82"/>
      <c r="GXQ184" s="82"/>
      <c r="GXR184" s="82"/>
      <c r="GXS184" s="82"/>
      <c r="GXT184" s="82"/>
      <c r="GXU184" s="82"/>
      <c r="GXV184" s="82"/>
      <c r="GXW184" s="82"/>
      <c r="GXX184" s="82"/>
      <c r="GXY184" s="82"/>
      <c r="GXZ184" s="82"/>
      <c r="GYA184" s="82"/>
      <c r="GYB184" s="82"/>
      <c r="GYC184" s="82"/>
      <c r="GYD184" s="82"/>
      <c r="GYE184" s="82"/>
      <c r="GYF184" s="82"/>
      <c r="GYG184" s="82"/>
      <c r="GYH184" s="82"/>
      <c r="GYI184" s="82"/>
      <c r="GYJ184" s="82"/>
      <c r="GYK184" s="82"/>
      <c r="GYL184" s="82"/>
      <c r="GYM184" s="82"/>
      <c r="GYN184" s="82"/>
      <c r="GYO184" s="82"/>
      <c r="GYP184" s="82"/>
      <c r="GYQ184" s="82"/>
      <c r="GYR184" s="82"/>
      <c r="GYS184" s="82"/>
      <c r="GYT184" s="82"/>
      <c r="GYU184" s="82"/>
      <c r="GYV184" s="82"/>
      <c r="GYW184" s="82"/>
      <c r="GYX184" s="82"/>
      <c r="GYY184" s="82"/>
      <c r="GYZ184" s="82"/>
      <c r="GZA184" s="82"/>
      <c r="GZB184" s="82"/>
      <c r="GZC184" s="82"/>
      <c r="GZD184" s="82"/>
      <c r="GZE184" s="82"/>
      <c r="GZF184" s="82"/>
      <c r="GZG184" s="82"/>
      <c r="GZH184" s="82"/>
      <c r="GZI184" s="82"/>
      <c r="GZJ184" s="82"/>
      <c r="GZK184" s="82"/>
      <c r="GZL184" s="82"/>
      <c r="GZM184" s="82"/>
      <c r="GZN184" s="82"/>
      <c r="GZO184" s="82"/>
      <c r="GZP184" s="82"/>
      <c r="GZQ184" s="82"/>
      <c r="GZR184" s="82"/>
      <c r="GZS184" s="82"/>
      <c r="GZT184" s="82"/>
      <c r="GZU184" s="82"/>
      <c r="GZV184" s="82"/>
      <c r="GZW184" s="82"/>
      <c r="GZX184" s="82"/>
      <c r="GZY184" s="82"/>
      <c r="GZZ184" s="82"/>
      <c r="HAA184" s="82"/>
      <c r="HAB184" s="82"/>
      <c r="HAC184" s="82"/>
      <c r="HAD184" s="82"/>
      <c r="HAE184" s="82"/>
      <c r="HAF184" s="82"/>
      <c r="HAG184" s="82"/>
      <c r="HAH184" s="82"/>
      <c r="HAI184" s="82"/>
      <c r="HAJ184" s="82"/>
      <c r="HAK184" s="82"/>
      <c r="HAL184" s="82"/>
      <c r="HAM184" s="82"/>
      <c r="HAN184" s="82"/>
      <c r="HAO184" s="82"/>
      <c r="HAP184" s="82"/>
      <c r="HAQ184" s="82"/>
      <c r="HAR184" s="82"/>
      <c r="HAS184" s="82"/>
      <c r="HAT184" s="82"/>
      <c r="HAU184" s="82"/>
      <c r="HAV184" s="82"/>
      <c r="HAW184" s="82"/>
      <c r="HAX184" s="82"/>
      <c r="HAY184" s="82"/>
      <c r="HAZ184" s="82"/>
      <c r="HBA184" s="82"/>
      <c r="HBB184" s="82"/>
      <c r="HBC184" s="82"/>
      <c r="HBD184" s="82"/>
      <c r="HBE184" s="82"/>
      <c r="HBF184" s="82"/>
      <c r="HBG184" s="82"/>
      <c r="HBH184" s="82"/>
      <c r="HBI184" s="82"/>
      <c r="HBJ184" s="82"/>
      <c r="HBK184" s="82"/>
      <c r="HBL184" s="82"/>
      <c r="HBM184" s="82"/>
      <c r="HBN184" s="82"/>
      <c r="HBO184" s="82"/>
      <c r="HBP184" s="82"/>
      <c r="HBQ184" s="82"/>
      <c r="HBR184" s="82"/>
      <c r="HBS184" s="82"/>
      <c r="HBT184" s="82"/>
      <c r="HBU184" s="82"/>
      <c r="HBV184" s="82"/>
      <c r="HBW184" s="82"/>
      <c r="HBX184" s="82"/>
      <c r="HBY184" s="82"/>
      <c r="HBZ184" s="82"/>
      <c r="HCA184" s="82"/>
      <c r="HCB184" s="82"/>
      <c r="HCC184" s="82"/>
      <c r="HCD184" s="82"/>
      <c r="HCE184" s="82"/>
      <c r="HCF184" s="82"/>
      <c r="HCG184" s="82"/>
      <c r="HCH184" s="82"/>
      <c r="HCI184" s="82"/>
      <c r="HCJ184" s="82"/>
      <c r="HCK184" s="82"/>
      <c r="HCL184" s="82"/>
      <c r="HCM184" s="82"/>
      <c r="HCN184" s="82"/>
      <c r="HCO184" s="82"/>
      <c r="HCP184" s="82"/>
      <c r="HCQ184" s="82"/>
      <c r="HCR184" s="82"/>
      <c r="HCS184" s="82"/>
      <c r="HCT184" s="82"/>
      <c r="HCU184" s="82"/>
      <c r="HCV184" s="82"/>
      <c r="HCW184" s="82"/>
      <c r="HCX184" s="82"/>
      <c r="HCY184" s="82"/>
      <c r="HCZ184" s="82"/>
      <c r="HDA184" s="82"/>
      <c r="HDB184" s="82"/>
      <c r="HDC184" s="82"/>
      <c r="HDD184" s="82"/>
      <c r="HDE184" s="82"/>
      <c r="HDF184" s="82"/>
      <c r="HDG184" s="82"/>
      <c r="HDH184" s="82"/>
      <c r="HDI184" s="82"/>
      <c r="HDJ184" s="82"/>
      <c r="HDK184" s="82"/>
      <c r="HDL184" s="82"/>
      <c r="HDM184" s="82"/>
      <c r="HDN184" s="82"/>
      <c r="HDO184" s="82"/>
      <c r="HDP184" s="82"/>
      <c r="HDQ184" s="82"/>
      <c r="HDR184" s="82"/>
      <c r="HDS184" s="82"/>
      <c r="HDT184" s="82"/>
      <c r="HDU184" s="82"/>
      <c r="HDV184" s="82"/>
      <c r="HDW184" s="82"/>
      <c r="HDX184" s="82"/>
      <c r="HDY184" s="82"/>
      <c r="HDZ184" s="82"/>
      <c r="HEA184" s="82"/>
      <c r="HEB184" s="82"/>
      <c r="HEC184" s="82"/>
      <c r="HED184" s="82"/>
      <c r="HEE184" s="82"/>
      <c r="HEF184" s="82"/>
      <c r="HEG184" s="82"/>
      <c r="HEH184" s="82"/>
      <c r="HEI184" s="82"/>
      <c r="HEJ184" s="82"/>
      <c r="HEK184" s="82"/>
      <c r="HEL184" s="82"/>
      <c r="HEM184" s="82"/>
      <c r="HEN184" s="82"/>
      <c r="HEO184" s="82"/>
      <c r="HEP184" s="82"/>
      <c r="HEQ184" s="82"/>
      <c r="HER184" s="82"/>
      <c r="HES184" s="82"/>
      <c r="HET184" s="82"/>
      <c r="HEU184" s="82"/>
      <c r="HEV184" s="82"/>
      <c r="HEW184" s="82"/>
      <c r="HEX184" s="82"/>
      <c r="HEY184" s="82"/>
      <c r="HEZ184" s="82"/>
      <c r="HFA184" s="82"/>
      <c r="HFB184" s="82"/>
      <c r="HFC184" s="82"/>
      <c r="HFD184" s="82"/>
      <c r="HFE184" s="82"/>
      <c r="HFF184" s="82"/>
      <c r="HFG184" s="82"/>
      <c r="HFH184" s="82"/>
      <c r="HFI184" s="82"/>
      <c r="HFJ184" s="82"/>
      <c r="HFK184" s="82"/>
      <c r="HFL184" s="82"/>
      <c r="HFM184" s="82"/>
      <c r="HFN184" s="82"/>
      <c r="HFO184" s="82"/>
      <c r="HFP184" s="82"/>
      <c r="HFQ184" s="82"/>
      <c r="HFR184" s="82"/>
      <c r="HFS184" s="82"/>
      <c r="HFT184" s="82"/>
      <c r="HFU184" s="82"/>
      <c r="HFV184" s="82"/>
      <c r="HFW184" s="82"/>
      <c r="HFX184" s="82"/>
      <c r="HFY184" s="82"/>
      <c r="HFZ184" s="82"/>
      <c r="HGA184" s="82"/>
      <c r="HGB184" s="82"/>
      <c r="HGC184" s="82"/>
      <c r="HGD184" s="82"/>
      <c r="HGE184" s="82"/>
      <c r="HGF184" s="82"/>
      <c r="HGG184" s="82"/>
      <c r="HGH184" s="82"/>
      <c r="HGI184" s="82"/>
      <c r="HGJ184" s="82"/>
      <c r="HGK184" s="82"/>
      <c r="HGL184" s="82"/>
      <c r="HGM184" s="82"/>
      <c r="HGN184" s="82"/>
      <c r="HGO184" s="82"/>
      <c r="HGP184" s="82"/>
      <c r="HGQ184" s="82"/>
      <c r="HGR184" s="82"/>
      <c r="HGS184" s="82"/>
      <c r="HGT184" s="82"/>
      <c r="HGU184" s="82"/>
      <c r="HGV184" s="82"/>
      <c r="HGW184" s="82"/>
      <c r="HGX184" s="82"/>
      <c r="HGY184" s="82"/>
      <c r="HGZ184" s="82"/>
      <c r="HHA184" s="82"/>
      <c r="HHB184" s="82"/>
      <c r="HHC184" s="82"/>
      <c r="HHD184" s="82"/>
      <c r="HHE184" s="82"/>
      <c r="HHF184" s="82"/>
      <c r="HHG184" s="82"/>
      <c r="HHH184" s="82"/>
      <c r="HHI184" s="82"/>
      <c r="HHJ184" s="82"/>
      <c r="HHK184" s="82"/>
      <c r="HHL184" s="82"/>
      <c r="HHM184" s="82"/>
      <c r="HHN184" s="82"/>
      <c r="HHO184" s="82"/>
      <c r="HHP184" s="82"/>
      <c r="HHQ184" s="82"/>
      <c r="HHR184" s="82"/>
      <c r="HHS184" s="82"/>
      <c r="HHT184" s="82"/>
      <c r="HHU184" s="82"/>
      <c r="HHV184" s="82"/>
      <c r="HHW184" s="82"/>
      <c r="HHX184" s="82"/>
      <c r="HHY184" s="82"/>
      <c r="HHZ184" s="82"/>
      <c r="HIA184" s="82"/>
      <c r="HIB184" s="82"/>
      <c r="HIC184" s="82"/>
      <c r="HID184" s="82"/>
      <c r="HIE184" s="82"/>
      <c r="HIF184" s="82"/>
      <c r="HIG184" s="82"/>
      <c r="HIH184" s="82"/>
      <c r="HII184" s="82"/>
      <c r="HIJ184" s="82"/>
      <c r="HIK184" s="82"/>
      <c r="HIL184" s="82"/>
      <c r="HIM184" s="82"/>
      <c r="HIN184" s="82"/>
      <c r="HIO184" s="82"/>
      <c r="HIP184" s="82"/>
      <c r="HIQ184" s="82"/>
      <c r="HIR184" s="82"/>
      <c r="HIS184" s="82"/>
      <c r="HIT184" s="82"/>
      <c r="HIU184" s="82"/>
      <c r="HIV184" s="82"/>
      <c r="HIW184" s="82"/>
      <c r="HIX184" s="82"/>
      <c r="HIY184" s="82"/>
      <c r="HIZ184" s="82"/>
      <c r="HJA184" s="82"/>
      <c r="HJB184" s="82"/>
      <c r="HJC184" s="82"/>
      <c r="HJD184" s="82"/>
      <c r="HJE184" s="82"/>
      <c r="HJF184" s="82"/>
      <c r="HJG184" s="82"/>
      <c r="HJH184" s="82"/>
      <c r="HJI184" s="82"/>
      <c r="HJJ184" s="82"/>
      <c r="HJK184" s="82"/>
      <c r="HJL184" s="82"/>
      <c r="HJM184" s="82"/>
      <c r="HJN184" s="82"/>
      <c r="HJO184" s="82"/>
      <c r="HJP184" s="82"/>
      <c r="HJQ184" s="82"/>
      <c r="HJR184" s="82"/>
      <c r="HJS184" s="82"/>
      <c r="HJT184" s="82"/>
      <c r="HJU184" s="82"/>
      <c r="HJV184" s="82"/>
      <c r="HJW184" s="82"/>
      <c r="HJX184" s="82"/>
      <c r="HJY184" s="82"/>
      <c r="HJZ184" s="82"/>
      <c r="HKA184" s="82"/>
      <c r="HKB184" s="82"/>
      <c r="HKC184" s="82"/>
      <c r="HKD184" s="82"/>
      <c r="HKE184" s="82"/>
      <c r="HKF184" s="82"/>
      <c r="HKG184" s="82"/>
      <c r="HKH184" s="82"/>
      <c r="HKI184" s="82"/>
      <c r="HKJ184" s="82"/>
      <c r="HKK184" s="82"/>
      <c r="HKL184" s="82"/>
      <c r="HKM184" s="82"/>
      <c r="HKN184" s="82"/>
      <c r="HKO184" s="82"/>
      <c r="HKP184" s="82"/>
      <c r="HKQ184" s="82"/>
      <c r="HKR184" s="82"/>
      <c r="HKS184" s="82"/>
      <c r="HKT184" s="82"/>
      <c r="HKU184" s="82"/>
      <c r="HKV184" s="82"/>
      <c r="HKW184" s="82"/>
      <c r="HKX184" s="82"/>
      <c r="HKY184" s="82"/>
      <c r="HKZ184" s="82"/>
      <c r="HLA184" s="82"/>
      <c r="HLB184" s="82"/>
      <c r="HLC184" s="82"/>
      <c r="HLD184" s="82"/>
      <c r="HLE184" s="82"/>
      <c r="HLF184" s="82"/>
      <c r="HLG184" s="82"/>
      <c r="HLH184" s="82"/>
      <c r="HLI184" s="82"/>
      <c r="HLJ184" s="82"/>
      <c r="HLK184" s="82"/>
      <c r="HLL184" s="82"/>
      <c r="HLM184" s="82"/>
      <c r="HLN184" s="82"/>
      <c r="HLO184" s="82"/>
      <c r="HLP184" s="82"/>
      <c r="HLQ184" s="82"/>
      <c r="HLR184" s="82"/>
      <c r="HLS184" s="82"/>
      <c r="HLT184" s="82"/>
      <c r="HLU184" s="82"/>
      <c r="HLV184" s="82"/>
      <c r="HLW184" s="82"/>
      <c r="HLX184" s="82"/>
      <c r="HLY184" s="82"/>
      <c r="HLZ184" s="82"/>
      <c r="HMA184" s="82"/>
      <c r="HMB184" s="82"/>
      <c r="HMC184" s="82"/>
      <c r="HMD184" s="82"/>
      <c r="HME184" s="82"/>
      <c r="HMF184" s="82"/>
      <c r="HMG184" s="82"/>
      <c r="HMH184" s="82"/>
      <c r="HMI184" s="82"/>
      <c r="HMJ184" s="82"/>
      <c r="HMK184" s="82"/>
      <c r="HML184" s="82"/>
      <c r="HMM184" s="82"/>
      <c r="HMN184" s="82"/>
      <c r="HMO184" s="82"/>
      <c r="HMP184" s="82"/>
      <c r="HMQ184" s="82"/>
      <c r="HMR184" s="82"/>
      <c r="HMS184" s="82"/>
      <c r="HMT184" s="82"/>
      <c r="HMU184" s="82"/>
      <c r="HMV184" s="82"/>
      <c r="HMW184" s="82"/>
      <c r="HMX184" s="82"/>
      <c r="HMY184" s="82"/>
      <c r="HMZ184" s="82"/>
      <c r="HNA184" s="82"/>
      <c r="HNB184" s="82"/>
      <c r="HNC184" s="82"/>
      <c r="HND184" s="82"/>
      <c r="HNE184" s="82"/>
      <c r="HNF184" s="82"/>
      <c r="HNG184" s="82"/>
      <c r="HNH184" s="82"/>
      <c r="HNI184" s="82"/>
      <c r="HNJ184" s="82"/>
      <c r="HNK184" s="82"/>
      <c r="HNL184" s="82"/>
      <c r="HNM184" s="82"/>
      <c r="HNN184" s="82"/>
      <c r="HNO184" s="82"/>
      <c r="HNP184" s="82"/>
      <c r="HNQ184" s="82"/>
      <c r="HNR184" s="82"/>
      <c r="HNS184" s="82"/>
      <c r="HNT184" s="82"/>
      <c r="HNU184" s="82"/>
      <c r="HNV184" s="82"/>
      <c r="HNW184" s="82"/>
      <c r="HNX184" s="82"/>
      <c r="HNY184" s="82"/>
      <c r="HNZ184" s="82"/>
      <c r="HOA184" s="82"/>
      <c r="HOB184" s="82"/>
      <c r="HOC184" s="82"/>
      <c r="HOD184" s="82"/>
      <c r="HOE184" s="82"/>
      <c r="HOF184" s="82"/>
      <c r="HOG184" s="82"/>
      <c r="HOH184" s="82"/>
      <c r="HOI184" s="82"/>
      <c r="HOJ184" s="82"/>
      <c r="HOK184" s="82"/>
      <c r="HOL184" s="82"/>
      <c r="HOM184" s="82"/>
      <c r="HON184" s="82"/>
      <c r="HOO184" s="82"/>
      <c r="HOP184" s="82"/>
      <c r="HOQ184" s="82"/>
      <c r="HOR184" s="82"/>
      <c r="HOS184" s="82"/>
      <c r="HOT184" s="82"/>
      <c r="HOU184" s="82"/>
      <c r="HOV184" s="82"/>
      <c r="HOW184" s="82"/>
      <c r="HOX184" s="82"/>
      <c r="HOY184" s="82"/>
      <c r="HOZ184" s="82"/>
      <c r="HPA184" s="82"/>
      <c r="HPB184" s="82"/>
      <c r="HPC184" s="82"/>
      <c r="HPD184" s="82"/>
      <c r="HPE184" s="82"/>
      <c r="HPF184" s="82"/>
      <c r="HPG184" s="82"/>
      <c r="HPH184" s="82"/>
      <c r="HPI184" s="82"/>
      <c r="HPJ184" s="82"/>
      <c r="HPK184" s="82"/>
      <c r="HPL184" s="82"/>
      <c r="HPM184" s="82"/>
      <c r="HPN184" s="82"/>
      <c r="HPO184" s="82"/>
      <c r="HPP184" s="82"/>
      <c r="HPQ184" s="82"/>
      <c r="HPR184" s="82"/>
      <c r="HPS184" s="82"/>
      <c r="HPT184" s="82"/>
      <c r="HPU184" s="82"/>
      <c r="HPV184" s="82"/>
      <c r="HPW184" s="82"/>
      <c r="HPX184" s="82"/>
      <c r="HPY184" s="82"/>
      <c r="HPZ184" s="82"/>
      <c r="HQA184" s="82"/>
      <c r="HQB184" s="82"/>
      <c r="HQC184" s="82"/>
      <c r="HQD184" s="82"/>
      <c r="HQE184" s="82"/>
      <c r="HQF184" s="82"/>
      <c r="HQG184" s="82"/>
      <c r="HQH184" s="82"/>
      <c r="HQI184" s="82"/>
      <c r="HQJ184" s="82"/>
      <c r="HQK184" s="82"/>
      <c r="HQL184" s="82"/>
      <c r="HQM184" s="82"/>
      <c r="HQN184" s="82"/>
      <c r="HQO184" s="82"/>
      <c r="HQP184" s="82"/>
      <c r="HQQ184" s="82"/>
      <c r="HQR184" s="82"/>
      <c r="HQS184" s="82"/>
      <c r="HQT184" s="82"/>
      <c r="HQU184" s="82"/>
      <c r="HQV184" s="82"/>
      <c r="HQW184" s="82"/>
      <c r="HQX184" s="82"/>
      <c r="HQY184" s="82"/>
      <c r="HQZ184" s="82"/>
      <c r="HRA184" s="82"/>
      <c r="HRB184" s="82"/>
      <c r="HRC184" s="82"/>
      <c r="HRD184" s="82"/>
      <c r="HRE184" s="82"/>
      <c r="HRF184" s="82"/>
      <c r="HRG184" s="82"/>
      <c r="HRH184" s="82"/>
      <c r="HRI184" s="82"/>
      <c r="HRJ184" s="82"/>
      <c r="HRK184" s="82"/>
      <c r="HRL184" s="82"/>
      <c r="HRM184" s="82"/>
      <c r="HRN184" s="82"/>
      <c r="HRO184" s="82"/>
      <c r="HRP184" s="82"/>
      <c r="HRQ184" s="82"/>
      <c r="HRR184" s="82"/>
      <c r="HRS184" s="82"/>
      <c r="HRT184" s="82"/>
      <c r="HRU184" s="82"/>
      <c r="HRV184" s="82"/>
      <c r="HRW184" s="82"/>
      <c r="HRX184" s="82"/>
      <c r="HRY184" s="82"/>
      <c r="HRZ184" s="82"/>
      <c r="HSA184" s="82"/>
      <c r="HSB184" s="82"/>
      <c r="HSC184" s="82"/>
      <c r="HSD184" s="82"/>
      <c r="HSE184" s="82"/>
      <c r="HSF184" s="82"/>
      <c r="HSG184" s="82"/>
      <c r="HSH184" s="82"/>
      <c r="HSI184" s="82"/>
      <c r="HSJ184" s="82"/>
      <c r="HSK184" s="82"/>
      <c r="HSL184" s="82"/>
      <c r="HSM184" s="82"/>
      <c r="HSN184" s="82"/>
      <c r="HSO184" s="82"/>
      <c r="HSP184" s="82"/>
      <c r="HSQ184" s="82"/>
      <c r="HSR184" s="82"/>
      <c r="HSS184" s="82"/>
      <c r="HST184" s="82"/>
      <c r="HSU184" s="82"/>
      <c r="HSV184" s="82"/>
      <c r="HSW184" s="82"/>
      <c r="HSX184" s="82"/>
      <c r="HSY184" s="82"/>
      <c r="HSZ184" s="82"/>
      <c r="HTA184" s="82"/>
      <c r="HTB184" s="82"/>
      <c r="HTC184" s="82"/>
      <c r="HTD184" s="82"/>
      <c r="HTE184" s="82"/>
      <c r="HTF184" s="82"/>
      <c r="HTG184" s="82"/>
      <c r="HTH184" s="82"/>
      <c r="HTI184" s="82"/>
      <c r="HTJ184" s="82"/>
      <c r="HTK184" s="82"/>
      <c r="HTL184" s="82"/>
      <c r="HTM184" s="82"/>
      <c r="HTN184" s="82"/>
      <c r="HTO184" s="82"/>
      <c r="HTP184" s="82"/>
      <c r="HTQ184" s="82"/>
      <c r="HTR184" s="82"/>
      <c r="HTS184" s="82"/>
      <c r="HTT184" s="82"/>
      <c r="HTU184" s="82"/>
      <c r="HTV184" s="82"/>
      <c r="HTW184" s="82"/>
      <c r="HTX184" s="82"/>
      <c r="HTY184" s="82"/>
      <c r="HTZ184" s="82"/>
      <c r="HUA184" s="82"/>
      <c r="HUB184" s="82"/>
      <c r="HUC184" s="82"/>
      <c r="HUD184" s="82"/>
      <c r="HUE184" s="82"/>
      <c r="HUF184" s="82"/>
      <c r="HUG184" s="82"/>
      <c r="HUH184" s="82"/>
      <c r="HUI184" s="82"/>
      <c r="HUJ184" s="82"/>
      <c r="HUK184" s="82"/>
      <c r="HUL184" s="82"/>
      <c r="HUM184" s="82"/>
      <c r="HUN184" s="82"/>
      <c r="HUO184" s="82"/>
      <c r="HUP184" s="82"/>
      <c r="HUQ184" s="82"/>
      <c r="HUR184" s="82"/>
      <c r="HUS184" s="82"/>
      <c r="HUT184" s="82"/>
      <c r="HUU184" s="82"/>
      <c r="HUV184" s="82"/>
      <c r="HUW184" s="82"/>
      <c r="HUX184" s="82"/>
      <c r="HUY184" s="82"/>
      <c r="HUZ184" s="82"/>
      <c r="HVA184" s="82"/>
      <c r="HVB184" s="82"/>
      <c r="HVC184" s="82"/>
      <c r="HVD184" s="82"/>
      <c r="HVE184" s="82"/>
      <c r="HVF184" s="82"/>
      <c r="HVG184" s="82"/>
      <c r="HVH184" s="82"/>
      <c r="HVI184" s="82"/>
      <c r="HVJ184" s="82"/>
      <c r="HVK184" s="82"/>
      <c r="HVL184" s="82"/>
      <c r="HVM184" s="82"/>
      <c r="HVN184" s="82"/>
      <c r="HVO184" s="82"/>
      <c r="HVP184" s="82"/>
      <c r="HVQ184" s="82"/>
      <c r="HVR184" s="82"/>
      <c r="HVS184" s="82"/>
      <c r="HVT184" s="82"/>
      <c r="HVU184" s="82"/>
      <c r="HVV184" s="82"/>
      <c r="HVW184" s="82"/>
      <c r="HVX184" s="82"/>
      <c r="HVY184" s="82"/>
      <c r="HVZ184" s="82"/>
      <c r="HWA184" s="82"/>
      <c r="HWB184" s="82"/>
      <c r="HWC184" s="82"/>
      <c r="HWD184" s="82"/>
      <c r="HWE184" s="82"/>
      <c r="HWF184" s="82"/>
      <c r="HWG184" s="82"/>
      <c r="HWH184" s="82"/>
      <c r="HWI184" s="82"/>
      <c r="HWJ184" s="82"/>
      <c r="HWK184" s="82"/>
      <c r="HWL184" s="82"/>
      <c r="HWM184" s="82"/>
      <c r="HWN184" s="82"/>
      <c r="HWO184" s="82"/>
      <c r="HWP184" s="82"/>
      <c r="HWQ184" s="82"/>
      <c r="HWR184" s="82"/>
      <c r="HWS184" s="82"/>
      <c r="HWT184" s="82"/>
      <c r="HWU184" s="82"/>
      <c r="HWV184" s="82"/>
      <c r="HWW184" s="82"/>
      <c r="HWX184" s="82"/>
      <c r="HWY184" s="82"/>
      <c r="HWZ184" s="82"/>
      <c r="HXA184" s="82"/>
      <c r="HXB184" s="82"/>
      <c r="HXC184" s="82"/>
      <c r="HXD184" s="82"/>
      <c r="HXE184" s="82"/>
      <c r="HXF184" s="82"/>
      <c r="HXG184" s="82"/>
      <c r="HXH184" s="82"/>
      <c r="HXI184" s="82"/>
      <c r="HXJ184" s="82"/>
      <c r="HXK184" s="82"/>
      <c r="HXL184" s="82"/>
      <c r="HXM184" s="82"/>
      <c r="HXN184" s="82"/>
      <c r="HXO184" s="82"/>
      <c r="HXP184" s="82"/>
      <c r="HXQ184" s="82"/>
      <c r="HXR184" s="82"/>
      <c r="HXS184" s="82"/>
      <c r="HXT184" s="82"/>
      <c r="HXU184" s="82"/>
      <c r="HXV184" s="82"/>
      <c r="HXW184" s="82"/>
      <c r="HXX184" s="82"/>
      <c r="HXY184" s="82"/>
      <c r="HXZ184" s="82"/>
      <c r="HYA184" s="82"/>
      <c r="HYB184" s="82"/>
      <c r="HYC184" s="82"/>
      <c r="HYD184" s="82"/>
      <c r="HYE184" s="82"/>
      <c r="HYF184" s="82"/>
      <c r="HYG184" s="82"/>
      <c r="HYH184" s="82"/>
      <c r="HYI184" s="82"/>
      <c r="HYJ184" s="82"/>
      <c r="HYK184" s="82"/>
      <c r="HYL184" s="82"/>
      <c r="HYM184" s="82"/>
      <c r="HYN184" s="82"/>
      <c r="HYO184" s="82"/>
      <c r="HYP184" s="82"/>
      <c r="HYQ184" s="82"/>
      <c r="HYR184" s="82"/>
      <c r="HYS184" s="82"/>
      <c r="HYT184" s="82"/>
      <c r="HYU184" s="82"/>
      <c r="HYV184" s="82"/>
      <c r="HYW184" s="82"/>
      <c r="HYX184" s="82"/>
      <c r="HYY184" s="82"/>
      <c r="HYZ184" s="82"/>
      <c r="HZA184" s="82"/>
      <c r="HZB184" s="82"/>
      <c r="HZC184" s="82"/>
      <c r="HZD184" s="82"/>
      <c r="HZE184" s="82"/>
      <c r="HZF184" s="82"/>
      <c r="HZG184" s="82"/>
      <c r="HZH184" s="82"/>
      <c r="HZI184" s="82"/>
      <c r="HZJ184" s="82"/>
      <c r="HZK184" s="82"/>
      <c r="HZL184" s="82"/>
      <c r="HZM184" s="82"/>
      <c r="HZN184" s="82"/>
      <c r="HZO184" s="82"/>
      <c r="HZP184" s="82"/>
      <c r="HZQ184" s="82"/>
      <c r="HZR184" s="82"/>
      <c r="HZS184" s="82"/>
      <c r="HZT184" s="82"/>
      <c r="HZU184" s="82"/>
      <c r="HZV184" s="82"/>
      <c r="HZW184" s="82"/>
      <c r="HZX184" s="82"/>
      <c r="HZY184" s="82"/>
      <c r="HZZ184" s="82"/>
      <c r="IAA184" s="82"/>
      <c r="IAB184" s="82"/>
      <c r="IAC184" s="82"/>
      <c r="IAD184" s="82"/>
      <c r="IAE184" s="82"/>
      <c r="IAF184" s="82"/>
      <c r="IAG184" s="82"/>
      <c r="IAH184" s="82"/>
      <c r="IAI184" s="82"/>
      <c r="IAJ184" s="82"/>
      <c r="IAK184" s="82"/>
      <c r="IAL184" s="82"/>
      <c r="IAM184" s="82"/>
      <c r="IAN184" s="82"/>
      <c r="IAO184" s="82"/>
      <c r="IAP184" s="82"/>
      <c r="IAQ184" s="82"/>
      <c r="IAR184" s="82"/>
      <c r="IAS184" s="82"/>
      <c r="IAT184" s="82"/>
      <c r="IAU184" s="82"/>
      <c r="IAV184" s="82"/>
      <c r="IAW184" s="82"/>
      <c r="IAX184" s="82"/>
      <c r="IAY184" s="82"/>
      <c r="IAZ184" s="82"/>
      <c r="IBA184" s="82"/>
      <c r="IBB184" s="82"/>
      <c r="IBC184" s="82"/>
      <c r="IBD184" s="82"/>
      <c r="IBE184" s="82"/>
      <c r="IBF184" s="82"/>
      <c r="IBG184" s="82"/>
      <c r="IBH184" s="82"/>
      <c r="IBI184" s="82"/>
      <c r="IBJ184" s="82"/>
      <c r="IBK184" s="82"/>
      <c r="IBL184" s="82"/>
      <c r="IBM184" s="82"/>
      <c r="IBN184" s="82"/>
      <c r="IBO184" s="82"/>
      <c r="IBP184" s="82"/>
      <c r="IBQ184" s="82"/>
      <c r="IBR184" s="82"/>
      <c r="IBS184" s="82"/>
      <c r="IBT184" s="82"/>
      <c r="IBU184" s="82"/>
      <c r="IBV184" s="82"/>
      <c r="IBW184" s="82"/>
      <c r="IBX184" s="82"/>
      <c r="IBY184" s="82"/>
      <c r="IBZ184" s="82"/>
      <c r="ICA184" s="82"/>
      <c r="ICB184" s="82"/>
      <c r="ICC184" s="82"/>
      <c r="ICD184" s="82"/>
      <c r="ICE184" s="82"/>
      <c r="ICF184" s="82"/>
      <c r="ICG184" s="82"/>
      <c r="ICH184" s="82"/>
      <c r="ICI184" s="82"/>
      <c r="ICJ184" s="82"/>
      <c r="ICK184" s="82"/>
      <c r="ICL184" s="82"/>
      <c r="ICM184" s="82"/>
      <c r="ICN184" s="82"/>
      <c r="ICO184" s="82"/>
      <c r="ICP184" s="82"/>
      <c r="ICQ184" s="82"/>
      <c r="ICR184" s="82"/>
      <c r="ICS184" s="82"/>
      <c r="ICT184" s="82"/>
      <c r="ICU184" s="82"/>
      <c r="ICV184" s="82"/>
      <c r="ICW184" s="82"/>
      <c r="ICX184" s="82"/>
      <c r="ICY184" s="82"/>
      <c r="ICZ184" s="82"/>
      <c r="IDA184" s="82"/>
      <c r="IDB184" s="82"/>
      <c r="IDC184" s="82"/>
      <c r="IDD184" s="82"/>
      <c r="IDE184" s="82"/>
      <c r="IDF184" s="82"/>
      <c r="IDG184" s="82"/>
      <c r="IDH184" s="82"/>
      <c r="IDI184" s="82"/>
      <c r="IDJ184" s="82"/>
      <c r="IDK184" s="82"/>
      <c r="IDL184" s="82"/>
      <c r="IDM184" s="82"/>
      <c r="IDN184" s="82"/>
      <c r="IDO184" s="82"/>
      <c r="IDP184" s="82"/>
      <c r="IDQ184" s="82"/>
      <c r="IDR184" s="82"/>
      <c r="IDS184" s="82"/>
      <c r="IDT184" s="82"/>
      <c r="IDU184" s="82"/>
      <c r="IDV184" s="82"/>
      <c r="IDW184" s="82"/>
      <c r="IDX184" s="82"/>
      <c r="IDY184" s="82"/>
      <c r="IDZ184" s="82"/>
      <c r="IEA184" s="82"/>
      <c r="IEB184" s="82"/>
      <c r="IEC184" s="82"/>
      <c r="IED184" s="82"/>
      <c r="IEE184" s="82"/>
      <c r="IEF184" s="82"/>
      <c r="IEG184" s="82"/>
      <c r="IEH184" s="82"/>
      <c r="IEI184" s="82"/>
      <c r="IEJ184" s="82"/>
      <c r="IEK184" s="82"/>
      <c r="IEL184" s="82"/>
      <c r="IEM184" s="82"/>
      <c r="IEN184" s="82"/>
      <c r="IEO184" s="82"/>
      <c r="IEP184" s="82"/>
      <c r="IEQ184" s="82"/>
      <c r="IER184" s="82"/>
      <c r="IES184" s="82"/>
      <c r="IET184" s="82"/>
      <c r="IEU184" s="82"/>
      <c r="IEV184" s="82"/>
      <c r="IEW184" s="82"/>
      <c r="IEX184" s="82"/>
      <c r="IEY184" s="82"/>
      <c r="IEZ184" s="82"/>
      <c r="IFA184" s="82"/>
      <c r="IFB184" s="82"/>
      <c r="IFC184" s="82"/>
      <c r="IFD184" s="82"/>
      <c r="IFE184" s="82"/>
      <c r="IFF184" s="82"/>
      <c r="IFG184" s="82"/>
      <c r="IFH184" s="82"/>
      <c r="IFI184" s="82"/>
      <c r="IFJ184" s="82"/>
      <c r="IFK184" s="82"/>
      <c r="IFL184" s="82"/>
      <c r="IFM184" s="82"/>
      <c r="IFN184" s="82"/>
      <c r="IFO184" s="82"/>
      <c r="IFP184" s="82"/>
      <c r="IFQ184" s="82"/>
      <c r="IFR184" s="82"/>
      <c r="IFS184" s="82"/>
      <c r="IFT184" s="82"/>
      <c r="IFU184" s="82"/>
      <c r="IFV184" s="82"/>
      <c r="IFW184" s="82"/>
      <c r="IFX184" s="82"/>
      <c r="IFY184" s="82"/>
      <c r="IFZ184" s="82"/>
      <c r="IGA184" s="82"/>
      <c r="IGB184" s="82"/>
      <c r="IGC184" s="82"/>
      <c r="IGD184" s="82"/>
      <c r="IGE184" s="82"/>
      <c r="IGF184" s="82"/>
      <c r="IGG184" s="82"/>
      <c r="IGH184" s="82"/>
      <c r="IGI184" s="82"/>
      <c r="IGJ184" s="82"/>
      <c r="IGK184" s="82"/>
      <c r="IGL184" s="82"/>
      <c r="IGM184" s="82"/>
      <c r="IGN184" s="82"/>
      <c r="IGO184" s="82"/>
      <c r="IGP184" s="82"/>
      <c r="IGQ184" s="82"/>
      <c r="IGR184" s="82"/>
      <c r="IGS184" s="82"/>
      <c r="IGT184" s="82"/>
      <c r="IGU184" s="82"/>
      <c r="IGV184" s="82"/>
      <c r="IGW184" s="82"/>
      <c r="IGX184" s="82"/>
      <c r="IGY184" s="82"/>
      <c r="IGZ184" s="82"/>
      <c r="IHA184" s="82"/>
      <c r="IHB184" s="82"/>
      <c r="IHC184" s="82"/>
      <c r="IHD184" s="82"/>
      <c r="IHE184" s="82"/>
      <c r="IHF184" s="82"/>
      <c r="IHG184" s="82"/>
      <c r="IHH184" s="82"/>
      <c r="IHI184" s="82"/>
      <c r="IHJ184" s="82"/>
      <c r="IHK184" s="82"/>
      <c r="IHL184" s="82"/>
      <c r="IHM184" s="82"/>
      <c r="IHN184" s="82"/>
      <c r="IHO184" s="82"/>
      <c r="IHP184" s="82"/>
      <c r="IHQ184" s="82"/>
      <c r="IHR184" s="82"/>
      <c r="IHS184" s="82"/>
      <c r="IHT184" s="82"/>
      <c r="IHU184" s="82"/>
      <c r="IHV184" s="82"/>
      <c r="IHW184" s="82"/>
      <c r="IHX184" s="82"/>
      <c r="IHY184" s="82"/>
      <c r="IHZ184" s="82"/>
      <c r="IIA184" s="82"/>
      <c r="IIB184" s="82"/>
      <c r="IIC184" s="82"/>
      <c r="IID184" s="82"/>
      <c r="IIE184" s="82"/>
      <c r="IIF184" s="82"/>
      <c r="IIG184" s="82"/>
      <c r="IIH184" s="82"/>
      <c r="III184" s="82"/>
      <c r="IIJ184" s="82"/>
      <c r="IIK184" s="82"/>
      <c r="IIL184" s="82"/>
      <c r="IIM184" s="82"/>
      <c r="IIN184" s="82"/>
      <c r="IIO184" s="82"/>
      <c r="IIP184" s="82"/>
      <c r="IIQ184" s="82"/>
      <c r="IIR184" s="82"/>
      <c r="IIS184" s="82"/>
      <c r="IIT184" s="82"/>
      <c r="IIU184" s="82"/>
      <c r="IIV184" s="82"/>
      <c r="IIW184" s="82"/>
      <c r="IIX184" s="82"/>
      <c r="IIY184" s="82"/>
      <c r="IIZ184" s="82"/>
      <c r="IJA184" s="82"/>
      <c r="IJB184" s="82"/>
      <c r="IJC184" s="82"/>
      <c r="IJD184" s="82"/>
      <c r="IJE184" s="82"/>
      <c r="IJF184" s="82"/>
      <c r="IJG184" s="82"/>
      <c r="IJH184" s="82"/>
      <c r="IJI184" s="82"/>
      <c r="IJJ184" s="82"/>
      <c r="IJK184" s="82"/>
      <c r="IJL184" s="82"/>
      <c r="IJM184" s="82"/>
      <c r="IJN184" s="82"/>
      <c r="IJO184" s="82"/>
      <c r="IJP184" s="82"/>
      <c r="IJQ184" s="82"/>
      <c r="IJR184" s="82"/>
      <c r="IJS184" s="82"/>
      <c r="IJT184" s="82"/>
      <c r="IJU184" s="82"/>
      <c r="IJV184" s="82"/>
      <c r="IJW184" s="82"/>
      <c r="IJX184" s="82"/>
      <c r="IJY184" s="82"/>
      <c r="IJZ184" s="82"/>
      <c r="IKA184" s="82"/>
      <c r="IKB184" s="82"/>
      <c r="IKC184" s="82"/>
      <c r="IKD184" s="82"/>
      <c r="IKE184" s="82"/>
      <c r="IKF184" s="82"/>
      <c r="IKG184" s="82"/>
      <c r="IKH184" s="82"/>
      <c r="IKI184" s="82"/>
      <c r="IKJ184" s="82"/>
      <c r="IKK184" s="82"/>
      <c r="IKL184" s="82"/>
      <c r="IKM184" s="82"/>
      <c r="IKN184" s="82"/>
      <c r="IKO184" s="82"/>
      <c r="IKP184" s="82"/>
      <c r="IKQ184" s="82"/>
      <c r="IKR184" s="82"/>
      <c r="IKS184" s="82"/>
      <c r="IKT184" s="82"/>
      <c r="IKU184" s="82"/>
      <c r="IKV184" s="82"/>
      <c r="IKW184" s="82"/>
      <c r="IKX184" s="82"/>
      <c r="IKY184" s="82"/>
      <c r="IKZ184" s="82"/>
      <c r="ILA184" s="82"/>
      <c r="ILB184" s="82"/>
      <c r="ILC184" s="82"/>
      <c r="ILD184" s="82"/>
      <c r="ILE184" s="82"/>
      <c r="ILF184" s="82"/>
      <c r="ILG184" s="82"/>
      <c r="ILH184" s="82"/>
      <c r="ILI184" s="82"/>
      <c r="ILJ184" s="82"/>
      <c r="ILK184" s="82"/>
      <c r="ILL184" s="82"/>
      <c r="ILM184" s="82"/>
      <c r="ILN184" s="82"/>
      <c r="ILO184" s="82"/>
      <c r="ILP184" s="82"/>
      <c r="ILQ184" s="82"/>
      <c r="ILR184" s="82"/>
      <c r="ILS184" s="82"/>
      <c r="ILT184" s="82"/>
      <c r="ILU184" s="82"/>
      <c r="ILV184" s="82"/>
      <c r="ILW184" s="82"/>
      <c r="ILX184" s="82"/>
      <c r="ILY184" s="82"/>
      <c r="ILZ184" s="82"/>
      <c r="IMA184" s="82"/>
      <c r="IMB184" s="82"/>
      <c r="IMC184" s="82"/>
      <c r="IMD184" s="82"/>
      <c r="IME184" s="82"/>
      <c r="IMF184" s="82"/>
      <c r="IMG184" s="82"/>
      <c r="IMH184" s="82"/>
      <c r="IMI184" s="82"/>
      <c r="IMJ184" s="82"/>
      <c r="IMK184" s="82"/>
      <c r="IML184" s="82"/>
      <c r="IMM184" s="82"/>
      <c r="IMN184" s="82"/>
      <c r="IMO184" s="82"/>
      <c r="IMP184" s="82"/>
      <c r="IMQ184" s="82"/>
      <c r="IMR184" s="82"/>
      <c r="IMS184" s="82"/>
      <c r="IMT184" s="82"/>
      <c r="IMU184" s="82"/>
      <c r="IMV184" s="82"/>
      <c r="IMW184" s="82"/>
      <c r="IMX184" s="82"/>
      <c r="IMY184" s="82"/>
      <c r="IMZ184" s="82"/>
      <c r="INA184" s="82"/>
      <c r="INB184" s="82"/>
      <c r="INC184" s="82"/>
      <c r="IND184" s="82"/>
      <c r="INE184" s="82"/>
      <c r="INF184" s="82"/>
      <c r="ING184" s="82"/>
      <c r="INH184" s="82"/>
      <c r="INI184" s="82"/>
      <c r="INJ184" s="82"/>
      <c r="INK184" s="82"/>
      <c r="INL184" s="82"/>
      <c r="INM184" s="82"/>
      <c r="INN184" s="82"/>
      <c r="INO184" s="82"/>
      <c r="INP184" s="82"/>
      <c r="INQ184" s="82"/>
      <c r="INR184" s="82"/>
      <c r="INS184" s="82"/>
      <c r="INT184" s="82"/>
      <c r="INU184" s="82"/>
      <c r="INV184" s="82"/>
      <c r="INW184" s="82"/>
      <c r="INX184" s="82"/>
      <c r="INY184" s="82"/>
      <c r="INZ184" s="82"/>
      <c r="IOA184" s="82"/>
      <c r="IOB184" s="82"/>
      <c r="IOC184" s="82"/>
      <c r="IOD184" s="82"/>
      <c r="IOE184" s="82"/>
      <c r="IOF184" s="82"/>
      <c r="IOG184" s="82"/>
      <c r="IOH184" s="82"/>
      <c r="IOI184" s="82"/>
      <c r="IOJ184" s="82"/>
      <c r="IOK184" s="82"/>
      <c r="IOL184" s="82"/>
      <c r="IOM184" s="82"/>
      <c r="ION184" s="82"/>
      <c r="IOO184" s="82"/>
      <c r="IOP184" s="82"/>
      <c r="IOQ184" s="82"/>
      <c r="IOR184" s="82"/>
      <c r="IOS184" s="82"/>
      <c r="IOT184" s="82"/>
      <c r="IOU184" s="82"/>
      <c r="IOV184" s="82"/>
      <c r="IOW184" s="82"/>
      <c r="IOX184" s="82"/>
      <c r="IOY184" s="82"/>
      <c r="IOZ184" s="82"/>
      <c r="IPA184" s="82"/>
      <c r="IPB184" s="82"/>
      <c r="IPC184" s="82"/>
      <c r="IPD184" s="82"/>
      <c r="IPE184" s="82"/>
      <c r="IPF184" s="82"/>
      <c r="IPG184" s="82"/>
      <c r="IPH184" s="82"/>
      <c r="IPI184" s="82"/>
      <c r="IPJ184" s="82"/>
      <c r="IPK184" s="82"/>
      <c r="IPL184" s="82"/>
      <c r="IPM184" s="82"/>
      <c r="IPN184" s="82"/>
      <c r="IPO184" s="82"/>
      <c r="IPP184" s="82"/>
      <c r="IPQ184" s="82"/>
      <c r="IPR184" s="82"/>
      <c r="IPS184" s="82"/>
      <c r="IPT184" s="82"/>
      <c r="IPU184" s="82"/>
      <c r="IPV184" s="82"/>
      <c r="IPW184" s="82"/>
      <c r="IPX184" s="82"/>
      <c r="IPY184" s="82"/>
      <c r="IPZ184" s="82"/>
      <c r="IQA184" s="82"/>
      <c r="IQB184" s="82"/>
      <c r="IQC184" s="82"/>
      <c r="IQD184" s="82"/>
      <c r="IQE184" s="82"/>
      <c r="IQF184" s="82"/>
      <c r="IQG184" s="82"/>
      <c r="IQH184" s="82"/>
      <c r="IQI184" s="82"/>
      <c r="IQJ184" s="82"/>
      <c r="IQK184" s="82"/>
      <c r="IQL184" s="82"/>
      <c r="IQM184" s="82"/>
      <c r="IQN184" s="82"/>
      <c r="IQO184" s="82"/>
      <c r="IQP184" s="82"/>
      <c r="IQQ184" s="82"/>
      <c r="IQR184" s="82"/>
      <c r="IQS184" s="82"/>
      <c r="IQT184" s="82"/>
      <c r="IQU184" s="82"/>
      <c r="IQV184" s="82"/>
      <c r="IQW184" s="82"/>
      <c r="IQX184" s="82"/>
      <c r="IQY184" s="82"/>
      <c r="IQZ184" s="82"/>
      <c r="IRA184" s="82"/>
      <c r="IRB184" s="82"/>
      <c r="IRC184" s="82"/>
      <c r="IRD184" s="82"/>
      <c r="IRE184" s="82"/>
      <c r="IRF184" s="82"/>
      <c r="IRG184" s="82"/>
      <c r="IRH184" s="82"/>
      <c r="IRI184" s="82"/>
      <c r="IRJ184" s="82"/>
      <c r="IRK184" s="82"/>
      <c r="IRL184" s="82"/>
      <c r="IRM184" s="82"/>
      <c r="IRN184" s="82"/>
      <c r="IRO184" s="82"/>
      <c r="IRP184" s="82"/>
      <c r="IRQ184" s="82"/>
      <c r="IRR184" s="82"/>
      <c r="IRS184" s="82"/>
      <c r="IRT184" s="82"/>
      <c r="IRU184" s="82"/>
      <c r="IRV184" s="82"/>
      <c r="IRW184" s="82"/>
      <c r="IRX184" s="82"/>
      <c r="IRY184" s="82"/>
      <c r="IRZ184" s="82"/>
      <c r="ISA184" s="82"/>
      <c r="ISB184" s="82"/>
      <c r="ISC184" s="82"/>
      <c r="ISD184" s="82"/>
      <c r="ISE184" s="82"/>
      <c r="ISF184" s="82"/>
      <c r="ISG184" s="82"/>
      <c r="ISH184" s="82"/>
      <c r="ISI184" s="82"/>
      <c r="ISJ184" s="82"/>
      <c r="ISK184" s="82"/>
      <c r="ISL184" s="82"/>
      <c r="ISM184" s="82"/>
      <c r="ISN184" s="82"/>
      <c r="ISO184" s="82"/>
      <c r="ISP184" s="82"/>
      <c r="ISQ184" s="82"/>
      <c r="ISR184" s="82"/>
      <c r="ISS184" s="82"/>
      <c r="IST184" s="82"/>
      <c r="ISU184" s="82"/>
      <c r="ISV184" s="82"/>
      <c r="ISW184" s="82"/>
      <c r="ISX184" s="82"/>
      <c r="ISY184" s="82"/>
      <c r="ISZ184" s="82"/>
      <c r="ITA184" s="82"/>
      <c r="ITB184" s="82"/>
      <c r="ITC184" s="82"/>
      <c r="ITD184" s="82"/>
      <c r="ITE184" s="82"/>
      <c r="ITF184" s="82"/>
      <c r="ITG184" s="82"/>
      <c r="ITH184" s="82"/>
      <c r="ITI184" s="82"/>
      <c r="ITJ184" s="82"/>
      <c r="ITK184" s="82"/>
      <c r="ITL184" s="82"/>
      <c r="ITM184" s="82"/>
      <c r="ITN184" s="82"/>
      <c r="ITO184" s="82"/>
      <c r="ITP184" s="82"/>
      <c r="ITQ184" s="82"/>
      <c r="ITR184" s="82"/>
      <c r="ITS184" s="82"/>
      <c r="ITT184" s="82"/>
      <c r="ITU184" s="82"/>
      <c r="ITV184" s="82"/>
      <c r="ITW184" s="82"/>
      <c r="ITX184" s="82"/>
      <c r="ITY184" s="82"/>
      <c r="ITZ184" s="82"/>
      <c r="IUA184" s="82"/>
      <c r="IUB184" s="82"/>
      <c r="IUC184" s="82"/>
      <c r="IUD184" s="82"/>
      <c r="IUE184" s="82"/>
      <c r="IUF184" s="82"/>
      <c r="IUG184" s="82"/>
      <c r="IUH184" s="82"/>
      <c r="IUI184" s="82"/>
      <c r="IUJ184" s="82"/>
      <c r="IUK184" s="82"/>
      <c r="IUL184" s="82"/>
      <c r="IUM184" s="82"/>
      <c r="IUN184" s="82"/>
      <c r="IUO184" s="82"/>
      <c r="IUP184" s="82"/>
      <c r="IUQ184" s="82"/>
      <c r="IUR184" s="82"/>
      <c r="IUS184" s="82"/>
      <c r="IUT184" s="82"/>
      <c r="IUU184" s="82"/>
      <c r="IUV184" s="82"/>
      <c r="IUW184" s="82"/>
      <c r="IUX184" s="82"/>
      <c r="IUY184" s="82"/>
      <c r="IUZ184" s="82"/>
      <c r="IVA184" s="82"/>
      <c r="IVB184" s="82"/>
      <c r="IVC184" s="82"/>
      <c r="IVD184" s="82"/>
      <c r="IVE184" s="82"/>
      <c r="IVF184" s="82"/>
      <c r="IVG184" s="82"/>
      <c r="IVH184" s="82"/>
      <c r="IVI184" s="82"/>
      <c r="IVJ184" s="82"/>
      <c r="IVK184" s="82"/>
      <c r="IVL184" s="82"/>
      <c r="IVM184" s="82"/>
      <c r="IVN184" s="82"/>
      <c r="IVO184" s="82"/>
      <c r="IVP184" s="82"/>
      <c r="IVQ184" s="82"/>
      <c r="IVR184" s="82"/>
      <c r="IVS184" s="82"/>
      <c r="IVT184" s="82"/>
      <c r="IVU184" s="82"/>
      <c r="IVV184" s="82"/>
      <c r="IVW184" s="82"/>
      <c r="IVX184" s="82"/>
      <c r="IVY184" s="82"/>
      <c r="IVZ184" s="82"/>
      <c r="IWA184" s="82"/>
      <c r="IWB184" s="82"/>
      <c r="IWC184" s="82"/>
      <c r="IWD184" s="82"/>
      <c r="IWE184" s="82"/>
      <c r="IWF184" s="82"/>
      <c r="IWG184" s="82"/>
      <c r="IWH184" s="82"/>
      <c r="IWI184" s="82"/>
      <c r="IWJ184" s="82"/>
      <c r="IWK184" s="82"/>
      <c r="IWL184" s="82"/>
      <c r="IWM184" s="82"/>
      <c r="IWN184" s="82"/>
      <c r="IWO184" s="82"/>
      <c r="IWP184" s="82"/>
      <c r="IWQ184" s="82"/>
      <c r="IWR184" s="82"/>
      <c r="IWS184" s="82"/>
      <c r="IWT184" s="82"/>
      <c r="IWU184" s="82"/>
      <c r="IWV184" s="82"/>
      <c r="IWW184" s="82"/>
      <c r="IWX184" s="82"/>
      <c r="IWY184" s="82"/>
      <c r="IWZ184" s="82"/>
      <c r="IXA184" s="82"/>
      <c r="IXB184" s="82"/>
      <c r="IXC184" s="82"/>
      <c r="IXD184" s="82"/>
      <c r="IXE184" s="82"/>
      <c r="IXF184" s="82"/>
      <c r="IXG184" s="82"/>
      <c r="IXH184" s="82"/>
      <c r="IXI184" s="82"/>
      <c r="IXJ184" s="82"/>
      <c r="IXK184" s="82"/>
      <c r="IXL184" s="82"/>
      <c r="IXM184" s="82"/>
      <c r="IXN184" s="82"/>
      <c r="IXO184" s="82"/>
      <c r="IXP184" s="82"/>
      <c r="IXQ184" s="82"/>
      <c r="IXR184" s="82"/>
      <c r="IXS184" s="82"/>
      <c r="IXT184" s="82"/>
      <c r="IXU184" s="82"/>
      <c r="IXV184" s="82"/>
      <c r="IXW184" s="82"/>
      <c r="IXX184" s="82"/>
      <c r="IXY184" s="82"/>
      <c r="IXZ184" s="82"/>
      <c r="IYA184" s="82"/>
      <c r="IYB184" s="82"/>
      <c r="IYC184" s="82"/>
      <c r="IYD184" s="82"/>
      <c r="IYE184" s="82"/>
      <c r="IYF184" s="82"/>
      <c r="IYG184" s="82"/>
      <c r="IYH184" s="82"/>
      <c r="IYI184" s="82"/>
      <c r="IYJ184" s="82"/>
      <c r="IYK184" s="82"/>
      <c r="IYL184" s="82"/>
      <c r="IYM184" s="82"/>
      <c r="IYN184" s="82"/>
      <c r="IYO184" s="82"/>
      <c r="IYP184" s="82"/>
      <c r="IYQ184" s="82"/>
      <c r="IYR184" s="82"/>
      <c r="IYS184" s="82"/>
      <c r="IYT184" s="82"/>
      <c r="IYU184" s="82"/>
      <c r="IYV184" s="82"/>
      <c r="IYW184" s="82"/>
      <c r="IYX184" s="82"/>
      <c r="IYY184" s="82"/>
      <c r="IYZ184" s="82"/>
      <c r="IZA184" s="82"/>
      <c r="IZB184" s="82"/>
      <c r="IZC184" s="82"/>
      <c r="IZD184" s="82"/>
      <c r="IZE184" s="82"/>
      <c r="IZF184" s="82"/>
      <c r="IZG184" s="82"/>
      <c r="IZH184" s="82"/>
      <c r="IZI184" s="82"/>
      <c r="IZJ184" s="82"/>
      <c r="IZK184" s="82"/>
      <c r="IZL184" s="82"/>
      <c r="IZM184" s="82"/>
      <c r="IZN184" s="82"/>
      <c r="IZO184" s="82"/>
      <c r="IZP184" s="82"/>
      <c r="IZQ184" s="82"/>
      <c r="IZR184" s="82"/>
      <c r="IZS184" s="82"/>
      <c r="IZT184" s="82"/>
      <c r="IZU184" s="82"/>
      <c r="IZV184" s="82"/>
      <c r="IZW184" s="82"/>
      <c r="IZX184" s="82"/>
      <c r="IZY184" s="82"/>
      <c r="IZZ184" s="82"/>
      <c r="JAA184" s="82"/>
      <c r="JAB184" s="82"/>
      <c r="JAC184" s="82"/>
      <c r="JAD184" s="82"/>
      <c r="JAE184" s="82"/>
      <c r="JAF184" s="82"/>
      <c r="JAG184" s="82"/>
      <c r="JAH184" s="82"/>
      <c r="JAI184" s="82"/>
      <c r="JAJ184" s="82"/>
      <c r="JAK184" s="82"/>
      <c r="JAL184" s="82"/>
      <c r="JAM184" s="82"/>
      <c r="JAN184" s="82"/>
      <c r="JAO184" s="82"/>
      <c r="JAP184" s="82"/>
      <c r="JAQ184" s="82"/>
      <c r="JAR184" s="82"/>
      <c r="JAS184" s="82"/>
      <c r="JAT184" s="82"/>
      <c r="JAU184" s="82"/>
      <c r="JAV184" s="82"/>
      <c r="JAW184" s="82"/>
      <c r="JAX184" s="82"/>
      <c r="JAY184" s="82"/>
      <c r="JAZ184" s="82"/>
      <c r="JBA184" s="82"/>
      <c r="JBB184" s="82"/>
      <c r="JBC184" s="82"/>
      <c r="JBD184" s="82"/>
      <c r="JBE184" s="82"/>
      <c r="JBF184" s="82"/>
      <c r="JBG184" s="82"/>
      <c r="JBH184" s="82"/>
      <c r="JBI184" s="82"/>
      <c r="JBJ184" s="82"/>
      <c r="JBK184" s="82"/>
      <c r="JBL184" s="82"/>
      <c r="JBM184" s="82"/>
      <c r="JBN184" s="82"/>
      <c r="JBO184" s="82"/>
      <c r="JBP184" s="82"/>
      <c r="JBQ184" s="82"/>
      <c r="JBR184" s="82"/>
      <c r="JBS184" s="82"/>
      <c r="JBT184" s="82"/>
      <c r="JBU184" s="82"/>
      <c r="JBV184" s="82"/>
      <c r="JBW184" s="82"/>
      <c r="JBX184" s="82"/>
      <c r="JBY184" s="82"/>
      <c r="JBZ184" s="82"/>
      <c r="JCA184" s="82"/>
      <c r="JCB184" s="82"/>
      <c r="JCC184" s="82"/>
      <c r="JCD184" s="82"/>
      <c r="JCE184" s="82"/>
      <c r="JCF184" s="82"/>
      <c r="JCG184" s="82"/>
      <c r="JCH184" s="82"/>
      <c r="JCI184" s="82"/>
      <c r="JCJ184" s="82"/>
      <c r="JCK184" s="82"/>
      <c r="JCL184" s="82"/>
      <c r="JCM184" s="82"/>
      <c r="JCN184" s="82"/>
      <c r="JCO184" s="82"/>
      <c r="JCP184" s="82"/>
      <c r="JCQ184" s="82"/>
      <c r="JCR184" s="82"/>
      <c r="JCS184" s="82"/>
      <c r="JCT184" s="82"/>
      <c r="JCU184" s="82"/>
      <c r="JCV184" s="82"/>
      <c r="JCW184" s="82"/>
      <c r="JCX184" s="82"/>
      <c r="JCY184" s="82"/>
      <c r="JCZ184" s="82"/>
      <c r="JDA184" s="82"/>
      <c r="JDB184" s="82"/>
      <c r="JDC184" s="82"/>
      <c r="JDD184" s="82"/>
      <c r="JDE184" s="82"/>
      <c r="JDF184" s="82"/>
      <c r="JDG184" s="82"/>
      <c r="JDH184" s="82"/>
      <c r="JDI184" s="82"/>
      <c r="JDJ184" s="82"/>
      <c r="JDK184" s="82"/>
      <c r="JDL184" s="82"/>
      <c r="JDM184" s="82"/>
      <c r="JDN184" s="82"/>
      <c r="JDO184" s="82"/>
      <c r="JDP184" s="82"/>
      <c r="JDQ184" s="82"/>
      <c r="JDR184" s="82"/>
      <c r="JDS184" s="82"/>
      <c r="JDT184" s="82"/>
      <c r="JDU184" s="82"/>
      <c r="JDV184" s="82"/>
      <c r="JDW184" s="82"/>
      <c r="JDX184" s="82"/>
      <c r="JDY184" s="82"/>
      <c r="JDZ184" s="82"/>
      <c r="JEA184" s="82"/>
      <c r="JEB184" s="82"/>
      <c r="JEC184" s="82"/>
      <c r="JED184" s="82"/>
      <c r="JEE184" s="82"/>
      <c r="JEF184" s="82"/>
      <c r="JEG184" s="82"/>
      <c r="JEH184" s="82"/>
      <c r="JEI184" s="82"/>
      <c r="JEJ184" s="82"/>
      <c r="JEK184" s="82"/>
      <c r="JEL184" s="82"/>
      <c r="JEM184" s="82"/>
      <c r="JEN184" s="82"/>
      <c r="JEO184" s="82"/>
      <c r="JEP184" s="82"/>
      <c r="JEQ184" s="82"/>
      <c r="JER184" s="82"/>
      <c r="JES184" s="82"/>
      <c r="JET184" s="82"/>
      <c r="JEU184" s="82"/>
      <c r="JEV184" s="82"/>
      <c r="JEW184" s="82"/>
      <c r="JEX184" s="82"/>
      <c r="JEY184" s="82"/>
      <c r="JEZ184" s="82"/>
      <c r="JFA184" s="82"/>
      <c r="JFB184" s="82"/>
      <c r="JFC184" s="82"/>
      <c r="JFD184" s="82"/>
      <c r="JFE184" s="82"/>
      <c r="JFF184" s="82"/>
      <c r="JFG184" s="82"/>
      <c r="JFH184" s="82"/>
      <c r="JFI184" s="82"/>
      <c r="JFJ184" s="82"/>
      <c r="JFK184" s="82"/>
      <c r="JFL184" s="82"/>
      <c r="JFM184" s="82"/>
      <c r="JFN184" s="82"/>
      <c r="JFO184" s="82"/>
      <c r="JFP184" s="82"/>
      <c r="JFQ184" s="82"/>
      <c r="JFR184" s="82"/>
      <c r="JFS184" s="82"/>
      <c r="JFT184" s="82"/>
      <c r="JFU184" s="82"/>
      <c r="JFV184" s="82"/>
      <c r="JFW184" s="82"/>
      <c r="JFX184" s="82"/>
      <c r="JFY184" s="82"/>
      <c r="JFZ184" s="82"/>
      <c r="JGA184" s="82"/>
      <c r="JGB184" s="82"/>
      <c r="JGC184" s="82"/>
      <c r="JGD184" s="82"/>
      <c r="JGE184" s="82"/>
      <c r="JGF184" s="82"/>
      <c r="JGG184" s="82"/>
      <c r="JGH184" s="82"/>
      <c r="JGI184" s="82"/>
      <c r="JGJ184" s="82"/>
      <c r="JGK184" s="82"/>
      <c r="JGL184" s="82"/>
      <c r="JGM184" s="82"/>
      <c r="JGN184" s="82"/>
      <c r="JGO184" s="82"/>
      <c r="JGP184" s="82"/>
      <c r="JGQ184" s="82"/>
      <c r="JGR184" s="82"/>
      <c r="JGS184" s="82"/>
      <c r="JGT184" s="82"/>
      <c r="JGU184" s="82"/>
      <c r="JGV184" s="82"/>
      <c r="JGW184" s="82"/>
      <c r="JGX184" s="82"/>
      <c r="JGY184" s="82"/>
      <c r="JGZ184" s="82"/>
      <c r="JHA184" s="82"/>
      <c r="JHB184" s="82"/>
      <c r="JHC184" s="82"/>
      <c r="JHD184" s="82"/>
      <c r="JHE184" s="82"/>
      <c r="JHF184" s="82"/>
      <c r="JHG184" s="82"/>
      <c r="JHH184" s="82"/>
      <c r="JHI184" s="82"/>
      <c r="JHJ184" s="82"/>
      <c r="JHK184" s="82"/>
      <c r="JHL184" s="82"/>
      <c r="JHM184" s="82"/>
      <c r="JHN184" s="82"/>
      <c r="JHO184" s="82"/>
      <c r="JHP184" s="82"/>
      <c r="JHQ184" s="82"/>
      <c r="JHR184" s="82"/>
      <c r="JHS184" s="82"/>
      <c r="JHT184" s="82"/>
      <c r="JHU184" s="82"/>
      <c r="JHV184" s="82"/>
      <c r="JHW184" s="82"/>
      <c r="JHX184" s="82"/>
      <c r="JHY184" s="82"/>
      <c r="JHZ184" s="82"/>
      <c r="JIA184" s="82"/>
      <c r="JIB184" s="82"/>
      <c r="JIC184" s="82"/>
      <c r="JID184" s="82"/>
      <c r="JIE184" s="82"/>
      <c r="JIF184" s="82"/>
      <c r="JIG184" s="82"/>
      <c r="JIH184" s="82"/>
      <c r="JII184" s="82"/>
      <c r="JIJ184" s="82"/>
      <c r="JIK184" s="82"/>
      <c r="JIL184" s="82"/>
      <c r="JIM184" s="82"/>
      <c r="JIN184" s="82"/>
      <c r="JIO184" s="82"/>
      <c r="JIP184" s="82"/>
      <c r="JIQ184" s="82"/>
      <c r="JIR184" s="82"/>
      <c r="JIS184" s="82"/>
      <c r="JIT184" s="82"/>
      <c r="JIU184" s="82"/>
      <c r="JIV184" s="82"/>
      <c r="JIW184" s="82"/>
      <c r="JIX184" s="82"/>
      <c r="JIY184" s="82"/>
      <c r="JIZ184" s="82"/>
      <c r="JJA184" s="82"/>
      <c r="JJB184" s="82"/>
      <c r="JJC184" s="82"/>
      <c r="JJD184" s="82"/>
      <c r="JJE184" s="82"/>
      <c r="JJF184" s="82"/>
      <c r="JJG184" s="82"/>
      <c r="JJH184" s="82"/>
      <c r="JJI184" s="82"/>
      <c r="JJJ184" s="82"/>
      <c r="JJK184" s="82"/>
      <c r="JJL184" s="82"/>
      <c r="JJM184" s="82"/>
      <c r="JJN184" s="82"/>
      <c r="JJO184" s="82"/>
      <c r="JJP184" s="82"/>
      <c r="JJQ184" s="82"/>
      <c r="JJR184" s="82"/>
      <c r="JJS184" s="82"/>
      <c r="JJT184" s="82"/>
      <c r="JJU184" s="82"/>
      <c r="JJV184" s="82"/>
      <c r="JJW184" s="82"/>
      <c r="JJX184" s="82"/>
      <c r="JJY184" s="82"/>
      <c r="JJZ184" s="82"/>
      <c r="JKA184" s="82"/>
      <c r="JKB184" s="82"/>
      <c r="JKC184" s="82"/>
      <c r="JKD184" s="82"/>
      <c r="JKE184" s="82"/>
      <c r="JKF184" s="82"/>
      <c r="JKG184" s="82"/>
      <c r="JKH184" s="82"/>
      <c r="JKI184" s="82"/>
      <c r="JKJ184" s="82"/>
      <c r="JKK184" s="82"/>
      <c r="JKL184" s="82"/>
      <c r="JKM184" s="82"/>
      <c r="JKN184" s="82"/>
      <c r="JKO184" s="82"/>
      <c r="JKP184" s="82"/>
      <c r="JKQ184" s="82"/>
      <c r="JKR184" s="82"/>
      <c r="JKS184" s="82"/>
      <c r="JKT184" s="82"/>
      <c r="JKU184" s="82"/>
      <c r="JKV184" s="82"/>
      <c r="JKW184" s="82"/>
      <c r="JKX184" s="82"/>
      <c r="JKY184" s="82"/>
      <c r="JKZ184" s="82"/>
      <c r="JLA184" s="82"/>
      <c r="JLB184" s="82"/>
      <c r="JLC184" s="82"/>
      <c r="JLD184" s="82"/>
      <c r="JLE184" s="82"/>
      <c r="JLF184" s="82"/>
      <c r="JLG184" s="82"/>
      <c r="JLH184" s="82"/>
      <c r="JLI184" s="82"/>
      <c r="JLJ184" s="82"/>
      <c r="JLK184" s="82"/>
      <c r="JLL184" s="82"/>
      <c r="JLM184" s="82"/>
      <c r="JLN184" s="82"/>
      <c r="JLO184" s="82"/>
      <c r="JLP184" s="82"/>
      <c r="JLQ184" s="82"/>
      <c r="JLR184" s="82"/>
      <c r="JLS184" s="82"/>
      <c r="JLT184" s="82"/>
      <c r="JLU184" s="82"/>
      <c r="JLV184" s="82"/>
      <c r="JLW184" s="82"/>
      <c r="JLX184" s="82"/>
      <c r="JLY184" s="82"/>
      <c r="JLZ184" s="82"/>
      <c r="JMA184" s="82"/>
      <c r="JMB184" s="82"/>
      <c r="JMC184" s="82"/>
      <c r="JMD184" s="82"/>
      <c r="JME184" s="82"/>
      <c r="JMF184" s="82"/>
      <c r="JMG184" s="82"/>
      <c r="JMH184" s="82"/>
      <c r="JMI184" s="82"/>
      <c r="JMJ184" s="82"/>
      <c r="JMK184" s="82"/>
      <c r="JML184" s="82"/>
      <c r="JMM184" s="82"/>
      <c r="JMN184" s="82"/>
      <c r="JMO184" s="82"/>
      <c r="JMP184" s="82"/>
      <c r="JMQ184" s="82"/>
      <c r="JMR184" s="82"/>
      <c r="JMS184" s="82"/>
      <c r="JMT184" s="82"/>
      <c r="JMU184" s="82"/>
      <c r="JMV184" s="82"/>
      <c r="JMW184" s="82"/>
      <c r="JMX184" s="82"/>
      <c r="JMY184" s="82"/>
      <c r="JMZ184" s="82"/>
      <c r="JNA184" s="82"/>
      <c r="JNB184" s="82"/>
      <c r="JNC184" s="82"/>
      <c r="JND184" s="82"/>
      <c r="JNE184" s="82"/>
      <c r="JNF184" s="82"/>
      <c r="JNG184" s="82"/>
      <c r="JNH184" s="82"/>
      <c r="JNI184" s="82"/>
      <c r="JNJ184" s="82"/>
      <c r="JNK184" s="82"/>
      <c r="JNL184" s="82"/>
      <c r="JNM184" s="82"/>
      <c r="JNN184" s="82"/>
      <c r="JNO184" s="82"/>
      <c r="JNP184" s="82"/>
      <c r="JNQ184" s="82"/>
      <c r="JNR184" s="82"/>
      <c r="JNS184" s="82"/>
      <c r="JNT184" s="82"/>
      <c r="JNU184" s="82"/>
      <c r="JNV184" s="82"/>
      <c r="JNW184" s="82"/>
      <c r="JNX184" s="82"/>
      <c r="JNY184" s="82"/>
      <c r="JNZ184" s="82"/>
      <c r="JOA184" s="82"/>
      <c r="JOB184" s="82"/>
      <c r="JOC184" s="82"/>
      <c r="JOD184" s="82"/>
      <c r="JOE184" s="82"/>
      <c r="JOF184" s="82"/>
      <c r="JOG184" s="82"/>
      <c r="JOH184" s="82"/>
      <c r="JOI184" s="82"/>
      <c r="JOJ184" s="82"/>
      <c r="JOK184" s="82"/>
      <c r="JOL184" s="82"/>
      <c r="JOM184" s="82"/>
      <c r="JON184" s="82"/>
      <c r="JOO184" s="82"/>
      <c r="JOP184" s="82"/>
      <c r="JOQ184" s="82"/>
      <c r="JOR184" s="82"/>
      <c r="JOS184" s="82"/>
      <c r="JOT184" s="82"/>
      <c r="JOU184" s="82"/>
      <c r="JOV184" s="82"/>
      <c r="JOW184" s="82"/>
      <c r="JOX184" s="82"/>
      <c r="JOY184" s="82"/>
      <c r="JOZ184" s="82"/>
      <c r="JPA184" s="82"/>
      <c r="JPB184" s="82"/>
      <c r="JPC184" s="82"/>
      <c r="JPD184" s="82"/>
      <c r="JPE184" s="82"/>
      <c r="JPF184" s="82"/>
      <c r="JPG184" s="82"/>
      <c r="JPH184" s="82"/>
      <c r="JPI184" s="82"/>
      <c r="JPJ184" s="82"/>
      <c r="JPK184" s="82"/>
      <c r="JPL184" s="82"/>
      <c r="JPM184" s="82"/>
      <c r="JPN184" s="82"/>
      <c r="JPO184" s="82"/>
      <c r="JPP184" s="82"/>
      <c r="JPQ184" s="82"/>
      <c r="JPR184" s="82"/>
      <c r="JPS184" s="82"/>
      <c r="JPT184" s="82"/>
      <c r="JPU184" s="82"/>
      <c r="JPV184" s="82"/>
      <c r="JPW184" s="82"/>
      <c r="JPX184" s="82"/>
      <c r="JPY184" s="82"/>
      <c r="JPZ184" s="82"/>
      <c r="JQA184" s="82"/>
      <c r="JQB184" s="82"/>
      <c r="JQC184" s="82"/>
      <c r="JQD184" s="82"/>
      <c r="JQE184" s="82"/>
      <c r="JQF184" s="82"/>
      <c r="JQG184" s="82"/>
      <c r="JQH184" s="82"/>
      <c r="JQI184" s="82"/>
      <c r="JQJ184" s="82"/>
      <c r="JQK184" s="82"/>
      <c r="JQL184" s="82"/>
      <c r="JQM184" s="82"/>
      <c r="JQN184" s="82"/>
      <c r="JQO184" s="82"/>
      <c r="JQP184" s="82"/>
      <c r="JQQ184" s="82"/>
      <c r="JQR184" s="82"/>
      <c r="JQS184" s="82"/>
      <c r="JQT184" s="82"/>
      <c r="JQU184" s="82"/>
      <c r="JQV184" s="82"/>
      <c r="JQW184" s="82"/>
      <c r="JQX184" s="82"/>
      <c r="JQY184" s="82"/>
      <c r="JQZ184" s="82"/>
      <c r="JRA184" s="82"/>
      <c r="JRB184" s="82"/>
      <c r="JRC184" s="82"/>
      <c r="JRD184" s="82"/>
      <c r="JRE184" s="82"/>
      <c r="JRF184" s="82"/>
      <c r="JRG184" s="82"/>
      <c r="JRH184" s="82"/>
      <c r="JRI184" s="82"/>
      <c r="JRJ184" s="82"/>
      <c r="JRK184" s="82"/>
      <c r="JRL184" s="82"/>
      <c r="JRM184" s="82"/>
      <c r="JRN184" s="82"/>
      <c r="JRO184" s="82"/>
      <c r="JRP184" s="82"/>
      <c r="JRQ184" s="82"/>
      <c r="JRR184" s="82"/>
      <c r="JRS184" s="82"/>
      <c r="JRT184" s="82"/>
      <c r="JRU184" s="82"/>
      <c r="JRV184" s="82"/>
      <c r="JRW184" s="82"/>
      <c r="JRX184" s="82"/>
      <c r="JRY184" s="82"/>
      <c r="JRZ184" s="82"/>
      <c r="JSA184" s="82"/>
      <c r="JSB184" s="82"/>
      <c r="JSC184" s="82"/>
      <c r="JSD184" s="82"/>
      <c r="JSE184" s="82"/>
      <c r="JSF184" s="82"/>
      <c r="JSG184" s="82"/>
      <c r="JSH184" s="82"/>
      <c r="JSI184" s="82"/>
      <c r="JSJ184" s="82"/>
      <c r="JSK184" s="82"/>
      <c r="JSL184" s="82"/>
      <c r="JSM184" s="82"/>
      <c r="JSN184" s="82"/>
      <c r="JSO184" s="82"/>
      <c r="JSP184" s="82"/>
      <c r="JSQ184" s="82"/>
      <c r="JSR184" s="82"/>
      <c r="JSS184" s="82"/>
      <c r="JST184" s="82"/>
      <c r="JSU184" s="82"/>
      <c r="JSV184" s="82"/>
      <c r="JSW184" s="82"/>
      <c r="JSX184" s="82"/>
      <c r="JSY184" s="82"/>
      <c r="JSZ184" s="82"/>
      <c r="JTA184" s="82"/>
      <c r="JTB184" s="82"/>
      <c r="JTC184" s="82"/>
      <c r="JTD184" s="82"/>
      <c r="JTE184" s="82"/>
      <c r="JTF184" s="82"/>
      <c r="JTG184" s="82"/>
      <c r="JTH184" s="82"/>
      <c r="JTI184" s="82"/>
      <c r="JTJ184" s="82"/>
      <c r="JTK184" s="82"/>
      <c r="JTL184" s="82"/>
      <c r="JTM184" s="82"/>
      <c r="JTN184" s="82"/>
      <c r="JTO184" s="82"/>
      <c r="JTP184" s="82"/>
      <c r="JTQ184" s="82"/>
      <c r="JTR184" s="82"/>
      <c r="JTS184" s="82"/>
      <c r="JTT184" s="82"/>
      <c r="JTU184" s="82"/>
      <c r="JTV184" s="82"/>
      <c r="JTW184" s="82"/>
      <c r="JTX184" s="82"/>
      <c r="JTY184" s="82"/>
      <c r="JTZ184" s="82"/>
      <c r="JUA184" s="82"/>
      <c r="JUB184" s="82"/>
      <c r="JUC184" s="82"/>
      <c r="JUD184" s="82"/>
      <c r="JUE184" s="82"/>
      <c r="JUF184" s="82"/>
      <c r="JUG184" s="82"/>
      <c r="JUH184" s="82"/>
      <c r="JUI184" s="82"/>
      <c r="JUJ184" s="82"/>
      <c r="JUK184" s="82"/>
      <c r="JUL184" s="82"/>
      <c r="JUM184" s="82"/>
      <c r="JUN184" s="82"/>
      <c r="JUO184" s="82"/>
      <c r="JUP184" s="82"/>
      <c r="JUQ184" s="82"/>
      <c r="JUR184" s="82"/>
      <c r="JUS184" s="82"/>
      <c r="JUT184" s="82"/>
      <c r="JUU184" s="82"/>
      <c r="JUV184" s="82"/>
      <c r="JUW184" s="82"/>
      <c r="JUX184" s="82"/>
      <c r="JUY184" s="82"/>
      <c r="JUZ184" s="82"/>
      <c r="JVA184" s="82"/>
      <c r="JVB184" s="82"/>
      <c r="JVC184" s="82"/>
      <c r="JVD184" s="82"/>
      <c r="JVE184" s="82"/>
      <c r="JVF184" s="82"/>
      <c r="JVG184" s="82"/>
      <c r="JVH184" s="82"/>
      <c r="JVI184" s="82"/>
      <c r="JVJ184" s="82"/>
      <c r="JVK184" s="82"/>
      <c r="JVL184" s="82"/>
      <c r="JVM184" s="82"/>
      <c r="JVN184" s="82"/>
      <c r="JVO184" s="82"/>
      <c r="JVP184" s="82"/>
      <c r="JVQ184" s="82"/>
      <c r="JVR184" s="82"/>
      <c r="JVS184" s="82"/>
      <c r="JVT184" s="82"/>
      <c r="JVU184" s="82"/>
      <c r="JVV184" s="82"/>
      <c r="JVW184" s="82"/>
      <c r="JVX184" s="82"/>
      <c r="JVY184" s="82"/>
      <c r="JVZ184" s="82"/>
      <c r="JWA184" s="82"/>
      <c r="JWB184" s="82"/>
      <c r="JWC184" s="82"/>
      <c r="JWD184" s="82"/>
      <c r="JWE184" s="82"/>
      <c r="JWF184" s="82"/>
      <c r="JWG184" s="82"/>
      <c r="JWH184" s="82"/>
      <c r="JWI184" s="82"/>
      <c r="JWJ184" s="82"/>
      <c r="JWK184" s="82"/>
      <c r="JWL184" s="82"/>
      <c r="JWM184" s="82"/>
      <c r="JWN184" s="82"/>
      <c r="JWO184" s="82"/>
      <c r="JWP184" s="82"/>
      <c r="JWQ184" s="82"/>
      <c r="JWR184" s="82"/>
      <c r="JWS184" s="82"/>
      <c r="JWT184" s="82"/>
      <c r="JWU184" s="82"/>
      <c r="JWV184" s="82"/>
      <c r="JWW184" s="82"/>
      <c r="JWX184" s="82"/>
      <c r="JWY184" s="82"/>
      <c r="JWZ184" s="82"/>
      <c r="JXA184" s="82"/>
      <c r="JXB184" s="82"/>
      <c r="JXC184" s="82"/>
      <c r="JXD184" s="82"/>
      <c r="JXE184" s="82"/>
      <c r="JXF184" s="82"/>
      <c r="JXG184" s="82"/>
      <c r="JXH184" s="82"/>
      <c r="JXI184" s="82"/>
      <c r="JXJ184" s="82"/>
      <c r="JXK184" s="82"/>
      <c r="JXL184" s="82"/>
      <c r="JXM184" s="82"/>
      <c r="JXN184" s="82"/>
      <c r="JXO184" s="82"/>
      <c r="JXP184" s="82"/>
      <c r="JXQ184" s="82"/>
      <c r="JXR184" s="82"/>
      <c r="JXS184" s="82"/>
      <c r="JXT184" s="82"/>
      <c r="JXU184" s="82"/>
      <c r="JXV184" s="82"/>
      <c r="JXW184" s="82"/>
      <c r="JXX184" s="82"/>
      <c r="JXY184" s="82"/>
      <c r="JXZ184" s="82"/>
      <c r="JYA184" s="82"/>
      <c r="JYB184" s="82"/>
      <c r="JYC184" s="82"/>
      <c r="JYD184" s="82"/>
      <c r="JYE184" s="82"/>
      <c r="JYF184" s="82"/>
      <c r="JYG184" s="82"/>
      <c r="JYH184" s="82"/>
      <c r="JYI184" s="82"/>
      <c r="JYJ184" s="82"/>
      <c r="JYK184" s="82"/>
      <c r="JYL184" s="82"/>
      <c r="JYM184" s="82"/>
      <c r="JYN184" s="82"/>
      <c r="JYO184" s="82"/>
      <c r="JYP184" s="82"/>
      <c r="JYQ184" s="82"/>
      <c r="JYR184" s="82"/>
      <c r="JYS184" s="82"/>
      <c r="JYT184" s="82"/>
      <c r="JYU184" s="82"/>
      <c r="JYV184" s="82"/>
      <c r="JYW184" s="82"/>
      <c r="JYX184" s="82"/>
      <c r="JYY184" s="82"/>
      <c r="JYZ184" s="82"/>
      <c r="JZA184" s="82"/>
      <c r="JZB184" s="82"/>
      <c r="JZC184" s="82"/>
      <c r="JZD184" s="82"/>
      <c r="JZE184" s="82"/>
      <c r="JZF184" s="82"/>
      <c r="JZG184" s="82"/>
      <c r="JZH184" s="82"/>
      <c r="JZI184" s="82"/>
      <c r="JZJ184" s="82"/>
      <c r="JZK184" s="82"/>
      <c r="JZL184" s="82"/>
      <c r="JZM184" s="82"/>
      <c r="JZN184" s="82"/>
      <c r="JZO184" s="82"/>
      <c r="JZP184" s="82"/>
      <c r="JZQ184" s="82"/>
      <c r="JZR184" s="82"/>
      <c r="JZS184" s="82"/>
      <c r="JZT184" s="82"/>
      <c r="JZU184" s="82"/>
      <c r="JZV184" s="82"/>
      <c r="JZW184" s="82"/>
      <c r="JZX184" s="82"/>
      <c r="JZY184" s="82"/>
      <c r="JZZ184" s="82"/>
      <c r="KAA184" s="82"/>
      <c r="KAB184" s="82"/>
      <c r="KAC184" s="82"/>
      <c r="KAD184" s="82"/>
      <c r="KAE184" s="82"/>
      <c r="KAF184" s="82"/>
      <c r="KAG184" s="82"/>
      <c r="KAH184" s="82"/>
      <c r="KAI184" s="82"/>
      <c r="KAJ184" s="82"/>
      <c r="KAK184" s="82"/>
      <c r="KAL184" s="82"/>
      <c r="KAM184" s="82"/>
      <c r="KAN184" s="82"/>
      <c r="KAO184" s="82"/>
      <c r="KAP184" s="82"/>
      <c r="KAQ184" s="82"/>
      <c r="KAR184" s="82"/>
      <c r="KAS184" s="82"/>
      <c r="KAT184" s="82"/>
      <c r="KAU184" s="82"/>
      <c r="KAV184" s="82"/>
      <c r="KAW184" s="82"/>
      <c r="KAX184" s="82"/>
      <c r="KAY184" s="82"/>
      <c r="KAZ184" s="82"/>
      <c r="KBA184" s="82"/>
      <c r="KBB184" s="82"/>
      <c r="KBC184" s="82"/>
      <c r="KBD184" s="82"/>
      <c r="KBE184" s="82"/>
      <c r="KBF184" s="82"/>
      <c r="KBG184" s="82"/>
      <c r="KBH184" s="82"/>
      <c r="KBI184" s="82"/>
      <c r="KBJ184" s="82"/>
      <c r="KBK184" s="82"/>
      <c r="KBL184" s="82"/>
      <c r="KBM184" s="82"/>
      <c r="KBN184" s="82"/>
      <c r="KBO184" s="82"/>
      <c r="KBP184" s="82"/>
      <c r="KBQ184" s="82"/>
      <c r="KBR184" s="82"/>
      <c r="KBS184" s="82"/>
      <c r="KBT184" s="82"/>
      <c r="KBU184" s="82"/>
      <c r="KBV184" s="82"/>
      <c r="KBW184" s="82"/>
      <c r="KBX184" s="82"/>
      <c r="KBY184" s="82"/>
      <c r="KBZ184" s="82"/>
      <c r="KCA184" s="82"/>
      <c r="KCB184" s="82"/>
      <c r="KCC184" s="82"/>
      <c r="KCD184" s="82"/>
      <c r="KCE184" s="82"/>
      <c r="KCF184" s="82"/>
      <c r="KCG184" s="82"/>
      <c r="KCH184" s="82"/>
      <c r="KCI184" s="82"/>
      <c r="KCJ184" s="82"/>
      <c r="KCK184" s="82"/>
      <c r="KCL184" s="82"/>
      <c r="KCM184" s="82"/>
      <c r="KCN184" s="82"/>
      <c r="KCO184" s="82"/>
      <c r="KCP184" s="82"/>
      <c r="KCQ184" s="82"/>
      <c r="KCR184" s="82"/>
      <c r="KCS184" s="82"/>
      <c r="KCT184" s="82"/>
      <c r="KCU184" s="82"/>
      <c r="KCV184" s="82"/>
      <c r="KCW184" s="82"/>
      <c r="KCX184" s="82"/>
      <c r="KCY184" s="82"/>
      <c r="KCZ184" s="82"/>
      <c r="KDA184" s="82"/>
      <c r="KDB184" s="82"/>
      <c r="KDC184" s="82"/>
      <c r="KDD184" s="82"/>
      <c r="KDE184" s="82"/>
      <c r="KDF184" s="82"/>
      <c r="KDG184" s="82"/>
      <c r="KDH184" s="82"/>
      <c r="KDI184" s="82"/>
      <c r="KDJ184" s="82"/>
      <c r="KDK184" s="82"/>
      <c r="KDL184" s="82"/>
      <c r="KDM184" s="82"/>
      <c r="KDN184" s="82"/>
      <c r="KDO184" s="82"/>
      <c r="KDP184" s="82"/>
      <c r="KDQ184" s="82"/>
      <c r="KDR184" s="82"/>
      <c r="KDS184" s="82"/>
      <c r="KDT184" s="82"/>
      <c r="KDU184" s="82"/>
      <c r="KDV184" s="82"/>
      <c r="KDW184" s="82"/>
      <c r="KDX184" s="82"/>
      <c r="KDY184" s="82"/>
      <c r="KDZ184" s="82"/>
      <c r="KEA184" s="82"/>
      <c r="KEB184" s="82"/>
      <c r="KEC184" s="82"/>
      <c r="KED184" s="82"/>
      <c r="KEE184" s="82"/>
      <c r="KEF184" s="82"/>
      <c r="KEG184" s="82"/>
      <c r="KEH184" s="82"/>
      <c r="KEI184" s="82"/>
      <c r="KEJ184" s="82"/>
      <c r="KEK184" s="82"/>
      <c r="KEL184" s="82"/>
      <c r="KEM184" s="82"/>
      <c r="KEN184" s="82"/>
      <c r="KEO184" s="82"/>
      <c r="KEP184" s="82"/>
      <c r="KEQ184" s="82"/>
      <c r="KER184" s="82"/>
      <c r="KES184" s="82"/>
      <c r="KET184" s="82"/>
      <c r="KEU184" s="82"/>
      <c r="KEV184" s="82"/>
      <c r="KEW184" s="82"/>
      <c r="KEX184" s="82"/>
      <c r="KEY184" s="82"/>
      <c r="KEZ184" s="82"/>
      <c r="KFA184" s="82"/>
      <c r="KFB184" s="82"/>
      <c r="KFC184" s="82"/>
      <c r="KFD184" s="82"/>
      <c r="KFE184" s="82"/>
      <c r="KFF184" s="82"/>
      <c r="KFG184" s="82"/>
      <c r="KFH184" s="82"/>
      <c r="KFI184" s="82"/>
      <c r="KFJ184" s="82"/>
      <c r="KFK184" s="82"/>
      <c r="KFL184" s="82"/>
      <c r="KFM184" s="82"/>
      <c r="KFN184" s="82"/>
      <c r="KFO184" s="82"/>
      <c r="KFP184" s="82"/>
      <c r="KFQ184" s="82"/>
      <c r="KFR184" s="82"/>
      <c r="KFS184" s="82"/>
      <c r="KFT184" s="82"/>
      <c r="KFU184" s="82"/>
      <c r="KFV184" s="82"/>
      <c r="KFW184" s="82"/>
      <c r="KFX184" s="82"/>
      <c r="KFY184" s="82"/>
      <c r="KFZ184" s="82"/>
      <c r="KGA184" s="82"/>
      <c r="KGB184" s="82"/>
      <c r="KGC184" s="82"/>
      <c r="KGD184" s="82"/>
      <c r="KGE184" s="82"/>
      <c r="KGF184" s="82"/>
      <c r="KGG184" s="82"/>
      <c r="KGH184" s="82"/>
      <c r="KGI184" s="82"/>
      <c r="KGJ184" s="82"/>
      <c r="KGK184" s="82"/>
      <c r="KGL184" s="82"/>
      <c r="KGM184" s="82"/>
      <c r="KGN184" s="82"/>
      <c r="KGO184" s="82"/>
      <c r="KGP184" s="82"/>
      <c r="KGQ184" s="82"/>
      <c r="KGR184" s="82"/>
      <c r="KGS184" s="82"/>
      <c r="KGT184" s="82"/>
      <c r="KGU184" s="82"/>
      <c r="KGV184" s="82"/>
      <c r="KGW184" s="82"/>
      <c r="KGX184" s="82"/>
      <c r="KGY184" s="82"/>
      <c r="KGZ184" s="82"/>
      <c r="KHA184" s="82"/>
      <c r="KHB184" s="82"/>
      <c r="KHC184" s="82"/>
      <c r="KHD184" s="82"/>
      <c r="KHE184" s="82"/>
      <c r="KHF184" s="82"/>
      <c r="KHG184" s="82"/>
      <c r="KHH184" s="82"/>
      <c r="KHI184" s="82"/>
      <c r="KHJ184" s="82"/>
      <c r="KHK184" s="82"/>
      <c r="KHL184" s="82"/>
      <c r="KHM184" s="82"/>
      <c r="KHN184" s="82"/>
      <c r="KHO184" s="82"/>
      <c r="KHP184" s="82"/>
      <c r="KHQ184" s="82"/>
      <c r="KHR184" s="82"/>
      <c r="KHS184" s="82"/>
      <c r="KHT184" s="82"/>
      <c r="KHU184" s="82"/>
      <c r="KHV184" s="82"/>
      <c r="KHW184" s="82"/>
      <c r="KHX184" s="82"/>
      <c r="KHY184" s="82"/>
      <c r="KHZ184" s="82"/>
      <c r="KIA184" s="82"/>
      <c r="KIB184" s="82"/>
      <c r="KIC184" s="82"/>
      <c r="KID184" s="82"/>
      <c r="KIE184" s="82"/>
      <c r="KIF184" s="82"/>
      <c r="KIG184" s="82"/>
      <c r="KIH184" s="82"/>
      <c r="KII184" s="82"/>
      <c r="KIJ184" s="82"/>
      <c r="KIK184" s="82"/>
      <c r="KIL184" s="82"/>
      <c r="KIM184" s="82"/>
      <c r="KIN184" s="82"/>
      <c r="KIO184" s="82"/>
      <c r="KIP184" s="82"/>
      <c r="KIQ184" s="82"/>
      <c r="KIR184" s="82"/>
      <c r="KIS184" s="82"/>
      <c r="KIT184" s="82"/>
      <c r="KIU184" s="82"/>
      <c r="KIV184" s="82"/>
      <c r="KIW184" s="82"/>
      <c r="KIX184" s="82"/>
      <c r="KIY184" s="82"/>
      <c r="KIZ184" s="82"/>
      <c r="KJA184" s="82"/>
      <c r="KJB184" s="82"/>
      <c r="KJC184" s="82"/>
      <c r="KJD184" s="82"/>
      <c r="KJE184" s="82"/>
      <c r="KJF184" s="82"/>
      <c r="KJG184" s="82"/>
      <c r="KJH184" s="82"/>
      <c r="KJI184" s="82"/>
      <c r="KJJ184" s="82"/>
      <c r="KJK184" s="82"/>
      <c r="KJL184" s="82"/>
      <c r="KJM184" s="82"/>
      <c r="KJN184" s="82"/>
      <c r="KJO184" s="82"/>
      <c r="KJP184" s="82"/>
      <c r="KJQ184" s="82"/>
      <c r="KJR184" s="82"/>
      <c r="KJS184" s="82"/>
      <c r="KJT184" s="82"/>
      <c r="KJU184" s="82"/>
      <c r="KJV184" s="82"/>
      <c r="KJW184" s="82"/>
      <c r="KJX184" s="82"/>
      <c r="KJY184" s="82"/>
      <c r="KJZ184" s="82"/>
      <c r="KKA184" s="82"/>
      <c r="KKB184" s="82"/>
      <c r="KKC184" s="82"/>
      <c r="KKD184" s="82"/>
      <c r="KKE184" s="82"/>
      <c r="KKF184" s="82"/>
      <c r="KKG184" s="82"/>
      <c r="KKH184" s="82"/>
      <c r="KKI184" s="82"/>
      <c r="KKJ184" s="82"/>
      <c r="KKK184" s="82"/>
      <c r="KKL184" s="82"/>
      <c r="KKM184" s="82"/>
      <c r="KKN184" s="82"/>
      <c r="KKO184" s="82"/>
      <c r="KKP184" s="82"/>
      <c r="KKQ184" s="82"/>
      <c r="KKR184" s="82"/>
      <c r="KKS184" s="82"/>
      <c r="KKT184" s="82"/>
      <c r="KKU184" s="82"/>
      <c r="KKV184" s="82"/>
      <c r="KKW184" s="82"/>
      <c r="KKX184" s="82"/>
      <c r="KKY184" s="82"/>
      <c r="KKZ184" s="82"/>
      <c r="KLA184" s="82"/>
      <c r="KLB184" s="82"/>
      <c r="KLC184" s="82"/>
      <c r="KLD184" s="82"/>
      <c r="KLE184" s="82"/>
      <c r="KLF184" s="82"/>
      <c r="KLG184" s="82"/>
      <c r="KLH184" s="82"/>
      <c r="KLI184" s="82"/>
      <c r="KLJ184" s="82"/>
      <c r="KLK184" s="82"/>
      <c r="KLL184" s="82"/>
      <c r="KLM184" s="82"/>
      <c r="KLN184" s="82"/>
      <c r="KLO184" s="82"/>
      <c r="KLP184" s="82"/>
      <c r="KLQ184" s="82"/>
      <c r="KLR184" s="82"/>
      <c r="KLS184" s="82"/>
      <c r="KLT184" s="82"/>
      <c r="KLU184" s="82"/>
      <c r="KLV184" s="82"/>
      <c r="KLW184" s="82"/>
      <c r="KLX184" s="82"/>
      <c r="KLY184" s="82"/>
      <c r="KLZ184" s="82"/>
      <c r="KMA184" s="82"/>
      <c r="KMB184" s="82"/>
      <c r="KMC184" s="82"/>
      <c r="KMD184" s="82"/>
      <c r="KME184" s="82"/>
      <c r="KMF184" s="82"/>
      <c r="KMG184" s="82"/>
      <c r="KMH184" s="82"/>
      <c r="KMI184" s="82"/>
      <c r="KMJ184" s="82"/>
      <c r="KMK184" s="82"/>
      <c r="KML184" s="82"/>
      <c r="KMM184" s="82"/>
      <c r="KMN184" s="82"/>
      <c r="KMO184" s="82"/>
      <c r="KMP184" s="82"/>
      <c r="KMQ184" s="82"/>
      <c r="KMR184" s="82"/>
      <c r="KMS184" s="82"/>
      <c r="KMT184" s="82"/>
      <c r="KMU184" s="82"/>
      <c r="KMV184" s="82"/>
      <c r="KMW184" s="82"/>
      <c r="KMX184" s="82"/>
      <c r="KMY184" s="82"/>
      <c r="KMZ184" s="82"/>
      <c r="KNA184" s="82"/>
      <c r="KNB184" s="82"/>
      <c r="KNC184" s="82"/>
      <c r="KND184" s="82"/>
      <c r="KNE184" s="82"/>
      <c r="KNF184" s="82"/>
      <c r="KNG184" s="82"/>
      <c r="KNH184" s="82"/>
      <c r="KNI184" s="82"/>
      <c r="KNJ184" s="82"/>
      <c r="KNK184" s="82"/>
      <c r="KNL184" s="82"/>
      <c r="KNM184" s="82"/>
      <c r="KNN184" s="82"/>
      <c r="KNO184" s="82"/>
      <c r="KNP184" s="82"/>
      <c r="KNQ184" s="82"/>
      <c r="KNR184" s="82"/>
      <c r="KNS184" s="82"/>
      <c r="KNT184" s="82"/>
      <c r="KNU184" s="82"/>
      <c r="KNV184" s="82"/>
      <c r="KNW184" s="82"/>
      <c r="KNX184" s="82"/>
      <c r="KNY184" s="82"/>
      <c r="KNZ184" s="82"/>
      <c r="KOA184" s="82"/>
      <c r="KOB184" s="82"/>
      <c r="KOC184" s="82"/>
      <c r="KOD184" s="82"/>
      <c r="KOE184" s="82"/>
      <c r="KOF184" s="82"/>
      <c r="KOG184" s="82"/>
      <c r="KOH184" s="82"/>
      <c r="KOI184" s="82"/>
      <c r="KOJ184" s="82"/>
      <c r="KOK184" s="82"/>
      <c r="KOL184" s="82"/>
      <c r="KOM184" s="82"/>
      <c r="KON184" s="82"/>
      <c r="KOO184" s="82"/>
      <c r="KOP184" s="82"/>
      <c r="KOQ184" s="82"/>
      <c r="KOR184" s="82"/>
      <c r="KOS184" s="82"/>
      <c r="KOT184" s="82"/>
      <c r="KOU184" s="82"/>
      <c r="KOV184" s="82"/>
      <c r="KOW184" s="82"/>
      <c r="KOX184" s="82"/>
      <c r="KOY184" s="82"/>
      <c r="KOZ184" s="82"/>
      <c r="KPA184" s="82"/>
      <c r="KPB184" s="82"/>
      <c r="KPC184" s="82"/>
      <c r="KPD184" s="82"/>
      <c r="KPE184" s="82"/>
      <c r="KPF184" s="82"/>
      <c r="KPG184" s="82"/>
      <c r="KPH184" s="82"/>
      <c r="KPI184" s="82"/>
      <c r="KPJ184" s="82"/>
      <c r="KPK184" s="82"/>
      <c r="KPL184" s="82"/>
      <c r="KPM184" s="82"/>
      <c r="KPN184" s="82"/>
      <c r="KPO184" s="82"/>
      <c r="KPP184" s="82"/>
      <c r="KPQ184" s="82"/>
      <c r="KPR184" s="82"/>
      <c r="KPS184" s="82"/>
      <c r="KPT184" s="82"/>
      <c r="KPU184" s="82"/>
      <c r="KPV184" s="82"/>
      <c r="KPW184" s="82"/>
      <c r="KPX184" s="82"/>
      <c r="KPY184" s="82"/>
      <c r="KPZ184" s="82"/>
      <c r="KQA184" s="82"/>
      <c r="KQB184" s="82"/>
      <c r="KQC184" s="82"/>
      <c r="KQD184" s="82"/>
      <c r="KQE184" s="82"/>
      <c r="KQF184" s="82"/>
      <c r="KQG184" s="82"/>
      <c r="KQH184" s="82"/>
      <c r="KQI184" s="82"/>
      <c r="KQJ184" s="82"/>
      <c r="KQK184" s="82"/>
      <c r="KQL184" s="82"/>
      <c r="KQM184" s="82"/>
      <c r="KQN184" s="82"/>
      <c r="KQO184" s="82"/>
      <c r="KQP184" s="82"/>
      <c r="KQQ184" s="82"/>
      <c r="KQR184" s="82"/>
      <c r="KQS184" s="82"/>
      <c r="KQT184" s="82"/>
      <c r="KQU184" s="82"/>
      <c r="KQV184" s="82"/>
      <c r="KQW184" s="82"/>
      <c r="KQX184" s="82"/>
      <c r="KQY184" s="82"/>
      <c r="KQZ184" s="82"/>
      <c r="KRA184" s="82"/>
      <c r="KRB184" s="82"/>
      <c r="KRC184" s="82"/>
      <c r="KRD184" s="82"/>
      <c r="KRE184" s="82"/>
      <c r="KRF184" s="82"/>
      <c r="KRG184" s="82"/>
      <c r="KRH184" s="82"/>
      <c r="KRI184" s="82"/>
      <c r="KRJ184" s="82"/>
      <c r="KRK184" s="82"/>
      <c r="KRL184" s="82"/>
      <c r="KRM184" s="82"/>
      <c r="KRN184" s="82"/>
      <c r="KRO184" s="82"/>
      <c r="KRP184" s="82"/>
      <c r="KRQ184" s="82"/>
      <c r="KRR184" s="82"/>
      <c r="KRS184" s="82"/>
      <c r="KRT184" s="82"/>
      <c r="KRU184" s="82"/>
      <c r="KRV184" s="82"/>
      <c r="KRW184" s="82"/>
      <c r="KRX184" s="82"/>
      <c r="KRY184" s="82"/>
      <c r="KRZ184" s="82"/>
      <c r="KSA184" s="82"/>
      <c r="KSB184" s="82"/>
      <c r="KSC184" s="82"/>
      <c r="KSD184" s="82"/>
      <c r="KSE184" s="82"/>
      <c r="KSF184" s="82"/>
      <c r="KSG184" s="82"/>
      <c r="KSH184" s="82"/>
      <c r="KSI184" s="82"/>
      <c r="KSJ184" s="82"/>
      <c r="KSK184" s="82"/>
      <c r="KSL184" s="82"/>
      <c r="KSM184" s="82"/>
      <c r="KSN184" s="82"/>
      <c r="KSO184" s="82"/>
      <c r="KSP184" s="82"/>
      <c r="KSQ184" s="82"/>
      <c r="KSR184" s="82"/>
      <c r="KSS184" s="82"/>
      <c r="KST184" s="82"/>
      <c r="KSU184" s="82"/>
      <c r="KSV184" s="82"/>
      <c r="KSW184" s="82"/>
      <c r="KSX184" s="82"/>
      <c r="KSY184" s="82"/>
      <c r="KSZ184" s="82"/>
      <c r="KTA184" s="82"/>
      <c r="KTB184" s="82"/>
      <c r="KTC184" s="82"/>
      <c r="KTD184" s="82"/>
      <c r="KTE184" s="82"/>
      <c r="KTF184" s="82"/>
      <c r="KTG184" s="82"/>
      <c r="KTH184" s="82"/>
      <c r="KTI184" s="82"/>
      <c r="KTJ184" s="82"/>
      <c r="KTK184" s="82"/>
      <c r="KTL184" s="82"/>
      <c r="KTM184" s="82"/>
      <c r="KTN184" s="82"/>
      <c r="KTO184" s="82"/>
      <c r="KTP184" s="82"/>
      <c r="KTQ184" s="82"/>
      <c r="KTR184" s="82"/>
      <c r="KTS184" s="82"/>
      <c r="KTT184" s="82"/>
      <c r="KTU184" s="82"/>
      <c r="KTV184" s="82"/>
      <c r="KTW184" s="82"/>
      <c r="KTX184" s="82"/>
      <c r="KTY184" s="82"/>
      <c r="KTZ184" s="82"/>
      <c r="KUA184" s="82"/>
      <c r="KUB184" s="82"/>
      <c r="KUC184" s="82"/>
      <c r="KUD184" s="82"/>
      <c r="KUE184" s="82"/>
      <c r="KUF184" s="82"/>
      <c r="KUG184" s="82"/>
      <c r="KUH184" s="82"/>
      <c r="KUI184" s="82"/>
      <c r="KUJ184" s="82"/>
      <c r="KUK184" s="82"/>
      <c r="KUL184" s="82"/>
      <c r="KUM184" s="82"/>
      <c r="KUN184" s="82"/>
      <c r="KUO184" s="82"/>
      <c r="KUP184" s="82"/>
      <c r="KUQ184" s="82"/>
      <c r="KUR184" s="82"/>
      <c r="KUS184" s="82"/>
      <c r="KUT184" s="82"/>
      <c r="KUU184" s="82"/>
      <c r="KUV184" s="82"/>
      <c r="KUW184" s="82"/>
      <c r="KUX184" s="82"/>
      <c r="KUY184" s="82"/>
      <c r="KUZ184" s="82"/>
      <c r="KVA184" s="82"/>
      <c r="KVB184" s="82"/>
      <c r="KVC184" s="82"/>
      <c r="KVD184" s="82"/>
      <c r="KVE184" s="82"/>
      <c r="KVF184" s="82"/>
      <c r="KVG184" s="82"/>
      <c r="KVH184" s="82"/>
      <c r="KVI184" s="82"/>
      <c r="KVJ184" s="82"/>
      <c r="KVK184" s="82"/>
      <c r="KVL184" s="82"/>
      <c r="KVM184" s="82"/>
      <c r="KVN184" s="82"/>
      <c r="KVO184" s="82"/>
      <c r="KVP184" s="82"/>
      <c r="KVQ184" s="82"/>
      <c r="KVR184" s="82"/>
      <c r="KVS184" s="82"/>
      <c r="KVT184" s="82"/>
      <c r="KVU184" s="82"/>
      <c r="KVV184" s="82"/>
      <c r="KVW184" s="82"/>
      <c r="KVX184" s="82"/>
      <c r="KVY184" s="82"/>
      <c r="KVZ184" s="82"/>
      <c r="KWA184" s="82"/>
      <c r="KWB184" s="82"/>
      <c r="KWC184" s="82"/>
      <c r="KWD184" s="82"/>
      <c r="KWE184" s="82"/>
      <c r="KWF184" s="82"/>
      <c r="KWG184" s="82"/>
      <c r="KWH184" s="82"/>
      <c r="KWI184" s="82"/>
      <c r="KWJ184" s="82"/>
      <c r="KWK184" s="82"/>
      <c r="KWL184" s="82"/>
      <c r="KWM184" s="82"/>
      <c r="KWN184" s="82"/>
      <c r="KWO184" s="82"/>
      <c r="KWP184" s="82"/>
      <c r="KWQ184" s="82"/>
      <c r="KWR184" s="82"/>
      <c r="KWS184" s="82"/>
      <c r="KWT184" s="82"/>
      <c r="KWU184" s="82"/>
      <c r="KWV184" s="82"/>
      <c r="KWW184" s="82"/>
      <c r="KWX184" s="82"/>
      <c r="KWY184" s="82"/>
      <c r="KWZ184" s="82"/>
      <c r="KXA184" s="82"/>
      <c r="KXB184" s="82"/>
      <c r="KXC184" s="82"/>
      <c r="KXD184" s="82"/>
      <c r="KXE184" s="82"/>
      <c r="KXF184" s="82"/>
      <c r="KXG184" s="82"/>
      <c r="KXH184" s="82"/>
      <c r="KXI184" s="82"/>
      <c r="KXJ184" s="82"/>
      <c r="KXK184" s="82"/>
      <c r="KXL184" s="82"/>
      <c r="KXM184" s="82"/>
      <c r="KXN184" s="82"/>
      <c r="KXO184" s="82"/>
      <c r="KXP184" s="82"/>
      <c r="KXQ184" s="82"/>
      <c r="KXR184" s="82"/>
      <c r="KXS184" s="82"/>
      <c r="KXT184" s="82"/>
      <c r="KXU184" s="82"/>
      <c r="KXV184" s="82"/>
      <c r="KXW184" s="82"/>
      <c r="KXX184" s="82"/>
      <c r="KXY184" s="82"/>
      <c r="KXZ184" s="82"/>
      <c r="KYA184" s="82"/>
      <c r="KYB184" s="82"/>
      <c r="KYC184" s="82"/>
      <c r="KYD184" s="82"/>
      <c r="KYE184" s="82"/>
      <c r="KYF184" s="82"/>
      <c r="KYG184" s="82"/>
      <c r="KYH184" s="82"/>
      <c r="KYI184" s="82"/>
      <c r="KYJ184" s="82"/>
      <c r="KYK184" s="82"/>
      <c r="KYL184" s="82"/>
      <c r="KYM184" s="82"/>
      <c r="KYN184" s="82"/>
      <c r="KYO184" s="82"/>
      <c r="KYP184" s="82"/>
      <c r="KYQ184" s="82"/>
      <c r="KYR184" s="82"/>
      <c r="KYS184" s="82"/>
      <c r="KYT184" s="82"/>
      <c r="KYU184" s="82"/>
      <c r="KYV184" s="82"/>
      <c r="KYW184" s="82"/>
      <c r="KYX184" s="82"/>
      <c r="KYY184" s="82"/>
      <c r="KYZ184" s="82"/>
      <c r="KZA184" s="82"/>
      <c r="KZB184" s="82"/>
      <c r="KZC184" s="82"/>
      <c r="KZD184" s="82"/>
      <c r="KZE184" s="82"/>
      <c r="KZF184" s="82"/>
      <c r="KZG184" s="82"/>
      <c r="KZH184" s="82"/>
      <c r="KZI184" s="82"/>
      <c r="KZJ184" s="82"/>
      <c r="KZK184" s="82"/>
      <c r="KZL184" s="82"/>
      <c r="KZM184" s="82"/>
      <c r="KZN184" s="82"/>
      <c r="KZO184" s="82"/>
      <c r="KZP184" s="82"/>
      <c r="KZQ184" s="82"/>
      <c r="KZR184" s="82"/>
      <c r="KZS184" s="82"/>
      <c r="KZT184" s="82"/>
      <c r="KZU184" s="82"/>
      <c r="KZV184" s="82"/>
      <c r="KZW184" s="82"/>
      <c r="KZX184" s="82"/>
      <c r="KZY184" s="82"/>
      <c r="KZZ184" s="82"/>
      <c r="LAA184" s="82"/>
      <c r="LAB184" s="82"/>
      <c r="LAC184" s="82"/>
      <c r="LAD184" s="82"/>
      <c r="LAE184" s="82"/>
      <c r="LAF184" s="82"/>
      <c r="LAG184" s="82"/>
      <c r="LAH184" s="82"/>
      <c r="LAI184" s="82"/>
      <c r="LAJ184" s="82"/>
      <c r="LAK184" s="82"/>
      <c r="LAL184" s="82"/>
      <c r="LAM184" s="82"/>
      <c r="LAN184" s="82"/>
      <c r="LAO184" s="82"/>
      <c r="LAP184" s="82"/>
      <c r="LAQ184" s="82"/>
      <c r="LAR184" s="82"/>
      <c r="LAS184" s="82"/>
      <c r="LAT184" s="82"/>
      <c r="LAU184" s="82"/>
      <c r="LAV184" s="82"/>
      <c r="LAW184" s="82"/>
      <c r="LAX184" s="82"/>
      <c r="LAY184" s="82"/>
      <c r="LAZ184" s="82"/>
      <c r="LBA184" s="82"/>
      <c r="LBB184" s="82"/>
      <c r="LBC184" s="82"/>
      <c r="LBD184" s="82"/>
      <c r="LBE184" s="82"/>
      <c r="LBF184" s="82"/>
      <c r="LBG184" s="82"/>
      <c r="LBH184" s="82"/>
      <c r="LBI184" s="82"/>
      <c r="LBJ184" s="82"/>
      <c r="LBK184" s="82"/>
      <c r="LBL184" s="82"/>
      <c r="LBM184" s="82"/>
      <c r="LBN184" s="82"/>
      <c r="LBO184" s="82"/>
      <c r="LBP184" s="82"/>
      <c r="LBQ184" s="82"/>
      <c r="LBR184" s="82"/>
      <c r="LBS184" s="82"/>
      <c r="LBT184" s="82"/>
      <c r="LBU184" s="82"/>
      <c r="LBV184" s="82"/>
      <c r="LBW184" s="82"/>
      <c r="LBX184" s="82"/>
      <c r="LBY184" s="82"/>
      <c r="LBZ184" s="82"/>
      <c r="LCA184" s="82"/>
      <c r="LCB184" s="82"/>
      <c r="LCC184" s="82"/>
      <c r="LCD184" s="82"/>
      <c r="LCE184" s="82"/>
      <c r="LCF184" s="82"/>
      <c r="LCG184" s="82"/>
      <c r="LCH184" s="82"/>
      <c r="LCI184" s="82"/>
      <c r="LCJ184" s="82"/>
      <c r="LCK184" s="82"/>
      <c r="LCL184" s="82"/>
      <c r="LCM184" s="82"/>
      <c r="LCN184" s="82"/>
      <c r="LCO184" s="82"/>
      <c r="LCP184" s="82"/>
      <c r="LCQ184" s="82"/>
      <c r="LCR184" s="82"/>
      <c r="LCS184" s="82"/>
      <c r="LCT184" s="82"/>
      <c r="LCU184" s="82"/>
      <c r="LCV184" s="82"/>
      <c r="LCW184" s="82"/>
      <c r="LCX184" s="82"/>
      <c r="LCY184" s="82"/>
      <c r="LCZ184" s="82"/>
      <c r="LDA184" s="82"/>
      <c r="LDB184" s="82"/>
      <c r="LDC184" s="82"/>
      <c r="LDD184" s="82"/>
      <c r="LDE184" s="82"/>
      <c r="LDF184" s="82"/>
      <c r="LDG184" s="82"/>
      <c r="LDH184" s="82"/>
      <c r="LDI184" s="82"/>
      <c r="LDJ184" s="82"/>
      <c r="LDK184" s="82"/>
      <c r="LDL184" s="82"/>
      <c r="LDM184" s="82"/>
      <c r="LDN184" s="82"/>
      <c r="LDO184" s="82"/>
      <c r="LDP184" s="82"/>
      <c r="LDQ184" s="82"/>
      <c r="LDR184" s="82"/>
      <c r="LDS184" s="82"/>
      <c r="LDT184" s="82"/>
      <c r="LDU184" s="82"/>
      <c r="LDV184" s="82"/>
      <c r="LDW184" s="82"/>
      <c r="LDX184" s="82"/>
      <c r="LDY184" s="82"/>
      <c r="LDZ184" s="82"/>
      <c r="LEA184" s="82"/>
      <c r="LEB184" s="82"/>
      <c r="LEC184" s="82"/>
      <c r="LED184" s="82"/>
      <c r="LEE184" s="82"/>
      <c r="LEF184" s="82"/>
      <c r="LEG184" s="82"/>
      <c r="LEH184" s="82"/>
      <c r="LEI184" s="82"/>
      <c r="LEJ184" s="82"/>
      <c r="LEK184" s="82"/>
      <c r="LEL184" s="82"/>
      <c r="LEM184" s="82"/>
      <c r="LEN184" s="82"/>
      <c r="LEO184" s="82"/>
      <c r="LEP184" s="82"/>
      <c r="LEQ184" s="82"/>
      <c r="LER184" s="82"/>
      <c r="LES184" s="82"/>
      <c r="LET184" s="82"/>
      <c r="LEU184" s="82"/>
      <c r="LEV184" s="82"/>
      <c r="LEW184" s="82"/>
      <c r="LEX184" s="82"/>
      <c r="LEY184" s="82"/>
      <c r="LEZ184" s="82"/>
      <c r="LFA184" s="82"/>
      <c r="LFB184" s="82"/>
      <c r="LFC184" s="82"/>
      <c r="LFD184" s="82"/>
      <c r="LFE184" s="82"/>
      <c r="LFF184" s="82"/>
      <c r="LFG184" s="82"/>
      <c r="LFH184" s="82"/>
      <c r="LFI184" s="82"/>
      <c r="LFJ184" s="82"/>
      <c r="LFK184" s="82"/>
      <c r="LFL184" s="82"/>
      <c r="LFM184" s="82"/>
      <c r="LFN184" s="82"/>
      <c r="LFO184" s="82"/>
      <c r="LFP184" s="82"/>
      <c r="LFQ184" s="82"/>
      <c r="LFR184" s="82"/>
      <c r="LFS184" s="82"/>
      <c r="LFT184" s="82"/>
      <c r="LFU184" s="82"/>
      <c r="LFV184" s="82"/>
      <c r="LFW184" s="82"/>
      <c r="LFX184" s="82"/>
      <c r="LFY184" s="82"/>
      <c r="LFZ184" s="82"/>
      <c r="LGA184" s="82"/>
      <c r="LGB184" s="82"/>
      <c r="LGC184" s="82"/>
      <c r="LGD184" s="82"/>
      <c r="LGE184" s="82"/>
      <c r="LGF184" s="82"/>
      <c r="LGG184" s="82"/>
      <c r="LGH184" s="82"/>
      <c r="LGI184" s="82"/>
      <c r="LGJ184" s="82"/>
      <c r="LGK184" s="82"/>
      <c r="LGL184" s="82"/>
      <c r="LGM184" s="82"/>
      <c r="LGN184" s="82"/>
      <c r="LGO184" s="82"/>
      <c r="LGP184" s="82"/>
      <c r="LGQ184" s="82"/>
      <c r="LGR184" s="82"/>
      <c r="LGS184" s="82"/>
      <c r="LGT184" s="82"/>
      <c r="LGU184" s="82"/>
      <c r="LGV184" s="82"/>
      <c r="LGW184" s="82"/>
      <c r="LGX184" s="82"/>
      <c r="LGY184" s="82"/>
      <c r="LGZ184" s="82"/>
      <c r="LHA184" s="82"/>
      <c r="LHB184" s="82"/>
      <c r="LHC184" s="82"/>
      <c r="LHD184" s="82"/>
      <c r="LHE184" s="82"/>
      <c r="LHF184" s="82"/>
      <c r="LHG184" s="82"/>
      <c r="LHH184" s="82"/>
      <c r="LHI184" s="82"/>
      <c r="LHJ184" s="82"/>
      <c r="LHK184" s="82"/>
      <c r="LHL184" s="82"/>
      <c r="LHM184" s="82"/>
      <c r="LHN184" s="82"/>
      <c r="LHO184" s="82"/>
      <c r="LHP184" s="82"/>
      <c r="LHQ184" s="82"/>
      <c r="LHR184" s="82"/>
      <c r="LHS184" s="82"/>
      <c r="LHT184" s="82"/>
      <c r="LHU184" s="82"/>
      <c r="LHV184" s="82"/>
      <c r="LHW184" s="82"/>
      <c r="LHX184" s="82"/>
      <c r="LHY184" s="82"/>
      <c r="LHZ184" s="82"/>
      <c r="LIA184" s="82"/>
      <c r="LIB184" s="82"/>
      <c r="LIC184" s="82"/>
      <c r="LID184" s="82"/>
      <c r="LIE184" s="82"/>
      <c r="LIF184" s="82"/>
      <c r="LIG184" s="82"/>
      <c r="LIH184" s="82"/>
      <c r="LII184" s="82"/>
      <c r="LIJ184" s="82"/>
      <c r="LIK184" s="82"/>
      <c r="LIL184" s="82"/>
      <c r="LIM184" s="82"/>
      <c r="LIN184" s="82"/>
      <c r="LIO184" s="82"/>
      <c r="LIP184" s="82"/>
      <c r="LIQ184" s="82"/>
      <c r="LIR184" s="82"/>
      <c r="LIS184" s="82"/>
      <c r="LIT184" s="82"/>
      <c r="LIU184" s="82"/>
      <c r="LIV184" s="82"/>
      <c r="LIW184" s="82"/>
      <c r="LIX184" s="82"/>
      <c r="LIY184" s="82"/>
      <c r="LIZ184" s="82"/>
      <c r="LJA184" s="82"/>
      <c r="LJB184" s="82"/>
      <c r="LJC184" s="82"/>
      <c r="LJD184" s="82"/>
      <c r="LJE184" s="82"/>
      <c r="LJF184" s="82"/>
      <c r="LJG184" s="82"/>
      <c r="LJH184" s="82"/>
      <c r="LJI184" s="82"/>
      <c r="LJJ184" s="82"/>
      <c r="LJK184" s="82"/>
      <c r="LJL184" s="82"/>
      <c r="LJM184" s="82"/>
      <c r="LJN184" s="82"/>
      <c r="LJO184" s="82"/>
      <c r="LJP184" s="82"/>
      <c r="LJQ184" s="82"/>
      <c r="LJR184" s="82"/>
      <c r="LJS184" s="82"/>
      <c r="LJT184" s="82"/>
      <c r="LJU184" s="82"/>
      <c r="LJV184" s="82"/>
      <c r="LJW184" s="82"/>
      <c r="LJX184" s="82"/>
      <c r="LJY184" s="82"/>
      <c r="LJZ184" s="82"/>
      <c r="LKA184" s="82"/>
      <c r="LKB184" s="82"/>
      <c r="LKC184" s="82"/>
      <c r="LKD184" s="82"/>
      <c r="LKE184" s="82"/>
      <c r="LKF184" s="82"/>
      <c r="LKG184" s="82"/>
      <c r="LKH184" s="82"/>
      <c r="LKI184" s="82"/>
      <c r="LKJ184" s="82"/>
      <c r="LKK184" s="82"/>
      <c r="LKL184" s="82"/>
      <c r="LKM184" s="82"/>
      <c r="LKN184" s="82"/>
      <c r="LKO184" s="82"/>
      <c r="LKP184" s="82"/>
      <c r="LKQ184" s="82"/>
      <c r="LKR184" s="82"/>
      <c r="LKS184" s="82"/>
      <c r="LKT184" s="82"/>
      <c r="LKU184" s="82"/>
      <c r="LKV184" s="82"/>
      <c r="LKW184" s="82"/>
      <c r="LKX184" s="82"/>
      <c r="LKY184" s="82"/>
      <c r="LKZ184" s="82"/>
      <c r="LLA184" s="82"/>
      <c r="LLB184" s="82"/>
      <c r="LLC184" s="82"/>
      <c r="LLD184" s="82"/>
      <c r="LLE184" s="82"/>
      <c r="LLF184" s="82"/>
      <c r="LLG184" s="82"/>
      <c r="LLH184" s="82"/>
      <c r="LLI184" s="82"/>
      <c r="LLJ184" s="82"/>
      <c r="LLK184" s="82"/>
      <c r="LLL184" s="82"/>
      <c r="LLM184" s="82"/>
      <c r="LLN184" s="82"/>
      <c r="LLO184" s="82"/>
      <c r="LLP184" s="82"/>
      <c r="LLQ184" s="82"/>
      <c r="LLR184" s="82"/>
      <c r="LLS184" s="82"/>
      <c r="LLT184" s="82"/>
      <c r="LLU184" s="82"/>
      <c r="LLV184" s="82"/>
      <c r="LLW184" s="82"/>
      <c r="LLX184" s="82"/>
      <c r="LLY184" s="82"/>
      <c r="LLZ184" s="82"/>
      <c r="LMA184" s="82"/>
      <c r="LMB184" s="82"/>
      <c r="LMC184" s="82"/>
      <c r="LMD184" s="82"/>
      <c r="LME184" s="82"/>
      <c r="LMF184" s="82"/>
      <c r="LMG184" s="82"/>
      <c r="LMH184" s="82"/>
      <c r="LMI184" s="82"/>
      <c r="LMJ184" s="82"/>
      <c r="LMK184" s="82"/>
      <c r="LML184" s="82"/>
      <c r="LMM184" s="82"/>
      <c r="LMN184" s="82"/>
      <c r="LMO184" s="82"/>
      <c r="LMP184" s="82"/>
      <c r="LMQ184" s="82"/>
      <c r="LMR184" s="82"/>
      <c r="LMS184" s="82"/>
      <c r="LMT184" s="82"/>
      <c r="LMU184" s="82"/>
      <c r="LMV184" s="82"/>
      <c r="LMW184" s="82"/>
      <c r="LMX184" s="82"/>
      <c r="LMY184" s="82"/>
      <c r="LMZ184" s="82"/>
      <c r="LNA184" s="82"/>
      <c r="LNB184" s="82"/>
      <c r="LNC184" s="82"/>
      <c r="LND184" s="82"/>
      <c r="LNE184" s="82"/>
      <c r="LNF184" s="82"/>
      <c r="LNG184" s="82"/>
      <c r="LNH184" s="82"/>
      <c r="LNI184" s="82"/>
      <c r="LNJ184" s="82"/>
      <c r="LNK184" s="82"/>
      <c r="LNL184" s="82"/>
      <c r="LNM184" s="82"/>
      <c r="LNN184" s="82"/>
      <c r="LNO184" s="82"/>
      <c r="LNP184" s="82"/>
      <c r="LNQ184" s="82"/>
      <c r="LNR184" s="82"/>
      <c r="LNS184" s="82"/>
      <c r="LNT184" s="82"/>
      <c r="LNU184" s="82"/>
      <c r="LNV184" s="82"/>
      <c r="LNW184" s="82"/>
      <c r="LNX184" s="82"/>
      <c r="LNY184" s="82"/>
      <c r="LNZ184" s="82"/>
      <c r="LOA184" s="82"/>
      <c r="LOB184" s="82"/>
      <c r="LOC184" s="82"/>
      <c r="LOD184" s="82"/>
      <c r="LOE184" s="82"/>
      <c r="LOF184" s="82"/>
      <c r="LOG184" s="82"/>
      <c r="LOH184" s="82"/>
      <c r="LOI184" s="82"/>
      <c r="LOJ184" s="82"/>
      <c r="LOK184" s="82"/>
      <c r="LOL184" s="82"/>
      <c r="LOM184" s="82"/>
      <c r="LON184" s="82"/>
      <c r="LOO184" s="82"/>
      <c r="LOP184" s="82"/>
      <c r="LOQ184" s="82"/>
      <c r="LOR184" s="82"/>
      <c r="LOS184" s="82"/>
      <c r="LOT184" s="82"/>
      <c r="LOU184" s="82"/>
      <c r="LOV184" s="82"/>
      <c r="LOW184" s="82"/>
      <c r="LOX184" s="82"/>
      <c r="LOY184" s="82"/>
      <c r="LOZ184" s="82"/>
      <c r="LPA184" s="82"/>
      <c r="LPB184" s="82"/>
      <c r="LPC184" s="82"/>
      <c r="LPD184" s="82"/>
      <c r="LPE184" s="82"/>
      <c r="LPF184" s="82"/>
      <c r="LPG184" s="82"/>
      <c r="LPH184" s="82"/>
      <c r="LPI184" s="82"/>
      <c r="LPJ184" s="82"/>
      <c r="LPK184" s="82"/>
      <c r="LPL184" s="82"/>
      <c r="LPM184" s="82"/>
      <c r="LPN184" s="82"/>
      <c r="LPO184" s="82"/>
      <c r="LPP184" s="82"/>
      <c r="LPQ184" s="82"/>
      <c r="LPR184" s="82"/>
      <c r="LPS184" s="82"/>
      <c r="LPT184" s="82"/>
      <c r="LPU184" s="82"/>
      <c r="LPV184" s="82"/>
      <c r="LPW184" s="82"/>
      <c r="LPX184" s="82"/>
      <c r="LPY184" s="82"/>
      <c r="LPZ184" s="82"/>
      <c r="LQA184" s="82"/>
      <c r="LQB184" s="82"/>
      <c r="LQC184" s="82"/>
      <c r="LQD184" s="82"/>
      <c r="LQE184" s="82"/>
      <c r="LQF184" s="82"/>
      <c r="LQG184" s="82"/>
      <c r="LQH184" s="82"/>
      <c r="LQI184" s="82"/>
      <c r="LQJ184" s="82"/>
      <c r="LQK184" s="82"/>
      <c r="LQL184" s="82"/>
      <c r="LQM184" s="82"/>
      <c r="LQN184" s="82"/>
      <c r="LQO184" s="82"/>
      <c r="LQP184" s="82"/>
      <c r="LQQ184" s="82"/>
      <c r="LQR184" s="82"/>
      <c r="LQS184" s="82"/>
      <c r="LQT184" s="82"/>
      <c r="LQU184" s="82"/>
      <c r="LQV184" s="82"/>
      <c r="LQW184" s="82"/>
      <c r="LQX184" s="82"/>
      <c r="LQY184" s="82"/>
      <c r="LQZ184" s="82"/>
      <c r="LRA184" s="82"/>
      <c r="LRB184" s="82"/>
      <c r="LRC184" s="82"/>
      <c r="LRD184" s="82"/>
      <c r="LRE184" s="82"/>
      <c r="LRF184" s="82"/>
      <c r="LRG184" s="82"/>
      <c r="LRH184" s="82"/>
      <c r="LRI184" s="82"/>
      <c r="LRJ184" s="82"/>
      <c r="LRK184" s="82"/>
      <c r="LRL184" s="82"/>
      <c r="LRM184" s="82"/>
      <c r="LRN184" s="82"/>
      <c r="LRO184" s="82"/>
      <c r="LRP184" s="82"/>
      <c r="LRQ184" s="82"/>
      <c r="LRR184" s="82"/>
      <c r="LRS184" s="82"/>
      <c r="LRT184" s="82"/>
      <c r="LRU184" s="82"/>
      <c r="LRV184" s="82"/>
      <c r="LRW184" s="82"/>
      <c r="LRX184" s="82"/>
      <c r="LRY184" s="82"/>
      <c r="LRZ184" s="82"/>
      <c r="LSA184" s="82"/>
      <c r="LSB184" s="82"/>
      <c r="LSC184" s="82"/>
      <c r="LSD184" s="82"/>
      <c r="LSE184" s="82"/>
      <c r="LSF184" s="82"/>
      <c r="LSG184" s="82"/>
      <c r="LSH184" s="82"/>
      <c r="LSI184" s="82"/>
      <c r="LSJ184" s="82"/>
      <c r="LSK184" s="82"/>
      <c r="LSL184" s="82"/>
      <c r="LSM184" s="82"/>
      <c r="LSN184" s="82"/>
      <c r="LSO184" s="82"/>
      <c r="LSP184" s="82"/>
      <c r="LSQ184" s="82"/>
      <c r="LSR184" s="82"/>
      <c r="LSS184" s="82"/>
      <c r="LST184" s="82"/>
      <c r="LSU184" s="82"/>
      <c r="LSV184" s="82"/>
      <c r="LSW184" s="82"/>
      <c r="LSX184" s="82"/>
      <c r="LSY184" s="82"/>
      <c r="LSZ184" s="82"/>
      <c r="LTA184" s="82"/>
      <c r="LTB184" s="82"/>
      <c r="LTC184" s="82"/>
      <c r="LTD184" s="82"/>
      <c r="LTE184" s="82"/>
      <c r="LTF184" s="82"/>
      <c r="LTG184" s="82"/>
      <c r="LTH184" s="82"/>
      <c r="LTI184" s="82"/>
      <c r="LTJ184" s="82"/>
      <c r="LTK184" s="82"/>
      <c r="LTL184" s="82"/>
      <c r="LTM184" s="82"/>
      <c r="LTN184" s="82"/>
      <c r="LTO184" s="82"/>
      <c r="LTP184" s="82"/>
      <c r="LTQ184" s="82"/>
      <c r="LTR184" s="82"/>
      <c r="LTS184" s="82"/>
      <c r="LTT184" s="82"/>
      <c r="LTU184" s="82"/>
      <c r="LTV184" s="82"/>
      <c r="LTW184" s="82"/>
      <c r="LTX184" s="82"/>
      <c r="LTY184" s="82"/>
      <c r="LTZ184" s="82"/>
      <c r="LUA184" s="82"/>
      <c r="LUB184" s="82"/>
      <c r="LUC184" s="82"/>
      <c r="LUD184" s="82"/>
      <c r="LUE184" s="82"/>
      <c r="LUF184" s="82"/>
      <c r="LUG184" s="82"/>
      <c r="LUH184" s="82"/>
      <c r="LUI184" s="82"/>
      <c r="LUJ184" s="82"/>
      <c r="LUK184" s="82"/>
      <c r="LUL184" s="82"/>
      <c r="LUM184" s="82"/>
      <c r="LUN184" s="82"/>
      <c r="LUO184" s="82"/>
      <c r="LUP184" s="82"/>
      <c r="LUQ184" s="82"/>
      <c r="LUR184" s="82"/>
      <c r="LUS184" s="82"/>
      <c r="LUT184" s="82"/>
      <c r="LUU184" s="82"/>
      <c r="LUV184" s="82"/>
      <c r="LUW184" s="82"/>
      <c r="LUX184" s="82"/>
      <c r="LUY184" s="82"/>
      <c r="LUZ184" s="82"/>
      <c r="LVA184" s="82"/>
      <c r="LVB184" s="82"/>
      <c r="LVC184" s="82"/>
      <c r="LVD184" s="82"/>
      <c r="LVE184" s="82"/>
      <c r="LVF184" s="82"/>
      <c r="LVG184" s="82"/>
      <c r="LVH184" s="82"/>
      <c r="LVI184" s="82"/>
      <c r="LVJ184" s="82"/>
      <c r="LVK184" s="82"/>
      <c r="LVL184" s="82"/>
      <c r="LVM184" s="82"/>
      <c r="LVN184" s="82"/>
      <c r="LVO184" s="82"/>
      <c r="LVP184" s="82"/>
      <c r="LVQ184" s="82"/>
      <c r="LVR184" s="82"/>
      <c r="LVS184" s="82"/>
      <c r="LVT184" s="82"/>
      <c r="LVU184" s="82"/>
      <c r="LVV184" s="82"/>
      <c r="LVW184" s="82"/>
      <c r="LVX184" s="82"/>
      <c r="LVY184" s="82"/>
      <c r="LVZ184" s="82"/>
      <c r="LWA184" s="82"/>
      <c r="LWB184" s="82"/>
      <c r="LWC184" s="82"/>
      <c r="LWD184" s="82"/>
      <c r="LWE184" s="82"/>
      <c r="LWF184" s="82"/>
      <c r="LWG184" s="82"/>
      <c r="LWH184" s="82"/>
      <c r="LWI184" s="82"/>
      <c r="LWJ184" s="82"/>
      <c r="LWK184" s="82"/>
      <c r="LWL184" s="82"/>
      <c r="LWM184" s="82"/>
      <c r="LWN184" s="82"/>
      <c r="LWO184" s="82"/>
      <c r="LWP184" s="82"/>
      <c r="LWQ184" s="82"/>
      <c r="LWR184" s="82"/>
      <c r="LWS184" s="82"/>
      <c r="LWT184" s="82"/>
      <c r="LWU184" s="82"/>
      <c r="LWV184" s="82"/>
      <c r="LWW184" s="82"/>
      <c r="LWX184" s="82"/>
      <c r="LWY184" s="82"/>
      <c r="LWZ184" s="82"/>
      <c r="LXA184" s="82"/>
      <c r="LXB184" s="82"/>
      <c r="LXC184" s="82"/>
      <c r="LXD184" s="82"/>
      <c r="LXE184" s="82"/>
      <c r="LXF184" s="82"/>
      <c r="LXG184" s="82"/>
      <c r="LXH184" s="82"/>
      <c r="LXI184" s="82"/>
      <c r="LXJ184" s="82"/>
      <c r="LXK184" s="82"/>
      <c r="LXL184" s="82"/>
      <c r="LXM184" s="82"/>
      <c r="LXN184" s="82"/>
      <c r="LXO184" s="82"/>
      <c r="LXP184" s="82"/>
      <c r="LXQ184" s="82"/>
      <c r="LXR184" s="82"/>
      <c r="LXS184" s="82"/>
      <c r="LXT184" s="82"/>
      <c r="LXU184" s="82"/>
      <c r="LXV184" s="82"/>
      <c r="LXW184" s="82"/>
      <c r="LXX184" s="82"/>
      <c r="LXY184" s="82"/>
      <c r="LXZ184" s="82"/>
      <c r="LYA184" s="82"/>
      <c r="LYB184" s="82"/>
      <c r="LYC184" s="82"/>
      <c r="LYD184" s="82"/>
      <c r="LYE184" s="82"/>
      <c r="LYF184" s="82"/>
      <c r="LYG184" s="82"/>
      <c r="LYH184" s="82"/>
      <c r="LYI184" s="82"/>
      <c r="LYJ184" s="82"/>
      <c r="LYK184" s="82"/>
      <c r="LYL184" s="82"/>
      <c r="LYM184" s="82"/>
      <c r="LYN184" s="82"/>
      <c r="LYO184" s="82"/>
      <c r="LYP184" s="82"/>
      <c r="LYQ184" s="82"/>
      <c r="LYR184" s="82"/>
      <c r="LYS184" s="82"/>
      <c r="LYT184" s="82"/>
      <c r="LYU184" s="82"/>
      <c r="LYV184" s="82"/>
      <c r="LYW184" s="82"/>
      <c r="LYX184" s="82"/>
      <c r="LYY184" s="82"/>
      <c r="LYZ184" s="82"/>
      <c r="LZA184" s="82"/>
      <c r="LZB184" s="82"/>
      <c r="LZC184" s="82"/>
      <c r="LZD184" s="82"/>
      <c r="LZE184" s="82"/>
      <c r="LZF184" s="82"/>
      <c r="LZG184" s="82"/>
      <c r="LZH184" s="82"/>
      <c r="LZI184" s="82"/>
      <c r="LZJ184" s="82"/>
      <c r="LZK184" s="82"/>
      <c r="LZL184" s="82"/>
      <c r="LZM184" s="82"/>
      <c r="LZN184" s="82"/>
      <c r="LZO184" s="82"/>
      <c r="LZP184" s="82"/>
      <c r="LZQ184" s="82"/>
      <c r="LZR184" s="82"/>
      <c r="LZS184" s="82"/>
      <c r="LZT184" s="82"/>
      <c r="LZU184" s="82"/>
      <c r="LZV184" s="82"/>
      <c r="LZW184" s="82"/>
      <c r="LZX184" s="82"/>
      <c r="LZY184" s="82"/>
      <c r="LZZ184" s="82"/>
      <c r="MAA184" s="82"/>
      <c r="MAB184" s="82"/>
      <c r="MAC184" s="82"/>
      <c r="MAD184" s="82"/>
      <c r="MAE184" s="82"/>
      <c r="MAF184" s="82"/>
      <c r="MAG184" s="82"/>
      <c r="MAH184" s="82"/>
      <c r="MAI184" s="82"/>
      <c r="MAJ184" s="82"/>
      <c r="MAK184" s="82"/>
      <c r="MAL184" s="82"/>
      <c r="MAM184" s="82"/>
      <c r="MAN184" s="82"/>
      <c r="MAO184" s="82"/>
      <c r="MAP184" s="82"/>
      <c r="MAQ184" s="82"/>
      <c r="MAR184" s="82"/>
      <c r="MAS184" s="82"/>
      <c r="MAT184" s="82"/>
      <c r="MAU184" s="82"/>
      <c r="MAV184" s="82"/>
      <c r="MAW184" s="82"/>
      <c r="MAX184" s="82"/>
      <c r="MAY184" s="82"/>
      <c r="MAZ184" s="82"/>
      <c r="MBA184" s="82"/>
      <c r="MBB184" s="82"/>
      <c r="MBC184" s="82"/>
      <c r="MBD184" s="82"/>
      <c r="MBE184" s="82"/>
      <c r="MBF184" s="82"/>
      <c r="MBG184" s="82"/>
      <c r="MBH184" s="82"/>
      <c r="MBI184" s="82"/>
      <c r="MBJ184" s="82"/>
      <c r="MBK184" s="82"/>
      <c r="MBL184" s="82"/>
      <c r="MBM184" s="82"/>
      <c r="MBN184" s="82"/>
      <c r="MBO184" s="82"/>
      <c r="MBP184" s="82"/>
      <c r="MBQ184" s="82"/>
      <c r="MBR184" s="82"/>
      <c r="MBS184" s="82"/>
      <c r="MBT184" s="82"/>
      <c r="MBU184" s="82"/>
      <c r="MBV184" s="82"/>
      <c r="MBW184" s="82"/>
      <c r="MBX184" s="82"/>
      <c r="MBY184" s="82"/>
      <c r="MBZ184" s="82"/>
      <c r="MCA184" s="82"/>
      <c r="MCB184" s="82"/>
      <c r="MCC184" s="82"/>
      <c r="MCD184" s="82"/>
      <c r="MCE184" s="82"/>
      <c r="MCF184" s="82"/>
      <c r="MCG184" s="82"/>
      <c r="MCH184" s="82"/>
      <c r="MCI184" s="82"/>
      <c r="MCJ184" s="82"/>
      <c r="MCK184" s="82"/>
      <c r="MCL184" s="82"/>
      <c r="MCM184" s="82"/>
      <c r="MCN184" s="82"/>
      <c r="MCO184" s="82"/>
      <c r="MCP184" s="82"/>
      <c r="MCQ184" s="82"/>
      <c r="MCR184" s="82"/>
      <c r="MCS184" s="82"/>
      <c r="MCT184" s="82"/>
      <c r="MCU184" s="82"/>
      <c r="MCV184" s="82"/>
      <c r="MCW184" s="82"/>
      <c r="MCX184" s="82"/>
      <c r="MCY184" s="82"/>
      <c r="MCZ184" s="82"/>
      <c r="MDA184" s="82"/>
      <c r="MDB184" s="82"/>
      <c r="MDC184" s="82"/>
      <c r="MDD184" s="82"/>
      <c r="MDE184" s="82"/>
      <c r="MDF184" s="82"/>
      <c r="MDG184" s="82"/>
      <c r="MDH184" s="82"/>
      <c r="MDI184" s="82"/>
      <c r="MDJ184" s="82"/>
      <c r="MDK184" s="82"/>
      <c r="MDL184" s="82"/>
      <c r="MDM184" s="82"/>
      <c r="MDN184" s="82"/>
      <c r="MDO184" s="82"/>
      <c r="MDP184" s="82"/>
      <c r="MDQ184" s="82"/>
      <c r="MDR184" s="82"/>
      <c r="MDS184" s="82"/>
      <c r="MDT184" s="82"/>
      <c r="MDU184" s="82"/>
      <c r="MDV184" s="82"/>
      <c r="MDW184" s="82"/>
      <c r="MDX184" s="82"/>
      <c r="MDY184" s="82"/>
      <c r="MDZ184" s="82"/>
      <c r="MEA184" s="82"/>
      <c r="MEB184" s="82"/>
      <c r="MEC184" s="82"/>
      <c r="MED184" s="82"/>
      <c r="MEE184" s="82"/>
      <c r="MEF184" s="82"/>
      <c r="MEG184" s="82"/>
      <c r="MEH184" s="82"/>
      <c r="MEI184" s="82"/>
      <c r="MEJ184" s="82"/>
      <c r="MEK184" s="82"/>
      <c r="MEL184" s="82"/>
      <c r="MEM184" s="82"/>
      <c r="MEN184" s="82"/>
      <c r="MEO184" s="82"/>
      <c r="MEP184" s="82"/>
      <c r="MEQ184" s="82"/>
      <c r="MER184" s="82"/>
      <c r="MES184" s="82"/>
      <c r="MET184" s="82"/>
      <c r="MEU184" s="82"/>
      <c r="MEV184" s="82"/>
      <c r="MEW184" s="82"/>
      <c r="MEX184" s="82"/>
      <c r="MEY184" s="82"/>
      <c r="MEZ184" s="82"/>
      <c r="MFA184" s="82"/>
      <c r="MFB184" s="82"/>
      <c r="MFC184" s="82"/>
      <c r="MFD184" s="82"/>
      <c r="MFE184" s="82"/>
      <c r="MFF184" s="82"/>
      <c r="MFG184" s="82"/>
      <c r="MFH184" s="82"/>
      <c r="MFI184" s="82"/>
      <c r="MFJ184" s="82"/>
      <c r="MFK184" s="82"/>
      <c r="MFL184" s="82"/>
      <c r="MFM184" s="82"/>
      <c r="MFN184" s="82"/>
      <c r="MFO184" s="82"/>
      <c r="MFP184" s="82"/>
      <c r="MFQ184" s="82"/>
      <c r="MFR184" s="82"/>
      <c r="MFS184" s="82"/>
      <c r="MFT184" s="82"/>
      <c r="MFU184" s="82"/>
      <c r="MFV184" s="82"/>
      <c r="MFW184" s="82"/>
      <c r="MFX184" s="82"/>
      <c r="MFY184" s="82"/>
      <c r="MFZ184" s="82"/>
      <c r="MGA184" s="82"/>
      <c r="MGB184" s="82"/>
      <c r="MGC184" s="82"/>
      <c r="MGD184" s="82"/>
      <c r="MGE184" s="82"/>
      <c r="MGF184" s="82"/>
      <c r="MGG184" s="82"/>
      <c r="MGH184" s="82"/>
      <c r="MGI184" s="82"/>
      <c r="MGJ184" s="82"/>
      <c r="MGK184" s="82"/>
      <c r="MGL184" s="82"/>
      <c r="MGM184" s="82"/>
      <c r="MGN184" s="82"/>
      <c r="MGO184" s="82"/>
      <c r="MGP184" s="82"/>
      <c r="MGQ184" s="82"/>
      <c r="MGR184" s="82"/>
      <c r="MGS184" s="82"/>
      <c r="MGT184" s="82"/>
      <c r="MGU184" s="82"/>
      <c r="MGV184" s="82"/>
      <c r="MGW184" s="82"/>
      <c r="MGX184" s="82"/>
      <c r="MGY184" s="82"/>
      <c r="MGZ184" s="82"/>
      <c r="MHA184" s="82"/>
      <c r="MHB184" s="82"/>
      <c r="MHC184" s="82"/>
      <c r="MHD184" s="82"/>
      <c r="MHE184" s="82"/>
      <c r="MHF184" s="82"/>
      <c r="MHG184" s="82"/>
      <c r="MHH184" s="82"/>
      <c r="MHI184" s="82"/>
      <c r="MHJ184" s="82"/>
      <c r="MHK184" s="82"/>
      <c r="MHL184" s="82"/>
      <c r="MHM184" s="82"/>
      <c r="MHN184" s="82"/>
      <c r="MHO184" s="82"/>
      <c r="MHP184" s="82"/>
      <c r="MHQ184" s="82"/>
      <c r="MHR184" s="82"/>
      <c r="MHS184" s="82"/>
      <c r="MHT184" s="82"/>
      <c r="MHU184" s="82"/>
      <c r="MHV184" s="82"/>
      <c r="MHW184" s="82"/>
      <c r="MHX184" s="82"/>
      <c r="MHY184" s="82"/>
      <c r="MHZ184" s="82"/>
      <c r="MIA184" s="82"/>
      <c r="MIB184" s="82"/>
      <c r="MIC184" s="82"/>
      <c r="MID184" s="82"/>
      <c r="MIE184" s="82"/>
      <c r="MIF184" s="82"/>
      <c r="MIG184" s="82"/>
      <c r="MIH184" s="82"/>
      <c r="MII184" s="82"/>
      <c r="MIJ184" s="82"/>
      <c r="MIK184" s="82"/>
      <c r="MIL184" s="82"/>
      <c r="MIM184" s="82"/>
      <c r="MIN184" s="82"/>
      <c r="MIO184" s="82"/>
      <c r="MIP184" s="82"/>
      <c r="MIQ184" s="82"/>
      <c r="MIR184" s="82"/>
      <c r="MIS184" s="82"/>
      <c r="MIT184" s="82"/>
      <c r="MIU184" s="82"/>
      <c r="MIV184" s="82"/>
      <c r="MIW184" s="82"/>
      <c r="MIX184" s="82"/>
      <c r="MIY184" s="82"/>
      <c r="MIZ184" s="82"/>
      <c r="MJA184" s="82"/>
      <c r="MJB184" s="82"/>
      <c r="MJC184" s="82"/>
      <c r="MJD184" s="82"/>
      <c r="MJE184" s="82"/>
      <c r="MJF184" s="82"/>
      <c r="MJG184" s="82"/>
      <c r="MJH184" s="82"/>
      <c r="MJI184" s="82"/>
      <c r="MJJ184" s="82"/>
      <c r="MJK184" s="82"/>
      <c r="MJL184" s="82"/>
      <c r="MJM184" s="82"/>
      <c r="MJN184" s="82"/>
      <c r="MJO184" s="82"/>
      <c r="MJP184" s="82"/>
      <c r="MJQ184" s="82"/>
      <c r="MJR184" s="82"/>
      <c r="MJS184" s="82"/>
      <c r="MJT184" s="82"/>
      <c r="MJU184" s="82"/>
      <c r="MJV184" s="82"/>
      <c r="MJW184" s="82"/>
      <c r="MJX184" s="82"/>
      <c r="MJY184" s="82"/>
      <c r="MJZ184" s="82"/>
      <c r="MKA184" s="82"/>
      <c r="MKB184" s="82"/>
      <c r="MKC184" s="82"/>
      <c r="MKD184" s="82"/>
      <c r="MKE184" s="82"/>
      <c r="MKF184" s="82"/>
      <c r="MKG184" s="82"/>
      <c r="MKH184" s="82"/>
      <c r="MKI184" s="82"/>
      <c r="MKJ184" s="82"/>
      <c r="MKK184" s="82"/>
      <c r="MKL184" s="82"/>
      <c r="MKM184" s="82"/>
      <c r="MKN184" s="82"/>
      <c r="MKO184" s="82"/>
      <c r="MKP184" s="82"/>
      <c r="MKQ184" s="82"/>
      <c r="MKR184" s="82"/>
      <c r="MKS184" s="82"/>
      <c r="MKT184" s="82"/>
      <c r="MKU184" s="82"/>
      <c r="MKV184" s="82"/>
      <c r="MKW184" s="82"/>
      <c r="MKX184" s="82"/>
      <c r="MKY184" s="82"/>
      <c r="MKZ184" s="82"/>
      <c r="MLA184" s="82"/>
      <c r="MLB184" s="82"/>
      <c r="MLC184" s="82"/>
      <c r="MLD184" s="82"/>
      <c r="MLE184" s="82"/>
      <c r="MLF184" s="82"/>
      <c r="MLG184" s="82"/>
      <c r="MLH184" s="82"/>
      <c r="MLI184" s="82"/>
      <c r="MLJ184" s="82"/>
      <c r="MLK184" s="82"/>
      <c r="MLL184" s="82"/>
      <c r="MLM184" s="82"/>
      <c r="MLN184" s="82"/>
      <c r="MLO184" s="82"/>
      <c r="MLP184" s="82"/>
      <c r="MLQ184" s="82"/>
      <c r="MLR184" s="82"/>
      <c r="MLS184" s="82"/>
      <c r="MLT184" s="82"/>
      <c r="MLU184" s="82"/>
      <c r="MLV184" s="82"/>
      <c r="MLW184" s="82"/>
      <c r="MLX184" s="82"/>
      <c r="MLY184" s="82"/>
      <c r="MLZ184" s="82"/>
      <c r="MMA184" s="82"/>
      <c r="MMB184" s="82"/>
      <c r="MMC184" s="82"/>
      <c r="MMD184" s="82"/>
      <c r="MME184" s="82"/>
      <c r="MMF184" s="82"/>
      <c r="MMG184" s="82"/>
      <c r="MMH184" s="82"/>
      <c r="MMI184" s="82"/>
      <c r="MMJ184" s="82"/>
      <c r="MMK184" s="82"/>
      <c r="MML184" s="82"/>
      <c r="MMM184" s="82"/>
      <c r="MMN184" s="82"/>
      <c r="MMO184" s="82"/>
      <c r="MMP184" s="82"/>
      <c r="MMQ184" s="82"/>
      <c r="MMR184" s="82"/>
      <c r="MMS184" s="82"/>
      <c r="MMT184" s="82"/>
      <c r="MMU184" s="82"/>
      <c r="MMV184" s="82"/>
      <c r="MMW184" s="82"/>
      <c r="MMX184" s="82"/>
      <c r="MMY184" s="82"/>
      <c r="MMZ184" s="82"/>
      <c r="MNA184" s="82"/>
      <c r="MNB184" s="82"/>
      <c r="MNC184" s="82"/>
      <c r="MND184" s="82"/>
      <c r="MNE184" s="82"/>
      <c r="MNF184" s="82"/>
      <c r="MNG184" s="82"/>
      <c r="MNH184" s="82"/>
      <c r="MNI184" s="82"/>
      <c r="MNJ184" s="82"/>
      <c r="MNK184" s="82"/>
      <c r="MNL184" s="82"/>
      <c r="MNM184" s="82"/>
      <c r="MNN184" s="82"/>
      <c r="MNO184" s="82"/>
      <c r="MNP184" s="82"/>
      <c r="MNQ184" s="82"/>
      <c r="MNR184" s="82"/>
      <c r="MNS184" s="82"/>
      <c r="MNT184" s="82"/>
      <c r="MNU184" s="82"/>
      <c r="MNV184" s="82"/>
      <c r="MNW184" s="82"/>
      <c r="MNX184" s="82"/>
      <c r="MNY184" s="82"/>
      <c r="MNZ184" s="82"/>
      <c r="MOA184" s="82"/>
      <c r="MOB184" s="82"/>
      <c r="MOC184" s="82"/>
      <c r="MOD184" s="82"/>
      <c r="MOE184" s="82"/>
      <c r="MOF184" s="82"/>
      <c r="MOG184" s="82"/>
      <c r="MOH184" s="82"/>
      <c r="MOI184" s="82"/>
      <c r="MOJ184" s="82"/>
      <c r="MOK184" s="82"/>
      <c r="MOL184" s="82"/>
      <c r="MOM184" s="82"/>
      <c r="MON184" s="82"/>
      <c r="MOO184" s="82"/>
      <c r="MOP184" s="82"/>
      <c r="MOQ184" s="82"/>
      <c r="MOR184" s="82"/>
      <c r="MOS184" s="82"/>
      <c r="MOT184" s="82"/>
      <c r="MOU184" s="82"/>
      <c r="MOV184" s="82"/>
      <c r="MOW184" s="82"/>
      <c r="MOX184" s="82"/>
      <c r="MOY184" s="82"/>
      <c r="MOZ184" s="82"/>
      <c r="MPA184" s="82"/>
      <c r="MPB184" s="82"/>
      <c r="MPC184" s="82"/>
      <c r="MPD184" s="82"/>
      <c r="MPE184" s="82"/>
      <c r="MPF184" s="82"/>
      <c r="MPG184" s="82"/>
      <c r="MPH184" s="82"/>
      <c r="MPI184" s="82"/>
      <c r="MPJ184" s="82"/>
      <c r="MPK184" s="82"/>
      <c r="MPL184" s="82"/>
      <c r="MPM184" s="82"/>
      <c r="MPN184" s="82"/>
      <c r="MPO184" s="82"/>
      <c r="MPP184" s="82"/>
      <c r="MPQ184" s="82"/>
      <c r="MPR184" s="82"/>
      <c r="MPS184" s="82"/>
      <c r="MPT184" s="82"/>
      <c r="MPU184" s="82"/>
      <c r="MPV184" s="82"/>
      <c r="MPW184" s="82"/>
      <c r="MPX184" s="82"/>
      <c r="MPY184" s="82"/>
      <c r="MPZ184" s="82"/>
      <c r="MQA184" s="82"/>
      <c r="MQB184" s="82"/>
      <c r="MQC184" s="82"/>
      <c r="MQD184" s="82"/>
      <c r="MQE184" s="82"/>
      <c r="MQF184" s="82"/>
      <c r="MQG184" s="82"/>
      <c r="MQH184" s="82"/>
      <c r="MQI184" s="82"/>
      <c r="MQJ184" s="82"/>
      <c r="MQK184" s="82"/>
      <c r="MQL184" s="82"/>
      <c r="MQM184" s="82"/>
      <c r="MQN184" s="82"/>
      <c r="MQO184" s="82"/>
      <c r="MQP184" s="82"/>
      <c r="MQQ184" s="82"/>
      <c r="MQR184" s="82"/>
      <c r="MQS184" s="82"/>
      <c r="MQT184" s="82"/>
      <c r="MQU184" s="82"/>
      <c r="MQV184" s="82"/>
      <c r="MQW184" s="82"/>
      <c r="MQX184" s="82"/>
      <c r="MQY184" s="82"/>
      <c r="MQZ184" s="82"/>
      <c r="MRA184" s="82"/>
      <c r="MRB184" s="82"/>
      <c r="MRC184" s="82"/>
      <c r="MRD184" s="82"/>
      <c r="MRE184" s="82"/>
      <c r="MRF184" s="82"/>
      <c r="MRG184" s="82"/>
      <c r="MRH184" s="82"/>
      <c r="MRI184" s="82"/>
      <c r="MRJ184" s="82"/>
      <c r="MRK184" s="82"/>
      <c r="MRL184" s="82"/>
      <c r="MRM184" s="82"/>
      <c r="MRN184" s="82"/>
      <c r="MRO184" s="82"/>
      <c r="MRP184" s="82"/>
      <c r="MRQ184" s="82"/>
      <c r="MRR184" s="82"/>
      <c r="MRS184" s="82"/>
      <c r="MRT184" s="82"/>
      <c r="MRU184" s="82"/>
      <c r="MRV184" s="82"/>
      <c r="MRW184" s="82"/>
      <c r="MRX184" s="82"/>
      <c r="MRY184" s="82"/>
      <c r="MRZ184" s="82"/>
      <c r="MSA184" s="82"/>
      <c r="MSB184" s="82"/>
      <c r="MSC184" s="82"/>
      <c r="MSD184" s="82"/>
      <c r="MSE184" s="82"/>
      <c r="MSF184" s="82"/>
      <c r="MSG184" s="82"/>
      <c r="MSH184" s="82"/>
      <c r="MSI184" s="82"/>
      <c r="MSJ184" s="82"/>
      <c r="MSK184" s="82"/>
      <c r="MSL184" s="82"/>
      <c r="MSM184" s="82"/>
      <c r="MSN184" s="82"/>
      <c r="MSO184" s="82"/>
      <c r="MSP184" s="82"/>
      <c r="MSQ184" s="82"/>
      <c r="MSR184" s="82"/>
      <c r="MSS184" s="82"/>
      <c r="MST184" s="82"/>
      <c r="MSU184" s="82"/>
      <c r="MSV184" s="82"/>
      <c r="MSW184" s="82"/>
      <c r="MSX184" s="82"/>
      <c r="MSY184" s="82"/>
      <c r="MSZ184" s="82"/>
      <c r="MTA184" s="82"/>
      <c r="MTB184" s="82"/>
      <c r="MTC184" s="82"/>
      <c r="MTD184" s="82"/>
      <c r="MTE184" s="82"/>
      <c r="MTF184" s="82"/>
      <c r="MTG184" s="82"/>
      <c r="MTH184" s="82"/>
      <c r="MTI184" s="82"/>
      <c r="MTJ184" s="82"/>
      <c r="MTK184" s="82"/>
      <c r="MTL184" s="82"/>
      <c r="MTM184" s="82"/>
      <c r="MTN184" s="82"/>
      <c r="MTO184" s="82"/>
      <c r="MTP184" s="82"/>
      <c r="MTQ184" s="82"/>
      <c r="MTR184" s="82"/>
      <c r="MTS184" s="82"/>
      <c r="MTT184" s="82"/>
      <c r="MTU184" s="82"/>
      <c r="MTV184" s="82"/>
      <c r="MTW184" s="82"/>
      <c r="MTX184" s="82"/>
      <c r="MTY184" s="82"/>
      <c r="MTZ184" s="82"/>
      <c r="MUA184" s="82"/>
      <c r="MUB184" s="82"/>
      <c r="MUC184" s="82"/>
      <c r="MUD184" s="82"/>
      <c r="MUE184" s="82"/>
      <c r="MUF184" s="82"/>
      <c r="MUG184" s="82"/>
      <c r="MUH184" s="82"/>
      <c r="MUI184" s="82"/>
      <c r="MUJ184" s="82"/>
      <c r="MUK184" s="82"/>
      <c r="MUL184" s="82"/>
      <c r="MUM184" s="82"/>
      <c r="MUN184" s="82"/>
      <c r="MUO184" s="82"/>
      <c r="MUP184" s="82"/>
      <c r="MUQ184" s="82"/>
      <c r="MUR184" s="82"/>
      <c r="MUS184" s="82"/>
      <c r="MUT184" s="82"/>
      <c r="MUU184" s="82"/>
      <c r="MUV184" s="82"/>
      <c r="MUW184" s="82"/>
      <c r="MUX184" s="82"/>
      <c r="MUY184" s="82"/>
      <c r="MUZ184" s="82"/>
      <c r="MVA184" s="82"/>
      <c r="MVB184" s="82"/>
      <c r="MVC184" s="82"/>
      <c r="MVD184" s="82"/>
      <c r="MVE184" s="82"/>
      <c r="MVF184" s="82"/>
      <c r="MVG184" s="82"/>
      <c r="MVH184" s="82"/>
      <c r="MVI184" s="82"/>
      <c r="MVJ184" s="82"/>
      <c r="MVK184" s="82"/>
      <c r="MVL184" s="82"/>
      <c r="MVM184" s="82"/>
      <c r="MVN184" s="82"/>
      <c r="MVO184" s="82"/>
      <c r="MVP184" s="82"/>
      <c r="MVQ184" s="82"/>
      <c r="MVR184" s="82"/>
      <c r="MVS184" s="82"/>
      <c r="MVT184" s="82"/>
      <c r="MVU184" s="82"/>
      <c r="MVV184" s="82"/>
      <c r="MVW184" s="82"/>
      <c r="MVX184" s="82"/>
      <c r="MVY184" s="82"/>
      <c r="MVZ184" s="82"/>
      <c r="MWA184" s="82"/>
      <c r="MWB184" s="82"/>
      <c r="MWC184" s="82"/>
      <c r="MWD184" s="82"/>
      <c r="MWE184" s="82"/>
      <c r="MWF184" s="82"/>
      <c r="MWG184" s="82"/>
      <c r="MWH184" s="82"/>
      <c r="MWI184" s="82"/>
      <c r="MWJ184" s="82"/>
      <c r="MWK184" s="82"/>
      <c r="MWL184" s="82"/>
      <c r="MWM184" s="82"/>
      <c r="MWN184" s="82"/>
      <c r="MWO184" s="82"/>
      <c r="MWP184" s="82"/>
      <c r="MWQ184" s="82"/>
      <c r="MWR184" s="82"/>
      <c r="MWS184" s="82"/>
      <c r="MWT184" s="82"/>
      <c r="MWU184" s="82"/>
      <c r="MWV184" s="82"/>
      <c r="MWW184" s="82"/>
      <c r="MWX184" s="82"/>
      <c r="MWY184" s="82"/>
      <c r="MWZ184" s="82"/>
      <c r="MXA184" s="82"/>
      <c r="MXB184" s="82"/>
      <c r="MXC184" s="82"/>
      <c r="MXD184" s="82"/>
      <c r="MXE184" s="82"/>
      <c r="MXF184" s="82"/>
      <c r="MXG184" s="82"/>
      <c r="MXH184" s="82"/>
      <c r="MXI184" s="82"/>
      <c r="MXJ184" s="82"/>
      <c r="MXK184" s="82"/>
      <c r="MXL184" s="82"/>
      <c r="MXM184" s="82"/>
      <c r="MXN184" s="82"/>
      <c r="MXO184" s="82"/>
      <c r="MXP184" s="82"/>
      <c r="MXQ184" s="82"/>
      <c r="MXR184" s="82"/>
      <c r="MXS184" s="82"/>
      <c r="MXT184" s="82"/>
      <c r="MXU184" s="82"/>
      <c r="MXV184" s="82"/>
      <c r="MXW184" s="82"/>
      <c r="MXX184" s="82"/>
      <c r="MXY184" s="82"/>
      <c r="MXZ184" s="82"/>
      <c r="MYA184" s="82"/>
      <c r="MYB184" s="82"/>
      <c r="MYC184" s="82"/>
      <c r="MYD184" s="82"/>
      <c r="MYE184" s="82"/>
      <c r="MYF184" s="82"/>
      <c r="MYG184" s="82"/>
      <c r="MYH184" s="82"/>
      <c r="MYI184" s="82"/>
      <c r="MYJ184" s="82"/>
      <c r="MYK184" s="82"/>
      <c r="MYL184" s="82"/>
      <c r="MYM184" s="82"/>
      <c r="MYN184" s="82"/>
      <c r="MYO184" s="82"/>
      <c r="MYP184" s="82"/>
      <c r="MYQ184" s="82"/>
      <c r="MYR184" s="82"/>
      <c r="MYS184" s="82"/>
      <c r="MYT184" s="82"/>
      <c r="MYU184" s="82"/>
      <c r="MYV184" s="82"/>
      <c r="MYW184" s="82"/>
      <c r="MYX184" s="82"/>
      <c r="MYY184" s="82"/>
      <c r="MYZ184" s="82"/>
      <c r="MZA184" s="82"/>
      <c r="MZB184" s="82"/>
      <c r="MZC184" s="82"/>
      <c r="MZD184" s="82"/>
      <c r="MZE184" s="82"/>
      <c r="MZF184" s="82"/>
      <c r="MZG184" s="82"/>
      <c r="MZH184" s="82"/>
      <c r="MZI184" s="82"/>
      <c r="MZJ184" s="82"/>
      <c r="MZK184" s="82"/>
      <c r="MZL184" s="82"/>
      <c r="MZM184" s="82"/>
      <c r="MZN184" s="82"/>
      <c r="MZO184" s="82"/>
      <c r="MZP184" s="82"/>
      <c r="MZQ184" s="82"/>
      <c r="MZR184" s="82"/>
      <c r="MZS184" s="82"/>
      <c r="MZT184" s="82"/>
      <c r="MZU184" s="82"/>
      <c r="MZV184" s="82"/>
      <c r="MZW184" s="82"/>
      <c r="MZX184" s="82"/>
      <c r="MZY184" s="82"/>
      <c r="MZZ184" s="82"/>
      <c r="NAA184" s="82"/>
      <c r="NAB184" s="82"/>
      <c r="NAC184" s="82"/>
      <c r="NAD184" s="82"/>
      <c r="NAE184" s="82"/>
      <c r="NAF184" s="82"/>
      <c r="NAG184" s="82"/>
      <c r="NAH184" s="82"/>
      <c r="NAI184" s="82"/>
      <c r="NAJ184" s="82"/>
      <c r="NAK184" s="82"/>
      <c r="NAL184" s="82"/>
      <c r="NAM184" s="82"/>
      <c r="NAN184" s="82"/>
      <c r="NAO184" s="82"/>
      <c r="NAP184" s="82"/>
      <c r="NAQ184" s="82"/>
      <c r="NAR184" s="82"/>
      <c r="NAS184" s="82"/>
      <c r="NAT184" s="82"/>
      <c r="NAU184" s="82"/>
      <c r="NAV184" s="82"/>
      <c r="NAW184" s="82"/>
      <c r="NAX184" s="82"/>
      <c r="NAY184" s="82"/>
      <c r="NAZ184" s="82"/>
      <c r="NBA184" s="82"/>
      <c r="NBB184" s="82"/>
      <c r="NBC184" s="82"/>
      <c r="NBD184" s="82"/>
      <c r="NBE184" s="82"/>
      <c r="NBF184" s="82"/>
      <c r="NBG184" s="82"/>
      <c r="NBH184" s="82"/>
      <c r="NBI184" s="82"/>
      <c r="NBJ184" s="82"/>
      <c r="NBK184" s="82"/>
      <c r="NBL184" s="82"/>
      <c r="NBM184" s="82"/>
      <c r="NBN184" s="82"/>
      <c r="NBO184" s="82"/>
      <c r="NBP184" s="82"/>
      <c r="NBQ184" s="82"/>
      <c r="NBR184" s="82"/>
      <c r="NBS184" s="82"/>
      <c r="NBT184" s="82"/>
      <c r="NBU184" s="82"/>
      <c r="NBV184" s="82"/>
      <c r="NBW184" s="82"/>
      <c r="NBX184" s="82"/>
      <c r="NBY184" s="82"/>
      <c r="NBZ184" s="82"/>
      <c r="NCA184" s="82"/>
      <c r="NCB184" s="82"/>
      <c r="NCC184" s="82"/>
      <c r="NCD184" s="82"/>
      <c r="NCE184" s="82"/>
      <c r="NCF184" s="82"/>
      <c r="NCG184" s="82"/>
      <c r="NCH184" s="82"/>
      <c r="NCI184" s="82"/>
      <c r="NCJ184" s="82"/>
      <c r="NCK184" s="82"/>
      <c r="NCL184" s="82"/>
      <c r="NCM184" s="82"/>
      <c r="NCN184" s="82"/>
      <c r="NCO184" s="82"/>
      <c r="NCP184" s="82"/>
      <c r="NCQ184" s="82"/>
      <c r="NCR184" s="82"/>
      <c r="NCS184" s="82"/>
      <c r="NCT184" s="82"/>
      <c r="NCU184" s="82"/>
      <c r="NCV184" s="82"/>
      <c r="NCW184" s="82"/>
      <c r="NCX184" s="82"/>
      <c r="NCY184" s="82"/>
      <c r="NCZ184" s="82"/>
      <c r="NDA184" s="82"/>
      <c r="NDB184" s="82"/>
      <c r="NDC184" s="82"/>
      <c r="NDD184" s="82"/>
      <c r="NDE184" s="82"/>
      <c r="NDF184" s="82"/>
      <c r="NDG184" s="82"/>
      <c r="NDH184" s="82"/>
      <c r="NDI184" s="82"/>
      <c r="NDJ184" s="82"/>
      <c r="NDK184" s="82"/>
      <c r="NDL184" s="82"/>
      <c r="NDM184" s="82"/>
      <c r="NDN184" s="82"/>
      <c r="NDO184" s="82"/>
      <c r="NDP184" s="82"/>
      <c r="NDQ184" s="82"/>
      <c r="NDR184" s="82"/>
      <c r="NDS184" s="82"/>
      <c r="NDT184" s="82"/>
      <c r="NDU184" s="82"/>
      <c r="NDV184" s="82"/>
      <c r="NDW184" s="82"/>
      <c r="NDX184" s="82"/>
      <c r="NDY184" s="82"/>
      <c r="NDZ184" s="82"/>
      <c r="NEA184" s="82"/>
      <c r="NEB184" s="82"/>
      <c r="NEC184" s="82"/>
      <c r="NED184" s="82"/>
      <c r="NEE184" s="82"/>
      <c r="NEF184" s="82"/>
      <c r="NEG184" s="82"/>
      <c r="NEH184" s="82"/>
      <c r="NEI184" s="82"/>
      <c r="NEJ184" s="82"/>
      <c r="NEK184" s="82"/>
      <c r="NEL184" s="82"/>
      <c r="NEM184" s="82"/>
      <c r="NEN184" s="82"/>
      <c r="NEO184" s="82"/>
      <c r="NEP184" s="82"/>
      <c r="NEQ184" s="82"/>
      <c r="NER184" s="82"/>
      <c r="NES184" s="82"/>
      <c r="NET184" s="82"/>
      <c r="NEU184" s="82"/>
      <c r="NEV184" s="82"/>
      <c r="NEW184" s="82"/>
      <c r="NEX184" s="82"/>
      <c r="NEY184" s="82"/>
      <c r="NEZ184" s="82"/>
      <c r="NFA184" s="82"/>
      <c r="NFB184" s="82"/>
      <c r="NFC184" s="82"/>
      <c r="NFD184" s="82"/>
      <c r="NFE184" s="82"/>
      <c r="NFF184" s="82"/>
      <c r="NFG184" s="82"/>
      <c r="NFH184" s="82"/>
      <c r="NFI184" s="82"/>
      <c r="NFJ184" s="82"/>
      <c r="NFK184" s="82"/>
      <c r="NFL184" s="82"/>
      <c r="NFM184" s="82"/>
      <c r="NFN184" s="82"/>
      <c r="NFO184" s="82"/>
      <c r="NFP184" s="82"/>
      <c r="NFQ184" s="82"/>
      <c r="NFR184" s="82"/>
      <c r="NFS184" s="82"/>
      <c r="NFT184" s="82"/>
      <c r="NFU184" s="82"/>
      <c r="NFV184" s="82"/>
      <c r="NFW184" s="82"/>
      <c r="NFX184" s="82"/>
      <c r="NFY184" s="82"/>
      <c r="NFZ184" s="82"/>
      <c r="NGA184" s="82"/>
      <c r="NGB184" s="82"/>
      <c r="NGC184" s="82"/>
      <c r="NGD184" s="82"/>
      <c r="NGE184" s="82"/>
      <c r="NGF184" s="82"/>
      <c r="NGG184" s="82"/>
      <c r="NGH184" s="82"/>
      <c r="NGI184" s="82"/>
      <c r="NGJ184" s="82"/>
      <c r="NGK184" s="82"/>
      <c r="NGL184" s="82"/>
      <c r="NGM184" s="82"/>
      <c r="NGN184" s="82"/>
      <c r="NGO184" s="82"/>
      <c r="NGP184" s="82"/>
      <c r="NGQ184" s="82"/>
      <c r="NGR184" s="82"/>
      <c r="NGS184" s="82"/>
      <c r="NGT184" s="82"/>
      <c r="NGU184" s="82"/>
      <c r="NGV184" s="82"/>
      <c r="NGW184" s="82"/>
      <c r="NGX184" s="82"/>
      <c r="NGY184" s="82"/>
      <c r="NGZ184" s="82"/>
      <c r="NHA184" s="82"/>
      <c r="NHB184" s="82"/>
      <c r="NHC184" s="82"/>
      <c r="NHD184" s="82"/>
      <c r="NHE184" s="82"/>
      <c r="NHF184" s="82"/>
      <c r="NHG184" s="82"/>
      <c r="NHH184" s="82"/>
      <c r="NHI184" s="82"/>
      <c r="NHJ184" s="82"/>
      <c r="NHK184" s="82"/>
      <c r="NHL184" s="82"/>
      <c r="NHM184" s="82"/>
      <c r="NHN184" s="82"/>
      <c r="NHO184" s="82"/>
      <c r="NHP184" s="82"/>
      <c r="NHQ184" s="82"/>
      <c r="NHR184" s="82"/>
      <c r="NHS184" s="82"/>
      <c r="NHT184" s="82"/>
      <c r="NHU184" s="82"/>
      <c r="NHV184" s="82"/>
      <c r="NHW184" s="82"/>
      <c r="NHX184" s="82"/>
      <c r="NHY184" s="82"/>
      <c r="NHZ184" s="82"/>
      <c r="NIA184" s="82"/>
      <c r="NIB184" s="82"/>
      <c r="NIC184" s="82"/>
      <c r="NID184" s="82"/>
      <c r="NIE184" s="82"/>
      <c r="NIF184" s="82"/>
      <c r="NIG184" s="82"/>
      <c r="NIH184" s="82"/>
      <c r="NII184" s="82"/>
      <c r="NIJ184" s="82"/>
      <c r="NIK184" s="82"/>
      <c r="NIL184" s="82"/>
      <c r="NIM184" s="82"/>
      <c r="NIN184" s="82"/>
      <c r="NIO184" s="82"/>
      <c r="NIP184" s="82"/>
      <c r="NIQ184" s="82"/>
      <c r="NIR184" s="82"/>
      <c r="NIS184" s="82"/>
      <c r="NIT184" s="82"/>
      <c r="NIU184" s="82"/>
      <c r="NIV184" s="82"/>
      <c r="NIW184" s="82"/>
      <c r="NIX184" s="82"/>
      <c r="NIY184" s="82"/>
      <c r="NIZ184" s="82"/>
      <c r="NJA184" s="82"/>
      <c r="NJB184" s="82"/>
      <c r="NJC184" s="82"/>
      <c r="NJD184" s="82"/>
      <c r="NJE184" s="82"/>
      <c r="NJF184" s="82"/>
      <c r="NJG184" s="82"/>
      <c r="NJH184" s="82"/>
      <c r="NJI184" s="82"/>
      <c r="NJJ184" s="82"/>
      <c r="NJK184" s="82"/>
      <c r="NJL184" s="82"/>
      <c r="NJM184" s="82"/>
      <c r="NJN184" s="82"/>
      <c r="NJO184" s="82"/>
      <c r="NJP184" s="82"/>
      <c r="NJQ184" s="82"/>
      <c r="NJR184" s="82"/>
      <c r="NJS184" s="82"/>
      <c r="NJT184" s="82"/>
      <c r="NJU184" s="82"/>
      <c r="NJV184" s="82"/>
      <c r="NJW184" s="82"/>
      <c r="NJX184" s="82"/>
      <c r="NJY184" s="82"/>
      <c r="NJZ184" s="82"/>
      <c r="NKA184" s="82"/>
      <c r="NKB184" s="82"/>
      <c r="NKC184" s="82"/>
      <c r="NKD184" s="82"/>
      <c r="NKE184" s="82"/>
      <c r="NKF184" s="82"/>
      <c r="NKG184" s="82"/>
      <c r="NKH184" s="82"/>
      <c r="NKI184" s="82"/>
      <c r="NKJ184" s="82"/>
      <c r="NKK184" s="82"/>
      <c r="NKL184" s="82"/>
      <c r="NKM184" s="82"/>
      <c r="NKN184" s="82"/>
      <c r="NKO184" s="82"/>
      <c r="NKP184" s="82"/>
      <c r="NKQ184" s="82"/>
      <c r="NKR184" s="82"/>
      <c r="NKS184" s="82"/>
      <c r="NKT184" s="82"/>
      <c r="NKU184" s="82"/>
      <c r="NKV184" s="82"/>
      <c r="NKW184" s="82"/>
      <c r="NKX184" s="82"/>
      <c r="NKY184" s="82"/>
      <c r="NKZ184" s="82"/>
      <c r="NLA184" s="82"/>
      <c r="NLB184" s="82"/>
      <c r="NLC184" s="82"/>
      <c r="NLD184" s="82"/>
      <c r="NLE184" s="82"/>
      <c r="NLF184" s="82"/>
      <c r="NLG184" s="82"/>
      <c r="NLH184" s="82"/>
      <c r="NLI184" s="82"/>
      <c r="NLJ184" s="82"/>
      <c r="NLK184" s="82"/>
      <c r="NLL184" s="82"/>
      <c r="NLM184" s="82"/>
      <c r="NLN184" s="82"/>
      <c r="NLO184" s="82"/>
      <c r="NLP184" s="82"/>
      <c r="NLQ184" s="82"/>
      <c r="NLR184" s="82"/>
      <c r="NLS184" s="82"/>
      <c r="NLT184" s="82"/>
      <c r="NLU184" s="82"/>
      <c r="NLV184" s="82"/>
      <c r="NLW184" s="82"/>
      <c r="NLX184" s="82"/>
      <c r="NLY184" s="82"/>
      <c r="NLZ184" s="82"/>
      <c r="NMA184" s="82"/>
      <c r="NMB184" s="82"/>
      <c r="NMC184" s="82"/>
      <c r="NMD184" s="82"/>
      <c r="NME184" s="82"/>
      <c r="NMF184" s="82"/>
      <c r="NMG184" s="82"/>
      <c r="NMH184" s="82"/>
      <c r="NMI184" s="82"/>
      <c r="NMJ184" s="82"/>
      <c r="NMK184" s="82"/>
      <c r="NML184" s="82"/>
      <c r="NMM184" s="82"/>
      <c r="NMN184" s="82"/>
      <c r="NMO184" s="82"/>
      <c r="NMP184" s="82"/>
      <c r="NMQ184" s="82"/>
      <c r="NMR184" s="82"/>
      <c r="NMS184" s="82"/>
      <c r="NMT184" s="82"/>
      <c r="NMU184" s="82"/>
      <c r="NMV184" s="82"/>
      <c r="NMW184" s="82"/>
      <c r="NMX184" s="82"/>
      <c r="NMY184" s="82"/>
      <c r="NMZ184" s="82"/>
      <c r="NNA184" s="82"/>
      <c r="NNB184" s="82"/>
      <c r="NNC184" s="82"/>
      <c r="NND184" s="82"/>
      <c r="NNE184" s="82"/>
      <c r="NNF184" s="82"/>
      <c r="NNG184" s="82"/>
      <c r="NNH184" s="82"/>
      <c r="NNI184" s="82"/>
      <c r="NNJ184" s="82"/>
      <c r="NNK184" s="82"/>
      <c r="NNL184" s="82"/>
      <c r="NNM184" s="82"/>
      <c r="NNN184" s="82"/>
      <c r="NNO184" s="82"/>
      <c r="NNP184" s="82"/>
      <c r="NNQ184" s="82"/>
      <c r="NNR184" s="82"/>
      <c r="NNS184" s="82"/>
      <c r="NNT184" s="82"/>
      <c r="NNU184" s="82"/>
      <c r="NNV184" s="82"/>
      <c r="NNW184" s="82"/>
      <c r="NNX184" s="82"/>
      <c r="NNY184" s="82"/>
      <c r="NNZ184" s="82"/>
      <c r="NOA184" s="82"/>
      <c r="NOB184" s="82"/>
      <c r="NOC184" s="82"/>
      <c r="NOD184" s="82"/>
      <c r="NOE184" s="82"/>
      <c r="NOF184" s="82"/>
      <c r="NOG184" s="82"/>
      <c r="NOH184" s="82"/>
      <c r="NOI184" s="82"/>
      <c r="NOJ184" s="82"/>
      <c r="NOK184" s="82"/>
      <c r="NOL184" s="82"/>
      <c r="NOM184" s="82"/>
      <c r="NON184" s="82"/>
      <c r="NOO184" s="82"/>
      <c r="NOP184" s="82"/>
      <c r="NOQ184" s="82"/>
      <c r="NOR184" s="82"/>
      <c r="NOS184" s="82"/>
      <c r="NOT184" s="82"/>
      <c r="NOU184" s="82"/>
      <c r="NOV184" s="82"/>
      <c r="NOW184" s="82"/>
      <c r="NOX184" s="82"/>
      <c r="NOY184" s="82"/>
      <c r="NOZ184" s="82"/>
      <c r="NPA184" s="82"/>
      <c r="NPB184" s="82"/>
      <c r="NPC184" s="82"/>
      <c r="NPD184" s="82"/>
      <c r="NPE184" s="82"/>
      <c r="NPF184" s="82"/>
      <c r="NPG184" s="82"/>
      <c r="NPH184" s="82"/>
      <c r="NPI184" s="82"/>
      <c r="NPJ184" s="82"/>
      <c r="NPK184" s="82"/>
      <c r="NPL184" s="82"/>
      <c r="NPM184" s="82"/>
      <c r="NPN184" s="82"/>
      <c r="NPO184" s="82"/>
      <c r="NPP184" s="82"/>
      <c r="NPQ184" s="82"/>
      <c r="NPR184" s="82"/>
      <c r="NPS184" s="82"/>
      <c r="NPT184" s="82"/>
      <c r="NPU184" s="82"/>
      <c r="NPV184" s="82"/>
      <c r="NPW184" s="82"/>
      <c r="NPX184" s="82"/>
      <c r="NPY184" s="82"/>
      <c r="NPZ184" s="82"/>
      <c r="NQA184" s="82"/>
      <c r="NQB184" s="82"/>
      <c r="NQC184" s="82"/>
      <c r="NQD184" s="82"/>
      <c r="NQE184" s="82"/>
      <c r="NQF184" s="82"/>
      <c r="NQG184" s="82"/>
      <c r="NQH184" s="82"/>
      <c r="NQI184" s="82"/>
      <c r="NQJ184" s="82"/>
      <c r="NQK184" s="82"/>
      <c r="NQL184" s="82"/>
      <c r="NQM184" s="82"/>
      <c r="NQN184" s="82"/>
      <c r="NQO184" s="82"/>
      <c r="NQP184" s="82"/>
      <c r="NQQ184" s="82"/>
      <c r="NQR184" s="82"/>
      <c r="NQS184" s="82"/>
      <c r="NQT184" s="82"/>
      <c r="NQU184" s="82"/>
      <c r="NQV184" s="82"/>
      <c r="NQW184" s="82"/>
      <c r="NQX184" s="82"/>
      <c r="NQY184" s="82"/>
      <c r="NQZ184" s="82"/>
      <c r="NRA184" s="82"/>
      <c r="NRB184" s="82"/>
      <c r="NRC184" s="82"/>
      <c r="NRD184" s="82"/>
      <c r="NRE184" s="82"/>
      <c r="NRF184" s="82"/>
      <c r="NRG184" s="82"/>
      <c r="NRH184" s="82"/>
      <c r="NRI184" s="82"/>
      <c r="NRJ184" s="82"/>
      <c r="NRK184" s="82"/>
      <c r="NRL184" s="82"/>
      <c r="NRM184" s="82"/>
      <c r="NRN184" s="82"/>
      <c r="NRO184" s="82"/>
      <c r="NRP184" s="82"/>
      <c r="NRQ184" s="82"/>
      <c r="NRR184" s="82"/>
      <c r="NRS184" s="82"/>
      <c r="NRT184" s="82"/>
      <c r="NRU184" s="82"/>
      <c r="NRV184" s="82"/>
      <c r="NRW184" s="82"/>
      <c r="NRX184" s="82"/>
      <c r="NRY184" s="82"/>
      <c r="NRZ184" s="82"/>
      <c r="NSA184" s="82"/>
      <c r="NSB184" s="82"/>
      <c r="NSC184" s="82"/>
      <c r="NSD184" s="82"/>
      <c r="NSE184" s="82"/>
      <c r="NSF184" s="82"/>
      <c r="NSG184" s="82"/>
      <c r="NSH184" s="82"/>
      <c r="NSI184" s="82"/>
      <c r="NSJ184" s="82"/>
      <c r="NSK184" s="82"/>
      <c r="NSL184" s="82"/>
      <c r="NSM184" s="82"/>
      <c r="NSN184" s="82"/>
      <c r="NSO184" s="82"/>
      <c r="NSP184" s="82"/>
      <c r="NSQ184" s="82"/>
      <c r="NSR184" s="82"/>
      <c r="NSS184" s="82"/>
      <c r="NST184" s="82"/>
      <c r="NSU184" s="82"/>
      <c r="NSV184" s="82"/>
      <c r="NSW184" s="82"/>
      <c r="NSX184" s="82"/>
      <c r="NSY184" s="82"/>
      <c r="NSZ184" s="82"/>
      <c r="NTA184" s="82"/>
      <c r="NTB184" s="82"/>
      <c r="NTC184" s="82"/>
      <c r="NTD184" s="82"/>
      <c r="NTE184" s="82"/>
      <c r="NTF184" s="82"/>
      <c r="NTG184" s="82"/>
      <c r="NTH184" s="82"/>
      <c r="NTI184" s="82"/>
      <c r="NTJ184" s="82"/>
      <c r="NTK184" s="82"/>
      <c r="NTL184" s="82"/>
      <c r="NTM184" s="82"/>
      <c r="NTN184" s="82"/>
      <c r="NTO184" s="82"/>
      <c r="NTP184" s="82"/>
      <c r="NTQ184" s="82"/>
      <c r="NTR184" s="82"/>
      <c r="NTS184" s="82"/>
      <c r="NTT184" s="82"/>
      <c r="NTU184" s="82"/>
      <c r="NTV184" s="82"/>
      <c r="NTW184" s="82"/>
      <c r="NTX184" s="82"/>
      <c r="NTY184" s="82"/>
      <c r="NTZ184" s="82"/>
      <c r="NUA184" s="82"/>
      <c r="NUB184" s="82"/>
      <c r="NUC184" s="82"/>
      <c r="NUD184" s="82"/>
      <c r="NUE184" s="82"/>
      <c r="NUF184" s="82"/>
      <c r="NUG184" s="82"/>
      <c r="NUH184" s="82"/>
      <c r="NUI184" s="82"/>
      <c r="NUJ184" s="82"/>
      <c r="NUK184" s="82"/>
      <c r="NUL184" s="82"/>
      <c r="NUM184" s="82"/>
      <c r="NUN184" s="82"/>
      <c r="NUO184" s="82"/>
      <c r="NUP184" s="82"/>
      <c r="NUQ184" s="82"/>
      <c r="NUR184" s="82"/>
      <c r="NUS184" s="82"/>
      <c r="NUT184" s="82"/>
      <c r="NUU184" s="82"/>
      <c r="NUV184" s="82"/>
      <c r="NUW184" s="82"/>
      <c r="NUX184" s="82"/>
      <c r="NUY184" s="82"/>
      <c r="NUZ184" s="82"/>
      <c r="NVA184" s="82"/>
      <c r="NVB184" s="82"/>
      <c r="NVC184" s="82"/>
      <c r="NVD184" s="82"/>
      <c r="NVE184" s="82"/>
      <c r="NVF184" s="82"/>
      <c r="NVG184" s="82"/>
      <c r="NVH184" s="82"/>
      <c r="NVI184" s="82"/>
      <c r="NVJ184" s="82"/>
      <c r="NVK184" s="82"/>
      <c r="NVL184" s="82"/>
      <c r="NVM184" s="82"/>
      <c r="NVN184" s="82"/>
      <c r="NVO184" s="82"/>
      <c r="NVP184" s="82"/>
      <c r="NVQ184" s="82"/>
      <c r="NVR184" s="82"/>
      <c r="NVS184" s="82"/>
      <c r="NVT184" s="82"/>
      <c r="NVU184" s="82"/>
      <c r="NVV184" s="82"/>
      <c r="NVW184" s="82"/>
      <c r="NVX184" s="82"/>
      <c r="NVY184" s="82"/>
      <c r="NVZ184" s="82"/>
      <c r="NWA184" s="82"/>
      <c r="NWB184" s="82"/>
      <c r="NWC184" s="82"/>
      <c r="NWD184" s="82"/>
      <c r="NWE184" s="82"/>
      <c r="NWF184" s="82"/>
      <c r="NWG184" s="82"/>
      <c r="NWH184" s="82"/>
      <c r="NWI184" s="82"/>
      <c r="NWJ184" s="82"/>
      <c r="NWK184" s="82"/>
      <c r="NWL184" s="82"/>
      <c r="NWM184" s="82"/>
      <c r="NWN184" s="82"/>
      <c r="NWO184" s="82"/>
      <c r="NWP184" s="82"/>
      <c r="NWQ184" s="82"/>
      <c r="NWR184" s="82"/>
      <c r="NWS184" s="82"/>
      <c r="NWT184" s="82"/>
      <c r="NWU184" s="82"/>
      <c r="NWV184" s="82"/>
      <c r="NWW184" s="82"/>
      <c r="NWX184" s="82"/>
      <c r="NWY184" s="82"/>
      <c r="NWZ184" s="82"/>
      <c r="NXA184" s="82"/>
      <c r="NXB184" s="82"/>
      <c r="NXC184" s="82"/>
      <c r="NXD184" s="82"/>
      <c r="NXE184" s="82"/>
      <c r="NXF184" s="82"/>
      <c r="NXG184" s="82"/>
      <c r="NXH184" s="82"/>
      <c r="NXI184" s="82"/>
      <c r="NXJ184" s="82"/>
      <c r="NXK184" s="82"/>
      <c r="NXL184" s="82"/>
      <c r="NXM184" s="82"/>
      <c r="NXN184" s="82"/>
      <c r="NXO184" s="82"/>
      <c r="NXP184" s="82"/>
      <c r="NXQ184" s="82"/>
      <c r="NXR184" s="82"/>
      <c r="NXS184" s="82"/>
      <c r="NXT184" s="82"/>
      <c r="NXU184" s="82"/>
      <c r="NXV184" s="82"/>
      <c r="NXW184" s="82"/>
      <c r="NXX184" s="82"/>
      <c r="NXY184" s="82"/>
      <c r="NXZ184" s="82"/>
      <c r="NYA184" s="82"/>
      <c r="NYB184" s="82"/>
      <c r="NYC184" s="82"/>
      <c r="NYD184" s="82"/>
      <c r="NYE184" s="82"/>
      <c r="NYF184" s="82"/>
      <c r="NYG184" s="82"/>
      <c r="NYH184" s="82"/>
      <c r="NYI184" s="82"/>
      <c r="NYJ184" s="82"/>
      <c r="NYK184" s="82"/>
      <c r="NYL184" s="82"/>
      <c r="NYM184" s="82"/>
      <c r="NYN184" s="82"/>
      <c r="NYO184" s="82"/>
      <c r="NYP184" s="82"/>
      <c r="NYQ184" s="82"/>
      <c r="NYR184" s="82"/>
      <c r="NYS184" s="82"/>
      <c r="NYT184" s="82"/>
      <c r="NYU184" s="82"/>
      <c r="NYV184" s="82"/>
      <c r="NYW184" s="82"/>
      <c r="NYX184" s="82"/>
      <c r="NYY184" s="82"/>
      <c r="NYZ184" s="82"/>
      <c r="NZA184" s="82"/>
      <c r="NZB184" s="82"/>
      <c r="NZC184" s="82"/>
      <c r="NZD184" s="82"/>
      <c r="NZE184" s="82"/>
      <c r="NZF184" s="82"/>
      <c r="NZG184" s="82"/>
      <c r="NZH184" s="82"/>
      <c r="NZI184" s="82"/>
      <c r="NZJ184" s="82"/>
      <c r="NZK184" s="82"/>
      <c r="NZL184" s="82"/>
      <c r="NZM184" s="82"/>
      <c r="NZN184" s="82"/>
      <c r="NZO184" s="82"/>
      <c r="NZP184" s="82"/>
      <c r="NZQ184" s="82"/>
      <c r="NZR184" s="82"/>
      <c r="NZS184" s="82"/>
      <c r="NZT184" s="82"/>
      <c r="NZU184" s="82"/>
      <c r="NZV184" s="82"/>
      <c r="NZW184" s="82"/>
      <c r="NZX184" s="82"/>
      <c r="NZY184" s="82"/>
      <c r="NZZ184" s="82"/>
      <c r="OAA184" s="82"/>
      <c r="OAB184" s="82"/>
      <c r="OAC184" s="82"/>
      <c r="OAD184" s="82"/>
      <c r="OAE184" s="82"/>
      <c r="OAF184" s="82"/>
      <c r="OAG184" s="82"/>
      <c r="OAH184" s="82"/>
      <c r="OAI184" s="82"/>
      <c r="OAJ184" s="82"/>
      <c r="OAK184" s="82"/>
      <c r="OAL184" s="82"/>
      <c r="OAM184" s="82"/>
      <c r="OAN184" s="82"/>
      <c r="OAO184" s="82"/>
      <c r="OAP184" s="82"/>
      <c r="OAQ184" s="82"/>
      <c r="OAR184" s="82"/>
      <c r="OAS184" s="82"/>
      <c r="OAT184" s="82"/>
      <c r="OAU184" s="82"/>
      <c r="OAV184" s="82"/>
      <c r="OAW184" s="82"/>
      <c r="OAX184" s="82"/>
      <c r="OAY184" s="82"/>
      <c r="OAZ184" s="82"/>
      <c r="OBA184" s="82"/>
      <c r="OBB184" s="82"/>
      <c r="OBC184" s="82"/>
      <c r="OBD184" s="82"/>
      <c r="OBE184" s="82"/>
      <c r="OBF184" s="82"/>
      <c r="OBG184" s="82"/>
      <c r="OBH184" s="82"/>
      <c r="OBI184" s="82"/>
      <c r="OBJ184" s="82"/>
      <c r="OBK184" s="82"/>
      <c r="OBL184" s="82"/>
      <c r="OBM184" s="82"/>
      <c r="OBN184" s="82"/>
      <c r="OBO184" s="82"/>
      <c r="OBP184" s="82"/>
      <c r="OBQ184" s="82"/>
      <c r="OBR184" s="82"/>
      <c r="OBS184" s="82"/>
      <c r="OBT184" s="82"/>
      <c r="OBU184" s="82"/>
      <c r="OBV184" s="82"/>
      <c r="OBW184" s="82"/>
      <c r="OBX184" s="82"/>
      <c r="OBY184" s="82"/>
      <c r="OBZ184" s="82"/>
      <c r="OCA184" s="82"/>
      <c r="OCB184" s="82"/>
      <c r="OCC184" s="82"/>
      <c r="OCD184" s="82"/>
      <c r="OCE184" s="82"/>
      <c r="OCF184" s="82"/>
      <c r="OCG184" s="82"/>
      <c r="OCH184" s="82"/>
      <c r="OCI184" s="82"/>
      <c r="OCJ184" s="82"/>
      <c r="OCK184" s="82"/>
      <c r="OCL184" s="82"/>
      <c r="OCM184" s="82"/>
      <c r="OCN184" s="82"/>
      <c r="OCO184" s="82"/>
      <c r="OCP184" s="82"/>
      <c r="OCQ184" s="82"/>
      <c r="OCR184" s="82"/>
      <c r="OCS184" s="82"/>
      <c r="OCT184" s="82"/>
      <c r="OCU184" s="82"/>
      <c r="OCV184" s="82"/>
      <c r="OCW184" s="82"/>
      <c r="OCX184" s="82"/>
      <c r="OCY184" s="82"/>
      <c r="OCZ184" s="82"/>
      <c r="ODA184" s="82"/>
      <c r="ODB184" s="82"/>
      <c r="ODC184" s="82"/>
      <c r="ODD184" s="82"/>
      <c r="ODE184" s="82"/>
      <c r="ODF184" s="82"/>
      <c r="ODG184" s="82"/>
      <c r="ODH184" s="82"/>
      <c r="ODI184" s="82"/>
      <c r="ODJ184" s="82"/>
      <c r="ODK184" s="82"/>
      <c r="ODL184" s="82"/>
      <c r="ODM184" s="82"/>
      <c r="ODN184" s="82"/>
      <c r="ODO184" s="82"/>
      <c r="ODP184" s="82"/>
      <c r="ODQ184" s="82"/>
      <c r="ODR184" s="82"/>
      <c r="ODS184" s="82"/>
      <c r="ODT184" s="82"/>
      <c r="ODU184" s="82"/>
      <c r="ODV184" s="82"/>
      <c r="ODW184" s="82"/>
      <c r="ODX184" s="82"/>
      <c r="ODY184" s="82"/>
      <c r="ODZ184" s="82"/>
      <c r="OEA184" s="82"/>
      <c r="OEB184" s="82"/>
      <c r="OEC184" s="82"/>
      <c r="OED184" s="82"/>
      <c r="OEE184" s="82"/>
      <c r="OEF184" s="82"/>
      <c r="OEG184" s="82"/>
      <c r="OEH184" s="82"/>
      <c r="OEI184" s="82"/>
      <c r="OEJ184" s="82"/>
      <c r="OEK184" s="82"/>
      <c r="OEL184" s="82"/>
      <c r="OEM184" s="82"/>
      <c r="OEN184" s="82"/>
      <c r="OEO184" s="82"/>
      <c r="OEP184" s="82"/>
      <c r="OEQ184" s="82"/>
      <c r="OER184" s="82"/>
      <c r="OES184" s="82"/>
      <c r="OET184" s="82"/>
      <c r="OEU184" s="82"/>
      <c r="OEV184" s="82"/>
      <c r="OEW184" s="82"/>
      <c r="OEX184" s="82"/>
      <c r="OEY184" s="82"/>
      <c r="OEZ184" s="82"/>
      <c r="OFA184" s="82"/>
      <c r="OFB184" s="82"/>
      <c r="OFC184" s="82"/>
      <c r="OFD184" s="82"/>
      <c r="OFE184" s="82"/>
      <c r="OFF184" s="82"/>
      <c r="OFG184" s="82"/>
      <c r="OFH184" s="82"/>
      <c r="OFI184" s="82"/>
      <c r="OFJ184" s="82"/>
      <c r="OFK184" s="82"/>
      <c r="OFL184" s="82"/>
      <c r="OFM184" s="82"/>
      <c r="OFN184" s="82"/>
      <c r="OFO184" s="82"/>
      <c r="OFP184" s="82"/>
      <c r="OFQ184" s="82"/>
      <c r="OFR184" s="82"/>
      <c r="OFS184" s="82"/>
      <c r="OFT184" s="82"/>
      <c r="OFU184" s="82"/>
      <c r="OFV184" s="82"/>
      <c r="OFW184" s="82"/>
      <c r="OFX184" s="82"/>
      <c r="OFY184" s="82"/>
      <c r="OFZ184" s="82"/>
      <c r="OGA184" s="82"/>
      <c r="OGB184" s="82"/>
      <c r="OGC184" s="82"/>
      <c r="OGD184" s="82"/>
      <c r="OGE184" s="82"/>
      <c r="OGF184" s="82"/>
      <c r="OGG184" s="82"/>
      <c r="OGH184" s="82"/>
      <c r="OGI184" s="82"/>
      <c r="OGJ184" s="82"/>
      <c r="OGK184" s="82"/>
      <c r="OGL184" s="82"/>
      <c r="OGM184" s="82"/>
      <c r="OGN184" s="82"/>
      <c r="OGO184" s="82"/>
      <c r="OGP184" s="82"/>
      <c r="OGQ184" s="82"/>
      <c r="OGR184" s="82"/>
      <c r="OGS184" s="82"/>
      <c r="OGT184" s="82"/>
      <c r="OGU184" s="82"/>
      <c r="OGV184" s="82"/>
      <c r="OGW184" s="82"/>
      <c r="OGX184" s="82"/>
      <c r="OGY184" s="82"/>
      <c r="OGZ184" s="82"/>
      <c r="OHA184" s="82"/>
      <c r="OHB184" s="82"/>
      <c r="OHC184" s="82"/>
      <c r="OHD184" s="82"/>
      <c r="OHE184" s="82"/>
      <c r="OHF184" s="82"/>
      <c r="OHG184" s="82"/>
      <c r="OHH184" s="82"/>
      <c r="OHI184" s="82"/>
      <c r="OHJ184" s="82"/>
      <c r="OHK184" s="82"/>
      <c r="OHL184" s="82"/>
      <c r="OHM184" s="82"/>
      <c r="OHN184" s="82"/>
      <c r="OHO184" s="82"/>
      <c r="OHP184" s="82"/>
      <c r="OHQ184" s="82"/>
      <c r="OHR184" s="82"/>
      <c r="OHS184" s="82"/>
      <c r="OHT184" s="82"/>
      <c r="OHU184" s="82"/>
      <c r="OHV184" s="82"/>
      <c r="OHW184" s="82"/>
      <c r="OHX184" s="82"/>
      <c r="OHY184" s="82"/>
      <c r="OHZ184" s="82"/>
      <c r="OIA184" s="82"/>
      <c r="OIB184" s="82"/>
      <c r="OIC184" s="82"/>
      <c r="OID184" s="82"/>
      <c r="OIE184" s="82"/>
      <c r="OIF184" s="82"/>
      <c r="OIG184" s="82"/>
      <c r="OIH184" s="82"/>
      <c r="OII184" s="82"/>
      <c r="OIJ184" s="82"/>
      <c r="OIK184" s="82"/>
      <c r="OIL184" s="82"/>
      <c r="OIM184" s="82"/>
      <c r="OIN184" s="82"/>
      <c r="OIO184" s="82"/>
      <c r="OIP184" s="82"/>
      <c r="OIQ184" s="82"/>
      <c r="OIR184" s="82"/>
      <c r="OIS184" s="82"/>
      <c r="OIT184" s="82"/>
      <c r="OIU184" s="82"/>
      <c r="OIV184" s="82"/>
      <c r="OIW184" s="82"/>
      <c r="OIX184" s="82"/>
      <c r="OIY184" s="82"/>
      <c r="OIZ184" s="82"/>
      <c r="OJA184" s="82"/>
      <c r="OJB184" s="82"/>
      <c r="OJC184" s="82"/>
      <c r="OJD184" s="82"/>
      <c r="OJE184" s="82"/>
      <c r="OJF184" s="82"/>
      <c r="OJG184" s="82"/>
      <c r="OJH184" s="82"/>
      <c r="OJI184" s="82"/>
      <c r="OJJ184" s="82"/>
      <c r="OJK184" s="82"/>
      <c r="OJL184" s="82"/>
      <c r="OJM184" s="82"/>
      <c r="OJN184" s="82"/>
      <c r="OJO184" s="82"/>
      <c r="OJP184" s="82"/>
      <c r="OJQ184" s="82"/>
      <c r="OJR184" s="82"/>
      <c r="OJS184" s="82"/>
      <c r="OJT184" s="82"/>
      <c r="OJU184" s="82"/>
      <c r="OJV184" s="82"/>
      <c r="OJW184" s="82"/>
      <c r="OJX184" s="82"/>
      <c r="OJY184" s="82"/>
      <c r="OJZ184" s="82"/>
      <c r="OKA184" s="82"/>
      <c r="OKB184" s="82"/>
      <c r="OKC184" s="82"/>
      <c r="OKD184" s="82"/>
      <c r="OKE184" s="82"/>
      <c r="OKF184" s="82"/>
      <c r="OKG184" s="82"/>
      <c r="OKH184" s="82"/>
      <c r="OKI184" s="82"/>
      <c r="OKJ184" s="82"/>
      <c r="OKK184" s="82"/>
      <c r="OKL184" s="82"/>
      <c r="OKM184" s="82"/>
      <c r="OKN184" s="82"/>
      <c r="OKO184" s="82"/>
      <c r="OKP184" s="82"/>
      <c r="OKQ184" s="82"/>
      <c r="OKR184" s="82"/>
      <c r="OKS184" s="82"/>
      <c r="OKT184" s="82"/>
      <c r="OKU184" s="82"/>
      <c r="OKV184" s="82"/>
      <c r="OKW184" s="82"/>
      <c r="OKX184" s="82"/>
      <c r="OKY184" s="82"/>
      <c r="OKZ184" s="82"/>
      <c r="OLA184" s="82"/>
      <c r="OLB184" s="82"/>
      <c r="OLC184" s="82"/>
      <c r="OLD184" s="82"/>
      <c r="OLE184" s="82"/>
      <c r="OLF184" s="82"/>
      <c r="OLG184" s="82"/>
      <c r="OLH184" s="82"/>
      <c r="OLI184" s="82"/>
      <c r="OLJ184" s="82"/>
      <c r="OLK184" s="82"/>
      <c r="OLL184" s="82"/>
      <c r="OLM184" s="82"/>
      <c r="OLN184" s="82"/>
      <c r="OLO184" s="82"/>
      <c r="OLP184" s="82"/>
      <c r="OLQ184" s="82"/>
      <c r="OLR184" s="82"/>
      <c r="OLS184" s="82"/>
      <c r="OLT184" s="82"/>
      <c r="OLU184" s="82"/>
      <c r="OLV184" s="82"/>
      <c r="OLW184" s="82"/>
      <c r="OLX184" s="82"/>
      <c r="OLY184" s="82"/>
      <c r="OLZ184" s="82"/>
      <c r="OMA184" s="82"/>
      <c r="OMB184" s="82"/>
      <c r="OMC184" s="82"/>
      <c r="OMD184" s="82"/>
      <c r="OME184" s="82"/>
      <c r="OMF184" s="82"/>
      <c r="OMG184" s="82"/>
      <c r="OMH184" s="82"/>
      <c r="OMI184" s="82"/>
      <c r="OMJ184" s="82"/>
      <c r="OMK184" s="82"/>
      <c r="OML184" s="82"/>
      <c r="OMM184" s="82"/>
      <c r="OMN184" s="82"/>
      <c r="OMO184" s="82"/>
      <c r="OMP184" s="82"/>
      <c r="OMQ184" s="82"/>
      <c r="OMR184" s="82"/>
      <c r="OMS184" s="82"/>
      <c r="OMT184" s="82"/>
      <c r="OMU184" s="82"/>
      <c r="OMV184" s="82"/>
      <c r="OMW184" s="82"/>
      <c r="OMX184" s="82"/>
      <c r="OMY184" s="82"/>
      <c r="OMZ184" s="82"/>
      <c r="ONA184" s="82"/>
      <c r="ONB184" s="82"/>
      <c r="ONC184" s="82"/>
      <c r="OND184" s="82"/>
      <c r="ONE184" s="82"/>
      <c r="ONF184" s="82"/>
      <c r="ONG184" s="82"/>
      <c r="ONH184" s="82"/>
      <c r="ONI184" s="82"/>
      <c r="ONJ184" s="82"/>
      <c r="ONK184" s="82"/>
      <c r="ONL184" s="82"/>
      <c r="ONM184" s="82"/>
      <c r="ONN184" s="82"/>
      <c r="ONO184" s="82"/>
      <c r="ONP184" s="82"/>
      <c r="ONQ184" s="82"/>
      <c r="ONR184" s="82"/>
      <c r="ONS184" s="82"/>
      <c r="ONT184" s="82"/>
      <c r="ONU184" s="82"/>
      <c r="ONV184" s="82"/>
      <c r="ONW184" s="82"/>
      <c r="ONX184" s="82"/>
      <c r="ONY184" s="82"/>
      <c r="ONZ184" s="82"/>
      <c r="OOA184" s="82"/>
      <c r="OOB184" s="82"/>
      <c r="OOC184" s="82"/>
      <c r="OOD184" s="82"/>
      <c r="OOE184" s="82"/>
      <c r="OOF184" s="82"/>
      <c r="OOG184" s="82"/>
      <c r="OOH184" s="82"/>
      <c r="OOI184" s="82"/>
      <c r="OOJ184" s="82"/>
      <c r="OOK184" s="82"/>
      <c r="OOL184" s="82"/>
      <c r="OOM184" s="82"/>
      <c r="OON184" s="82"/>
      <c r="OOO184" s="82"/>
      <c r="OOP184" s="82"/>
      <c r="OOQ184" s="82"/>
      <c r="OOR184" s="82"/>
      <c r="OOS184" s="82"/>
      <c r="OOT184" s="82"/>
      <c r="OOU184" s="82"/>
      <c r="OOV184" s="82"/>
      <c r="OOW184" s="82"/>
      <c r="OOX184" s="82"/>
      <c r="OOY184" s="82"/>
      <c r="OOZ184" s="82"/>
      <c r="OPA184" s="82"/>
      <c r="OPB184" s="82"/>
      <c r="OPC184" s="82"/>
      <c r="OPD184" s="82"/>
      <c r="OPE184" s="82"/>
      <c r="OPF184" s="82"/>
      <c r="OPG184" s="82"/>
      <c r="OPH184" s="82"/>
      <c r="OPI184" s="82"/>
      <c r="OPJ184" s="82"/>
      <c r="OPK184" s="82"/>
      <c r="OPL184" s="82"/>
      <c r="OPM184" s="82"/>
      <c r="OPN184" s="82"/>
      <c r="OPO184" s="82"/>
      <c r="OPP184" s="82"/>
      <c r="OPQ184" s="82"/>
      <c r="OPR184" s="82"/>
      <c r="OPS184" s="82"/>
      <c r="OPT184" s="82"/>
      <c r="OPU184" s="82"/>
      <c r="OPV184" s="82"/>
      <c r="OPW184" s="82"/>
      <c r="OPX184" s="82"/>
      <c r="OPY184" s="82"/>
      <c r="OPZ184" s="82"/>
      <c r="OQA184" s="82"/>
      <c r="OQB184" s="82"/>
      <c r="OQC184" s="82"/>
      <c r="OQD184" s="82"/>
      <c r="OQE184" s="82"/>
      <c r="OQF184" s="82"/>
      <c r="OQG184" s="82"/>
      <c r="OQH184" s="82"/>
      <c r="OQI184" s="82"/>
      <c r="OQJ184" s="82"/>
      <c r="OQK184" s="82"/>
      <c r="OQL184" s="82"/>
      <c r="OQM184" s="82"/>
      <c r="OQN184" s="82"/>
      <c r="OQO184" s="82"/>
      <c r="OQP184" s="82"/>
      <c r="OQQ184" s="82"/>
      <c r="OQR184" s="82"/>
      <c r="OQS184" s="82"/>
      <c r="OQT184" s="82"/>
      <c r="OQU184" s="82"/>
      <c r="OQV184" s="82"/>
      <c r="OQW184" s="82"/>
      <c r="OQX184" s="82"/>
      <c r="OQY184" s="82"/>
      <c r="OQZ184" s="82"/>
      <c r="ORA184" s="82"/>
      <c r="ORB184" s="82"/>
      <c r="ORC184" s="82"/>
      <c r="ORD184" s="82"/>
      <c r="ORE184" s="82"/>
      <c r="ORF184" s="82"/>
      <c r="ORG184" s="82"/>
      <c r="ORH184" s="82"/>
      <c r="ORI184" s="82"/>
      <c r="ORJ184" s="82"/>
      <c r="ORK184" s="82"/>
      <c r="ORL184" s="82"/>
      <c r="ORM184" s="82"/>
      <c r="ORN184" s="82"/>
      <c r="ORO184" s="82"/>
      <c r="ORP184" s="82"/>
      <c r="ORQ184" s="82"/>
      <c r="ORR184" s="82"/>
      <c r="ORS184" s="82"/>
      <c r="ORT184" s="82"/>
      <c r="ORU184" s="82"/>
      <c r="ORV184" s="82"/>
      <c r="ORW184" s="82"/>
      <c r="ORX184" s="82"/>
      <c r="ORY184" s="82"/>
      <c r="ORZ184" s="82"/>
      <c r="OSA184" s="82"/>
      <c r="OSB184" s="82"/>
      <c r="OSC184" s="82"/>
      <c r="OSD184" s="82"/>
      <c r="OSE184" s="82"/>
      <c r="OSF184" s="82"/>
      <c r="OSG184" s="82"/>
      <c r="OSH184" s="82"/>
      <c r="OSI184" s="82"/>
      <c r="OSJ184" s="82"/>
      <c r="OSK184" s="82"/>
      <c r="OSL184" s="82"/>
      <c r="OSM184" s="82"/>
      <c r="OSN184" s="82"/>
      <c r="OSO184" s="82"/>
      <c r="OSP184" s="82"/>
      <c r="OSQ184" s="82"/>
      <c r="OSR184" s="82"/>
      <c r="OSS184" s="82"/>
      <c r="OST184" s="82"/>
      <c r="OSU184" s="82"/>
      <c r="OSV184" s="82"/>
      <c r="OSW184" s="82"/>
      <c r="OSX184" s="82"/>
      <c r="OSY184" s="82"/>
      <c r="OSZ184" s="82"/>
      <c r="OTA184" s="82"/>
      <c r="OTB184" s="82"/>
      <c r="OTC184" s="82"/>
      <c r="OTD184" s="82"/>
      <c r="OTE184" s="82"/>
      <c r="OTF184" s="82"/>
      <c r="OTG184" s="82"/>
      <c r="OTH184" s="82"/>
      <c r="OTI184" s="82"/>
      <c r="OTJ184" s="82"/>
      <c r="OTK184" s="82"/>
      <c r="OTL184" s="82"/>
      <c r="OTM184" s="82"/>
      <c r="OTN184" s="82"/>
      <c r="OTO184" s="82"/>
      <c r="OTP184" s="82"/>
      <c r="OTQ184" s="82"/>
      <c r="OTR184" s="82"/>
      <c r="OTS184" s="82"/>
      <c r="OTT184" s="82"/>
      <c r="OTU184" s="82"/>
      <c r="OTV184" s="82"/>
      <c r="OTW184" s="82"/>
      <c r="OTX184" s="82"/>
      <c r="OTY184" s="82"/>
      <c r="OTZ184" s="82"/>
      <c r="OUA184" s="82"/>
      <c r="OUB184" s="82"/>
      <c r="OUC184" s="82"/>
      <c r="OUD184" s="82"/>
      <c r="OUE184" s="82"/>
      <c r="OUF184" s="82"/>
      <c r="OUG184" s="82"/>
      <c r="OUH184" s="82"/>
      <c r="OUI184" s="82"/>
      <c r="OUJ184" s="82"/>
      <c r="OUK184" s="82"/>
      <c r="OUL184" s="82"/>
      <c r="OUM184" s="82"/>
      <c r="OUN184" s="82"/>
      <c r="OUO184" s="82"/>
      <c r="OUP184" s="82"/>
      <c r="OUQ184" s="82"/>
      <c r="OUR184" s="82"/>
      <c r="OUS184" s="82"/>
      <c r="OUT184" s="82"/>
      <c r="OUU184" s="82"/>
      <c r="OUV184" s="82"/>
      <c r="OUW184" s="82"/>
      <c r="OUX184" s="82"/>
      <c r="OUY184" s="82"/>
      <c r="OUZ184" s="82"/>
      <c r="OVA184" s="82"/>
      <c r="OVB184" s="82"/>
      <c r="OVC184" s="82"/>
      <c r="OVD184" s="82"/>
      <c r="OVE184" s="82"/>
      <c r="OVF184" s="82"/>
      <c r="OVG184" s="82"/>
      <c r="OVH184" s="82"/>
      <c r="OVI184" s="82"/>
      <c r="OVJ184" s="82"/>
      <c r="OVK184" s="82"/>
      <c r="OVL184" s="82"/>
      <c r="OVM184" s="82"/>
      <c r="OVN184" s="82"/>
      <c r="OVO184" s="82"/>
      <c r="OVP184" s="82"/>
      <c r="OVQ184" s="82"/>
      <c r="OVR184" s="82"/>
      <c r="OVS184" s="82"/>
      <c r="OVT184" s="82"/>
      <c r="OVU184" s="82"/>
      <c r="OVV184" s="82"/>
      <c r="OVW184" s="82"/>
      <c r="OVX184" s="82"/>
      <c r="OVY184" s="82"/>
      <c r="OVZ184" s="82"/>
      <c r="OWA184" s="82"/>
      <c r="OWB184" s="82"/>
      <c r="OWC184" s="82"/>
      <c r="OWD184" s="82"/>
      <c r="OWE184" s="82"/>
      <c r="OWF184" s="82"/>
      <c r="OWG184" s="82"/>
      <c r="OWH184" s="82"/>
      <c r="OWI184" s="82"/>
      <c r="OWJ184" s="82"/>
      <c r="OWK184" s="82"/>
      <c r="OWL184" s="82"/>
      <c r="OWM184" s="82"/>
      <c r="OWN184" s="82"/>
      <c r="OWO184" s="82"/>
      <c r="OWP184" s="82"/>
      <c r="OWQ184" s="82"/>
      <c r="OWR184" s="82"/>
      <c r="OWS184" s="82"/>
      <c r="OWT184" s="82"/>
      <c r="OWU184" s="82"/>
      <c r="OWV184" s="82"/>
      <c r="OWW184" s="82"/>
      <c r="OWX184" s="82"/>
      <c r="OWY184" s="82"/>
      <c r="OWZ184" s="82"/>
      <c r="OXA184" s="82"/>
      <c r="OXB184" s="82"/>
      <c r="OXC184" s="82"/>
      <c r="OXD184" s="82"/>
      <c r="OXE184" s="82"/>
      <c r="OXF184" s="82"/>
      <c r="OXG184" s="82"/>
      <c r="OXH184" s="82"/>
      <c r="OXI184" s="82"/>
      <c r="OXJ184" s="82"/>
      <c r="OXK184" s="82"/>
      <c r="OXL184" s="82"/>
      <c r="OXM184" s="82"/>
      <c r="OXN184" s="82"/>
      <c r="OXO184" s="82"/>
      <c r="OXP184" s="82"/>
      <c r="OXQ184" s="82"/>
      <c r="OXR184" s="82"/>
      <c r="OXS184" s="82"/>
      <c r="OXT184" s="82"/>
      <c r="OXU184" s="82"/>
      <c r="OXV184" s="82"/>
      <c r="OXW184" s="82"/>
      <c r="OXX184" s="82"/>
      <c r="OXY184" s="82"/>
      <c r="OXZ184" s="82"/>
      <c r="OYA184" s="82"/>
      <c r="OYB184" s="82"/>
      <c r="OYC184" s="82"/>
      <c r="OYD184" s="82"/>
      <c r="OYE184" s="82"/>
      <c r="OYF184" s="82"/>
      <c r="OYG184" s="82"/>
      <c r="OYH184" s="82"/>
      <c r="OYI184" s="82"/>
      <c r="OYJ184" s="82"/>
      <c r="OYK184" s="82"/>
      <c r="OYL184" s="82"/>
      <c r="OYM184" s="82"/>
      <c r="OYN184" s="82"/>
      <c r="OYO184" s="82"/>
      <c r="OYP184" s="82"/>
      <c r="OYQ184" s="82"/>
      <c r="OYR184" s="82"/>
      <c r="OYS184" s="82"/>
      <c r="OYT184" s="82"/>
      <c r="OYU184" s="82"/>
      <c r="OYV184" s="82"/>
      <c r="OYW184" s="82"/>
      <c r="OYX184" s="82"/>
      <c r="OYY184" s="82"/>
      <c r="OYZ184" s="82"/>
      <c r="OZA184" s="82"/>
      <c r="OZB184" s="82"/>
      <c r="OZC184" s="82"/>
      <c r="OZD184" s="82"/>
      <c r="OZE184" s="82"/>
      <c r="OZF184" s="82"/>
      <c r="OZG184" s="82"/>
      <c r="OZH184" s="82"/>
      <c r="OZI184" s="82"/>
      <c r="OZJ184" s="82"/>
      <c r="OZK184" s="82"/>
      <c r="OZL184" s="82"/>
      <c r="OZM184" s="82"/>
      <c r="OZN184" s="82"/>
      <c r="OZO184" s="82"/>
      <c r="OZP184" s="82"/>
      <c r="OZQ184" s="82"/>
      <c r="OZR184" s="82"/>
      <c r="OZS184" s="82"/>
      <c r="OZT184" s="82"/>
      <c r="OZU184" s="82"/>
      <c r="OZV184" s="82"/>
      <c r="OZW184" s="82"/>
      <c r="OZX184" s="82"/>
      <c r="OZY184" s="82"/>
      <c r="OZZ184" s="82"/>
      <c r="PAA184" s="82"/>
      <c r="PAB184" s="82"/>
      <c r="PAC184" s="82"/>
      <c r="PAD184" s="82"/>
      <c r="PAE184" s="82"/>
      <c r="PAF184" s="82"/>
      <c r="PAG184" s="82"/>
      <c r="PAH184" s="82"/>
      <c r="PAI184" s="82"/>
      <c r="PAJ184" s="82"/>
      <c r="PAK184" s="82"/>
      <c r="PAL184" s="82"/>
      <c r="PAM184" s="82"/>
      <c r="PAN184" s="82"/>
      <c r="PAO184" s="82"/>
      <c r="PAP184" s="82"/>
      <c r="PAQ184" s="82"/>
      <c r="PAR184" s="82"/>
      <c r="PAS184" s="82"/>
      <c r="PAT184" s="82"/>
      <c r="PAU184" s="82"/>
      <c r="PAV184" s="82"/>
      <c r="PAW184" s="82"/>
      <c r="PAX184" s="82"/>
      <c r="PAY184" s="82"/>
      <c r="PAZ184" s="82"/>
      <c r="PBA184" s="82"/>
      <c r="PBB184" s="82"/>
      <c r="PBC184" s="82"/>
      <c r="PBD184" s="82"/>
      <c r="PBE184" s="82"/>
      <c r="PBF184" s="82"/>
      <c r="PBG184" s="82"/>
      <c r="PBH184" s="82"/>
      <c r="PBI184" s="82"/>
      <c r="PBJ184" s="82"/>
      <c r="PBK184" s="82"/>
      <c r="PBL184" s="82"/>
      <c r="PBM184" s="82"/>
      <c r="PBN184" s="82"/>
      <c r="PBO184" s="82"/>
      <c r="PBP184" s="82"/>
      <c r="PBQ184" s="82"/>
      <c r="PBR184" s="82"/>
      <c r="PBS184" s="82"/>
      <c r="PBT184" s="82"/>
      <c r="PBU184" s="82"/>
      <c r="PBV184" s="82"/>
      <c r="PBW184" s="82"/>
      <c r="PBX184" s="82"/>
      <c r="PBY184" s="82"/>
      <c r="PBZ184" s="82"/>
      <c r="PCA184" s="82"/>
      <c r="PCB184" s="82"/>
      <c r="PCC184" s="82"/>
      <c r="PCD184" s="82"/>
      <c r="PCE184" s="82"/>
      <c r="PCF184" s="82"/>
      <c r="PCG184" s="82"/>
      <c r="PCH184" s="82"/>
      <c r="PCI184" s="82"/>
      <c r="PCJ184" s="82"/>
      <c r="PCK184" s="82"/>
      <c r="PCL184" s="82"/>
      <c r="PCM184" s="82"/>
      <c r="PCN184" s="82"/>
      <c r="PCO184" s="82"/>
      <c r="PCP184" s="82"/>
      <c r="PCQ184" s="82"/>
      <c r="PCR184" s="82"/>
      <c r="PCS184" s="82"/>
      <c r="PCT184" s="82"/>
      <c r="PCU184" s="82"/>
      <c r="PCV184" s="82"/>
      <c r="PCW184" s="82"/>
      <c r="PCX184" s="82"/>
      <c r="PCY184" s="82"/>
      <c r="PCZ184" s="82"/>
      <c r="PDA184" s="82"/>
      <c r="PDB184" s="82"/>
      <c r="PDC184" s="82"/>
      <c r="PDD184" s="82"/>
      <c r="PDE184" s="82"/>
      <c r="PDF184" s="82"/>
      <c r="PDG184" s="82"/>
      <c r="PDH184" s="82"/>
      <c r="PDI184" s="82"/>
      <c r="PDJ184" s="82"/>
      <c r="PDK184" s="82"/>
      <c r="PDL184" s="82"/>
      <c r="PDM184" s="82"/>
      <c r="PDN184" s="82"/>
      <c r="PDO184" s="82"/>
      <c r="PDP184" s="82"/>
      <c r="PDQ184" s="82"/>
      <c r="PDR184" s="82"/>
      <c r="PDS184" s="82"/>
      <c r="PDT184" s="82"/>
      <c r="PDU184" s="82"/>
      <c r="PDV184" s="82"/>
      <c r="PDW184" s="82"/>
      <c r="PDX184" s="82"/>
      <c r="PDY184" s="82"/>
      <c r="PDZ184" s="82"/>
      <c r="PEA184" s="82"/>
      <c r="PEB184" s="82"/>
      <c r="PEC184" s="82"/>
      <c r="PED184" s="82"/>
      <c r="PEE184" s="82"/>
      <c r="PEF184" s="82"/>
      <c r="PEG184" s="82"/>
      <c r="PEH184" s="82"/>
      <c r="PEI184" s="82"/>
      <c r="PEJ184" s="82"/>
      <c r="PEK184" s="82"/>
      <c r="PEL184" s="82"/>
      <c r="PEM184" s="82"/>
      <c r="PEN184" s="82"/>
      <c r="PEO184" s="82"/>
      <c r="PEP184" s="82"/>
      <c r="PEQ184" s="82"/>
      <c r="PER184" s="82"/>
      <c r="PES184" s="82"/>
      <c r="PET184" s="82"/>
      <c r="PEU184" s="82"/>
      <c r="PEV184" s="82"/>
      <c r="PEW184" s="82"/>
      <c r="PEX184" s="82"/>
      <c r="PEY184" s="82"/>
      <c r="PEZ184" s="82"/>
      <c r="PFA184" s="82"/>
      <c r="PFB184" s="82"/>
      <c r="PFC184" s="82"/>
      <c r="PFD184" s="82"/>
      <c r="PFE184" s="82"/>
      <c r="PFF184" s="82"/>
      <c r="PFG184" s="82"/>
      <c r="PFH184" s="82"/>
      <c r="PFI184" s="82"/>
      <c r="PFJ184" s="82"/>
      <c r="PFK184" s="82"/>
      <c r="PFL184" s="82"/>
      <c r="PFM184" s="82"/>
      <c r="PFN184" s="82"/>
      <c r="PFO184" s="82"/>
      <c r="PFP184" s="82"/>
      <c r="PFQ184" s="82"/>
      <c r="PFR184" s="82"/>
      <c r="PFS184" s="82"/>
      <c r="PFT184" s="82"/>
      <c r="PFU184" s="82"/>
      <c r="PFV184" s="82"/>
      <c r="PFW184" s="82"/>
      <c r="PFX184" s="82"/>
      <c r="PFY184" s="82"/>
      <c r="PFZ184" s="82"/>
      <c r="PGA184" s="82"/>
      <c r="PGB184" s="82"/>
      <c r="PGC184" s="82"/>
      <c r="PGD184" s="82"/>
      <c r="PGE184" s="82"/>
      <c r="PGF184" s="82"/>
      <c r="PGG184" s="82"/>
      <c r="PGH184" s="82"/>
      <c r="PGI184" s="82"/>
      <c r="PGJ184" s="82"/>
      <c r="PGK184" s="82"/>
      <c r="PGL184" s="82"/>
      <c r="PGM184" s="82"/>
      <c r="PGN184" s="82"/>
      <c r="PGO184" s="82"/>
      <c r="PGP184" s="82"/>
      <c r="PGQ184" s="82"/>
      <c r="PGR184" s="82"/>
      <c r="PGS184" s="82"/>
      <c r="PGT184" s="82"/>
      <c r="PGU184" s="82"/>
      <c r="PGV184" s="82"/>
      <c r="PGW184" s="82"/>
      <c r="PGX184" s="82"/>
      <c r="PGY184" s="82"/>
      <c r="PGZ184" s="82"/>
      <c r="PHA184" s="82"/>
      <c r="PHB184" s="82"/>
      <c r="PHC184" s="82"/>
      <c r="PHD184" s="82"/>
      <c r="PHE184" s="82"/>
      <c r="PHF184" s="82"/>
      <c r="PHG184" s="82"/>
      <c r="PHH184" s="82"/>
      <c r="PHI184" s="82"/>
      <c r="PHJ184" s="82"/>
      <c r="PHK184" s="82"/>
      <c r="PHL184" s="82"/>
      <c r="PHM184" s="82"/>
      <c r="PHN184" s="82"/>
      <c r="PHO184" s="82"/>
      <c r="PHP184" s="82"/>
      <c r="PHQ184" s="82"/>
      <c r="PHR184" s="82"/>
      <c r="PHS184" s="82"/>
      <c r="PHT184" s="82"/>
      <c r="PHU184" s="82"/>
      <c r="PHV184" s="82"/>
      <c r="PHW184" s="82"/>
      <c r="PHX184" s="82"/>
      <c r="PHY184" s="82"/>
      <c r="PHZ184" s="82"/>
      <c r="PIA184" s="82"/>
      <c r="PIB184" s="82"/>
      <c r="PIC184" s="82"/>
      <c r="PID184" s="82"/>
      <c r="PIE184" s="82"/>
      <c r="PIF184" s="82"/>
      <c r="PIG184" s="82"/>
      <c r="PIH184" s="82"/>
      <c r="PII184" s="82"/>
      <c r="PIJ184" s="82"/>
      <c r="PIK184" s="82"/>
      <c r="PIL184" s="82"/>
      <c r="PIM184" s="82"/>
      <c r="PIN184" s="82"/>
      <c r="PIO184" s="82"/>
      <c r="PIP184" s="82"/>
      <c r="PIQ184" s="82"/>
      <c r="PIR184" s="82"/>
      <c r="PIS184" s="82"/>
      <c r="PIT184" s="82"/>
      <c r="PIU184" s="82"/>
      <c r="PIV184" s="82"/>
      <c r="PIW184" s="82"/>
      <c r="PIX184" s="82"/>
      <c r="PIY184" s="82"/>
      <c r="PIZ184" s="82"/>
      <c r="PJA184" s="82"/>
      <c r="PJB184" s="82"/>
      <c r="PJC184" s="82"/>
      <c r="PJD184" s="82"/>
      <c r="PJE184" s="82"/>
      <c r="PJF184" s="82"/>
      <c r="PJG184" s="82"/>
      <c r="PJH184" s="82"/>
      <c r="PJI184" s="82"/>
      <c r="PJJ184" s="82"/>
      <c r="PJK184" s="82"/>
      <c r="PJL184" s="82"/>
      <c r="PJM184" s="82"/>
      <c r="PJN184" s="82"/>
      <c r="PJO184" s="82"/>
      <c r="PJP184" s="82"/>
      <c r="PJQ184" s="82"/>
      <c r="PJR184" s="82"/>
      <c r="PJS184" s="82"/>
      <c r="PJT184" s="82"/>
      <c r="PJU184" s="82"/>
      <c r="PJV184" s="82"/>
      <c r="PJW184" s="82"/>
      <c r="PJX184" s="82"/>
      <c r="PJY184" s="82"/>
      <c r="PJZ184" s="82"/>
      <c r="PKA184" s="82"/>
      <c r="PKB184" s="82"/>
      <c r="PKC184" s="82"/>
      <c r="PKD184" s="82"/>
      <c r="PKE184" s="82"/>
      <c r="PKF184" s="82"/>
      <c r="PKG184" s="82"/>
      <c r="PKH184" s="82"/>
      <c r="PKI184" s="82"/>
      <c r="PKJ184" s="82"/>
      <c r="PKK184" s="82"/>
      <c r="PKL184" s="82"/>
      <c r="PKM184" s="82"/>
      <c r="PKN184" s="82"/>
      <c r="PKO184" s="82"/>
      <c r="PKP184" s="82"/>
      <c r="PKQ184" s="82"/>
      <c r="PKR184" s="82"/>
      <c r="PKS184" s="82"/>
      <c r="PKT184" s="82"/>
      <c r="PKU184" s="82"/>
      <c r="PKV184" s="82"/>
      <c r="PKW184" s="82"/>
      <c r="PKX184" s="82"/>
      <c r="PKY184" s="82"/>
      <c r="PKZ184" s="82"/>
      <c r="PLA184" s="82"/>
      <c r="PLB184" s="82"/>
      <c r="PLC184" s="82"/>
      <c r="PLD184" s="82"/>
      <c r="PLE184" s="82"/>
      <c r="PLF184" s="82"/>
      <c r="PLG184" s="82"/>
      <c r="PLH184" s="82"/>
      <c r="PLI184" s="82"/>
      <c r="PLJ184" s="82"/>
      <c r="PLK184" s="82"/>
      <c r="PLL184" s="82"/>
      <c r="PLM184" s="82"/>
      <c r="PLN184" s="82"/>
      <c r="PLO184" s="82"/>
      <c r="PLP184" s="82"/>
      <c r="PLQ184" s="82"/>
      <c r="PLR184" s="82"/>
      <c r="PLS184" s="82"/>
      <c r="PLT184" s="82"/>
      <c r="PLU184" s="82"/>
      <c r="PLV184" s="82"/>
      <c r="PLW184" s="82"/>
      <c r="PLX184" s="82"/>
      <c r="PLY184" s="82"/>
      <c r="PLZ184" s="82"/>
      <c r="PMA184" s="82"/>
      <c r="PMB184" s="82"/>
      <c r="PMC184" s="82"/>
      <c r="PMD184" s="82"/>
      <c r="PME184" s="82"/>
      <c r="PMF184" s="82"/>
      <c r="PMG184" s="82"/>
      <c r="PMH184" s="82"/>
      <c r="PMI184" s="82"/>
      <c r="PMJ184" s="82"/>
      <c r="PMK184" s="82"/>
      <c r="PML184" s="82"/>
      <c r="PMM184" s="82"/>
      <c r="PMN184" s="82"/>
      <c r="PMO184" s="82"/>
      <c r="PMP184" s="82"/>
      <c r="PMQ184" s="82"/>
      <c r="PMR184" s="82"/>
      <c r="PMS184" s="82"/>
      <c r="PMT184" s="82"/>
      <c r="PMU184" s="82"/>
      <c r="PMV184" s="82"/>
      <c r="PMW184" s="82"/>
      <c r="PMX184" s="82"/>
      <c r="PMY184" s="82"/>
      <c r="PMZ184" s="82"/>
      <c r="PNA184" s="82"/>
      <c r="PNB184" s="82"/>
      <c r="PNC184" s="82"/>
      <c r="PND184" s="82"/>
      <c r="PNE184" s="82"/>
      <c r="PNF184" s="82"/>
      <c r="PNG184" s="82"/>
      <c r="PNH184" s="82"/>
      <c r="PNI184" s="82"/>
      <c r="PNJ184" s="82"/>
      <c r="PNK184" s="82"/>
      <c r="PNL184" s="82"/>
      <c r="PNM184" s="82"/>
      <c r="PNN184" s="82"/>
      <c r="PNO184" s="82"/>
      <c r="PNP184" s="82"/>
      <c r="PNQ184" s="82"/>
      <c r="PNR184" s="82"/>
      <c r="PNS184" s="82"/>
      <c r="PNT184" s="82"/>
      <c r="PNU184" s="82"/>
      <c r="PNV184" s="82"/>
      <c r="PNW184" s="82"/>
      <c r="PNX184" s="82"/>
      <c r="PNY184" s="82"/>
      <c r="PNZ184" s="82"/>
      <c r="POA184" s="82"/>
      <c r="POB184" s="82"/>
      <c r="POC184" s="82"/>
      <c r="POD184" s="82"/>
      <c r="POE184" s="82"/>
      <c r="POF184" s="82"/>
      <c r="POG184" s="82"/>
      <c r="POH184" s="82"/>
      <c r="POI184" s="82"/>
      <c r="POJ184" s="82"/>
      <c r="POK184" s="82"/>
      <c r="POL184" s="82"/>
      <c r="POM184" s="82"/>
      <c r="PON184" s="82"/>
      <c r="POO184" s="82"/>
      <c r="POP184" s="82"/>
      <c r="POQ184" s="82"/>
      <c r="POR184" s="82"/>
      <c r="POS184" s="82"/>
      <c r="POT184" s="82"/>
      <c r="POU184" s="82"/>
      <c r="POV184" s="82"/>
      <c r="POW184" s="82"/>
      <c r="POX184" s="82"/>
      <c r="POY184" s="82"/>
      <c r="POZ184" s="82"/>
      <c r="PPA184" s="82"/>
      <c r="PPB184" s="82"/>
      <c r="PPC184" s="82"/>
      <c r="PPD184" s="82"/>
      <c r="PPE184" s="82"/>
      <c r="PPF184" s="82"/>
      <c r="PPG184" s="82"/>
      <c r="PPH184" s="82"/>
      <c r="PPI184" s="82"/>
      <c r="PPJ184" s="82"/>
      <c r="PPK184" s="82"/>
      <c r="PPL184" s="82"/>
      <c r="PPM184" s="82"/>
      <c r="PPN184" s="82"/>
      <c r="PPO184" s="82"/>
      <c r="PPP184" s="82"/>
      <c r="PPQ184" s="82"/>
      <c r="PPR184" s="82"/>
      <c r="PPS184" s="82"/>
      <c r="PPT184" s="82"/>
      <c r="PPU184" s="82"/>
      <c r="PPV184" s="82"/>
      <c r="PPW184" s="82"/>
      <c r="PPX184" s="82"/>
      <c r="PPY184" s="82"/>
      <c r="PPZ184" s="82"/>
      <c r="PQA184" s="82"/>
      <c r="PQB184" s="82"/>
      <c r="PQC184" s="82"/>
      <c r="PQD184" s="82"/>
      <c r="PQE184" s="82"/>
      <c r="PQF184" s="82"/>
      <c r="PQG184" s="82"/>
      <c r="PQH184" s="82"/>
      <c r="PQI184" s="82"/>
      <c r="PQJ184" s="82"/>
      <c r="PQK184" s="82"/>
      <c r="PQL184" s="82"/>
      <c r="PQM184" s="82"/>
      <c r="PQN184" s="82"/>
      <c r="PQO184" s="82"/>
      <c r="PQP184" s="82"/>
      <c r="PQQ184" s="82"/>
      <c r="PQR184" s="82"/>
      <c r="PQS184" s="82"/>
      <c r="PQT184" s="82"/>
      <c r="PQU184" s="82"/>
      <c r="PQV184" s="82"/>
      <c r="PQW184" s="82"/>
      <c r="PQX184" s="82"/>
      <c r="PQY184" s="82"/>
      <c r="PQZ184" s="82"/>
      <c r="PRA184" s="82"/>
      <c r="PRB184" s="82"/>
      <c r="PRC184" s="82"/>
      <c r="PRD184" s="82"/>
      <c r="PRE184" s="82"/>
      <c r="PRF184" s="82"/>
      <c r="PRG184" s="82"/>
      <c r="PRH184" s="82"/>
      <c r="PRI184" s="82"/>
      <c r="PRJ184" s="82"/>
      <c r="PRK184" s="82"/>
      <c r="PRL184" s="82"/>
      <c r="PRM184" s="82"/>
      <c r="PRN184" s="82"/>
      <c r="PRO184" s="82"/>
      <c r="PRP184" s="82"/>
      <c r="PRQ184" s="82"/>
      <c r="PRR184" s="82"/>
      <c r="PRS184" s="82"/>
      <c r="PRT184" s="82"/>
      <c r="PRU184" s="82"/>
      <c r="PRV184" s="82"/>
      <c r="PRW184" s="82"/>
      <c r="PRX184" s="82"/>
      <c r="PRY184" s="82"/>
      <c r="PRZ184" s="82"/>
      <c r="PSA184" s="82"/>
      <c r="PSB184" s="82"/>
      <c r="PSC184" s="82"/>
      <c r="PSD184" s="82"/>
      <c r="PSE184" s="82"/>
      <c r="PSF184" s="82"/>
      <c r="PSG184" s="82"/>
      <c r="PSH184" s="82"/>
      <c r="PSI184" s="82"/>
      <c r="PSJ184" s="82"/>
      <c r="PSK184" s="82"/>
      <c r="PSL184" s="82"/>
      <c r="PSM184" s="82"/>
      <c r="PSN184" s="82"/>
      <c r="PSO184" s="82"/>
      <c r="PSP184" s="82"/>
      <c r="PSQ184" s="82"/>
      <c r="PSR184" s="82"/>
      <c r="PSS184" s="82"/>
      <c r="PST184" s="82"/>
      <c r="PSU184" s="82"/>
      <c r="PSV184" s="82"/>
      <c r="PSW184" s="82"/>
      <c r="PSX184" s="82"/>
      <c r="PSY184" s="82"/>
      <c r="PSZ184" s="82"/>
      <c r="PTA184" s="82"/>
      <c r="PTB184" s="82"/>
      <c r="PTC184" s="82"/>
      <c r="PTD184" s="82"/>
      <c r="PTE184" s="82"/>
      <c r="PTF184" s="82"/>
      <c r="PTG184" s="82"/>
      <c r="PTH184" s="82"/>
      <c r="PTI184" s="82"/>
      <c r="PTJ184" s="82"/>
      <c r="PTK184" s="82"/>
      <c r="PTL184" s="82"/>
      <c r="PTM184" s="82"/>
      <c r="PTN184" s="82"/>
      <c r="PTO184" s="82"/>
      <c r="PTP184" s="82"/>
      <c r="PTQ184" s="82"/>
      <c r="PTR184" s="82"/>
      <c r="PTS184" s="82"/>
      <c r="PTT184" s="82"/>
      <c r="PTU184" s="82"/>
      <c r="PTV184" s="82"/>
      <c r="PTW184" s="82"/>
      <c r="PTX184" s="82"/>
      <c r="PTY184" s="82"/>
      <c r="PTZ184" s="82"/>
      <c r="PUA184" s="82"/>
      <c r="PUB184" s="82"/>
      <c r="PUC184" s="82"/>
      <c r="PUD184" s="82"/>
      <c r="PUE184" s="82"/>
      <c r="PUF184" s="82"/>
      <c r="PUG184" s="82"/>
      <c r="PUH184" s="82"/>
      <c r="PUI184" s="82"/>
      <c r="PUJ184" s="82"/>
      <c r="PUK184" s="82"/>
      <c r="PUL184" s="82"/>
      <c r="PUM184" s="82"/>
      <c r="PUN184" s="82"/>
      <c r="PUO184" s="82"/>
      <c r="PUP184" s="82"/>
      <c r="PUQ184" s="82"/>
      <c r="PUR184" s="82"/>
      <c r="PUS184" s="82"/>
      <c r="PUT184" s="82"/>
      <c r="PUU184" s="82"/>
      <c r="PUV184" s="82"/>
      <c r="PUW184" s="82"/>
      <c r="PUX184" s="82"/>
      <c r="PUY184" s="82"/>
      <c r="PUZ184" s="82"/>
      <c r="PVA184" s="82"/>
      <c r="PVB184" s="82"/>
      <c r="PVC184" s="82"/>
      <c r="PVD184" s="82"/>
      <c r="PVE184" s="82"/>
      <c r="PVF184" s="82"/>
      <c r="PVG184" s="82"/>
      <c r="PVH184" s="82"/>
      <c r="PVI184" s="82"/>
      <c r="PVJ184" s="82"/>
      <c r="PVK184" s="82"/>
      <c r="PVL184" s="82"/>
      <c r="PVM184" s="82"/>
      <c r="PVN184" s="82"/>
      <c r="PVO184" s="82"/>
      <c r="PVP184" s="82"/>
      <c r="PVQ184" s="82"/>
      <c r="PVR184" s="82"/>
      <c r="PVS184" s="82"/>
      <c r="PVT184" s="82"/>
      <c r="PVU184" s="82"/>
      <c r="PVV184" s="82"/>
      <c r="PVW184" s="82"/>
      <c r="PVX184" s="82"/>
      <c r="PVY184" s="82"/>
      <c r="PVZ184" s="82"/>
      <c r="PWA184" s="82"/>
      <c r="PWB184" s="82"/>
      <c r="PWC184" s="82"/>
      <c r="PWD184" s="82"/>
      <c r="PWE184" s="82"/>
      <c r="PWF184" s="82"/>
      <c r="PWG184" s="82"/>
      <c r="PWH184" s="82"/>
      <c r="PWI184" s="82"/>
      <c r="PWJ184" s="82"/>
      <c r="PWK184" s="82"/>
      <c r="PWL184" s="82"/>
      <c r="PWM184" s="82"/>
      <c r="PWN184" s="82"/>
      <c r="PWO184" s="82"/>
      <c r="PWP184" s="82"/>
      <c r="PWQ184" s="82"/>
      <c r="PWR184" s="82"/>
      <c r="PWS184" s="82"/>
      <c r="PWT184" s="82"/>
      <c r="PWU184" s="82"/>
      <c r="PWV184" s="82"/>
      <c r="PWW184" s="82"/>
      <c r="PWX184" s="82"/>
      <c r="PWY184" s="82"/>
      <c r="PWZ184" s="82"/>
      <c r="PXA184" s="82"/>
      <c r="PXB184" s="82"/>
      <c r="PXC184" s="82"/>
      <c r="PXD184" s="82"/>
      <c r="PXE184" s="82"/>
      <c r="PXF184" s="82"/>
      <c r="PXG184" s="82"/>
      <c r="PXH184" s="82"/>
      <c r="PXI184" s="82"/>
      <c r="PXJ184" s="82"/>
      <c r="PXK184" s="82"/>
      <c r="PXL184" s="82"/>
      <c r="PXM184" s="82"/>
      <c r="PXN184" s="82"/>
      <c r="PXO184" s="82"/>
      <c r="PXP184" s="82"/>
      <c r="PXQ184" s="82"/>
      <c r="PXR184" s="82"/>
      <c r="PXS184" s="82"/>
      <c r="PXT184" s="82"/>
      <c r="PXU184" s="82"/>
      <c r="PXV184" s="82"/>
      <c r="PXW184" s="82"/>
      <c r="PXX184" s="82"/>
      <c r="PXY184" s="82"/>
      <c r="PXZ184" s="82"/>
      <c r="PYA184" s="82"/>
      <c r="PYB184" s="82"/>
      <c r="PYC184" s="82"/>
      <c r="PYD184" s="82"/>
      <c r="PYE184" s="82"/>
      <c r="PYF184" s="82"/>
      <c r="PYG184" s="82"/>
      <c r="PYH184" s="82"/>
      <c r="PYI184" s="82"/>
      <c r="PYJ184" s="82"/>
      <c r="PYK184" s="82"/>
      <c r="PYL184" s="82"/>
      <c r="PYM184" s="82"/>
      <c r="PYN184" s="82"/>
      <c r="PYO184" s="82"/>
      <c r="PYP184" s="82"/>
      <c r="PYQ184" s="82"/>
      <c r="PYR184" s="82"/>
      <c r="PYS184" s="82"/>
      <c r="PYT184" s="82"/>
      <c r="PYU184" s="82"/>
      <c r="PYV184" s="82"/>
      <c r="PYW184" s="82"/>
      <c r="PYX184" s="82"/>
      <c r="PYY184" s="82"/>
      <c r="PYZ184" s="82"/>
      <c r="PZA184" s="82"/>
      <c r="PZB184" s="82"/>
      <c r="PZC184" s="82"/>
      <c r="PZD184" s="82"/>
      <c r="PZE184" s="82"/>
      <c r="PZF184" s="82"/>
      <c r="PZG184" s="82"/>
      <c r="PZH184" s="82"/>
      <c r="PZI184" s="82"/>
      <c r="PZJ184" s="82"/>
      <c r="PZK184" s="82"/>
      <c r="PZL184" s="82"/>
      <c r="PZM184" s="82"/>
      <c r="PZN184" s="82"/>
      <c r="PZO184" s="82"/>
      <c r="PZP184" s="82"/>
      <c r="PZQ184" s="82"/>
      <c r="PZR184" s="82"/>
      <c r="PZS184" s="82"/>
      <c r="PZT184" s="82"/>
      <c r="PZU184" s="82"/>
      <c r="PZV184" s="82"/>
      <c r="PZW184" s="82"/>
      <c r="PZX184" s="82"/>
      <c r="PZY184" s="82"/>
      <c r="PZZ184" s="82"/>
      <c r="QAA184" s="82"/>
      <c r="QAB184" s="82"/>
      <c r="QAC184" s="82"/>
      <c r="QAD184" s="82"/>
      <c r="QAE184" s="82"/>
      <c r="QAF184" s="82"/>
      <c r="QAG184" s="82"/>
      <c r="QAH184" s="82"/>
      <c r="QAI184" s="82"/>
      <c r="QAJ184" s="82"/>
      <c r="QAK184" s="82"/>
      <c r="QAL184" s="82"/>
      <c r="QAM184" s="82"/>
      <c r="QAN184" s="82"/>
      <c r="QAO184" s="82"/>
      <c r="QAP184" s="82"/>
      <c r="QAQ184" s="82"/>
      <c r="QAR184" s="82"/>
      <c r="QAS184" s="82"/>
      <c r="QAT184" s="82"/>
      <c r="QAU184" s="82"/>
      <c r="QAV184" s="82"/>
      <c r="QAW184" s="82"/>
      <c r="QAX184" s="82"/>
      <c r="QAY184" s="82"/>
      <c r="QAZ184" s="82"/>
      <c r="QBA184" s="82"/>
      <c r="QBB184" s="82"/>
      <c r="QBC184" s="82"/>
      <c r="QBD184" s="82"/>
      <c r="QBE184" s="82"/>
      <c r="QBF184" s="82"/>
      <c r="QBG184" s="82"/>
      <c r="QBH184" s="82"/>
      <c r="QBI184" s="82"/>
      <c r="QBJ184" s="82"/>
      <c r="QBK184" s="82"/>
      <c r="QBL184" s="82"/>
      <c r="QBM184" s="82"/>
      <c r="QBN184" s="82"/>
      <c r="QBO184" s="82"/>
      <c r="QBP184" s="82"/>
      <c r="QBQ184" s="82"/>
      <c r="QBR184" s="82"/>
      <c r="QBS184" s="82"/>
      <c r="QBT184" s="82"/>
      <c r="QBU184" s="82"/>
      <c r="QBV184" s="82"/>
      <c r="QBW184" s="82"/>
      <c r="QBX184" s="82"/>
      <c r="QBY184" s="82"/>
      <c r="QBZ184" s="82"/>
      <c r="QCA184" s="82"/>
      <c r="QCB184" s="82"/>
      <c r="QCC184" s="82"/>
      <c r="QCD184" s="82"/>
      <c r="QCE184" s="82"/>
      <c r="QCF184" s="82"/>
      <c r="QCG184" s="82"/>
      <c r="QCH184" s="82"/>
      <c r="QCI184" s="82"/>
      <c r="QCJ184" s="82"/>
      <c r="QCK184" s="82"/>
      <c r="QCL184" s="82"/>
      <c r="QCM184" s="82"/>
      <c r="QCN184" s="82"/>
      <c r="QCO184" s="82"/>
      <c r="QCP184" s="82"/>
      <c r="QCQ184" s="82"/>
      <c r="QCR184" s="82"/>
      <c r="QCS184" s="82"/>
      <c r="QCT184" s="82"/>
      <c r="QCU184" s="82"/>
      <c r="QCV184" s="82"/>
      <c r="QCW184" s="82"/>
      <c r="QCX184" s="82"/>
      <c r="QCY184" s="82"/>
      <c r="QCZ184" s="82"/>
      <c r="QDA184" s="82"/>
      <c r="QDB184" s="82"/>
      <c r="QDC184" s="82"/>
      <c r="QDD184" s="82"/>
      <c r="QDE184" s="82"/>
      <c r="QDF184" s="82"/>
      <c r="QDG184" s="82"/>
      <c r="QDH184" s="82"/>
      <c r="QDI184" s="82"/>
      <c r="QDJ184" s="82"/>
      <c r="QDK184" s="82"/>
      <c r="QDL184" s="82"/>
      <c r="QDM184" s="82"/>
      <c r="QDN184" s="82"/>
      <c r="QDO184" s="82"/>
      <c r="QDP184" s="82"/>
      <c r="QDQ184" s="82"/>
      <c r="QDR184" s="82"/>
      <c r="QDS184" s="82"/>
      <c r="QDT184" s="82"/>
      <c r="QDU184" s="82"/>
      <c r="QDV184" s="82"/>
      <c r="QDW184" s="82"/>
      <c r="QDX184" s="82"/>
      <c r="QDY184" s="82"/>
      <c r="QDZ184" s="82"/>
      <c r="QEA184" s="82"/>
      <c r="QEB184" s="82"/>
      <c r="QEC184" s="82"/>
      <c r="QED184" s="82"/>
      <c r="QEE184" s="82"/>
      <c r="QEF184" s="82"/>
      <c r="QEG184" s="82"/>
      <c r="QEH184" s="82"/>
      <c r="QEI184" s="82"/>
      <c r="QEJ184" s="82"/>
      <c r="QEK184" s="82"/>
      <c r="QEL184" s="82"/>
      <c r="QEM184" s="82"/>
      <c r="QEN184" s="82"/>
      <c r="QEO184" s="82"/>
      <c r="QEP184" s="82"/>
      <c r="QEQ184" s="82"/>
      <c r="QER184" s="82"/>
      <c r="QES184" s="82"/>
      <c r="QET184" s="82"/>
      <c r="QEU184" s="82"/>
      <c r="QEV184" s="82"/>
      <c r="QEW184" s="82"/>
      <c r="QEX184" s="82"/>
      <c r="QEY184" s="82"/>
      <c r="QEZ184" s="82"/>
      <c r="QFA184" s="82"/>
      <c r="QFB184" s="82"/>
      <c r="QFC184" s="82"/>
      <c r="QFD184" s="82"/>
      <c r="QFE184" s="82"/>
      <c r="QFF184" s="82"/>
      <c r="QFG184" s="82"/>
      <c r="QFH184" s="82"/>
      <c r="QFI184" s="82"/>
      <c r="QFJ184" s="82"/>
      <c r="QFK184" s="82"/>
      <c r="QFL184" s="82"/>
      <c r="QFM184" s="82"/>
      <c r="QFN184" s="82"/>
      <c r="QFO184" s="82"/>
      <c r="QFP184" s="82"/>
      <c r="QFQ184" s="82"/>
      <c r="QFR184" s="82"/>
      <c r="QFS184" s="82"/>
      <c r="QFT184" s="82"/>
      <c r="QFU184" s="82"/>
      <c r="QFV184" s="82"/>
      <c r="QFW184" s="82"/>
      <c r="QFX184" s="82"/>
      <c r="QFY184" s="82"/>
      <c r="QFZ184" s="82"/>
      <c r="QGA184" s="82"/>
      <c r="QGB184" s="82"/>
      <c r="QGC184" s="82"/>
      <c r="QGD184" s="82"/>
      <c r="QGE184" s="82"/>
      <c r="QGF184" s="82"/>
      <c r="QGG184" s="82"/>
      <c r="QGH184" s="82"/>
      <c r="QGI184" s="82"/>
      <c r="QGJ184" s="82"/>
      <c r="QGK184" s="82"/>
      <c r="QGL184" s="82"/>
      <c r="QGM184" s="82"/>
      <c r="QGN184" s="82"/>
      <c r="QGO184" s="82"/>
      <c r="QGP184" s="82"/>
      <c r="QGQ184" s="82"/>
      <c r="QGR184" s="82"/>
      <c r="QGS184" s="82"/>
      <c r="QGT184" s="82"/>
      <c r="QGU184" s="82"/>
      <c r="QGV184" s="82"/>
      <c r="QGW184" s="82"/>
      <c r="QGX184" s="82"/>
      <c r="QGY184" s="82"/>
      <c r="QGZ184" s="82"/>
      <c r="QHA184" s="82"/>
      <c r="QHB184" s="82"/>
      <c r="QHC184" s="82"/>
      <c r="QHD184" s="82"/>
      <c r="QHE184" s="82"/>
      <c r="QHF184" s="82"/>
      <c r="QHG184" s="82"/>
      <c r="QHH184" s="82"/>
      <c r="QHI184" s="82"/>
      <c r="QHJ184" s="82"/>
      <c r="QHK184" s="82"/>
      <c r="QHL184" s="82"/>
      <c r="QHM184" s="82"/>
      <c r="QHN184" s="82"/>
      <c r="QHO184" s="82"/>
      <c r="QHP184" s="82"/>
      <c r="QHQ184" s="82"/>
      <c r="QHR184" s="82"/>
      <c r="QHS184" s="82"/>
      <c r="QHT184" s="82"/>
      <c r="QHU184" s="82"/>
      <c r="QHV184" s="82"/>
      <c r="QHW184" s="82"/>
      <c r="QHX184" s="82"/>
      <c r="QHY184" s="82"/>
      <c r="QHZ184" s="82"/>
      <c r="QIA184" s="82"/>
      <c r="QIB184" s="82"/>
      <c r="QIC184" s="82"/>
      <c r="QID184" s="82"/>
      <c r="QIE184" s="82"/>
      <c r="QIF184" s="82"/>
      <c r="QIG184" s="82"/>
      <c r="QIH184" s="82"/>
      <c r="QII184" s="82"/>
      <c r="QIJ184" s="82"/>
      <c r="QIK184" s="82"/>
      <c r="QIL184" s="82"/>
      <c r="QIM184" s="82"/>
      <c r="QIN184" s="82"/>
      <c r="QIO184" s="82"/>
      <c r="QIP184" s="82"/>
      <c r="QIQ184" s="82"/>
      <c r="QIR184" s="82"/>
      <c r="QIS184" s="82"/>
      <c r="QIT184" s="82"/>
      <c r="QIU184" s="82"/>
      <c r="QIV184" s="82"/>
      <c r="QIW184" s="82"/>
      <c r="QIX184" s="82"/>
      <c r="QIY184" s="82"/>
      <c r="QIZ184" s="82"/>
      <c r="QJA184" s="82"/>
      <c r="QJB184" s="82"/>
      <c r="QJC184" s="82"/>
      <c r="QJD184" s="82"/>
      <c r="QJE184" s="82"/>
      <c r="QJF184" s="82"/>
      <c r="QJG184" s="82"/>
      <c r="QJH184" s="82"/>
      <c r="QJI184" s="82"/>
      <c r="QJJ184" s="82"/>
      <c r="QJK184" s="82"/>
      <c r="QJL184" s="82"/>
      <c r="QJM184" s="82"/>
      <c r="QJN184" s="82"/>
      <c r="QJO184" s="82"/>
      <c r="QJP184" s="82"/>
      <c r="QJQ184" s="82"/>
      <c r="QJR184" s="82"/>
      <c r="QJS184" s="82"/>
      <c r="QJT184" s="82"/>
      <c r="QJU184" s="82"/>
      <c r="QJV184" s="82"/>
      <c r="QJW184" s="82"/>
      <c r="QJX184" s="82"/>
      <c r="QJY184" s="82"/>
      <c r="QJZ184" s="82"/>
      <c r="QKA184" s="82"/>
      <c r="QKB184" s="82"/>
      <c r="QKC184" s="82"/>
      <c r="QKD184" s="82"/>
      <c r="QKE184" s="82"/>
      <c r="QKF184" s="82"/>
      <c r="QKG184" s="82"/>
      <c r="QKH184" s="82"/>
      <c r="QKI184" s="82"/>
      <c r="QKJ184" s="82"/>
      <c r="QKK184" s="82"/>
      <c r="QKL184" s="82"/>
      <c r="QKM184" s="82"/>
      <c r="QKN184" s="82"/>
      <c r="QKO184" s="82"/>
      <c r="QKP184" s="82"/>
      <c r="QKQ184" s="82"/>
      <c r="QKR184" s="82"/>
      <c r="QKS184" s="82"/>
      <c r="QKT184" s="82"/>
      <c r="QKU184" s="82"/>
      <c r="QKV184" s="82"/>
      <c r="QKW184" s="82"/>
      <c r="QKX184" s="82"/>
      <c r="QKY184" s="82"/>
      <c r="QKZ184" s="82"/>
      <c r="QLA184" s="82"/>
      <c r="QLB184" s="82"/>
      <c r="QLC184" s="82"/>
      <c r="QLD184" s="82"/>
      <c r="QLE184" s="82"/>
      <c r="QLF184" s="82"/>
      <c r="QLG184" s="82"/>
      <c r="QLH184" s="82"/>
      <c r="QLI184" s="82"/>
      <c r="QLJ184" s="82"/>
      <c r="QLK184" s="82"/>
      <c r="QLL184" s="82"/>
      <c r="QLM184" s="82"/>
      <c r="QLN184" s="82"/>
      <c r="QLO184" s="82"/>
      <c r="QLP184" s="82"/>
      <c r="QLQ184" s="82"/>
      <c r="QLR184" s="82"/>
      <c r="QLS184" s="82"/>
      <c r="QLT184" s="82"/>
      <c r="QLU184" s="82"/>
      <c r="QLV184" s="82"/>
      <c r="QLW184" s="82"/>
      <c r="QLX184" s="82"/>
      <c r="QLY184" s="82"/>
      <c r="QLZ184" s="82"/>
      <c r="QMA184" s="82"/>
      <c r="QMB184" s="82"/>
      <c r="QMC184" s="82"/>
      <c r="QMD184" s="82"/>
      <c r="QME184" s="82"/>
      <c r="QMF184" s="82"/>
      <c r="QMG184" s="82"/>
      <c r="QMH184" s="82"/>
      <c r="QMI184" s="82"/>
      <c r="QMJ184" s="82"/>
      <c r="QMK184" s="82"/>
      <c r="QML184" s="82"/>
      <c r="QMM184" s="82"/>
      <c r="QMN184" s="82"/>
      <c r="QMO184" s="82"/>
      <c r="QMP184" s="82"/>
      <c r="QMQ184" s="82"/>
      <c r="QMR184" s="82"/>
      <c r="QMS184" s="82"/>
      <c r="QMT184" s="82"/>
      <c r="QMU184" s="82"/>
      <c r="QMV184" s="82"/>
      <c r="QMW184" s="82"/>
      <c r="QMX184" s="82"/>
      <c r="QMY184" s="82"/>
      <c r="QMZ184" s="82"/>
      <c r="QNA184" s="82"/>
      <c r="QNB184" s="82"/>
      <c r="QNC184" s="82"/>
      <c r="QND184" s="82"/>
      <c r="QNE184" s="82"/>
      <c r="QNF184" s="82"/>
      <c r="QNG184" s="82"/>
      <c r="QNH184" s="82"/>
      <c r="QNI184" s="82"/>
      <c r="QNJ184" s="82"/>
      <c r="QNK184" s="82"/>
      <c r="QNL184" s="82"/>
      <c r="QNM184" s="82"/>
      <c r="QNN184" s="82"/>
      <c r="QNO184" s="82"/>
      <c r="QNP184" s="82"/>
      <c r="QNQ184" s="82"/>
      <c r="QNR184" s="82"/>
      <c r="QNS184" s="82"/>
      <c r="QNT184" s="82"/>
      <c r="QNU184" s="82"/>
      <c r="QNV184" s="82"/>
      <c r="QNW184" s="82"/>
      <c r="QNX184" s="82"/>
      <c r="QNY184" s="82"/>
      <c r="QNZ184" s="82"/>
      <c r="QOA184" s="82"/>
      <c r="QOB184" s="82"/>
      <c r="QOC184" s="82"/>
      <c r="QOD184" s="82"/>
      <c r="QOE184" s="82"/>
      <c r="QOF184" s="82"/>
      <c r="QOG184" s="82"/>
      <c r="QOH184" s="82"/>
      <c r="QOI184" s="82"/>
      <c r="QOJ184" s="82"/>
      <c r="QOK184" s="82"/>
      <c r="QOL184" s="82"/>
      <c r="QOM184" s="82"/>
      <c r="QON184" s="82"/>
      <c r="QOO184" s="82"/>
      <c r="QOP184" s="82"/>
      <c r="QOQ184" s="82"/>
      <c r="QOR184" s="82"/>
      <c r="QOS184" s="82"/>
      <c r="QOT184" s="82"/>
      <c r="QOU184" s="82"/>
      <c r="QOV184" s="82"/>
      <c r="QOW184" s="82"/>
      <c r="QOX184" s="82"/>
      <c r="QOY184" s="82"/>
      <c r="QOZ184" s="82"/>
      <c r="QPA184" s="82"/>
      <c r="QPB184" s="82"/>
      <c r="QPC184" s="82"/>
      <c r="QPD184" s="82"/>
      <c r="QPE184" s="82"/>
      <c r="QPF184" s="82"/>
      <c r="QPG184" s="82"/>
      <c r="QPH184" s="82"/>
      <c r="QPI184" s="82"/>
      <c r="QPJ184" s="82"/>
      <c r="QPK184" s="82"/>
      <c r="QPL184" s="82"/>
      <c r="QPM184" s="82"/>
      <c r="QPN184" s="82"/>
      <c r="QPO184" s="82"/>
      <c r="QPP184" s="82"/>
      <c r="QPQ184" s="82"/>
      <c r="QPR184" s="82"/>
      <c r="QPS184" s="82"/>
      <c r="QPT184" s="82"/>
      <c r="QPU184" s="82"/>
      <c r="QPV184" s="82"/>
      <c r="QPW184" s="82"/>
      <c r="QPX184" s="82"/>
      <c r="QPY184" s="82"/>
      <c r="QPZ184" s="82"/>
      <c r="QQA184" s="82"/>
      <c r="QQB184" s="82"/>
      <c r="QQC184" s="82"/>
      <c r="QQD184" s="82"/>
      <c r="QQE184" s="82"/>
      <c r="QQF184" s="82"/>
      <c r="QQG184" s="82"/>
      <c r="QQH184" s="82"/>
      <c r="QQI184" s="82"/>
      <c r="QQJ184" s="82"/>
      <c r="QQK184" s="82"/>
      <c r="QQL184" s="82"/>
      <c r="QQM184" s="82"/>
      <c r="QQN184" s="82"/>
      <c r="QQO184" s="82"/>
      <c r="QQP184" s="82"/>
      <c r="QQQ184" s="82"/>
      <c r="QQR184" s="82"/>
      <c r="QQS184" s="82"/>
      <c r="QQT184" s="82"/>
      <c r="QQU184" s="82"/>
      <c r="QQV184" s="82"/>
      <c r="QQW184" s="82"/>
      <c r="QQX184" s="82"/>
      <c r="QQY184" s="82"/>
      <c r="QQZ184" s="82"/>
      <c r="QRA184" s="82"/>
      <c r="QRB184" s="82"/>
      <c r="QRC184" s="82"/>
      <c r="QRD184" s="82"/>
      <c r="QRE184" s="82"/>
      <c r="QRF184" s="82"/>
      <c r="QRG184" s="82"/>
      <c r="QRH184" s="82"/>
      <c r="QRI184" s="82"/>
      <c r="QRJ184" s="82"/>
      <c r="QRK184" s="82"/>
      <c r="QRL184" s="82"/>
      <c r="QRM184" s="82"/>
      <c r="QRN184" s="82"/>
      <c r="QRO184" s="82"/>
      <c r="QRP184" s="82"/>
      <c r="QRQ184" s="82"/>
      <c r="QRR184" s="82"/>
      <c r="QRS184" s="82"/>
      <c r="QRT184" s="82"/>
      <c r="QRU184" s="82"/>
      <c r="QRV184" s="82"/>
      <c r="QRW184" s="82"/>
      <c r="QRX184" s="82"/>
      <c r="QRY184" s="82"/>
      <c r="QRZ184" s="82"/>
      <c r="QSA184" s="82"/>
      <c r="QSB184" s="82"/>
      <c r="QSC184" s="82"/>
      <c r="QSD184" s="82"/>
      <c r="QSE184" s="82"/>
      <c r="QSF184" s="82"/>
      <c r="QSG184" s="82"/>
      <c r="QSH184" s="82"/>
      <c r="QSI184" s="82"/>
      <c r="QSJ184" s="82"/>
      <c r="QSK184" s="82"/>
      <c r="QSL184" s="82"/>
      <c r="QSM184" s="82"/>
      <c r="QSN184" s="82"/>
      <c r="QSO184" s="82"/>
      <c r="QSP184" s="82"/>
      <c r="QSQ184" s="82"/>
      <c r="QSR184" s="82"/>
      <c r="QSS184" s="82"/>
      <c r="QST184" s="82"/>
      <c r="QSU184" s="82"/>
      <c r="QSV184" s="82"/>
      <c r="QSW184" s="82"/>
      <c r="QSX184" s="82"/>
      <c r="QSY184" s="82"/>
      <c r="QSZ184" s="82"/>
      <c r="QTA184" s="82"/>
      <c r="QTB184" s="82"/>
      <c r="QTC184" s="82"/>
      <c r="QTD184" s="82"/>
      <c r="QTE184" s="82"/>
      <c r="QTF184" s="82"/>
      <c r="QTG184" s="82"/>
      <c r="QTH184" s="82"/>
      <c r="QTI184" s="82"/>
      <c r="QTJ184" s="82"/>
      <c r="QTK184" s="82"/>
      <c r="QTL184" s="82"/>
      <c r="QTM184" s="82"/>
      <c r="QTN184" s="82"/>
      <c r="QTO184" s="82"/>
      <c r="QTP184" s="82"/>
      <c r="QTQ184" s="82"/>
      <c r="QTR184" s="82"/>
      <c r="QTS184" s="82"/>
      <c r="QTT184" s="82"/>
      <c r="QTU184" s="82"/>
      <c r="QTV184" s="82"/>
      <c r="QTW184" s="82"/>
      <c r="QTX184" s="82"/>
      <c r="QTY184" s="82"/>
      <c r="QTZ184" s="82"/>
      <c r="QUA184" s="82"/>
      <c r="QUB184" s="82"/>
      <c r="QUC184" s="82"/>
      <c r="QUD184" s="82"/>
      <c r="QUE184" s="82"/>
      <c r="QUF184" s="82"/>
      <c r="QUG184" s="82"/>
      <c r="QUH184" s="82"/>
      <c r="QUI184" s="82"/>
      <c r="QUJ184" s="82"/>
      <c r="QUK184" s="82"/>
      <c r="QUL184" s="82"/>
      <c r="QUM184" s="82"/>
      <c r="QUN184" s="82"/>
      <c r="QUO184" s="82"/>
      <c r="QUP184" s="82"/>
      <c r="QUQ184" s="82"/>
      <c r="QUR184" s="82"/>
      <c r="QUS184" s="82"/>
      <c r="QUT184" s="82"/>
      <c r="QUU184" s="82"/>
      <c r="QUV184" s="82"/>
      <c r="QUW184" s="82"/>
      <c r="QUX184" s="82"/>
      <c r="QUY184" s="82"/>
      <c r="QUZ184" s="82"/>
      <c r="QVA184" s="82"/>
      <c r="QVB184" s="82"/>
      <c r="QVC184" s="82"/>
      <c r="QVD184" s="82"/>
      <c r="QVE184" s="82"/>
      <c r="QVF184" s="82"/>
      <c r="QVG184" s="82"/>
      <c r="QVH184" s="82"/>
      <c r="QVI184" s="82"/>
      <c r="QVJ184" s="82"/>
      <c r="QVK184" s="82"/>
      <c r="QVL184" s="82"/>
      <c r="QVM184" s="82"/>
      <c r="QVN184" s="82"/>
      <c r="QVO184" s="82"/>
      <c r="QVP184" s="82"/>
      <c r="QVQ184" s="82"/>
      <c r="QVR184" s="82"/>
      <c r="QVS184" s="82"/>
      <c r="QVT184" s="82"/>
      <c r="QVU184" s="82"/>
      <c r="QVV184" s="82"/>
      <c r="QVW184" s="82"/>
      <c r="QVX184" s="82"/>
      <c r="QVY184" s="82"/>
      <c r="QVZ184" s="82"/>
      <c r="QWA184" s="82"/>
      <c r="QWB184" s="82"/>
      <c r="QWC184" s="82"/>
      <c r="QWD184" s="82"/>
      <c r="QWE184" s="82"/>
      <c r="QWF184" s="82"/>
      <c r="QWG184" s="82"/>
      <c r="QWH184" s="82"/>
      <c r="QWI184" s="82"/>
      <c r="QWJ184" s="82"/>
      <c r="QWK184" s="82"/>
      <c r="QWL184" s="82"/>
      <c r="QWM184" s="82"/>
      <c r="QWN184" s="82"/>
      <c r="QWO184" s="82"/>
      <c r="QWP184" s="82"/>
      <c r="QWQ184" s="82"/>
      <c r="QWR184" s="82"/>
      <c r="QWS184" s="82"/>
      <c r="QWT184" s="82"/>
      <c r="QWU184" s="82"/>
      <c r="QWV184" s="82"/>
      <c r="QWW184" s="82"/>
      <c r="QWX184" s="82"/>
      <c r="QWY184" s="82"/>
      <c r="QWZ184" s="82"/>
      <c r="QXA184" s="82"/>
      <c r="QXB184" s="82"/>
      <c r="QXC184" s="82"/>
      <c r="QXD184" s="82"/>
      <c r="QXE184" s="82"/>
      <c r="QXF184" s="82"/>
      <c r="QXG184" s="82"/>
      <c r="QXH184" s="82"/>
      <c r="QXI184" s="82"/>
      <c r="QXJ184" s="82"/>
      <c r="QXK184" s="82"/>
      <c r="QXL184" s="82"/>
      <c r="QXM184" s="82"/>
      <c r="QXN184" s="82"/>
      <c r="QXO184" s="82"/>
      <c r="QXP184" s="82"/>
      <c r="QXQ184" s="82"/>
      <c r="QXR184" s="82"/>
      <c r="QXS184" s="82"/>
      <c r="QXT184" s="82"/>
      <c r="QXU184" s="82"/>
      <c r="QXV184" s="82"/>
      <c r="QXW184" s="82"/>
      <c r="QXX184" s="82"/>
      <c r="QXY184" s="82"/>
      <c r="QXZ184" s="82"/>
      <c r="QYA184" s="82"/>
      <c r="QYB184" s="82"/>
      <c r="QYC184" s="82"/>
      <c r="QYD184" s="82"/>
      <c r="QYE184" s="82"/>
      <c r="QYF184" s="82"/>
      <c r="QYG184" s="82"/>
      <c r="QYH184" s="82"/>
      <c r="QYI184" s="82"/>
      <c r="QYJ184" s="82"/>
      <c r="QYK184" s="82"/>
      <c r="QYL184" s="82"/>
      <c r="QYM184" s="82"/>
      <c r="QYN184" s="82"/>
      <c r="QYO184" s="82"/>
      <c r="QYP184" s="82"/>
      <c r="QYQ184" s="82"/>
      <c r="QYR184" s="82"/>
      <c r="QYS184" s="82"/>
      <c r="QYT184" s="82"/>
      <c r="QYU184" s="82"/>
      <c r="QYV184" s="82"/>
      <c r="QYW184" s="82"/>
      <c r="QYX184" s="82"/>
      <c r="QYY184" s="82"/>
      <c r="QYZ184" s="82"/>
      <c r="QZA184" s="82"/>
      <c r="QZB184" s="82"/>
      <c r="QZC184" s="82"/>
      <c r="QZD184" s="82"/>
      <c r="QZE184" s="82"/>
      <c r="QZF184" s="82"/>
      <c r="QZG184" s="82"/>
      <c r="QZH184" s="82"/>
      <c r="QZI184" s="82"/>
      <c r="QZJ184" s="82"/>
      <c r="QZK184" s="82"/>
      <c r="QZL184" s="82"/>
      <c r="QZM184" s="82"/>
      <c r="QZN184" s="82"/>
      <c r="QZO184" s="82"/>
      <c r="QZP184" s="82"/>
      <c r="QZQ184" s="82"/>
      <c r="QZR184" s="82"/>
      <c r="QZS184" s="82"/>
      <c r="QZT184" s="82"/>
      <c r="QZU184" s="82"/>
      <c r="QZV184" s="82"/>
      <c r="QZW184" s="82"/>
      <c r="QZX184" s="82"/>
      <c r="QZY184" s="82"/>
      <c r="QZZ184" s="82"/>
      <c r="RAA184" s="82"/>
      <c r="RAB184" s="82"/>
      <c r="RAC184" s="82"/>
      <c r="RAD184" s="82"/>
      <c r="RAE184" s="82"/>
      <c r="RAF184" s="82"/>
      <c r="RAG184" s="82"/>
      <c r="RAH184" s="82"/>
      <c r="RAI184" s="82"/>
      <c r="RAJ184" s="82"/>
      <c r="RAK184" s="82"/>
      <c r="RAL184" s="82"/>
      <c r="RAM184" s="82"/>
      <c r="RAN184" s="82"/>
      <c r="RAO184" s="82"/>
      <c r="RAP184" s="82"/>
      <c r="RAQ184" s="82"/>
      <c r="RAR184" s="82"/>
      <c r="RAS184" s="82"/>
      <c r="RAT184" s="82"/>
      <c r="RAU184" s="82"/>
      <c r="RAV184" s="82"/>
      <c r="RAW184" s="82"/>
      <c r="RAX184" s="82"/>
      <c r="RAY184" s="82"/>
      <c r="RAZ184" s="82"/>
      <c r="RBA184" s="82"/>
      <c r="RBB184" s="82"/>
      <c r="RBC184" s="82"/>
      <c r="RBD184" s="82"/>
      <c r="RBE184" s="82"/>
      <c r="RBF184" s="82"/>
      <c r="RBG184" s="82"/>
      <c r="RBH184" s="82"/>
      <c r="RBI184" s="82"/>
      <c r="RBJ184" s="82"/>
      <c r="RBK184" s="82"/>
      <c r="RBL184" s="82"/>
      <c r="RBM184" s="82"/>
      <c r="RBN184" s="82"/>
      <c r="RBO184" s="82"/>
      <c r="RBP184" s="82"/>
      <c r="RBQ184" s="82"/>
      <c r="RBR184" s="82"/>
      <c r="RBS184" s="82"/>
      <c r="RBT184" s="82"/>
      <c r="RBU184" s="82"/>
      <c r="RBV184" s="82"/>
      <c r="RBW184" s="82"/>
      <c r="RBX184" s="82"/>
      <c r="RBY184" s="82"/>
      <c r="RBZ184" s="82"/>
      <c r="RCA184" s="82"/>
      <c r="RCB184" s="82"/>
      <c r="RCC184" s="82"/>
      <c r="RCD184" s="82"/>
      <c r="RCE184" s="82"/>
      <c r="RCF184" s="82"/>
      <c r="RCG184" s="82"/>
      <c r="RCH184" s="82"/>
      <c r="RCI184" s="82"/>
      <c r="RCJ184" s="82"/>
      <c r="RCK184" s="82"/>
      <c r="RCL184" s="82"/>
      <c r="RCM184" s="82"/>
      <c r="RCN184" s="82"/>
      <c r="RCO184" s="82"/>
      <c r="RCP184" s="82"/>
      <c r="RCQ184" s="82"/>
      <c r="RCR184" s="82"/>
      <c r="RCS184" s="82"/>
      <c r="RCT184" s="82"/>
      <c r="RCU184" s="82"/>
      <c r="RCV184" s="82"/>
      <c r="RCW184" s="82"/>
      <c r="RCX184" s="82"/>
      <c r="RCY184" s="82"/>
      <c r="RCZ184" s="82"/>
      <c r="RDA184" s="82"/>
      <c r="RDB184" s="82"/>
      <c r="RDC184" s="82"/>
      <c r="RDD184" s="82"/>
      <c r="RDE184" s="82"/>
      <c r="RDF184" s="82"/>
      <c r="RDG184" s="82"/>
      <c r="RDH184" s="82"/>
      <c r="RDI184" s="82"/>
      <c r="RDJ184" s="82"/>
      <c r="RDK184" s="82"/>
      <c r="RDL184" s="82"/>
      <c r="RDM184" s="82"/>
      <c r="RDN184" s="82"/>
      <c r="RDO184" s="82"/>
      <c r="RDP184" s="82"/>
      <c r="RDQ184" s="82"/>
      <c r="RDR184" s="82"/>
      <c r="RDS184" s="82"/>
      <c r="RDT184" s="82"/>
      <c r="RDU184" s="82"/>
      <c r="RDV184" s="82"/>
      <c r="RDW184" s="82"/>
      <c r="RDX184" s="82"/>
      <c r="RDY184" s="82"/>
      <c r="RDZ184" s="82"/>
      <c r="REA184" s="82"/>
      <c r="REB184" s="82"/>
      <c r="REC184" s="82"/>
      <c r="RED184" s="82"/>
      <c r="REE184" s="82"/>
      <c r="REF184" s="82"/>
      <c r="REG184" s="82"/>
      <c r="REH184" s="82"/>
      <c r="REI184" s="82"/>
      <c r="REJ184" s="82"/>
      <c r="REK184" s="82"/>
      <c r="REL184" s="82"/>
      <c r="REM184" s="82"/>
      <c r="REN184" s="82"/>
      <c r="REO184" s="82"/>
      <c r="REP184" s="82"/>
      <c r="REQ184" s="82"/>
      <c r="RER184" s="82"/>
      <c r="RES184" s="82"/>
      <c r="RET184" s="82"/>
      <c r="REU184" s="82"/>
      <c r="REV184" s="82"/>
      <c r="REW184" s="82"/>
      <c r="REX184" s="82"/>
      <c r="REY184" s="82"/>
      <c r="REZ184" s="82"/>
      <c r="RFA184" s="82"/>
      <c r="RFB184" s="82"/>
      <c r="RFC184" s="82"/>
      <c r="RFD184" s="82"/>
      <c r="RFE184" s="82"/>
      <c r="RFF184" s="82"/>
      <c r="RFG184" s="82"/>
      <c r="RFH184" s="82"/>
      <c r="RFI184" s="82"/>
      <c r="RFJ184" s="82"/>
      <c r="RFK184" s="82"/>
      <c r="RFL184" s="82"/>
      <c r="RFM184" s="82"/>
      <c r="RFN184" s="82"/>
      <c r="RFO184" s="82"/>
      <c r="RFP184" s="82"/>
      <c r="RFQ184" s="82"/>
      <c r="RFR184" s="82"/>
      <c r="RFS184" s="82"/>
      <c r="RFT184" s="82"/>
      <c r="RFU184" s="82"/>
      <c r="RFV184" s="82"/>
      <c r="RFW184" s="82"/>
      <c r="RFX184" s="82"/>
      <c r="RFY184" s="82"/>
      <c r="RFZ184" s="82"/>
      <c r="RGA184" s="82"/>
      <c r="RGB184" s="82"/>
      <c r="RGC184" s="82"/>
      <c r="RGD184" s="82"/>
      <c r="RGE184" s="82"/>
      <c r="RGF184" s="82"/>
      <c r="RGG184" s="82"/>
      <c r="RGH184" s="82"/>
      <c r="RGI184" s="82"/>
      <c r="RGJ184" s="82"/>
      <c r="RGK184" s="82"/>
      <c r="RGL184" s="82"/>
      <c r="RGM184" s="82"/>
      <c r="RGN184" s="82"/>
      <c r="RGO184" s="82"/>
      <c r="RGP184" s="82"/>
      <c r="RGQ184" s="82"/>
      <c r="RGR184" s="82"/>
      <c r="RGS184" s="82"/>
      <c r="RGT184" s="82"/>
      <c r="RGU184" s="82"/>
      <c r="RGV184" s="82"/>
      <c r="RGW184" s="82"/>
      <c r="RGX184" s="82"/>
      <c r="RGY184" s="82"/>
      <c r="RGZ184" s="82"/>
      <c r="RHA184" s="82"/>
      <c r="RHB184" s="82"/>
      <c r="RHC184" s="82"/>
      <c r="RHD184" s="82"/>
      <c r="RHE184" s="82"/>
      <c r="RHF184" s="82"/>
      <c r="RHG184" s="82"/>
      <c r="RHH184" s="82"/>
      <c r="RHI184" s="82"/>
      <c r="RHJ184" s="82"/>
      <c r="RHK184" s="82"/>
      <c r="RHL184" s="82"/>
      <c r="RHM184" s="82"/>
      <c r="RHN184" s="82"/>
      <c r="RHO184" s="82"/>
      <c r="RHP184" s="82"/>
      <c r="RHQ184" s="82"/>
      <c r="RHR184" s="82"/>
      <c r="RHS184" s="82"/>
      <c r="RHT184" s="82"/>
      <c r="RHU184" s="82"/>
      <c r="RHV184" s="82"/>
      <c r="RHW184" s="82"/>
      <c r="RHX184" s="82"/>
      <c r="RHY184" s="82"/>
      <c r="RHZ184" s="82"/>
      <c r="RIA184" s="82"/>
      <c r="RIB184" s="82"/>
      <c r="RIC184" s="82"/>
      <c r="RID184" s="82"/>
      <c r="RIE184" s="82"/>
      <c r="RIF184" s="82"/>
      <c r="RIG184" s="82"/>
      <c r="RIH184" s="82"/>
      <c r="RII184" s="82"/>
      <c r="RIJ184" s="82"/>
      <c r="RIK184" s="82"/>
      <c r="RIL184" s="82"/>
      <c r="RIM184" s="82"/>
      <c r="RIN184" s="82"/>
      <c r="RIO184" s="82"/>
      <c r="RIP184" s="82"/>
      <c r="RIQ184" s="82"/>
      <c r="RIR184" s="82"/>
      <c r="RIS184" s="82"/>
      <c r="RIT184" s="82"/>
      <c r="RIU184" s="82"/>
      <c r="RIV184" s="82"/>
      <c r="RIW184" s="82"/>
      <c r="RIX184" s="82"/>
      <c r="RIY184" s="82"/>
      <c r="RIZ184" s="82"/>
      <c r="RJA184" s="82"/>
      <c r="RJB184" s="82"/>
      <c r="RJC184" s="82"/>
      <c r="RJD184" s="82"/>
      <c r="RJE184" s="82"/>
      <c r="RJF184" s="82"/>
      <c r="RJG184" s="82"/>
      <c r="RJH184" s="82"/>
      <c r="RJI184" s="82"/>
      <c r="RJJ184" s="82"/>
      <c r="RJK184" s="82"/>
      <c r="RJL184" s="82"/>
      <c r="RJM184" s="82"/>
      <c r="RJN184" s="82"/>
      <c r="RJO184" s="82"/>
      <c r="RJP184" s="82"/>
      <c r="RJQ184" s="82"/>
      <c r="RJR184" s="82"/>
      <c r="RJS184" s="82"/>
      <c r="RJT184" s="82"/>
      <c r="RJU184" s="82"/>
      <c r="RJV184" s="82"/>
      <c r="RJW184" s="82"/>
      <c r="RJX184" s="82"/>
      <c r="RJY184" s="82"/>
      <c r="RJZ184" s="82"/>
      <c r="RKA184" s="82"/>
      <c r="RKB184" s="82"/>
      <c r="RKC184" s="82"/>
      <c r="RKD184" s="82"/>
      <c r="RKE184" s="82"/>
      <c r="RKF184" s="82"/>
      <c r="RKG184" s="82"/>
      <c r="RKH184" s="82"/>
      <c r="RKI184" s="82"/>
      <c r="RKJ184" s="82"/>
      <c r="RKK184" s="82"/>
      <c r="RKL184" s="82"/>
      <c r="RKM184" s="82"/>
      <c r="RKN184" s="82"/>
      <c r="RKO184" s="82"/>
      <c r="RKP184" s="82"/>
      <c r="RKQ184" s="82"/>
      <c r="RKR184" s="82"/>
      <c r="RKS184" s="82"/>
      <c r="RKT184" s="82"/>
      <c r="RKU184" s="82"/>
      <c r="RKV184" s="82"/>
      <c r="RKW184" s="82"/>
      <c r="RKX184" s="82"/>
      <c r="RKY184" s="82"/>
      <c r="RKZ184" s="82"/>
      <c r="RLA184" s="82"/>
      <c r="RLB184" s="82"/>
      <c r="RLC184" s="82"/>
      <c r="RLD184" s="82"/>
      <c r="RLE184" s="82"/>
      <c r="RLF184" s="82"/>
      <c r="RLG184" s="82"/>
      <c r="RLH184" s="82"/>
      <c r="RLI184" s="82"/>
      <c r="RLJ184" s="82"/>
      <c r="RLK184" s="82"/>
      <c r="RLL184" s="82"/>
      <c r="RLM184" s="82"/>
      <c r="RLN184" s="82"/>
      <c r="RLO184" s="82"/>
      <c r="RLP184" s="82"/>
      <c r="RLQ184" s="82"/>
      <c r="RLR184" s="82"/>
      <c r="RLS184" s="82"/>
      <c r="RLT184" s="82"/>
      <c r="RLU184" s="82"/>
      <c r="RLV184" s="82"/>
      <c r="RLW184" s="82"/>
      <c r="RLX184" s="82"/>
      <c r="RLY184" s="82"/>
      <c r="RLZ184" s="82"/>
      <c r="RMA184" s="82"/>
      <c r="RMB184" s="82"/>
      <c r="RMC184" s="82"/>
      <c r="RMD184" s="82"/>
      <c r="RME184" s="82"/>
      <c r="RMF184" s="82"/>
      <c r="RMG184" s="82"/>
      <c r="RMH184" s="82"/>
      <c r="RMI184" s="82"/>
      <c r="RMJ184" s="82"/>
      <c r="RMK184" s="82"/>
      <c r="RML184" s="82"/>
      <c r="RMM184" s="82"/>
      <c r="RMN184" s="82"/>
      <c r="RMO184" s="82"/>
      <c r="RMP184" s="82"/>
      <c r="RMQ184" s="82"/>
      <c r="RMR184" s="82"/>
      <c r="RMS184" s="82"/>
      <c r="RMT184" s="82"/>
      <c r="RMU184" s="82"/>
      <c r="RMV184" s="82"/>
      <c r="RMW184" s="82"/>
      <c r="RMX184" s="82"/>
      <c r="RMY184" s="82"/>
      <c r="RMZ184" s="82"/>
      <c r="RNA184" s="82"/>
      <c r="RNB184" s="82"/>
      <c r="RNC184" s="82"/>
      <c r="RND184" s="82"/>
      <c r="RNE184" s="82"/>
      <c r="RNF184" s="82"/>
      <c r="RNG184" s="82"/>
      <c r="RNH184" s="82"/>
      <c r="RNI184" s="82"/>
      <c r="RNJ184" s="82"/>
      <c r="RNK184" s="82"/>
      <c r="RNL184" s="82"/>
      <c r="RNM184" s="82"/>
      <c r="RNN184" s="82"/>
      <c r="RNO184" s="82"/>
      <c r="RNP184" s="82"/>
      <c r="RNQ184" s="82"/>
      <c r="RNR184" s="82"/>
      <c r="RNS184" s="82"/>
      <c r="RNT184" s="82"/>
      <c r="RNU184" s="82"/>
      <c r="RNV184" s="82"/>
      <c r="RNW184" s="82"/>
      <c r="RNX184" s="82"/>
      <c r="RNY184" s="82"/>
      <c r="RNZ184" s="82"/>
      <c r="ROA184" s="82"/>
      <c r="ROB184" s="82"/>
      <c r="ROC184" s="82"/>
      <c r="ROD184" s="82"/>
      <c r="ROE184" s="82"/>
      <c r="ROF184" s="82"/>
      <c r="ROG184" s="82"/>
      <c r="ROH184" s="82"/>
      <c r="ROI184" s="82"/>
      <c r="ROJ184" s="82"/>
      <c r="ROK184" s="82"/>
      <c r="ROL184" s="82"/>
      <c r="ROM184" s="82"/>
      <c r="RON184" s="82"/>
      <c r="ROO184" s="82"/>
      <c r="ROP184" s="82"/>
      <c r="ROQ184" s="82"/>
      <c r="ROR184" s="82"/>
      <c r="ROS184" s="82"/>
      <c r="ROT184" s="82"/>
      <c r="ROU184" s="82"/>
      <c r="ROV184" s="82"/>
      <c r="ROW184" s="82"/>
      <c r="ROX184" s="82"/>
      <c r="ROY184" s="82"/>
      <c r="ROZ184" s="82"/>
      <c r="RPA184" s="82"/>
      <c r="RPB184" s="82"/>
      <c r="RPC184" s="82"/>
      <c r="RPD184" s="82"/>
      <c r="RPE184" s="82"/>
      <c r="RPF184" s="82"/>
      <c r="RPG184" s="82"/>
      <c r="RPH184" s="82"/>
      <c r="RPI184" s="82"/>
      <c r="RPJ184" s="82"/>
      <c r="RPK184" s="82"/>
      <c r="RPL184" s="82"/>
      <c r="RPM184" s="82"/>
      <c r="RPN184" s="82"/>
      <c r="RPO184" s="82"/>
      <c r="RPP184" s="82"/>
      <c r="RPQ184" s="82"/>
      <c r="RPR184" s="82"/>
      <c r="RPS184" s="82"/>
      <c r="RPT184" s="82"/>
      <c r="RPU184" s="82"/>
      <c r="RPV184" s="82"/>
      <c r="RPW184" s="82"/>
      <c r="RPX184" s="82"/>
      <c r="RPY184" s="82"/>
      <c r="RPZ184" s="82"/>
      <c r="RQA184" s="82"/>
      <c r="RQB184" s="82"/>
      <c r="RQC184" s="82"/>
      <c r="RQD184" s="82"/>
      <c r="RQE184" s="82"/>
      <c r="RQF184" s="82"/>
      <c r="RQG184" s="82"/>
      <c r="RQH184" s="82"/>
      <c r="RQI184" s="82"/>
      <c r="RQJ184" s="82"/>
      <c r="RQK184" s="82"/>
      <c r="RQL184" s="82"/>
      <c r="RQM184" s="82"/>
      <c r="RQN184" s="82"/>
      <c r="RQO184" s="82"/>
      <c r="RQP184" s="82"/>
      <c r="RQQ184" s="82"/>
      <c r="RQR184" s="82"/>
      <c r="RQS184" s="82"/>
      <c r="RQT184" s="82"/>
      <c r="RQU184" s="82"/>
      <c r="RQV184" s="82"/>
      <c r="RQW184" s="82"/>
      <c r="RQX184" s="82"/>
      <c r="RQY184" s="82"/>
      <c r="RQZ184" s="82"/>
      <c r="RRA184" s="82"/>
      <c r="RRB184" s="82"/>
      <c r="RRC184" s="82"/>
      <c r="RRD184" s="82"/>
      <c r="RRE184" s="82"/>
      <c r="RRF184" s="82"/>
      <c r="RRG184" s="82"/>
      <c r="RRH184" s="82"/>
      <c r="RRI184" s="82"/>
      <c r="RRJ184" s="82"/>
      <c r="RRK184" s="82"/>
      <c r="RRL184" s="82"/>
      <c r="RRM184" s="82"/>
      <c r="RRN184" s="82"/>
      <c r="RRO184" s="82"/>
      <c r="RRP184" s="82"/>
      <c r="RRQ184" s="82"/>
      <c r="RRR184" s="82"/>
      <c r="RRS184" s="82"/>
      <c r="RRT184" s="82"/>
      <c r="RRU184" s="82"/>
      <c r="RRV184" s="82"/>
      <c r="RRW184" s="82"/>
      <c r="RRX184" s="82"/>
      <c r="RRY184" s="82"/>
      <c r="RRZ184" s="82"/>
      <c r="RSA184" s="82"/>
      <c r="RSB184" s="82"/>
      <c r="RSC184" s="82"/>
      <c r="RSD184" s="82"/>
      <c r="RSE184" s="82"/>
      <c r="RSF184" s="82"/>
      <c r="RSG184" s="82"/>
      <c r="RSH184" s="82"/>
      <c r="RSI184" s="82"/>
      <c r="RSJ184" s="82"/>
      <c r="RSK184" s="82"/>
      <c r="RSL184" s="82"/>
      <c r="RSM184" s="82"/>
      <c r="RSN184" s="82"/>
      <c r="RSO184" s="82"/>
      <c r="RSP184" s="82"/>
      <c r="RSQ184" s="82"/>
      <c r="RSR184" s="82"/>
      <c r="RSS184" s="82"/>
      <c r="RST184" s="82"/>
      <c r="RSU184" s="82"/>
      <c r="RSV184" s="82"/>
      <c r="RSW184" s="82"/>
      <c r="RSX184" s="82"/>
      <c r="RSY184" s="82"/>
      <c r="RSZ184" s="82"/>
      <c r="RTA184" s="82"/>
      <c r="RTB184" s="82"/>
      <c r="RTC184" s="82"/>
      <c r="RTD184" s="82"/>
      <c r="RTE184" s="82"/>
      <c r="RTF184" s="82"/>
      <c r="RTG184" s="82"/>
      <c r="RTH184" s="82"/>
      <c r="RTI184" s="82"/>
      <c r="RTJ184" s="82"/>
      <c r="RTK184" s="82"/>
      <c r="RTL184" s="82"/>
      <c r="RTM184" s="82"/>
      <c r="RTN184" s="82"/>
      <c r="RTO184" s="82"/>
      <c r="RTP184" s="82"/>
      <c r="RTQ184" s="82"/>
      <c r="RTR184" s="82"/>
      <c r="RTS184" s="82"/>
      <c r="RTT184" s="82"/>
      <c r="RTU184" s="82"/>
      <c r="RTV184" s="82"/>
      <c r="RTW184" s="82"/>
      <c r="RTX184" s="82"/>
      <c r="RTY184" s="82"/>
      <c r="RTZ184" s="82"/>
      <c r="RUA184" s="82"/>
      <c r="RUB184" s="82"/>
      <c r="RUC184" s="82"/>
      <c r="RUD184" s="82"/>
      <c r="RUE184" s="82"/>
      <c r="RUF184" s="82"/>
      <c r="RUG184" s="82"/>
      <c r="RUH184" s="82"/>
      <c r="RUI184" s="82"/>
      <c r="RUJ184" s="82"/>
      <c r="RUK184" s="82"/>
      <c r="RUL184" s="82"/>
      <c r="RUM184" s="82"/>
      <c r="RUN184" s="82"/>
      <c r="RUO184" s="82"/>
      <c r="RUP184" s="82"/>
      <c r="RUQ184" s="82"/>
      <c r="RUR184" s="82"/>
      <c r="RUS184" s="82"/>
      <c r="RUT184" s="82"/>
      <c r="RUU184" s="82"/>
      <c r="RUV184" s="82"/>
      <c r="RUW184" s="82"/>
      <c r="RUX184" s="82"/>
      <c r="RUY184" s="82"/>
      <c r="RUZ184" s="82"/>
      <c r="RVA184" s="82"/>
      <c r="RVB184" s="82"/>
      <c r="RVC184" s="82"/>
      <c r="RVD184" s="82"/>
      <c r="RVE184" s="82"/>
      <c r="RVF184" s="82"/>
      <c r="RVG184" s="82"/>
      <c r="RVH184" s="82"/>
      <c r="RVI184" s="82"/>
      <c r="RVJ184" s="82"/>
      <c r="RVK184" s="82"/>
      <c r="RVL184" s="82"/>
      <c r="RVM184" s="82"/>
      <c r="RVN184" s="82"/>
      <c r="RVO184" s="82"/>
      <c r="RVP184" s="82"/>
      <c r="RVQ184" s="82"/>
      <c r="RVR184" s="82"/>
      <c r="RVS184" s="82"/>
      <c r="RVT184" s="82"/>
      <c r="RVU184" s="82"/>
      <c r="RVV184" s="82"/>
      <c r="RVW184" s="82"/>
      <c r="RVX184" s="82"/>
      <c r="RVY184" s="82"/>
      <c r="RVZ184" s="82"/>
      <c r="RWA184" s="82"/>
      <c r="RWB184" s="82"/>
      <c r="RWC184" s="82"/>
      <c r="RWD184" s="82"/>
      <c r="RWE184" s="82"/>
      <c r="RWF184" s="82"/>
      <c r="RWG184" s="82"/>
      <c r="RWH184" s="82"/>
      <c r="RWI184" s="82"/>
      <c r="RWJ184" s="82"/>
      <c r="RWK184" s="82"/>
      <c r="RWL184" s="82"/>
      <c r="RWM184" s="82"/>
      <c r="RWN184" s="82"/>
      <c r="RWO184" s="82"/>
      <c r="RWP184" s="82"/>
      <c r="RWQ184" s="82"/>
      <c r="RWR184" s="82"/>
      <c r="RWS184" s="82"/>
      <c r="RWT184" s="82"/>
      <c r="RWU184" s="82"/>
      <c r="RWV184" s="82"/>
      <c r="RWW184" s="82"/>
      <c r="RWX184" s="82"/>
      <c r="RWY184" s="82"/>
      <c r="RWZ184" s="82"/>
      <c r="RXA184" s="82"/>
      <c r="RXB184" s="82"/>
      <c r="RXC184" s="82"/>
      <c r="RXD184" s="82"/>
      <c r="RXE184" s="82"/>
      <c r="RXF184" s="82"/>
      <c r="RXG184" s="82"/>
      <c r="RXH184" s="82"/>
      <c r="RXI184" s="82"/>
      <c r="RXJ184" s="82"/>
      <c r="RXK184" s="82"/>
      <c r="RXL184" s="82"/>
      <c r="RXM184" s="82"/>
      <c r="RXN184" s="82"/>
      <c r="RXO184" s="82"/>
      <c r="RXP184" s="82"/>
      <c r="RXQ184" s="82"/>
      <c r="RXR184" s="82"/>
      <c r="RXS184" s="82"/>
      <c r="RXT184" s="82"/>
      <c r="RXU184" s="82"/>
      <c r="RXV184" s="82"/>
      <c r="RXW184" s="82"/>
      <c r="RXX184" s="82"/>
      <c r="RXY184" s="82"/>
      <c r="RXZ184" s="82"/>
      <c r="RYA184" s="82"/>
      <c r="RYB184" s="82"/>
      <c r="RYC184" s="82"/>
      <c r="RYD184" s="82"/>
      <c r="RYE184" s="82"/>
      <c r="RYF184" s="82"/>
      <c r="RYG184" s="82"/>
      <c r="RYH184" s="82"/>
      <c r="RYI184" s="82"/>
      <c r="RYJ184" s="82"/>
      <c r="RYK184" s="82"/>
      <c r="RYL184" s="82"/>
      <c r="RYM184" s="82"/>
      <c r="RYN184" s="82"/>
      <c r="RYO184" s="82"/>
      <c r="RYP184" s="82"/>
      <c r="RYQ184" s="82"/>
      <c r="RYR184" s="82"/>
      <c r="RYS184" s="82"/>
      <c r="RYT184" s="82"/>
      <c r="RYU184" s="82"/>
      <c r="RYV184" s="82"/>
      <c r="RYW184" s="82"/>
      <c r="RYX184" s="82"/>
      <c r="RYY184" s="82"/>
      <c r="RYZ184" s="82"/>
      <c r="RZA184" s="82"/>
      <c r="RZB184" s="82"/>
      <c r="RZC184" s="82"/>
      <c r="RZD184" s="82"/>
      <c r="RZE184" s="82"/>
      <c r="RZF184" s="82"/>
      <c r="RZG184" s="82"/>
      <c r="RZH184" s="82"/>
      <c r="RZI184" s="82"/>
      <c r="RZJ184" s="82"/>
      <c r="RZK184" s="82"/>
      <c r="RZL184" s="82"/>
      <c r="RZM184" s="82"/>
      <c r="RZN184" s="82"/>
      <c r="RZO184" s="82"/>
      <c r="RZP184" s="82"/>
      <c r="RZQ184" s="82"/>
      <c r="RZR184" s="82"/>
      <c r="RZS184" s="82"/>
      <c r="RZT184" s="82"/>
      <c r="RZU184" s="82"/>
      <c r="RZV184" s="82"/>
      <c r="RZW184" s="82"/>
      <c r="RZX184" s="82"/>
      <c r="RZY184" s="82"/>
      <c r="RZZ184" s="82"/>
      <c r="SAA184" s="82"/>
      <c r="SAB184" s="82"/>
      <c r="SAC184" s="82"/>
      <c r="SAD184" s="82"/>
      <c r="SAE184" s="82"/>
      <c r="SAF184" s="82"/>
      <c r="SAG184" s="82"/>
      <c r="SAH184" s="82"/>
      <c r="SAI184" s="82"/>
      <c r="SAJ184" s="82"/>
      <c r="SAK184" s="82"/>
      <c r="SAL184" s="82"/>
      <c r="SAM184" s="82"/>
      <c r="SAN184" s="82"/>
      <c r="SAO184" s="82"/>
      <c r="SAP184" s="82"/>
      <c r="SAQ184" s="82"/>
      <c r="SAR184" s="82"/>
      <c r="SAS184" s="82"/>
      <c r="SAT184" s="82"/>
      <c r="SAU184" s="82"/>
      <c r="SAV184" s="82"/>
      <c r="SAW184" s="82"/>
      <c r="SAX184" s="82"/>
      <c r="SAY184" s="82"/>
      <c r="SAZ184" s="82"/>
      <c r="SBA184" s="82"/>
      <c r="SBB184" s="82"/>
      <c r="SBC184" s="82"/>
      <c r="SBD184" s="82"/>
      <c r="SBE184" s="82"/>
      <c r="SBF184" s="82"/>
      <c r="SBG184" s="82"/>
      <c r="SBH184" s="82"/>
      <c r="SBI184" s="82"/>
      <c r="SBJ184" s="82"/>
      <c r="SBK184" s="82"/>
      <c r="SBL184" s="82"/>
      <c r="SBM184" s="82"/>
      <c r="SBN184" s="82"/>
      <c r="SBO184" s="82"/>
      <c r="SBP184" s="82"/>
      <c r="SBQ184" s="82"/>
      <c r="SBR184" s="82"/>
      <c r="SBS184" s="82"/>
      <c r="SBT184" s="82"/>
      <c r="SBU184" s="82"/>
      <c r="SBV184" s="82"/>
      <c r="SBW184" s="82"/>
      <c r="SBX184" s="82"/>
      <c r="SBY184" s="82"/>
      <c r="SBZ184" s="82"/>
      <c r="SCA184" s="82"/>
      <c r="SCB184" s="82"/>
      <c r="SCC184" s="82"/>
      <c r="SCD184" s="82"/>
      <c r="SCE184" s="82"/>
      <c r="SCF184" s="82"/>
      <c r="SCG184" s="82"/>
      <c r="SCH184" s="82"/>
      <c r="SCI184" s="82"/>
      <c r="SCJ184" s="82"/>
      <c r="SCK184" s="82"/>
      <c r="SCL184" s="82"/>
      <c r="SCM184" s="82"/>
      <c r="SCN184" s="82"/>
      <c r="SCO184" s="82"/>
      <c r="SCP184" s="82"/>
      <c r="SCQ184" s="82"/>
      <c r="SCR184" s="82"/>
      <c r="SCS184" s="82"/>
      <c r="SCT184" s="82"/>
      <c r="SCU184" s="82"/>
      <c r="SCV184" s="82"/>
      <c r="SCW184" s="82"/>
      <c r="SCX184" s="82"/>
      <c r="SCY184" s="82"/>
      <c r="SCZ184" s="82"/>
      <c r="SDA184" s="82"/>
      <c r="SDB184" s="82"/>
      <c r="SDC184" s="82"/>
      <c r="SDD184" s="82"/>
      <c r="SDE184" s="82"/>
      <c r="SDF184" s="82"/>
      <c r="SDG184" s="82"/>
      <c r="SDH184" s="82"/>
      <c r="SDI184" s="82"/>
      <c r="SDJ184" s="82"/>
      <c r="SDK184" s="82"/>
      <c r="SDL184" s="82"/>
      <c r="SDM184" s="82"/>
      <c r="SDN184" s="82"/>
      <c r="SDO184" s="82"/>
      <c r="SDP184" s="82"/>
      <c r="SDQ184" s="82"/>
      <c r="SDR184" s="82"/>
      <c r="SDS184" s="82"/>
      <c r="SDT184" s="82"/>
      <c r="SDU184" s="82"/>
      <c r="SDV184" s="82"/>
      <c r="SDW184" s="82"/>
      <c r="SDX184" s="82"/>
      <c r="SDY184" s="82"/>
      <c r="SDZ184" s="82"/>
      <c r="SEA184" s="82"/>
      <c r="SEB184" s="82"/>
      <c r="SEC184" s="82"/>
      <c r="SED184" s="82"/>
      <c r="SEE184" s="82"/>
      <c r="SEF184" s="82"/>
      <c r="SEG184" s="82"/>
      <c r="SEH184" s="82"/>
      <c r="SEI184" s="82"/>
      <c r="SEJ184" s="82"/>
      <c r="SEK184" s="82"/>
      <c r="SEL184" s="82"/>
      <c r="SEM184" s="82"/>
      <c r="SEN184" s="82"/>
      <c r="SEO184" s="82"/>
      <c r="SEP184" s="82"/>
      <c r="SEQ184" s="82"/>
      <c r="SER184" s="82"/>
      <c r="SES184" s="82"/>
      <c r="SET184" s="82"/>
      <c r="SEU184" s="82"/>
      <c r="SEV184" s="82"/>
      <c r="SEW184" s="82"/>
      <c r="SEX184" s="82"/>
      <c r="SEY184" s="82"/>
      <c r="SEZ184" s="82"/>
      <c r="SFA184" s="82"/>
      <c r="SFB184" s="82"/>
      <c r="SFC184" s="82"/>
      <c r="SFD184" s="82"/>
      <c r="SFE184" s="82"/>
      <c r="SFF184" s="82"/>
      <c r="SFG184" s="82"/>
      <c r="SFH184" s="82"/>
      <c r="SFI184" s="82"/>
      <c r="SFJ184" s="82"/>
      <c r="SFK184" s="82"/>
      <c r="SFL184" s="82"/>
      <c r="SFM184" s="82"/>
      <c r="SFN184" s="82"/>
      <c r="SFO184" s="82"/>
      <c r="SFP184" s="82"/>
      <c r="SFQ184" s="82"/>
      <c r="SFR184" s="82"/>
      <c r="SFS184" s="82"/>
      <c r="SFT184" s="82"/>
      <c r="SFU184" s="82"/>
      <c r="SFV184" s="82"/>
      <c r="SFW184" s="82"/>
      <c r="SFX184" s="82"/>
      <c r="SFY184" s="82"/>
      <c r="SFZ184" s="82"/>
      <c r="SGA184" s="82"/>
      <c r="SGB184" s="82"/>
      <c r="SGC184" s="82"/>
      <c r="SGD184" s="82"/>
      <c r="SGE184" s="82"/>
      <c r="SGF184" s="82"/>
      <c r="SGG184" s="82"/>
      <c r="SGH184" s="82"/>
      <c r="SGI184" s="82"/>
      <c r="SGJ184" s="82"/>
      <c r="SGK184" s="82"/>
      <c r="SGL184" s="82"/>
      <c r="SGM184" s="82"/>
      <c r="SGN184" s="82"/>
      <c r="SGO184" s="82"/>
      <c r="SGP184" s="82"/>
      <c r="SGQ184" s="82"/>
      <c r="SGR184" s="82"/>
      <c r="SGS184" s="82"/>
      <c r="SGT184" s="82"/>
      <c r="SGU184" s="82"/>
      <c r="SGV184" s="82"/>
      <c r="SGW184" s="82"/>
      <c r="SGX184" s="82"/>
      <c r="SGY184" s="82"/>
      <c r="SGZ184" s="82"/>
      <c r="SHA184" s="82"/>
      <c r="SHB184" s="82"/>
      <c r="SHC184" s="82"/>
      <c r="SHD184" s="82"/>
      <c r="SHE184" s="82"/>
      <c r="SHF184" s="82"/>
      <c r="SHG184" s="82"/>
      <c r="SHH184" s="82"/>
      <c r="SHI184" s="82"/>
      <c r="SHJ184" s="82"/>
      <c r="SHK184" s="82"/>
      <c r="SHL184" s="82"/>
      <c r="SHM184" s="82"/>
      <c r="SHN184" s="82"/>
      <c r="SHO184" s="82"/>
      <c r="SHP184" s="82"/>
      <c r="SHQ184" s="82"/>
      <c r="SHR184" s="82"/>
      <c r="SHS184" s="82"/>
      <c r="SHT184" s="82"/>
      <c r="SHU184" s="82"/>
      <c r="SHV184" s="82"/>
      <c r="SHW184" s="82"/>
      <c r="SHX184" s="82"/>
      <c r="SHY184" s="82"/>
      <c r="SHZ184" s="82"/>
      <c r="SIA184" s="82"/>
      <c r="SIB184" s="82"/>
      <c r="SIC184" s="82"/>
      <c r="SID184" s="82"/>
      <c r="SIE184" s="82"/>
      <c r="SIF184" s="82"/>
      <c r="SIG184" s="82"/>
      <c r="SIH184" s="82"/>
      <c r="SII184" s="82"/>
      <c r="SIJ184" s="82"/>
      <c r="SIK184" s="82"/>
      <c r="SIL184" s="82"/>
      <c r="SIM184" s="82"/>
      <c r="SIN184" s="82"/>
      <c r="SIO184" s="82"/>
      <c r="SIP184" s="82"/>
      <c r="SIQ184" s="82"/>
      <c r="SIR184" s="82"/>
      <c r="SIS184" s="82"/>
      <c r="SIT184" s="82"/>
      <c r="SIU184" s="82"/>
      <c r="SIV184" s="82"/>
      <c r="SIW184" s="82"/>
      <c r="SIX184" s="82"/>
      <c r="SIY184" s="82"/>
      <c r="SIZ184" s="82"/>
      <c r="SJA184" s="82"/>
      <c r="SJB184" s="82"/>
      <c r="SJC184" s="82"/>
      <c r="SJD184" s="82"/>
      <c r="SJE184" s="82"/>
      <c r="SJF184" s="82"/>
      <c r="SJG184" s="82"/>
      <c r="SJH184" s="82"/>
      <c r="SJI184" s="82"/>
      <c r="SJJ184" s="82"/>
      <c r="SJK184" s="82"/>
      <c r="SJL184" s="82"/>
      <c r="SJM184" s="82"/>
      <c r="SJN184" s="82"/>
      <c r="SJO184" s="82"/>
      <c r="SJP184" s="82"/>
      <c r="SJQ184" s="82"/>
      <c r="SJR184" s="82"/>
      <c r="SJS184" s="82"/>
      <c r="SJT184" s="82"/>
      <c r="SJU184" s="82"/>
      <c r="SJV184" s="82"/>
      <c r="SJW184" s="82"/>
      <c r="SJX184" s="82"/>
      <c r="SJY184" s="82"/>
      <c r="SJZ184" s="82"/>
      <c r="SKA184" s="82"/>
      <c r="SKB184" s="82"/>
      <c r="SKC184" s="82"/>
      <c r="SKD184" s="82"/>
      <c r="SKE184" s="82"/>
      <c r="SKF184" s="82"/>
      <c r="SKG184" s="82"/>
      <c r="SKH184" s="82"/>
      <c r="SKI184" s="82"/>
      <c r="SKJ184" s="82"/>
      <c r="SKK184" s="82"/>
      <c r="SKL184" s="82"/>
      <c r="SKM184" s="82"/>
      <c r="SKN184" s="82"/>
      <c r="SKO184" s="82"/>
      <c r="SKP184" s="82"/>
      <c r="SKQ184" s="82"/>
      <c r="SKR184" s="82"/>
      <c r="SKS184" s="82"/>
      <c r="SKT184" s="82"/>
      <c r="SKU184" s="82"/>
      <c r="SKV184" s="82"/>
      <c r="SKW184" s="82"/>
      <c r="SKX184" s="82"/>
      <c r="SKY184" s="82"/>
      <c r="SKZ184" s="82"/>
      <c r="SLA184" s="82"/>
      <c r="SLB184" s="82"/>
      <c r="SLC184" s="82"/>
      <c r="SLD184" s="82"/>
      <c r="SLE184" s="82"/>
      <c r="SLF184" s="82"/>
      <c r="SLG184" s="82"/>
      <c r="SLH184" s="82"/>
      <c r="SLI184" s="82"/>
      <c r="SLJ184" s="82"/>
      <c r="SLK184" s="82"/>
      <c r="SLL184" s="82"/>
      <c r="SLM184" s="82"/>
      <c r="SLN184" s="82"/>
      <c r="SLO184" s="82"/>
      <c r="SLP184" s="82"/>
      <c r="SLQ184" s="82"/>
      <c r="SLR184" s="82"/>
      <c r="SLS184" s="82"/>
      <c r="SLT184" s="82"/>
      <c r="SLU184" s="82"/>
      <c r="SLV184" s="82"/>
      <c r="SLW184" s="82"/>
      <c r="SLX184" s="82"/>
      <c r="SLY184" s="82"/>
      <c r="SLZ184" s="82"/>
      <c r="SMA184" s="82"/>
      <c r="SMB184" s="82"/>
      <c r="SMC184" s="82"/>
      <c r="SMD184" s="82"/>
      <c r="SME184" s="82"/>
      <c r="SMF184" s="82"/>
      <c r="SMG184" s="82"/>
      <c r="SMH184" s="82"/>
      <c r="SMI184" s="82"/>
      <c r="SMJ184" s="82"/>
      <c r="SMK184" s="82"/>
      <c r="SML184" s="82"/>
      <c r="SMM184" s="82"/>
      <c r="SMN184" s="82"/>
      <c r="SMO184" s="82"/>
      <c r="SMP184" s="82"/>
      <c r="SMQ184" s="82"/>
      <c r="SMR184" s="82"/>
      <c r="SMS184" s="82"/>
      <c r="SMT184" s="82"/>
      <c r="SMU184" s="82"/>
      <c r="SMV184" s="82"/>
      <c r="SMW184" s="82"/>
      <c r="SMX184" s="82"/>
      <c r="SMY184" s="82"/>
      <c r="SMZ184" s="82"/>
      <c r="SNA184" s="82"/>
      <c r="SNB184" s="82"/>
      <c r="SNC184" s="82"/>
      <c r="SND184" s="82"/>
      <c r="SNE184" s="82"/>
      <c r="SNF184" s="82"/>
      <c r="SNG184" s="82"/>
      <c r="SNH184" s="82"/>
      <c r="SNI184" s="82"/>
      <c r="SNJ184" s="82"/>
      <c r="SNK184" s="82"/>
      <c r="SNL184" s="82"/>
      <c r="SNM184" s="82"/>
      <c r="SNN184" s="82"/>
      <c r="SNO184" s="82"/>
      <c r="SNP184" s="82"/>
      <c r="SNQ184" s="82"/>
      <c r="SNR184" s="82"/>
      <c r="SNS184" s="82"/>
      <c r="SNT184" s="82"/>
      <c r="SNU184" s="82"/>
      <c r="SNV184" s="82"/>
      <c r="SNW184" s="82"/>
      <c r="SNX184" s="82"/>
      <c r="SNY184" s="82"/>
      <c r="SNZ184" s="82"/>
      <c r="SOA184" s="82"/>
      <c r="SOB184" s="82"/>
      <c r="SOC184" s="82"/>
      <c r="SOD184" s="82"/>
      <c r="SOE184" s="82"/>
      <c r="SOF184" s="82"/>
      <c r="SOG184" s="82"/>
      <c r="SOH184" s="82"/>
      <c r="SOI184" s="82"/>
      <c r="SOJ184" s="82"/>
      <c r="SOK184" s="82"/>
      <c r="SOL184" s="82"/>
      <c r="SOM184" s="82"/>
      <c r="SON184" s="82"/>
      <c r="SOO184" s="82"/>
      <c r="SOP184" s="82"/>
      <c r="SOQ184" s="82"/>
      <c r="SOR184" s="82"/>
      <c r="SOS184" s="82"/>
      <c r="SOT184" s="82"/>
      <c r="SOU184" s="82"/>
      <c r="SOV184" s="82"/>
      <c r="SOW184" s="82"/>
      <c r="SOX184" s="82"/>
      <c r="SOY184" s="82"/>
      <c r="SOZ184" s="82"/>
      <c r="SPA184" s="82"/>
      <c r="SPB184" s="82"/>
      <c r="SPC184" s="82"/>
      <c r="SPD184" s="82"/>
      <c r="SPE184" s="82"/>
      <c r="SPF184" s="82"/>
      <c r="SPG184" s="82"/>
      <c r="SPH184" s="82"/>
      <c r="SPI184" s="82"/>
      <c r="SPJ184" s="82"/>
      <c r="SPK184" s="82"/>
      <c r="SPL184" s="82"/>
      <c r="SPM184" s="82"/>
      <c r="SPN184" s="82"/>
      <c r="SPO184" s="82"/>
      <c r="SPP184" s="82"/>
      <c r="SPQ184" s="82"/>
      <c r="SPR184" s="82"/>
      <c r="SPS184" s="82"/>
      <c r="SPT184" s="82"/>
      <c r="SPU184" s="82"/>
      <c r="SPV184" s="82"/>
      <c r="SPW184" s="82"/>
      <c r="SPX184" s="82"/>
      <c r="SPY184" s="82"/>
      <c r="SPZ184" s="82"/>
      <c r="SQA184" s="82"/>
      <c r="SQB184" s="82"/>
      <c r="SQC184" s="82"/>
      <c r="SQD184" s="82"/>
      <c r="SQE184" s="82"/>
      <c r="SQF184" s="82"/>
      <c r="SQG184" s="82"/>
      <c r="SQH184" s="82"/>
      <c r="SQI184" s="82"/>
      <c r="SQJ184" s="82"/>
      <c r="SQK184" s="82"/>
      <c r="SQL184" s="82"/>
      <c r="SQM184" s="82"/>
      <c r="SQN184" s="82"/>
      <c r="SQO184" s="82"/>
      <c r="SQP184" s="82"/>
      <c r="SQQ184" s="82"/>
      <c r="SQR184" s="82"/>
      <c r="SQS184" s="82"/>
      <c r="SQT184" s="82"/>
      <c r="SQU184" s="82"/>
      <c r="SQV184" s="82"/>
      <c r="SQW184" s="82"/>
      <c r="SQX184" s="82"/>
      <c r="SQY184" s="82"/>
      <c r="SQZ184" s="82"/>
      <c r="SRA184" s="82"/>
      <c r="SRB184" s="82"/>
      <c r="SRC184" s="82"/>
      <c r="SRD184" s="82"/>
      <c r="SRE184" s="82"/>
      <c r="SRF184" s="82"/>
      <c r="SRG184" s="82"/>
      <c r="SRH184" s="82"/>
      <c r="SRI184" s="82"/>
      <c r="SRJ184" s="82"/>
      <c r="SRK184" s="82"/>
      <c r="SRL184" s="82"/>
      <c r="SRM184" s="82"/>
      <c r="SRN184" s="82"/>
      <c r="SRO184" s="82"/>
      <c r="SRP184" s="82"/>
      <c r="SRQ184" s="82"/>
      <c r="SRR184" s="82"/>
      <c r="SRS184" s="82"/>
      <c r="SRT184" s="82"/>
      <c r="SRU184" s="82"/>
      <c r="SRV184" s="82"/>
      <c r="SRW184" s="82"/>
      <c r="SRX184" s="82"/>
      <c r="SRY184" s="82"/>
      <c r="SRZ184" s="82"/>
      <c r="SSA184" s="82"/>
      <c r="SSB184" s="82"/>
      <c r="SSC184" s="82"/>
      <c r="SSD184" s="82"/>
      <c r="SSE184" s="82"/>
      <c r="SSF184" s="82"/>
      <c r="SSG184" s="82"/>
      <c r="SSH184" s="82"/>
      <c r="SSI184" s="82"/>
      <c r="SSJ184" s="82"/>
      <c r="SSK184" s="82"/>
      <c r="SSL184" s="82"/>
      <c r="SSM184" s="82"/>
      <c r="SSN184" s="82"/>
      <c r="SSO184" s="82"/>
      <c r="SSP184" s="82"/>
      <c r="SSQ184" s="82"/>
      <c r="SSR184" s="82"/>
      <c r="SSS184" s="82"/>
      <c r="SST184" s="82"/>
      <c r="SSU184" s="82"/>
      <c r="SSV184" s="82"/>
      <c r="SSW184" s="82"/>
      <c r="SSX184" s="82"/>
      <c r="SSY184" s="82"/>
      <c r="SSZ184" s="82"/>
      <c r="STA184" s="82"/>
      <c r="STB184" s="82"/>
      <c r="STC184" s="82"/>
      <c r="STD184" s="82"/>
      <c r="STE184" s="82"/>
      <c r="STF184" s="82"/>
      <c r="STG184" s="82"/>
      <c r="STH184" s="82"/>
      <c r="STI184" s="82"/>
      <c r="STJ184" s="82"/>
      <c r="STK184" s="82"/>
      <c r="STL184" s="82"/>
      <c r="STM184" s="82"/>
      <c r="STN184" s="82"/>
      <c r="STO184" s="82"/>
      <c r="STP184" s="82"/>
      <c r="STQ184" s="82"/>
      <c r="STR184" s="82"/>
      <c r="STS184" s="82"/>
      <c r="STT184" s="82"/>
      <c r="STU184" s="82"/>
      <c r="STV184" s="82"/>
      <c r="STW184" s="82"/>
      <c r="STX184" s="82"/>
      <c r="STY184" s="82"/>
      <c r="STZ184" s="82"/>
      <c r="SUA184" s="82"/>
      <c r="SUB184" s="82"/>
      <c r="SUC184" s="82"/>
      <c r="SUD184" s="82"/>
      <c r="SUE184" s="82"/>
      <c r="SUF184" s="82"/>
      <c r="SUG184" s="82"/>
      <c r="SUH184" s="82"/>
      <c r="SUI184" s="82"/>
      <c r="SUJ184" s="82"/>
      <c r="SUK184" s="82"/>
      <c r="SUL184" s="82"/>
      <c r="SUM184" s="82"/>
      <c r="SUN184" s="82"/>
      <c r="SUO184" s="82"/>
      <c r="SUP184" s="82"/>
      <c r="SUQ184" s="82"/>
      <c r="SUR184" s="82"/>
      <c r="SUS184" s="82"/>
      <c r="SUT184" s="82"/>
      <c r="SUU184" s="82"/>
      <c r="SUV184" s="82"/>
      <c r="SUW184" s="82"/>
      <c r="SUX184" s="82"/>
      <c r="SUY184" s="82"/>
      <c r="SUZ184" s="82"/>
      <c r="SVA184" s="82"/>
      <c r="SVB184" s="82"/>
      <c r="SVC184" s="82"/>
      <c r="SVD184" s="82"/>
      <c r="SVE184" s="82"/>
      <c r="SVF184" s="82"/>
      <c r="SVG184" s="82"/>
      <c r="SVH184" s="82"/>
      <c r="SVI184" s="82"/>
      <c r="SVJ184" s="82"/>
      <c r="SVK184" s="82"/>
      <c r="SVL184" s="82"/>
      <c r="SVM184" s="82"/>
      <c r="SVN184" s="82"/>
      <c r="SVO184" s="82"/>
      <c r="SVP184" s="82"/>
      <c r="SVQ184" s="82"/>
      <c r="SVR184" s="82"/>
      <c r="SVS184" s="82"/>
      <c r="SVT184" s="82"/>
      <c r="SVU184" s="82"/>
      <c r="SVV184" s="82"/>
      <c r="SVW184" s="82"/>
      <c r="SVX184" s="82"/>
      <c r="SVY184" s="82"/>
      <c r="SVZ184" s="82"/>
      <c r="SWA184" s="82"/>
      <c r="SWB184" s="82"/>
      <c r="SWC184" s="82"/>
      <c r="SWD184" s="82"/>
      <c r="SWE184" s="82"/>
      <c r="SWF184" s="82"/>
      <c r="SWG184" s="82"/>
      <c r="SWH184" s="82"/>
      <c r="SWI184" s="82"/>
      <c r="SWJ184" s="82"/>
      <c r="SWK184" s="82"/>
      <c r="SWL184" s="82"/>
      <c r="SWM184" s="82"/>
      <c r="SWN184" s="82"/>
      <c r="SWO184" s="82"/>
      <c r="SWP184" s="82"/>
      <c r="SWQ184" s="82"/>
      <c r="SWR184" s="82"/>
      <c r="SWS184" s="82"/>
      <c r="SWT184" s="82"/>
      <c r="SWU184" s="82"/>
      <c r="SWV184" s="82"/>
      <c r="SWW184" s="82"/>
      <c r="SWX184" s="82"/>
      <c r="SWY184" s="82"/>
      <c r="SWZ184" s="82"/>
      <c r="SXA184" s="82"/>
      <c r="SXB184" s="82"/>
      <c r="SXC184" s="82"/>
      <c r="SXD184" s="82"/>
      <c r="SXE184" s="82"/>
      <c r="SXF184" s="82"/>
      <c r="SXG184" s="82"/>
      <c r="SXH184" s="82"/>
      <c r="SXI184" s="82"/>
      <c r="SXJ184" s="82"/>
      <c r="SXK184" s="82"/>
      <c r="SXL184" s="82"/>
      <c r="SXM184" s="82"/>
      <c r="SXN184" s="82"/>
      <c r="SXO184" s="82"/>
      <c r="SXP184" s="82"/>
      <c r="SXQ184" s="82"/>
      <c r="SXR184" s="82"/>
      <c r="SXS184" s="82"/>
      <c r="SXT184" s="82"/>
      <c r="SXU184" s="82"/>
      <c r="SXV184" s="82"/>
      <c r="SXW184" s="82"/>
      <c r="SXX184" s="82"/>
      <c r="SXY184" s="82"/>
      <c r="SXZ184" s="82"/>
      <c r="SYA184" s="82"/>
      <c r="SYB184" s="82"/>
      <c r="SYC184" s="82"/>
      <c r="SYD184" s="82"/>
      <c r="SYE184" s="82"/>
      <c r="SYF184" s="82"/>
      <c r="SYG184" s="82"/>
      <c r="SYH184" s="82"/>
      <c r="SYI184" s="82"/>
      <c r="SYJ184" s="82"/>
      <c r="SYK184" s="82"/>
      <c r="SYL184" s="82"/>
      <c r="SYM184" s="82"/>
      <c r="SYN184" s="82"/>
      <c r="SYO184" s="82"/>
      <c r="SYP184" s="82"/>
      <c r="SYQ184" s="82"/>
      <c r="SYR184" s="82"/>
      <c r="SYS184" s="82"/>
      <c r="SYT184" s="82"/>
      <c r="SYU184" s="82"/>
      <c r="SYV184" s="82"/>
      <c r="SYW184" s="82"/>
      <c r="SYX184" s="82"/>
      <c r="SYY184" s="82"/>
      <c r="SYZ184" s="82"/>
      <c r="SZA184" s="82"/>
      <c r="SZB184" s="82"/>
      <c r="SZC184" s="82"/>
      <c r="SZD184" s="82"/>
      <c r="SZE184" s="82"/>
      <c r="SZF184" s="82"/>
      <c r="SZG184" s="82"/>
      <c r="SZH184" s="82"/>
      <c r="SZI184" s="82"/>
      <c r="SZJ184" s="82"/>
      <c r="SZK184" s="82"/>
      <c r="SZL184" s="82"/>
      <c r="SZM184" s="82"/>
      <c r="SZN184" s="82"/>
      <c r="SZO184" s="82"/>
      <c r="SZP184" s="82"/>
      <c r="SZQ184" s="82"/>
      <c r="SZR184" s="82"/>
      <c r="SZS184" s="82"/>
      <c r="SZT184" s="82"/>
      <c r="SZU184" s="82"/>
      <c r="SZV184" s="82"/>
      <c r="SZW184" s="82"/>
      <c r="SZX184" s="82"/>
      <c r="SZY184" s="82"/>
      <c r="SZZ184" s="82"/>
      <c r="TAA184" s="82"/>
      <c r="TAB184" s="82"/>
      <c r="TAC184" s="82"/>
      <c r="TAD184" s="82"/>
      <c r="TAE184" s="82"/>
      <c r="TAF184" s="82"/>
      <c r="TAG184" s="82"/>
      <c r="TAH184" s="82"/>
      <c r="TAI184" s="82"/>
      <c r="TAJ184" s="82"/>
      <c r="TAK184" s="82"/>
      <c r="TAL184" s="82"/>
      <c r="TAM184" s="82"/>
      <c r="TAN184" s="82"/>
      <c r="TAO184" s="82"/>
      <c r="TAP184" s="82"/>
      <c r="TAQ184" s="82"/>
      <c r="TAR184" s="82"/>
      <c r="TAS184" s="82"/>
      <c r="TAT184" s="82"/>
      <c r="TAU184" s="82"/>
      <c r="TAV184" s="82"/>
      <c r="TAW184" s="82"/>
      <c r="TAX184" s="82"/>
      <c r="TAY184" s="82"/>
      <c r="TAZ184" s="82"/>
      <c r="TBA184" s="82"/>
      <c r="TBB184" s="82"/>
      <c r="TBC184" s="82"/>
      <c r="TBD184" s="82"/>
      <c r="TBE184" s="82"/>
      <c r="TBF184" s="82"/>
      <c r="TBG184" s="82"/>
      <c r="TBH184" s="82"/>
      <c r="TBI184" s="82"/>
      <c r="TBJ184" s="82"/>
      <c r="TBK184" s="82"/>
      <c r="TBL184" s="82"/>
      <c r="TBM184" s="82"/>
      <c r="TBN184" s="82"/>
      <c r="TBO184" s="82"/>
      <c r="TBP184" s="82"/>
      <c r="TBQ184" s="82"/>
      <c r="TBR184" s="82"/>
      <c r="TBS184" s="82"/>
      <c r="TBT184" s="82"/>
      <c r="TBU184" s="82"/>
      <c r="TBV184" s="82"/>
      <c r="TBW184" s="82"/>
      <c r="TBX184" s="82"/>
      <c r="TBY184" s="82"/>
      <c r="TBZ184" s="82"/>
      <c r="TCA184" s="82"/>
      <c r="TCB184" s="82"/>
      <c r="TCC184" s="82"/>
      <c r="TCD184" s="82"/>
      <c r="TCE184" s="82"/>
      <c r="TCF184" s="82"/>
      <c r="TCG184" s="82"/>
      <c r="TCH184" s="82"/>
      <c r="TCI184" s="82"/>
      <c r="TCJ184" s="82"/>
      <c r="TCK184" s="82"/>
      <c r="TCL184" s="82"/>
      <c r="TCM184" s="82"/>
      <c r="TCN184" s="82"/>
      <c r="TCO184" s="82"/>
      <c r="TCP184" s="82"/>
      <c r="TCQ184" s="82"/>
      <c r="TCR184" s="82"/>
      <c r="TCS184" s="82"/>
      <c r="TCT184" s="82"/>
      <c r="TCU184" s="82"/>
      <c r="TCV184" s="82"/>
      <c r="TCW184" s="82"/>
      <c r="TCX184" s="82"/>
      <c r="TCY184" s="82"/>
      <c r="TCZ184" s="82"/>
      <c r="TDA184" s="82"/>
      <c r="TDB184" s="82"/>
      <c r="TDC184" s="82"/>
      <c r="TDD184" s="82"/>
      <c r="TDE184" s="82"/>
      <c r="TDF184" s="82"/>
      <c r="TDG184" s="82"/>
      <c r="TDH184" s="82"/>
      <c r="TDI184" s="82"/>
      <c r="TDJ184" s="82"/>
      <c r="TDK184" s="82"/>
      <c r="TDL184" s="82"/>
      <c r="TDM184" s="82"/>
      <c r="TDN184" s="82"/>
      <c r="TDO184" s="82"/>
      <c r="TDP184" s="82"/>
      <c r="TDQ184" s="82"/>
      <c r="TDR184" s="82"/>
      <c r="TDS184" s="82"/>
      <c r="TDT184" s="82"/>
      <c r="TDU184" s="82"/>
      <c r="TDV184" s="82"/>
      <c r="TDW184" s="82"/>
      <c r="TDX184" s="82"/>
      <c r="TDY184" s="82"/>
      <c r="TDZ184" s="82"/>
      <c r="TEA184" s="82"/>
      <c r="TEB184" s="82"/>
      <c r="TEC184" s="82"/>
      <c r="TED184" s="82"/>
      <c r="TEE184" s="82"/>
      <c r="TEF184" s="82"/>
      <c r="TEG184" s="82"/>
      <c r="TEH184" s="82"/>
      <c r="TEI184" s="82"/>
      <c r="TEJ184" s="82"/>
      <c r="TEK184" s="82"/>
      <c r="TEL184" s="82"/>
      <c r="TEM184" s="82"/>
      <c r="TEN184" s="82"/>
      <c r="TEO184" s="82"/>
      <c r="TEP184" s="82"/>
      <c r="TEQ184" s="82"/>
      <c r="TER184" s="82"/>
      <c r="TES184" s="82"/>
      <c r="TET184" s="82"/>
      <c r="TEU184" s="82"/>
      <c r="TEV184" s="82"/>
      <c r="TEW184" s="82"/>
      <c r="TEX184" s="82"/>
      <c r="TEY184" s="82"/>
      <c r="TEZ184" s="82"/>
      <c r="TFA184" s="82"/>
      <c r="TFB184" s="82"/>
      <c r="TFC184" s="82"/>
      <c r="TFD184" s="82"/>
      <c r="TFE184" s="82"/>
      <c r="TFF184" s="82"/>
      <c r="TFG184" s="82"/>
      <c r="TFH184" s="82"/>
      <c r="TFI184" s="82"/>
      <c r="TFJ184" s="82"/>
      <c r="TFK184" s="82"/>
      <c r="TFL184" s="82"/>
      <c r="TFM184" s="82"/>
      <c r="TFN184" s="82"/>
      <c r="TFO184" s="82"/>
      <c r="TFP184" s="82"/>
      <c r="TFQ184" s="82"/>
      <c r="TFR184" s="82"/>
      <c r="TFS184" s="82"/>
      <c r="TFT184" s="82"/>
      <c r="TFU184" s="82"/>
      <c r="TFV184" s="82"/>
      <c r="TFW184" s="82"/>
      <c r="TFX184" s="82"/>
      <c r="TFY184" s="82"/>
      <c r="TFZ184" s="82"/>
      <c r="TGA184" s="82"/>
      <c r="TGB184" s="82"/>
      <c r="TGC184" s="82"/>
      <c r="TGD184" s="82"/>
      <c r="TGE184" s="82"/>
      <c r="TGF184" s="82"/>
      <c r="TGG184" s="82"/>
      <c r="TGH184" s="82"/>
      <c r="TGI184" s="82"/>
      <c r="TGJ184" s="82"/>
      <c r="TGK184" s="82"/>
      <c r="TGL184" s="82"/>
      <c r="TGM184" s="82"/>
      <c r="TGN184" s="82"/>
      <c r="TGO184" s="82"/>
      <c r="TGP184" s="82"/>
      <c r="TGQ184" s="82"/>
      <c r="TGR184" s="82"/>
      <c r="TGS184" s="82"/>
      <c r="TGT184" s="82"/>
      <c r="TGU184" s="82"/>
      <c r="TGV184" s="82"/>
      <c r="TGW184" s="82"/>
      <c r="TGX184" s="82"/>
      <c r="TGY184" s="82"/>
      <c r="TGZ184" s="82"/>
      <c r="THA184" s="82"/>
      <c r="THB184" s="82"/>
      <c r="THC184" s="82"/>
      <c r="THD184" s="82"/>
      <c r="THE184" s="82"/>
      <c r="THF184" s="82"/>
      <c r="THG184" s="82"/>
      <c r="THH184" s="82"/>
      <c r="THI184" s="82"/>
      <c r="THJ184" s="82"/>
      <c r="THK184" s="82"/>
      <c r="THL184" s="82"/>
      <c r="THM184" s="82"/>
      <c r="THN184" s="82"/>
      <c r="THO184" s="82"/>
      <c r="THP184" s="82"/>
      <c r="THQ184" s="82"/>
      <c r="THR184" s="82"/>
      <c r="THS184" s="82"/>
      <c r="THT184" s="82"/>
      <c r="THU184" s="82"/>
      <c r="THV184" s="82"/>
      <c r="THW184" s="82"/>
      <c r="THX184" s="82"/>
      <c r="THY184" s="82"/>
      <c r="THZ184" s="82"/>
      <c r="TIA184" s="82"/>
      <c r="TIB184" s="82"/>
      <c r="TIC184" s="82"/>
      <c r="TID184" s="82"/>
      <c r="TIE184" s="82"/>
      <c r="TIF184" s="82"/>
      <c r="TIG184" s="82"/>
      <c r="TIH184" s="82"/>
      <c r="TII184" s="82"/>
      <c r="TIJ184" s="82"/>
      <c r="TIK184" s="82"/>
      <c r="TIL184" s="82"/>
      <c r="TIM184" s="82"/>
      <c r="TIN184" s="82"/>
      <c r="TIO184" s="82"/>
      <c r="TIP184" s="82"/>
      <c r="TIQ184" s="82"/>
      <c r="TIR184" s="82"/>
      <c r="TIS184" s="82"/>
      <c r="TIT184" s="82"/>
      <c r="TIU184" s="82"/>
      <c r="TIV184" s="82"/>
      <c r="TIW184" s="82"/>
      <c r="TIX184" s="82"/>
      <c r="TIY184" s="82"/>
      <c r="TIZ184" s="82"/>
      <c r="TJA184" s="82"/>
      <c r="TJB184" s="82"/>
      <c r="TJC184" s="82"/>
      <c r="TJD184" s="82"/>
      <c r="TJE184" s="82"/>
      <c r="TJF184" s="82"/>
      <c r="TJG184" s="82"/>
      <c r="TJH184" s="82"/>
      <c r="TJI184" s="82"/>
      <c r="TJJ184" s="82"/>
      <c r="TJK184" s="82"/>
      <c r="TJL184" s="82"/>
      <c r="TJM184" s="82"/>
      <c r="TJN184" s="82"/>
      <c r="TJO184" s="82"/>
      <c r="TJP184" s="82"/>
      <c r="TJQ184" s="82"/>
      <c r="TJR184" s="82"/>
      <c r="TJS184" s="82"/>
      <c r="TJT184" s="82"/>
      <c r="TJU184" s="82"/>
      <c r="TJV184" s="82"/>
      <c r="TJW184" s="82"/>
      <c r="TJX184" s="82"/>
      <c r="TJY184" s="82"/>
      <c r="TJZ184" s="82"/>
      <c r="TKA184" s="82"/>
      <c r="TKB184" s="82"/>
      <c r="TKC184" s="82"/>
      <c r="TKD184" s="82"/>
      <c r="TKE184" s="82"/>
      <c r="TKF184" s="82"/>
      <c r="TKG184" s="82"/>
      <c r="TKH184" s="82"/>
      <c r="TKI184" s="82"/>
      <c r="TKJ184" s="82"/>
      <c r="TKK184" s="82"/>
      <c r="TKL184" s="82"/>
      <c r="TKM184" s="82"/>
      <c r="TKN184" s="82"/>
      <c r="TKO184" s="82"/>
      <c r="TKP184" s="82"/>
      <c r="TKQ184" s="82"/>
      <c r="TKR184" s="82"/>
      <c r="TKS184" s="82"/>
      <c r="TKT184" s="82"/>
      <c r="TKU184" s="82"/>
      <c r="TKV184" s="82"/>
      <c r="TKW184" s="82"/>
      <c r="TKX184" s="82"/>
      <c r="TKY184" s="82"/>
      <c r="TKZ184" s="82"/>
      <c r="TLA184" s="82"/>
      <c r="TLB184" s="82"/>
      <c r="TLC184" s="82"/>
      <c r="TLD184" s="82"/>
      <c r="TLE184" s="82"/>
      <c r="TLF184" s="82"/>
      <c r="TLG184" s="82"/>
      <c r="TLH184" s="82"/>
      <c r="TLI184" s="82"/>
      <c r="TLJ184" s="82"/>
      <c r="TLK184" s="82"/>
      <c r="TLL184" s="82"/>
      <c r="TLM184" s="82"/>
      <c r="TLN184" s="82"/>
      <c r="TLO184" s="82"/>
      <c r="TLP184" s="82"/>
      <c r="TLQ184" s="82"/>
      <c r="TLR184" s="82"/>
      <c r="TLS184" s="82"/>
      <c r="TLT184" s="82"/>
      <c r="TLU184" s="82"/>
      <c r="TLV184" s="82"/>
      <c r="TLW184" s="82"/>
      <c r="TLX184" s="82"/>
      <c r="TLY184" s="82"/>
      <c r="TLZ184" s="82"/>
      <c r="TMA184" s="82"/>
      <c r="TMB184" s="82"/>
      <c r="TMC184" s="82"/>
      <c r="TMD184" s="82"/>
      <c r="TME184" s="82"/>
      <c r="TMF184" s="82"/>
      <c r="TMG184" s="82"/>
      <c r="TMH184" s="82"/>
      <c r="TMI184" s="82"/>
      <c r="TMJ184" s="82"/>
      <c r="TMK184" s="82"/>
      <c r="TML184" s="82"/>
      <c r="TMM184" s="82"/>
      <c r="TMN184" s="82"/>
      <c r="TMO184" s="82"/>
      <c r="TMP184" s="82"/>
      <c r="TMQ184" s="82"/>
      <c r="TMR184" s="82"/>
      <c r="TMS184" s="82"/>
      <c r="TMT184" s="82"/>
      <c r="TMU184" s="82"/>
      <c r="TMV184" s="82"/>
      <c r="TMW184" s="82"/>
      <c r="TMX184" s="82"/>
      <c r="TMY184" s="82"/>
      <c r="TMZ184" s="82"/>
      <c r="TNA184" s="82"/>
      <c r="TNB184" s="82"/>
      <c r="TNC184" s="82"/>
      <c r="TND184" s="82"/>
      <c r="TNE184" s="82"/>
      <c r="TNF184" s="82"/>
      <c r="TNG184" s="82"/>
      <c r="TNH184" s="82"/>
      <c r="TNI184" s="82"/>
      <c r="TNJ184" s="82"/>
      <c r="TNK184" s="82"/>
      <c r="TNL184" s="82"/>
      <c r="TNM184" s="82"/>
      <c r="TNN184" s="82"/>
      <c r="TNO184" s="82"/>
      <c r="TNP184" s="82"/>
      <c r="TNQ184" s="82"/>
      <c r="TNR184" s="82"/>
      <c r="TNS184" s="82"/>
      <c r="TNT184" s="82"/>
      <c r="TNU184" s="82"/>
      <c r="TNV184" s="82"/>
      <c r="TNW184" s="82"/>
      <c r="TNX184" s="82"/>
      <c r="TNY184" s="82"/>
      <c r="TNZ184" s="82"/>
      <c r="TOA184" s="82"/>
      <c r="TOB184" s="82"/>
      <c r="TOC184" s="82"/>
      <c r="TOD184" s="82"/>
      <c r="TOE184" s="82"/>
      <c r="TOF184" s="82"/>
      <c r="TOG184" s="82"/>
      <c r="TOH184" s="82"/>
      <c r="TOI184" s="82"/>
      <c r="TOJ184" s="82"/>
      <c r="TOK184" s="82"/>
      <c r="TOL184" s="82"/>
      <c r="TOM184" s="82"/>
      <c r="TON184" s="82"/>
      <c r="TOO184" s="82"/>
      <c r="TOP184" s="82"/>
      <c r="TOQ184" s="82"/>
      <c r="TOR184" s="82"/>
      <c r="TOS184" s="82"/>
      <c r="TOT184" s="82"/>
      <c r="TOU184" s="82"/>
      <c r="TOV184" s="82"/>
      <c r="TOW184" s="82"/>
      <c r="TOX184" s="82"/>
      <c r="TOY184" s="82"/>
      <c r="TOZ184" s="82"/>
      <c r="TPA184" s="82"/>
      <c r="TPB184" s="82"/>
      <c r="TPC184" s="82"/>
      <c r="TPD184" s="82"/>
      <c r="TPE184" s="82"/>
      <c r="TPF184" s="82"/>
      <c r="TPG184" s="82"/>
      <c r="TPH184" s="82"/>
      <c r="TPI184" s="82"/>
      <c r="TPJ184" s="82"/>
      <c r="TPK184" s="82"/>
      <c r="TPL184" s="82"/>
      <c r="TPM184" s="82"/>
      <c r="TPN184" s="82"/>
      <c r="TPO184" s="82"/>
      <c r="TPP184" s="82"/>
      <c r="TPQ184" s="82"/>
      <c r="TPR184" s="82"/>
      <c r="TPS184" s="82"/>
      <c r="TPT184" s="82"/>
      <c r="TPU184" s="82"/>
      <c r="TPV184" s="82"/>
      <c r="TPW184" s="82"/>
      <c r="TPX184" s="82"/>
      <c r="TPY184" s="82"/>
      <c r="TPZ184" s="82"/>
      <c r="TQA184" s="82"/>
      <c r="TQB184" s="82"/>
      <c r="TQC184" s="82"/>
      <c r="TQD184" s="82"/>
      <c r="TQE184" s="82"/>
      <c r="TQF184" s="82"/>
      <c r="TQG184" s="82"/>
      <c r="TQH184" s="82"/>
      <c r="TQI184" s="82"/>
      <c r="TQJ184" s="82"/>
      <c r="TQK184" s="82"/>
      <c r="TQL184" s="82"/>
      <c r="TQM184" s="82"/>
      <c r="TQN184" s="82"/>
      <c r="TQO184" s="82"/>
      <c r="TQP184" s="82"/>
      <c r="TQQ184" s="82"/>
      <c r="TQR184" s="82"/>
      <c r="TQS184" s="82"/>
      <c r="TQT184" s="82"/>
      <c r="TQU184" s="82"/>
      <c r="TQV184" s="82"/>
      <c r="TQW184" s="82"/>
      <c r="TQX184" s="82"/>
      <c r="TQY184" s="82"/>
      <c r="TQZ184" s="82"/>
      <c r="TRA184" s="82"/>
      <c r="TRB184" s="82"/>
      <c r="TRC184" s="82"/>
      <c r="TRD184" s="82"/>
      <c r="TRE184" s="82"/>
      <c r="TRF184" s="82"/>
      <c r="TRG184" s="82"/>
      <c r="TRH184" s="82"/>
      <c r="TRI184" s="82"/>
      <c r="TRJ184" s="82"/>
      <c r="TRK184" s="82"/>
      <c r="TRL184" s="82"/>
      <c r="TRM184" s="82"/>
      <c r="TRN184" s="82"/>
      <c r="TRO184" s="82"/>
      <c r="TRP184" s="82"/>
      <c r="TRQ184" s="82"/>
      <c r="TRR184" s="82"/>
      <c r="TRS184" s="82"/>
      <c r="TRT184" s="82"/>
      <c r="TRU184" s="82"/>
      <c r="TRV184" s="82"/>
      <c r="TRW184" s="82"/>
      <c r="TRX184" s="82"/>
      <c r="TRY184" s="82"/>
      <c r="TRZ184" s="82"/>
      <c r="TSA184" s="82"/>
      <c r="TSB184" s="82"/>
      <c r="TSC184" s="82"/>
      <c r="TSD184" s="82"/>
      <c r="TSE184" s="82"/>
      <c r="TSF184" s="82"/>
      <c r="TSG184" s="82"/>
      <c r="TSH184" s="82"/>
      <c r="TSI184" s="82"/>
      <c r="TSJ184" s="82"/>
      <c r="TSK184" s="82"/>
      <c r="TSL184" s="82"/>
      <c r="TSM184" s="82"/>
      <c r="TSN184" s="82"/>
      <c r="TSO184" s="82"/>
      <c r="TSP184" s="82"/>
      <c r="TSQ184" s="82"/>
      <c r="TSR184" s="82"/>
      <c r="TSS184" s="82"/>
      <c r="TST184" s="82"/>
      <c r="TSU184" s="82"/>
      <c r="TSV184" s="82"/>
      <c r="TSW184" s="82"/>
      <c r="TSX184" s="82"/>
      <c r="TSY184" s="82"/>
      <c r="TSZ184" s="82"/>
      <c r="TTA184" s="82"/>
      <c r="TTB184" s="82"/>
      <c r="TTC184" s="82"/>
      <c r="TTD184" s="82"/>
      <c r="TTE184" s="82"/>
      <c r="TTF184" s="82"/>
      <c r="TTG184" s="82"/>
      <c r="TTH184" s="82"/>
      <c r="TTI184" s="82"/>
      <c r="TTJ184" s="82"/>
      <c r="TTK184" s="82"/>
      <c r="TTL184" s="82"/>
      <c r="TTM184" s="82"/>
      <c r="TTN184" s="82"/>
      <c r="TTO184" s="82"/>
      <c r="TTP184" s="82"/>
      <c r="TTQ184" s="82"/>
      <c r="TTR184" s="82"/>
      <c r="TTS184" s="82"/>
      <c r="TTT184" s="82"/>
      <c r="TTU184" s="82"/>
      <c r="TTV184" s="82"/>
      <c r="TTW184" s="82"/>
      <c r="TTX184" s="82"/>
      <c r="TTY184" s="82"/>
      <c r="TTZ184" s="82"/>
      <c r="TUA184" s="82"/>
      <c r="TUB184" s="82"/>
      <c r="TUC184" s="82"/>
      <c r="TUD184" s="82"/>
      <c r="TUE184" s="82"/>
      <c r="TUF184" s="82"/>
      <c r="TUG184" s="82"/>
      <c r="TUH184" s="82"/>
      <c r="TUI184" s="82"/>
      <c r="TUJ184" s="82"/>
      <c r="TUK184" s="82"/>
      <c r="TUL184" s="82"/>
      <c r="TUM184" s="82"/>
      <c r="TUN184" s="82"/>
      <c r="TUO184" s="82"/>
      <c r="TUP184" s="82"/>
      <c r="TUQ184" s="82"/>
      <c r="TUR184" s="82"/>
      <c r="TUS184" s="82"/>
      <c r="TUT184" s="82"/>
      <c r="TUU184" s="82"/>
      <c r="TUV184" s="82"/>
      <c r="TUW184" s="82"/>
      <c r="TUX184" s="82"/>
      <c r="TUY184" s="82"/>
      <c r="TUZ184" s="82"/>
      <c r="TVA184" s="82"/>
      <c r="TVB184" s="82"/>
      <c r="TVC184" s="82"/>
      <c r="TVD184" s="82"/>
      <c r="TVE184" s="82"/>
      <c r="TVF184" s="82"/>
      <c r="TVG184" s="82"/>
      <c r="TVH184" s="82"/>
      <c r="TVI184" s="82"/>
      <c r="TVJ184" s="82"/>
      <c r="TVK184" s="82"/>
      <c r="TVL184" s="82"/>
      <c r="TVM184" s="82"/>
      <c r="TVN184" s="82"/>
      <c r="TVO184" s="82"/>
      <c r="TVP184" s="82"/>
      <c r="TVQ184" s="82"/>
      <c r="TVR184" s="82"/>
      <c r="TVS184" s="82"/>
      <c r="TVT184" s="82"/>
      <c r="TVU184" s="82"/>
      <c r="TVV184" s="82"/>
      <c r="TVW184" s="82"/>
      <c r="TVX184" s="82"/>
      <c r="TVY184" s="82"/>
      <c r="TVZ184" s="82"/>
      <c r="TWA184" s="82"/>
      <c r="TWB184" s="82"/>
      <c r="TWC184" s="82"/>
      <c r="TWD184" s="82"/>
      <c r="TWE184" s="82"/>
      <c r="TWF184" s="82"/>
      <c r="TWG184" s="82"/>
      <c r="TWH184" s="82"/>
      <c r="TWI184" s="82"/>
      <c r="TWJ184" s="82"/>
      <c r="TWK184" s="82"/>
      <c r="TWL184" s="82"/>
      <c r="TWM184" s="82"/>
      <c r="TWN184" s="82"/>
      <c r="TWO184" s="82"/>
      <c r="TWP184" s="82"/>
      <c r="TWQ184" s="82"/>
      <c r="TWR184" s="82"/>
      <c r="TWS184" s="82"/>
      <c r="TWT184" s="82"/>
      <c r="TWU184" s="82"/>
      <c r="TWV184" s="82"/>
      <c r="TWW184" s="82"/>
      <c r="TWX184" s="82"/>
      <c r="TWY184" s="82"/>
      <c r="TWZ184" s="82"/>
      <c r="TXA184" s="82"/>
      <c r="TXB184" s="82"/>
      <c r="TXC184" s="82"/>
      <c r="TXD184" s="82"/>
      <c r="TXE184" s="82"/>
      <c r="TXF184" s="82"/>
      <c r="TXG184" s="82"/>
      <c r="TXH184" s="82"/>
      <c r="TXI184" s="82"/>
      <c r="TXJ184" s="82"/>
      <c r="TXK184" s="82"/>
      <c r="TXL184" s="82"/>
      <c r="TXM184" s="82"/>
      <c r="TXN184" s="82"/>
      <c r="TXO184" s="82"/>
      <c r="TXP184" s="82"/>
      <c r="TXQ184" s="82"/>
      <c r="TXR184" s="82"/>
      <c r="TXS184" s="82"/>
      <c r="TXT184" s="82"/>
      <c r="TXU184" s="82"/>
      <c r="TXV184" s="82"/>
      <c r="TXW184" s="82"/>
      <c r="TXX184" s="82"/>
      <c r="TXY184" s="82"/>
      <c r="TXZ184" s="82"/>
      <c r="TYA184" s="82"/>
      <c r="TYB184" s="82"/>
      <c r="TYC184" s="82"/>
      <c r="TYD184" s="82"/>
      <c r="TYE184" s="82"/>
      <c r="TYF184" s="82"/>
      <c r="TYG184" s="82"/>
      <c r="TYH184" s="82"/>
      <c r="TYI184" s="82"/>
      <c r="TYJ184" s="82"/>
      <c r="TYK184" s="82"/>
      <c r="TYL184" s="82"/>
      <c r="TYM184" s="82"/>
      <c r="TYN184" s="82"/>
      <c r="TYO184" s="82"/>
      <c r="TYP184" s="82"/>
      <c r="TYQ184" s="82"/>
      <c r="TYR184" s="82"/>
      <c r="TYS184" s="82"/>
      <c r="TYT184" s="82"/>
      <c r="TYU184" s="82"/>
      <c r="TYV184" s="82"/>
      <c r="TYW184" s="82"/>
      <c r="TYX184" s="82"/>
      <c r="TYY184" s="82"/>
      <c r="TYZ184" s="82"/>
      <c r="TZA184" s="82"/>
      <c r="TZB184" s="82"/>
      <c r="TZC184" s="82"/>
      <c r="TZD184" s="82"/>
      <c r="TZE184" s="82"/>
      <c r="TZF184" s="82"/>
      <c r="TZG184" s="82"/>
      <c r="TZH184" s="82"/>
      <c r="TZI184" s="82"/>
      <c r="TZJ184" s="82"/>
      <c r="TZK184" s="82"/>
      <c r="TZL184" s="82"/>
      <c r="TZM184" s="82"/>
      <c r="TZN184" s="82"/>
      <c r="TZO184" s="82"/>
      <c r="TZP184" s="82"/>
      <c r="TZQ184" s="82"/>
      <c r="TZR184" s="82"/>
      <c r="TZS184" s="82"/>
      <c r="TZT184" s="82"/>
      <c r="TZU184" s="82"/>
      <c r="TZV184" s="82"/>
      <c r="TZW184" s="82"/>
      <c r="TZX184" s="82"/>
      <c r="TZY184" s="82"/>
      <c r="TZZ184" s="82"/>
      <c r="UAA184" s="82"/>
      <c r="UAB184" s="82"/>
      <c r="UAC184" s="82"/>
      <c r="UAD184" s="82"/>
      <c r="UAE184" s="82"/>
      <c r="UAF184" s="82"/>
      <c r="UAG184" s="82"/>
      <c r="UAH184" s="82"/>
      <c r="UAI184" s="82"/>
      <c r="UAJ184" s="82"/>
      <c r="UAK184" s="82"/>
      <c r="UAL184" s="82"/>
      <c r="UAM184" s="82"/>
      <c r="UAN184" s="82"/>
      <c r="UAO184" s="82"/>
      <c r="UAP184" s="82"/>
      <c r="UAQ184" s="82"/>
      <c r="UAR184" s="82"/>
      <c r="UAS184" s="82"/>
      <c r="UAT184" s="82"/>
      <c r="UAU184" s="82"/>
      <c r="UAV184" s="82"/>
      <c r="UAW184" s="82"/>
      <c r="UAX184" s="82"/>
      <c r="UAY184" s="82"/>
      <c r="UAZ184" s="82"/>
      <c r="UBA184" s="82"/>
      <c r="UBB184" s="82"/>
      <c r="UBC184" s="82"/>
      <c r="UBD184" s="82"/>
      <c r="UBE184" s="82"/>
      <c r="UBF184" s="82"/>
      <c r="UBG184" s="82"/>
      <c r="UBH184" s="82"/>
      <c r="UBI184" s="82"/>
      <c r="UBJ184" s="82"/>
      <c r="UBK184" s="82"/>
      <c r="UBL184" s="82"/>
      <c r="UBM184" s="82"/>
      <c r="UBN184" s="82"/>
      <c r="UBO184" s="82"/>
      <c r="UBP184" s="82"/>
      <c r="UBQ184" s="82"/>
      <c r="UBR184" s="82"/>
      <c r="UBS184" s="82"/>
      <c r="UBT184" s="82"/>
      <c r="UBU184" s="82"/>
      <c r="UBV184" s="82"/>
      <c r="UBW184" s="82"/>
      <c r="UBX184" s="82"/>
      <c r="UBY184" s="82"/>
      <c r="UBZ184" s="82"/>
      <c r="UCA184" s="82"/>
      <c r="UCB184" s="82"/>
      <c r="UCC184" s="82"/>
      <c r="UCD184" s="82"/>
      <c r="UCE184" s="82"/>
      <c r="UCF184" s="82"/>
      <c r="UCG184" s="82"/>
      <c r="UCH184" s="82"/>
      <c r="UCI184" s="82"/>
      <c r="UCJ184" s="82"/>
      <c r="UCK184" s="82"/>
      <c r="UCL184" s="82"/>
      <c r="UCM184" s="82"/>
      <c r="UCN184" s="82"/>
      <c r="UCO184" s="82"/>
      <c r="UCP184" s="82"/>
      <c r="UCQ184" s="82"/>
      <c r="UCR184" s="82"/>
      <c r="UCS184" s="82"/>
      <c r="UCT184" s="82"/>
      <c r="UCU184" s="82"/>
      <c r="UCV184" s="82"/>
      <c r="UCW184" s="82"/>
      <c r="UCX184" s="82"/>
      <c r="UCY184" s="82"/>
      <c r="UCZ184" s="82"/>
      <c r="UDA184" s="82"/>
      <c r="UDB184" s="82"/>
      <c r="UDC184" s="82"/>
      <c r="UDD184" s="82"/>
      <c r="UDE184" s="82"/>
      <c r="UDF184" s="82"/>
      <c r="UDG184" s="82"/>
      <c r="UDH184" s="82"/>
      <c r="UDI184" s="82"/>
      <c r="UDJ184" s="82"/>
      <c r="UDK184" s="82"/>
      <c r="UDL184" s="82"/>
      <c r="UDM184" s="82"/>
      <c r="UDN184" s="82"/>
      <c r="UDO184" s="82"/>
      <c r="UDP184" s="82"/>
      <c r="UDQ184" s="82"/>
      <c r="UDR184" s="82"/>
      <c r="UDS184" s="82"/>
      <c r="UDT184" s="82"/>
      <c r="UDU184" s="82"/>
      <c r="UDV184" s="82"/>
      <c r="UDW184" s="82"/>
      <c r="UDX184" s="82"/>
      <c r="UDY184" s="82"/>
      <c r="UDZ184" s="82"/>
      <c r="UEA184" s="82"/>
      <c r="UEB184" s="82"/>
      <c r="UEC184" s="82"/>
      <c r="UED184" s="82"/>
      <c r="UEE184" s="82"/>
      <c r="UEF184" s="82"/>
      <c r="UEG184" s="82"/>
      <c r="UEH184" s="82"/>
      <c r="UEI184" s="82"/>
      <c r="UEJ184" s="82"/>
      <c r="UEK184" s="82"/>
      <c r="UEL184" s="82"/>
      <c r="UEM184" s="82"/>
      <c r="UEN184" s="82"/>
      <c r="UEO184" s="82"/>
      <c r="UEP184" s="82"/>
      <c r="UEQ184" s="82"/>
      <c r="UER184" s="82"/>
      <c r="UES184" s="82"/>
      <c r="UET184" s="82"/>
      <c r="UEU184" s="82"/>
      <c r="UEV184" s="82"/>
      <c r="UEW184" s="82"/>
      <c r="UEX184" s="82"/>
      <c r="UEY184" s="82"/>
      <c r="UEZ184" s="82"/>
      <c r="UFA184" s="82"/>
      <c r="UFB184" s="82"/>
      <c r="UFC184" s="82"/>
      <c r="UFD184" s="82"/>
      <c r="UFE184" s="82"/>
      <c r="UFF184" s="82"/>
      <c r="UFG184" s="82"/>
      <c r="UFH184" s="82"/>
      <c r="UFI184" s="82"/>
      <c r="UFJ184" s="82"/>
      <c r="UFK184" s="82"/>
      <c r="UFL184" s="82"/>
      <c r="UFM184" s="82"/>
      <c r="UFN184" s="82"/>
      <c r="UFO184" s="82"/>
      <c r="UFP184" s="82"/>
      <c r="UFQ184" s="82"/>
      <c r="UFR184" s="82"/>
      <c r="UFS184" s="82"/>
      <c r="UFT184" s="82"/>
      <c r="UFU184" s="82"/>
      <c r="UFV184" s="82"/>
      <c r="UFW184" s="82"/>
      <c r="UFX184" s="82"/>
      <c r="UFY184" s="82"/>
      <c r="UFZ184" s="82"/>
      <c r="UGA184" s="82"/>
      <c r="UGB184" s="82"/>
      <c r="UGC184" s="82"/>
      <c r="UGD184" s="82"/>
      <c r="UGE184" s="82"/>
      <c r="UGF184" s="82"/>
      <c r="UGG184" s="82"/>
      <c r="UGH184" s="82"/>
      <c r="UGI184" s="82"/>
      <c r="UGJ184" s="82"/>
      <c r="UGK184" s="82"/>
      <c r="UGL184" s="82"/>
      <c r="UGM184" s="82"/>
      <c r="UGN184" s="82"/>
      <c r="UGO184" s="82"/>
      <c r="UGP184" s="82"/>
      <c r="UGQ184" s="82"/>
      <c r="UGR184" s="82"/>
      <c r="UGS184" s="82"/>
      <c r="UGT184" s="82"/>
      <c r="UGU184" s="82"/>
      <c r="UGV184" s="82"/>
      <c r="UGW184" s="82"/>
      <c r="UGX184" s="82"/>
      <c r="UGY184" s="82"/>
      <c r="UGZ184" s="82"/>
      <c r="UHA184" s="82"/>
      <c r="UHB184" s="82"/>
      <c r="UHC184" s="82"/>
      <c r="UHD184" s="82"/>
      <c r="UHE184" s="82"/>
      <c r="UHF184" s="82"/>
      <c r="UHG184" s="82"/>
      <c r="UHH184" s="82"/>
      <c r="UHI184" s="82"/>
      <c r="UHJ184" s="82"/>
      <c r="UHK184" s="82"/>
      <c r="UHL184" s="82"/>
      <c r="UHM184" s="82"/>
      <c r="UHN184" s="82"/>
      <c r="UHO184" s="82"/>
      <c r="UHP184" s="82"/>
      <c r="UHQ184" s="82"/>
      <c r="UHR184" s="82"/>
      <c r="UHS184" s="82"/>
      <c r="UHT184" s="82"/>
      <c r="UHU184" s="82"/>
      <c r="UHV184" s="82"/>
      <c r="UHW184" s="82"/>
      <c r="UHX184" s="82"/>
      <c r="UHY184" s="82"/>
      <c r="UHZ184" s="82"/>
      <c r="UIA184" s="82"/>
      <c r="UIB184" s="82"/>
      <c r="UIC184" s="82"/>
      <c r="UID184" s="82"/>
      <c r="UIE184" s="82"/>
      <c r="UIF184" s="82"/>
      <c r="UIG184" s="82"/>
      <c r="UIH184" s="82"/>
      <c r="UII184" s="82"/>
      <c r="UIJ184" s="82"/>
      <c r="UIK184" s="82"/>
      <c r="UIL184" s="82"/>
      <c r="UIM184" s="82"/>
      <c r="UIN184" s="82"/>
      <c r="UIO184" s="82"/>
      <c r="UIP184" s="82"/>
      <c r="UIQ184" s="82"/>
      <c r="UIR184" s="82"/>
      <c r="UIS184" s="82"/>
      <c r="UIT184" s="82"/>
      <c r="UIU184" s="82"/>
      <c r="UIV184" s="82"/>
      <c r="UIW184" s="82"/>
      <c r="UIX184" s="82"/>
      <c r="UIY184" s="82"/>
      <c r="UIZ184" s="82"/>
      <c r="UJA184" s="82"/>
      <c r="UJB184" s="82"/>
      <c r="UJC184" s="82"/>
      <c r="UJD184" s="82"/>
      <c r="UJE184" s="82"/>
      <c r="UJF184" s="82"/>
      <c r="UJG184" s="82"/>
      <c r="UJH184" s="82"/>
      <c r="UJI184" s="82"/>
      <c r="UJJ184" s="82"/>
      <c r="UJK184" s="82"/>
      <c r="UJL184" s="82"/>
      <c r="UJM184" s="82"/>
      <c r="UJN184" s="82"/>
      <c r="UJO184" s="82"/>
      <c r="UJP184" s="82"/>
      <c r="UJQ184" s="82"/>
      <c r="UJR184" s="82"/>
      <c r="UJS184" s="82"/>
      <c r="UJT184" s="82"/>
      <c r="UJU184" s="82"/>
      <c r="UJV184" s="82"/>
      <c r="UJW184" s="82"/>
      <c r="UJX184" s="82"/>
      <c r="UJY184" s="82"/>
      <c r="UJZ184" s="82"/>
      <c r="UKA184" s="82"/>
      <c r="UKB184" s="82"/>
      <c r="UKC184" s="82"/>
      <c r="UKD184" s="82"/>
      <c r="UKE184" s="82"/>
      <c r="UKF184" s="82"/>
      <c r="UKG184" s="82"/>
      <c r="UKH184" s="82"/>
      <c r="UKI184" s="82"/>
      <c r="UKJ184" s="82"/>
      <c r="UKK184" s="82"/>
      <c r="UKL184" s="82"/>
      <c r="UKM184" s="82"/>
      <c r="UKN184" s="82"/>
      <c r="UKO184" s="82"/>
      <c r="UKP184" s="82"/>
      <c r="UKQ184" s="82"/>
      <c r="UKR184" s="82"/>
      <c r="UKS184" s="82"/>
      <c r="UKT184" s="82"/>
      <c r="UKU184" s="82"/>
      <c r="UKV184" s="82"/>
      <c r="UKW184" s="82"/>
      <c r="UKX184" s="82"/>
      <c r="UKY184" s="82"/>
      <c r="UKZ184" s="82"/>
      <c r="ULA184" s="82"/>
      <c r="ULB184" s="82"/>
      <c r="ULC184" s="82"/>
      <c r="ULD184" s="82"/>
      <c r="ULE184" s="82"/>
      <c r="ULF184" s="82"/>
      <c r="ULG184" s="82"/>
      <c r="ULH184" s="82"/>
      <c r="ULI184" s="82"/>
      <c r="ULJ184" s="82"/>
      <c r="ULK184" s="82"/>
      <c r="ULL184" s="82"/>
      <c r="ULM184" s="82"/>
      <c r="ULN184" s="82"/>
      <c r="ULO184" s="82"/>
      <c r="ULP184" s="82"/>
      <c r="ULQ184" s="82"/>
      <c r="ULR184" s="82"/>
      <c r="ULS184" s="82"/>
      <c r="ULT184" s="82"/>
      <c r="ULU184" s="82"/>
      <c r="ULV184" s="82"/>
      <c r="ULW184" s="82"/>
      <c r="ULX184" s="82"/>
      <c r="ULY184" s="82"/>
      <c r="ULZ184" s="82"/>
      <c r="UMA184" s="82"/>
      <c r="UMB184" s="82"/>
      <c r="UMC184" s="82"/>
      <c r="UMD184" s="82"/>
      <c r="UME184" s="82"/>
      <c r="UMF184" s="82"/>
      <c r="UMG184" s="82"/>
      <c r="UMH184" s="82"/>
      <c r="UMI184" s="82"/>
      <c r="UMJ184" s="82"/>
      <c r="UMK184" s="82"/>
      <c r="UML184" s="82"/>
      <c r="UMM184" s="82"/>
      <c r="UMN184" s="82"/>
      <c r="UMO184" s="82"/>
      <c r="UMP184" s="82"/>
      <c r="UMQ184" s="82"/>
      <c r="UMR184" s="82"/>
      <c r="UMS184" s="82"/>
      <c r="UMT184" s="82"/>
      <c r="UMU184" s="82"/>
      <c r="UMV184" s="82"/>
      <c r="UMW184" s="82"/>
      <c r="UMX184" s="82"/>
      <c r="UMY184" s="82"/>
      <c r="UMZ184" s="82"/>
      <c r="UNA184" s="82"/>
      <c r="UNB184" s="82"/>
      <c r="UNC184" s="82"/>
      <c r="UND184" s="82"/>
      <c r="UNE184" s="82"/>
      <c r="UNF184" s="82"/>
      <c r="UNG184" s="82"/>
      <c r="UNH184" s="82"/>
      <c r="UNI184" s="82"/>
      <c r="UNJ184" s="82"/>
      <c r="UNK184" s="82"/>
      <c r="UNL184" s="82"/>
      <c r="UNM184" s="82"/>
      <c r="UNN184" s="82"/>
      <c r="UNO184" s="82"/>
      <c r="UNP184" s="82"/>
      <c r="UNQ184" s="82"/>
      <c r="UNR184" s="82"/>
      <c r="UNS184" s="82"/>
      <c r="UNT184" s="82"/>
      <c r="UNU184" s="82"/>
      <c r="UNV184" s="82"/>
      <c r="UNW184" s="82"/>
      <c r="UNX184" s="82"/>
      <c r="UNY184" s="82"/>
      <c r="UNZ184" s="82"/>
      <c r="UOA184" s="82"/>
      <c r="UOB184" s="82"/>
      <c r="UOC184" s="82"/>
      <c r="UOD184" s="82"/>
      <c r="UOE184" s="82"/>
      <c r="UOF184" s="82"/>
      <c r="UOG184" s="82"/>
      <c r="UOH184" s="82"/>
      <c r="UOI184" s="82"/>
      <c r="UOJ184" s="82"/>
      <c r="UOK184" s="82"/>
      <c r="UOL184" s="82"/>
      <c r="UOM184" s="82"/>
      <c r="UON184" s="82"/>
      <c r="UOO184" s="82"/>
      <c r="UOP184" s="82"/>
      <c r="UOQ184" s="82"/>
      <c r="UOR184" s="82"/>
      <c r="UOS184" s="82"/>
      <c r="UOT184" s="82"/>
      <c r="UOU184" s="82"/>
      <c r="UOV184" s="82"/>
      <c r="UOW184" s="82"/>
      <c r="UOX184" s="82"/>
      <c r="UOY184" s="82"/>
      <c r="UOZ184" s="82"/>
      <c r="UPA184" s="82"/>
      <c r="UPB184" s="82"/>
      <c r="UPC184" s="82"/>
      <c r="UPD184" s="82"/>
      <c r="UPE184" s="82"/>
      <c r="UPF184" s="82"/>
      <c r="UPG184" s="82"/>
      <c r="UPH184" s="82"/>
      <c r="UPI184" s="82"/>
      <c r="UPJ184" s="82"/>
      <c r="UPK184" s="82"/>
      <c r="UPL184" s="82"/>
      <c r="UPM184" s="82"/>
      <c r="UPN184" s="82"/>
      <c r="UPO184" s="82"/>
      <c r="UPP184" s="82"/>
      <c r="UPQ184" s="82"/>
      <c r="UPR184" s="82"/>
      <c r="UPS184" s="82"/>
      <c r="UPT184" s="82"/>
      <c r="UPU184" s="82"/>
      <c r="UPV184" s="82"/>
      <c r="UPW184" s="82"/>
      <c r="UPX184" s="82"/>
      <c r="UPY184" s="82"/>
      <c r="UPZ184" s="82"/>
      <c r="UQA184" s="82"/>
      <c r="UQB184" s="82"/>
      <c r="UQC184" s="82"/>
      <c r="UQD184" s="82"/>
      <c r="UQE184" s="82"/>
      <c r="UQF184" s="82"/>
      <c r="UQG184" s="82"/>
      <c r="UQH184" s="82"/>
      <c r="UQI184" s="82"/>
      <c r="UQJ184" s="82"/>
      <c r="UQK184" s="82"/>
      <c r="UQL184" s="82"/>
      <c r="UQM184" s="82"/>
      <c r="UQN184" s="82"/>
      <c r="UQO184" s="82"/>
      <c r="UQP184" s="82"/>
      <c r="UQQ184" s="82"/>
      <c r="UQR184" s="82"/>
      <c r="UQS184" s="82"/>
      <c r="UQT184" s="82"/>
      <c r="UQU184" s="82"/>
      <c r="UQV184" s="82"/>
      <c r="UQW184" s="82"/>
      <c r="UQX184" s="82"/>
      <c r="UQY184" s="82"/>
      <c r="UQZ184" s="82"/>
      <c r="URA184" s="82"/>
      <c r="URB184" s="82"/>
      <c r="URC184" s="82"/>
      <c r="URD184" s="82"/>
      <c r="URE184" s="82"/>
      <c r="URF184" s="82"/>
      <c r="URG184" s="82"/>
      <c r="URH184" s="82"/>
      <c r="URI184" s="82"/>
      <c r="URJ184" s="82"/>
      <c r="URK184" s="82"/>
      <c r="URL184" s="82"/>
      <c r="URM184" s="82"/>
      <c r="URN184" s="82"/>
      <c r="URO184" s="82"/>
      <c r="URP184" s="82"/>
      <c r="URQ184" s="82"/>
      <c r="URR184" s="82"/>
      <c r="URS184" s="82"/>
      <c r="URT184" s="82"/>
      <c r="URU184" s="82"/>
      <c r="URV184" s="82"/>
      <c r="URW184" s="82"/>
      <c r="URX184" s="82"/>
      <c r="URY184" s="82"/>
      <c r="URZ184" s="82"/>
      <c r="USA184" s="82"/>
      <c r="USB184" s="82"/>
      <c r="USC184" s="82"/>
      <c r="USD184" s="82"/>
      <c r="USE184" s="82"/>
      <c r="USF184" s="82"/>
      <c r="USG184" s="82"/>
      <c r="USH184" s="82"/>
      <c r="USI184" s="82"/>
      <c r="USJ184" s="82"/>
      <c r="USK184" s="82"/>
      <c r="USL184" s="82"/>
      <c r="USM184" s="82"/>
      <c r="USN184" s="82"/>
      <c r="USO184" s="82"/>
      <c r="USP184" s="82"/>
      <c r="USQ184" s="82"/>
      <c r="USR184" s="82"/>
      <c r="USS184" s="82"/>
      <c r="UST184" s="82"/>
      <c r="USU184" s="82"/>
      <c r="USV184" s="82"/>
      <c r="USW184" s="82"/>
      <c r="USX184" s="82"/>
      <c r="USY184" s="82"/>
      <c r="USZ184" s="82"/>
      <c r="UTA184" s="82"/>
      <c r="UTB184" s="82"/>
      <c r="UTC184" s="82"/>
      <c r="UTD184" s="82"/>
      <c r="UTE184" s="82"/>
      <c r="UTF184" s="82"/>
      <c r="UTG184" s="82"/>
      <c r="UTH184" s="82"/>
      <c r="UTI184" s="82"/>
      <c r="UTJ184" s="82"/>
      <c r="UTK184" s="82"/>
      <c r="UTL184" s="82"/>
      <c r="UTM184" s="82"/>
      <c r="UTN184" s="82"/>
      <c r="UTO184" s="82"/>
      <c r="UTP184" s="82"/>
      <c r="UTQ184" s="82"/>
      <c r="UTR184" s="82"/>
      <c r="UTS184" s="82"/>
      <c r="UTT184" s="82"/>
      <c r="UTU184" s="82"/>
      <c r="UTV184" s="82"/>
      <c r="UTW184" s="82"/>
      <c r="UTX184" s="82"/>
      <c r="UTY184" s="82"/>
      <c r="UTZ184" s="82"/>
      <c r="UUA184" s="82"/>
      <c r="UUB184" s="82"/>
      <c r="UUC184" s="82"/>
      <c r="UUD184" s="82"/>
      <c r="UUE184" s="82"/>
      <c r="UUF184" s="82"/>
      <c r="UUG184" s="82"/>
      <c r="UUH184" s="82"/>
      <c r="UUI184" s="82"/>
      <c r="UUJ184" s="82"/>
      <c r="UUK184" s="82"/>
      <c r="UUL184" s="82"/>
      <c r="UUM184" s="82"/>
      <c r="UUN184" s="82"/>
      <c r="UUO184" s="82"/>
      <c r="UUP184" s="82"/>
      <c r="UUQ184" s="82"/>
      <c r="UUR184" s="82"/>
      <c r="UUS184" s="82"/>
      <c r="UUT184" s="82"/>
      <c r="UUU184" s="82"/>
      <c r="UUV184" s="82"/>
      <c r="UUW184" s="82"/>
      <c r="UUX184" s="82"/>
      <c r="UUY184" s="82"/>
      <c r="UUZ184" s="82"/>
      <c r="UVA184" s="82"/>
      <c r="UVB184" s="82"/>
      <c r="UVC184" s="82"/>
      <c r="UVD184" s="82"/>
      <c r="UVE184" s="82"/>
      <c r="UVF184" s="82"/>
      <c r="UVG184" s="82"/>
      <c r="UVH184" s="82"/>
      <c r="UVI184" s="82"/>
      <c r="UVJ184" s="82"/>
      <c r="UVK184" s="82"/>
      <c r="UVL184" s="82"/>
      <c r="UVM184" s="82"/>
      <c r="UVN184" s="82"/>
      <c r="UVO184" s="82"/>
      <c r="UVP184" s="82"/>
      <c r="UVQ184" s="82"/>
      <c r="UVR184" s="82"/>
      <c r="UVS184" s="82"/>
      <c r="UVT184" s="82"/>
      <c r="UVU184" s="82"/>
      <c r="UVV184" s="82"/>
      <c r="UVW184" s="82"/>
      <c r="UVX184" s="82"/>
      <c r="UVY184" s="82"/>
      <c r="UVZ184" s="82"/>
      <c r="UWA184" s="82"/>
      <c r="UWB184" s="82"/>
      <c r="UWC184" s="82"/>
      <c r="UWD184" s="82"/>
      <c r="UWE184" s="82"/>
      <c r="UWF184" s="82"/>
      <c r="UWG184" s="82"/>
      <c r="UWH184" s="82"/>
      <c r="UWI184" s="82"/>
      <c r="UWJ184" s="82"/>
      <c r="UWK184" s="82"/>
      <c r="UWL184" s="82"/>
      <c r="UWM184" s="82"/>
      <c r="UWN184" s="82"/>
      <c r="UWO184" s="82"/>
      <c r="UWP184" s="82"/>
      <c r="UWQ184" s="82"/>
      <c r="UWR184" s="82"/>
      <c r="UWS184" s="82"/>
      <c r="UWT184" s="82"/>
      <c r="UWU184" s="82"/>
      <c r="UWV184" s="82"/>
      <c r="UWW184" s="82"/>
      <c r="UWX184" s="82"/>
      <c r="UWY184" s="82"/>
      <c r="UWZ184" s="82"/>
      <c r="UXA184" s="82"/>
      <c r="UXB184" s="82"/>
      <c r="UXC184" s="82"/>
      <c r="UXD184" s="82"/>
      <c r="UXE184" s="82"/>
      <c r="UXF184" s="82"/>
      <c r="UXG184" s="82"/>
      <c r="UXH184" s="82"/>
      <c r="UXI184" s="82"/>
      <c r="UXJ184" s="82"/>
      <c r="UXK184" s="82"/>
      <c r="UXL184" s="82"/>
      <c r="UXM184" s="82"/>
      <c r="UXN184" s="82"/>
      <c r="UXO184" s="82"/>
      <c r="UXP184" s="82"/>
      <c r="UXQ184" s="82"/>
      <c r="UXR184" s="82"/>
      <c r="UXS184" s="82"/>
      <c r="UXT184" s="82"/>
      <c r="UXU184" s="82"/>
      <c r="UXV184" s="82"/>
      <c r="UXW184" s="82"/>
      <c r="UXX184" s="82"/>
      <c r="UXY184" s="82"/>
      <c r="UXZ184" s="82"/>
      <c r="UYA184" s="82"/>
      <c r="UYB184" s="82"/>
      <c r="UYC184" s="82"/>
      <c r="UYD184" s="82"/>
      <c r="UYE184" s="82"/>
      <c r="UYF184" s="82"/>
      <c r="UYG184" s="82"/>
      <c r="UYH184" s="82"/>
      <c r="UYI184" s="82"/>
      <c r="UYJ184" s="82"/>
      <c r="UYK184" s="82"/>
      <c r="UYL184" s="82"/>
      <c r="UYM184" s="82"/>
      <c r="UYN184" s="82"/>
      <c r="UYO184" s="82"/>
      <c r="UYP184" s="82"/>
      <c r="UYQ184" s="82"/>
      <c r="UYR184" s="82"/>
      <c r="UYS184" s="82"/>
      <c r="UYT184" s="82"/>
      <c r="UYU184" s="82"/>
      <c r="UYV184" s="82"/>
      <c r="UYW184" s="82"/>
      <c r="UYX184" s="82"/>
      <c r="UYY184" s="82"/>
      <c r="UYZ184" s="82"/>
      <c r="UZA184" s="82"/>
      <c r="UZB184" s="82"/>
      <c r="UZC184" s="82"/>
      <c r="UZD184" s="82"/>
      <c r="UZE184" s="82"/>
      <c r="UZF184" s="82"/>
      <c r="UZG184" s="82"/>
      <c r="UZH184" s="82"/>
      <c r="UZI184" s="82"/>
      <c r="UZJ184" s="82"/>
      <c r="UZK184" s="82"/>
      <c r="UZL184" s="82"/>
      <c r="UZM184" s="82"/>
      <c r="UZN184" s="82"/>
      <c r="UZO184" s="82"/>
      <c r="UZP184" s="82"/>
      <c r="UZQ184" s="82"/>
      <c r="UZR184" s="82"/>
      <c r="UZS184" s="82"/>
      <c r="UZT184" s="82"/>
      <c r="UZU184" s="82"/>
      <c r="UZV184" s="82"/>
      <c r="UZW184" s="82"/>
      <c r="UZX184" s="82"/>
      <c r="UZY184" s="82"/>
      <c r="UZZ184" s="82"/>
      <c r="VAA184" s="82"/>
      <c r="VAB184" s="82"/>
      <c r="VAC184" s="82"/>
      <c r="VAD184" s="82"/>
      <c r="VAE184" s="82"/>
      <c r="VAF184" s="82"/>
      <c r="VAG184" s="82"/>
      <c r="VAH184" s="82"/>
      <c r="VAI184" s="82"/>
      <c r="VAJ184" s="82"/>
      <c r="VAK184" s="82"/>
      <c r="VAL184" s="82"/>
      <c r="VAM184" s="82"/>
      <c r="VAN184" s="82"/>
      <c r="VAO184" s="82"/>
      <c r="VAP184" s="82"/>
      <c r="VAQ184" s="82"/>
      <c r="VAR184" s="82"/>
      <c r="VAS184" s="82"/>
      <c r="VAT184" s="82"/>
      <c r="VAU184" s="82"/>
      <c r="VAV184" s="82"/>
      <c r="VAW184" s="82"/>
      <c r="VAX184" s="82"/>
      <c r="VAY184" s="82"/>
      <c r="VAZ184" s="82"/>
      <c r="VBA184" s="82"/>
      <c r="VBB184" s="82"/>
      <c r="VBC184" s="82"/>
      <c r="VBD184" s="82"/>
      <c r="VBE184" s="82"/>
      <c r="VBF184" s="82"/>
      <c r="VBG184" s="82"/>
      <c r="VBH184" s="82"/>
      <c r="VBI184" s="82"/>
      <c r="VBJ184" s="82"/>
      <c r="VBK184" s="82"/>
      <c r="VBL184" s="82"/>
      <c r="VBM184" s="82"/>
      <c r="VBN184" s="82"/>
      <c r="VBO184" s="82"/>
      <c r="VBP184" s="82"/>
      <c r="VBQ184" s="82"/>
      <c r="VBR184" s="82"/>
      <c r="VBS184" s="82"/>
      <c r="VBT184" s="82"/>
      <c r="VBU184" s="82"/>
      <c r="VBV184" s="82"/>
      <c r="VBW184" s="82"/>
      <c r="VBX184" s="82"/>
      <c r="VBY184" s="82"/>
      <c r="VBZ184" s="82"/>
      <c r="VCA184" s="82"/>
      <c r="VCB184" s="82"/>
      <c r="VCC184" s="82"/>
      <c r="VCD184" s="82"/>
      <c r="VCE184" s="82"/>
      <c r="VCF184" s="82"/>
      <c r="VCG184" s="82"/>
      <c r="VCH184" s="82"/>
      <c r="VCI184" s="82"/>
      <c r="VCJ184" s="82"/>
      <c r="VCK184" s="82"/>
      <c r="VCL184" s="82"/>
      <c r="VCM184" s="82"/>
      <c r="VCN184" s="82"/>
      <c r="VCO184" s="82"/>
      <c r="VCP184" s="82"/>
      <c r="VCQ184" s="82"/>
      <c r="VCR184" s="82"/>
      <c r="VCS184" s="82"/>
      <c r="VCT184" s="82"/>
      <c r="VCU184" s="82"/>
      <c r="VCV184" s="82"/>
      <c r="VCW184" s="82"/>
      <c r="VCX184" s="82"/>
      <c r="VCY184" s="82"/>
      <c r="VCZ184" s="82"/>
      <c r="VDA184" s="82"/>
      <c r="VDB184" s="82"/>
      <c r="VDC184" s="82"/>
      <c r="VDD184" s="82"/>
      <c r="VDE184" s="82"/>
      <c r="VDF184" s="82"/>
      <c r="VDG184" s="82"/>
      <c r="VDH184" s="82"/>
      <c r="VDI184" s="82"/>
      <c r="VDJ184" s="82"/>
      <c r="VDK184" s="82"/>
      <c r="VDL184" s="82"/>
      <c r="VDM184" s="82"/>
      <c r="VDN184" s="82"/>
      <c r="VDO184" s="82"/>
      <c r="VDP184" s="82"/>
      <c r="VDQ184" s="82"/>
      <c r="VDR184" s="82"/>
      <c r="VDS184" s="82"/>
      <c r="VDT184" s="82"/>
      <c r="VDU184" s="82"/>
      <c r="VDV184" s="82"/>
      <c r="VDW184" s="82"/>
      <c r="VDX184" s="82"/>
      <c r="VDY184" s="82"/>
      <c r="VDZ184" s="82"/>
      <c r="VEA184" s="82"/>
      <c r="VEB184" s="82"/>
      <c r="VEC184" s="82"/>
      <c r="VED184" s="82"/>
      <c r="VEE184" s="82"/>
      <c r="VEF184" s="82"/>
      <c r="VEG184" s="82"/>
      <c r="VEH184" s="82"/>
      <c r="VEI184" s="82"/>
      <c r="VEJ184" s="82"/>
      <c r="VEK184" s="82"/>
      <c r="VEL184" s="82"/>
      <c r="VEM184" s="82"/>
      <c r="VEN184" s="82"/>
      <c r="VEO184" s="82"/>
      <c r="VEP184" s="82"/>
      <c r="VEQ184" s="82"/>
      <c r="VER184" s="82"/>
      <c r="VES184" s="82"/>
      <c r="VET184" s="82"/>
      <c r="VEU184" s="82"/>
      <c r="VEV184" s="82"/>
      <c r="VEW184" s="82"/>
      <c r="VEX184" s="82"/>
      <c r="VEY184" s="82"/>
      <c r="VEZ184" s="82"/>
      <c r="VFA184" s="82"/>
      <c r="VFB184" s="82"/>
      <c r="VFC184" s="82"/>
      <c r="VFD184" s="82"/>
      <c r="VFE184" s="82"/>
      <c r="VFF184" s="82"/>
      <c r="VFG184" s="82"/>
      <c r="VFH184" s="82"/>
      <c r="VFI184" s="82"/>
      <c r="VFJ184" s="82"/>
      <c r="VFK184" s="82"/>
      <c r="VFL184" s="82"/>
      <c r="VFM184" s="82"/>
      <c r="VFN184" s="82"/>
      <c r="VFO184" s="82"/>
      <c r="VFP184" s="82"/>
      <c r="VFQ184" s="82"/>
      <c r="VFR184" s="82"/>
      <c r="VFS184" s="82"/>
      <c r="VFT184" s="82"/>
      <c r="VFU184" s="82"/>
      <c r="VFV184" s="82"/>
      <c r="VFW184" s="82"/>
      <c r="VFX184" s="82"/>
      <c r="VFY184" s="82"/>
      <c r="VFZ184" s="82"/>
      <c r="VGA184" s="82"/>
      <c r="VGB184" s="82"/>
      <c r="VGC184" s="82"/>
      <c r="VGD184" s="82"/>
      <c r="VGE184" s="82"/>
      <c r="VGF184" s="82"/>
      <c r="VGG184" s="82"/>
      <c r="VGH184" s="82"/>
      <c r="VGI184" s="82"/>
      <c r="VGJ184" s="82"/>
      <c r="VGK184" s="82"/>
      <c r="VGL184" s="82"/>
      <c r="VGM184" s="82"/>
      <c r="VGN184" s="82"/>
      <c r="VGO184" s="82"/>
      <c r="VGP184" s="82"/>
      <c r="VGQ184" s="82"/>
      <c r="VGR184" s="82"/>
      <c r="VGS184" s="82"/>
      <c r="VGT184" s="82"/>
      <c r="VGU184" s="82"/>
      <c r="VGV184" s="82"/>
      <c r="VGW184" s="82"/>
      <c r="VGX184" s="82"/>
      <c r="VGY184" s="82"/>
      <c r="VGZ184" s="82"/>
      <c r="VHA184" s="82"/>
      <c r="VHB184" s="82"/>
      <c r="VHC184" s="82"/>
      <c r="VHD184" s="82"/>
      <c r="VHE184" s="82"/>
      <c r="VHF184" s="82"/>
      <c r="VHG184" s="82"/>
      <c r="VHH184" s="82"/>
      <c r="VHI184" s="82"/>
      <c r="VHJ184" s="82"/>
      <c r="VHK184" s="82"/>
      <c r="VHL184" s="82"/>
      <c r="VHM184" s="82"/>
      <c r="VHN184" s="82"/>
      <c r="VHO184" s="82"/>
      <c r="VHP184" s="82"/>
      <c r="VHQ184" s="82"/>
      <c r="VHR184" s="82"/>
      <c r="VHS184" s="82"/>
      <c r="VHT184" s="82"/>
      <c r="VHU184" s="82"/>
      <c r="VHV184" s="82"/>
      <c r="VHW184" s="82"/>
      <c r="VHX184" s="82"/>
      <c r="VHY184" s="82"/>
      <c r="VHZ184" s="82"/>
      <c r="VIA184" s="82"/>
      <c r="VIB184" s="82"/>
      <c r="VIC184" s="82"/>
      <c r="VID184" s="82"/>
      <c r="VIE184" s="82"/>
      <c r="VIF184" s="82"/>
      <c r="VIG184" s="82"/>
      <c r="VIH184" s="82"/>
      <c r="VII184" s="82"/>
      <c r="VIJ184" s="82"/>
      <c r="VIK184" s="82"/>
      <c r="VIL184" s="82"/>
      <c r="VIM184" s="82"/>
      <c r="VIN184" s="82"/>
      <c r="VIO184" s="82"/>
      <c r="VIP184" s="82"/>
      <c r="VIQ184" s="82"/>
      <c r="VIR184" s="82"/>
      <c r="VIS184" s="82"/>
      <c r="VIT184" s="82"/>
      <c r="VIU184" s="82"/>
      <c r="VIV184" s="82"/>
      <c r="VIW184" s="82"/>
      <c r="VIX184" s="82"/>
      <c r="VIY184" s="82"/>
      <c r="VIZ184" s="82"/>
      <c r="VJA184" s="82"/>
      <c r="VJB184" s="82"/>
      <c r="VJC184" s="82"/>
      <c r="VJD184" s="82"/>
      <c r="VJE184" s="82"/>
      <c r="VJF184" s="82"/>
      <c r="VJG184" s="82"/>
      <c r="VJH184" s="82"/>
      <c r="VJI184" s="82"/>
      <c r="VJJ184" s="82"/>
      <c r="VJK184" s="82"/>
      <c r="VJL184" s="82"/>
      <c r="VJM184" s="82"/>
      <c r="VJN184" s="82"/>
      <c r="VJO184" s="82"/>
      <c r="VJP184" s="82"/>
      <c r="VJQ184" s="82"/>
      <c r="VJR184" s="82"/>
      <c r="VJS184" s="82"/>
      <c r="VJT184" s="82"/>
      <c r="VJU184" s="82"/>
      <c r="VJV184" s="82"/>
      <c r="VJW184" s="82"/>
      <c r="VJX184" s="82"/>
      <c r="VJY184" s="82"/>
      <c r="VJZ184" s="82"/>
      <c r="VKA184" s="82"/>
      <c r="VKB184" s="82"/>
      <c r="VKC184" s="82"/>
      <c r="VKD184" s="82"/>
      <c r="VKE184" s="82"/>
      <c r="VKF184" s="82"/>
      <c r="VKG184" s="82"/>
      <c r="VKH184" s="82"/>
      <c r="VKI184" s="82"/>
      <c r="VKJ184" s="82"/>
      <c r="VKK184" s="82"/>
      <c r="VKL184" s="82"/>
      <c r="VKM184" s="82"/>
      <c r="VKN184" s="82"/>
      <c r="VKO184" s="82"/>
      <c r="VKP184" s="82"/>
      <c r="VKQ184" s="82"/>
      <c r="VKR184" s="82"/>
      <c r="VKS184" s="82"/>
      <c r="VKT184" s="82"/>
      <c r="VKU184" s="82"/>
      <c r="VKV184" s="82"/>
      <c r="VKW184" s="82"/>
      <c r="VKX184" s="82"/>
      <c r="VKY184" s="82"/>
      <c r="VKZ184" s="82"/>
      <c r="VLA184" s="82"/>
      <c r="VLB184" s="82"/>
      <c r="VLC184" s="82"/>
      <c r="VLD184" s="82"/>
      <c r="VLE184" s="82"/>
      <c r="VLF184" s="82"/>
      <c r="VLG184" s="82"/>
      <c r="VLH184" s="82"/>
      <c r="VLI184" s="82"/>
      <c r="VLJ184" s="82"/>
      <c r="VLK184" s="82"/>
      <c r="VLL184" s="82"/>
      <c r="VLM184" s="82"/>
      <c r="VLN184" s="82"/>
      <c r="VLO184" s="82"/>
      <c r="VLP184" s="82"/>
      <c r="VLQ184" s="82"/>
      <c r="VLR184" s="82"/>
      <c r="VLS184" s="82"/>
      <c r="VLT184" s="82"/>
      <c r="VLU184" s="82"/>
      <c r="VLV184" s="82"/>
      <c r="VLW184" s="82"/>
      <c r="VLX184" s="82"/>
      <c r="VLY184" s="82"/>
      <c r="VLZ184" s="82"/>
      <c r="VMA184" s="82"/>
      <c r="VMB184" s="82"/>
      <c r="VMC184" s="82"/>
      <c r="VMD184" s="82"/>
      <c r="VME184" s="82"/>
      <c r="VMF184" s="82"/>
      <c r="VMG184" s="82"/>
      <c r="VMH184" s="82"/>
      <c r="VMI184" s="82"/>
      <c r="VMJ184" s="82"/>
      <c r="VMK184" s="82"/>
      <c r="VML184" s="82"/>
      <c r="VMM184" s="82"/>
      <c r="VMN184" s="82"/>
      <c r="VMO184" s="82"/>
      <c r="VMP184" s="82"/>
      <c r="VMQ184" s="82"/>
      <c r="VMR184" s="82"/>
      <c r="VMS184" s="82"/>
      <c r="VMT184" s="82"/>
      <c r="VMU184" s="82"/>
      <c r="VMV184" s="82"/>
      <c r="VMW184" s="82"/>
      <c r="VMX184" s="82"/>
      <c r="VMY184" s="82"/>
      <c r="VMZ184" s="82"/>
      <c r="VNA184" s="82"/>
      <c r="VNB184" s="82"/>
      <c r="VNC184" s="82"/>
      <c r="VND184" s="82"/>
      <c r="VNE184" s="82"/>
      <c r="VNF184" s="82"/>
      <c r="VNG184" s="82"/>
      <c r="VNH184" s="82"/>
      <c r="VNI184" s="82"/>
      <c r="VNJ184" s="82"/>
      <c r="VNK184" s="82"/>
      <c r="VNL184" s="82"/>
      <c r="VNM184" s="82"/>
      <c r="VNN184" s="82"/>
      <c r="VNO184" s="82"/>
      <c r="VNP184" s="82"/>
      <c r="VNQ184" s="82"/>
      <c r="VNR184" s="82"/>
      <c r="VNS184" s="82"/>
      <c r="VNT184" s="82"/>
      <c r="VNU184" s="82"/>
      <c r="VNV184" s="82"/>
      <c r="VNW184" s="82"/>
      <c r="VNX184" s="82"/>
      <c r="VNY184" s="82"/>
      <c r="VNZ184" s="82"/>
      <c r="VOA184" s="82"/>
      <c r="VOB184" s="82"/>
      <c r="VOC184" s="82"/>
      <c r="VOD184" s="82"/>
      <c r="VOE184" s="82"/>
      <c r="VOF184" s="82"/>
      <c r="VOG184" s="82"/>
      <c r="VOH184" s="82"/>
      <c r="VOI184" s="82"/>
      <c r="VOJ184" s="82"/>
      <c r="VOK184" s="82"/>
      <c r="VOL184" s="82"/>
      <c r="VOM184" s="82"/>
      <c r="VON184" s="82"/>
      <c r="VOO184" s="82"/>
      <c r="VOP184" s="82"/>
      <c r="VOQ184" s="82"/>
      <c r="VOR184" s="82"/>
      <c r="VOS184" s="82"/>
      <c r="VOT184" s="82"/>
      <c r="VOU184" s="82"/>
      <c r="VOV184" s="82"/>
      <c r="VOW184" s="82"/>
      <c r="VOX184" s="82"/>
      <c r="VOY184" s="82"/>
      <c r="VOZ184" s="82"/>
      <c r="VPA184" s="82"/>
      <c r="VPB184" s="82"/>
      <c r="VPC184" s="82"/>
      <c r="VPD184" s="82"/>
      <c r="VPE184" s="82"/>
      <c r="VPF184" s="82"/>
      <c r="VPG184" s="82"/>
      <c r="VPH184" s="82"/>
      <c r="VPI184" s="82"/>
      <c r="VPJ184" s="82"/>
      <c r="VPK184" s="82"/>
      <c r="VPL184" s="82"/>
      <c r="VPM184" s="82"/>
      <c r="VPN184" s="82"/>
      <c r="VPO184" s="82"/>
      <c r="VPP184" s="82"/>
      <c r="VPQ184" s="82"/>
      <c r="VPR184" s="82"/>
      <c r="VPS184" s="82"/>
      <c r="VPT184" s="82"/>
      <c r="VPU184" s="82"/>
      <c r="VPV184" s="82"/>
      <c r="VPW184" s="82"/>
      <c r="VPX184" s="82"/>
      <c r="VPY184" s="82"/>
      <c r="VPZ184" s="82"/>
      <c r="VQA184" s="82"/>
      <c r="VQB184" s="82"/>
      <c r="VQC184" s="82"/>
      <c r="VQD184" s="82"/>
      <c r="VQE184" s="82"/>
      <c r="VQF184" s="82"/>
      <c r="VQG184" s="82"/>
      <c r="VQH184" s="82"/>
      <c r="VQI184" s="82"/>
      <c r="VQJ184" s="82"/>
      <c r="VQK184" s="82"/>
      <c r="VQL184" s="82"/>
      <c r="VQM184" s="82"/>
      <c r="VQN184" s="82"/>
      <c r="VQO184" s="82"/>
      <c r="VQP184" s="82"/>
      <c r="VQQ184" s="82"/>
      <c r="VQR184" s="82"/>
      <c r="VQS184" s="82"/>
      <c r="VQT184" s="82"/>
      <c r="VQU184" s="82"/>
      <c r="VQV184" s="82"/>
      <c r="VQW184" s="82"/>
      <c r="VQX184" s="82"/>
      <c r="VQY184" s="82"/>
      <c r="VQZ184" s="82"/>
      <c r="VRA184" s="82"/>
      <c r="VRB184" s="82"/>
      <c r="VRC184" s="82"/>
      <c r="VRD184" s="82"/>
      <c r="VRE184" s="82"/>
      <c r="VRF184" s="82"/>
      <c r="VRG184" s="82"/>
      <c r="VRH184" s="82"/>
      <c r="VRI184" s="82"/>
      <c r="VRJ184" s="82"/>
      <c r="VRK184" s="82"/>
      <c r="VRL184" s="82"/>
      <c r="VRM184" s="82"/>
      <c r="VRN184" s="82"/>
      <c r="VRO184" s="82"/>
      <c r="VRP184" s="82"/>
      <c r="VRQ184" s="82"/>
      <c r="VRR184" s="82"/>
      <c r="VRS184" s="82"/>
      <c r="VRT184" s="82"/>
      <c r="VRU184" s="82"/>
      <c r="VRV184" s="82"/>
      <c r="VRW184" s="82"/>
      <c r="VRX184" s="82"/>
      <c r="VRY184" s="82"/>
      <c r="VRZ184" s="82"/>
      <c r="VSA184" s="82"/>
      <c r="VSB184" s="82"/>
      <c r="VSC184" s="82"/>
      <c r="VSD184" s="82"/>
      <c r="VSE184" s="82"/>
      <c r="VSF184" s="82"/>
      <c r="VSG184" s="82"/>
      <c r="VSH184" s="82"/>
      <c r="VSI184" s="82"/>
      <c r="VSJ184" s="82"/>
      <c r="VSK184" s="82"/>
      <c r="VSL184" s="82"/>
      <c r="VSM184" s="82"/>
      <c r="VSN184" s="82"/>
      <c r="VSO184" s="82"/>
      <c r="VSP184" s="82"/>
      <c r="VSQ184" s="82"/>
      <c r="VSR184" s="82"/>
      <c r="VSS184" s="82"/>
      <c r="VST184" s="82"/>
      <c r="VSU184" s="82"/>
      <c r="VSV184" s="82"/>
      <c r="VSW184" s="82"/>
      <c r="VSX184" s="82"/>
      <c r="VSY184" s="82"/>
      <c r="VSZ184" s="82"/>
      <c r="VTA184" s="82"/>
      <c r="VTB184" s="82"/>
      <c r="VTC184" s="82"/>
      <c r="VTD184" s="82"/>
      <c r="VTE184" s="82"/>
      <c r="VTF184" s="82"/>
      <c r="VTG184" s="82"/>
      <c r="VTH184" s="82"/>
      <c r="VTI184" s="82"/>
      <c r="VTJ184" s="82"/>
      <c r="VTK184" s="82"/>
      <c r="VTL184" s="82"/>
      <c r="VTM184" s="82"/>
      <c r="VTN184" s="82"/>
      <c r="VTO184" s="82"/>
      <c r="VTP184" s="82"/>
      <c r="VTQ184" s="82"/>
      <c r="VTR184" s="82"/>
      <c r="VTS184" s="82"/>
      <c r="VTT184" s="82"/>
      <c r="VTU184" s="82"/>
      <c r="VTV184" s="82"/>
      <c r="VTW184" s="82"/>
      <c r="VTX184" s="82"/>
      <c r="VTY184" s="82"/>
      <c r="VTZ184" s="82"/>
      <c r="VUA184" s="82"/>
      <c r="VUB184" s="82"/>
      <c r="VUC184" s="82"/>
      <c r="VUD184" s="82"/>
      <c r="VUE184" s="82"/>
      <c r="VUF184" s="82"/>
      <c r="VUG184" s="82"/>
      <c r="VUH184" s="82"/>
      <c r="VUI184" s="82"/>
      <c r="VUJ184" s="82"/>
      <c r="VUK184" s="82"/>
      <c r="VUL184" s="82"/>
      <c r="VUM184" s="82"/>
      <c r="VUN184" s="82"/>
      <c r="VUO184" s="82"/>
      <c r="VUP184" s="82"/>
      <c r="VUQ184" s="82"/>
      <c r="VUR184" s="82"/>
      <c r="VUS184" s="82"/>
      <c r="VUT184" s="82"/>
      <c r="VUU184" s="82"/>
      <c r="VUV184" s="82"/>
      <c r="VUW184" s="82"/>
      <c r="VUX184" s="82"/>
      <c r="VUY184" s="82"/>
      <c r="VUZ184" s="82"/>
      <c r="VVA184" s="82"/>
      <c r="VVB184" s="82"/>
      <c r="VVC184" s="82"/>
      <c r="VVD184" s="82"/>
      <c r="VVE184" s="82"/>
      <c r="VVF184" s="82"/>
      <c r="VVG184" s="82"/>
      <c r="VVH184" s="82"/>
      <c r="VVI184" s="82"/>
      <c r="VVJ184" s="82"/>
      <c r="VVK184" s="82"/>
      <c r="VVL184" s="82"/>
      <c r="VVM184" s="82"/>
      <c r="VVN184" s="82"/>
      <c r="VVO184" s="82"/>
      <c r="VVP184" s="82"/>
      <c r="VVQ184" s="82"/>
      <c r="VVR184" s="82"/>
      <c r="VVS184" s="82"/>
      <c r="VVT184" s="82"/>
      <c r="VVU184" s="82"/>
      <c r="VVV184" s="82"/>
      <c r="VVW184" s="82"/>
      <c r="VVX184" s="82"/>
      <c r="VVY184" s="82"/>
      <c r="VVZ184" s="82"/>
      <c r="VWA184" s="82"/>
      <c r="VWB184" s="82"/>
      <c r="VWC184" s="82"/>
      <c r="VWD184" s="82"/>
      <c r="VWE184" s="82"/>
      <c r="VWF184" s="82"/>
      <c r="VWG184" s="82"/>
      <c r="VWH184" s="82"/>
      <c r="VWI184" s="82"/>
      <c r="VWJ184" s="82"/>
      <c r="VWK184" s="82"/>
      <c r="VWL184" s="82"/>
      <c r="VWM184" s="82"/>
      <c r="VWN184" s="82"/>
      <c r="VWO184" s="82"/>
      <c r="VWP184" s="82"/>
      <c r="VWQ184" s="82"/>
      <c r="VWR184" s="82"/>
      <c r="VWS184" s="82"/>
      <c r="VWT184" s="82"/>
      <c r="VWU184" s="82"/>
      <c r="VWV184" s="82"/>
      <c r="VWW184" s="82"/>
      <c r="VWX184" s="82"/>
      <c r="VWY184" s="82"/>
      <c r="VWZ184" s="82"/>
      <c r="VXA184" s="82"/>
      <c r="VXB184" s="82"/>
      <c r="VXC184" s="82"/>
      <c r="VXD184" s="82"/>
      <c r="VXE184" s="82"/>
      <c r="VXF184" s="82"/>
      <c r="VXG184" s="82"/>
      <c r="VXH184" s="82"/>
      <c r="VXI184" s="82"/>
      <c r="VXJ184" s="82"/>
      <c r="VXK184" s="82"/>
      <c r="VXL184" s="82"/>
      <c r="VXM184" s="82"/>
      <c r="VXN184" s="82"/>
      <c r="VXO184" s="82"/>
      <c r="VXP184" s="82"/>
      <c r="VXQ184" s="82"/>
      <c r="VXR184" s="82"/>
      <c r="VXS184" s="82"/>
      <c r="VXT184" s="82"/>
      <c r="VXU184" s="82"/>
      <c r="VXV184" s="82"/>
      <c r="VXW184" s="82"/>
      <c r="VXX184" s="82"/>
      <c r="VXY184" s="82"/>
      <c r="VXZ184" s="82"/>
      <c r="VYA184" s="82"/>
      <c r="VYB184" s="82"/>
      <c r="VYC184" s="82"/>
      <c r="VYD184" s="82"/>
      <c r="VYE184" s="82"/>
      <c r="VYF184" s="82"/>
      <c r="VYG184" s="82"/>
      <c r="VYH184" s="82"/>
      <c r="VYI184" s="82"/>
      <c r="VYJ184" s="82"/>
      <c r="VYK184" s="82"/>
      <c r="VYL184" s="82"/>
      <c r="VYM184" s="82"/>
      <c r="VYN184" s="82"/>
      <c r="VYO184" s="82"/>
      <c r="VYP184" s="82"/>
      <c r="VYQ184" s="82"/>
      <c r="VYR184" s="82"/>
      <c r="VYS184" s="82"/>
      <c r="VYT184" s="82"/>
      <c r="VYU184" s="82"/>
      <c r="VYV184" s="82"/>
      <c r="VYW184" s="82"/>
      <c r="VYX184" s="82"/>
      <c r="VYY184" s="82"/>
      <c r="VYZ184" s="82"/>
      <c r="VZA184" s="82"/>
      <c r="VZB184" s="82"/>
      <c r="VZC184" s="82"/>
      <c r="VZD184" s="82"/>
      <c r="VZE184" s="82"/>
      <c r="VZF184" s="82"/>
      <c r="VZG184" s="82"/>
      <c r="VZH184" s="82"/>
      <c r="VZI184" s="82"/>
      <c r="VZJ184" s="82"/>
      <c r="VZK184" s="82"/>
      <c r="VZL184" s="82"/>
      <c r="VZM184" s="82"/>
      <c r="VZN184" s="82"/>
      <c r="VZO184" s="82"/>
      <c r="VZP184" s="82"/>
      <c r="VZQ184" s="82"/>
      <c r="VZR184" s="82"/>
      <c r="VZS184" s="82"/>
      <c r="VZT184" s="82"/>
      <c r="VZU184" s="82"/>
      <c r="VZV184" s="82"/>
      <c r="VZW184" s="82"/>
      <c r="VZX184" s="82"/>
      <c r="VZY184" s="82"/>
      <c r="VZZ184" s="82"/>
      <c r="WAA184" s="82"/>
      <c r="WAB184" s="82"/>
      <c r="WAC184" s="82"/>
      <c r="WAD184" s="82"/>
      <c r="WAE184" s="82"/>
      <c r="WAF184" s="82"/>
      <c r="WAG184" s="82"/>
      <c r="WAH184" s="82"/>
      <c r="WAI184" s="82"/>
      <c r="WAJ184" s="82"/>
      <c r="WAK184" s="82"/>
      <c r="WAL184" s="82"/>
      <c r="WAM184" s="82"/>
      <c r="WAN184" s="82"/>
      <c r="WAO184" s="82"/>
      <c r="WAP184" s="82"/>
      <c r="WAQ184" s="82"/>
      <c r="WAR184" s="82"/>
      <c r="WAS184" s="82"/>
      <c r="WAT184" s="82"/>
      <c r="WAU184" s="82"/>
      <c r="WAV184" s="82"/>
      <c r="WAW184" s="82"/>
      <c r="WAX184" s="82"/>
      <c r="WAY184" s="82"/>
      <c r="WAZ184" s="82"/>
      <c r="WBA184" s="82"/>
      <c r="WBB184" s="82"/>
      <c r="WBC184" s="82"/>
      <c r="WBD184" s="82"/>
      <c r="WBE184" s="82"/>
      <c r="WBF184" s="82"/>
      <c r="WBG184" s="82"/>
      <c r="WBH184" s="82"/>
      <c r="WBI184" s="82"/>
      <c r="WBJ184" s="82"/>
      <c r="WBK184" s="82"/>
      <c r="WBL184" s="82"/>
      <c r="WBM184" s="82"/>
      <c r="WBN184" s="82"/>
      <c r="WBO184" s="82"/>
      <c r="WBP184" s="82"/>
      <c r="WBQ184" s="82"/>
      <c r="WBR184" s="82"/>
      <c r="WBS184" s="82"/>
      <c r="WBT184" s="82"/>
      <c r="WBU184" s="82"/>
      <c r="WBV184" s="82"/>
      <c r="WBW184" s="82"/>
      <c r="WBX184" s="82"/>
      <c r="WBY184" s="82"/>
      <c r="WBZ184" s="82"/>
      <c r="WCA184" s="82"/>
      <c r="WCB184" s="82"/>
      <c r="WCC184" s="82"/>
      <c r="WCD184" s="82"/>
      <c r="WCE184" s="82"/>
      <c r="WCF184" s="82"/>
      <c r="WCG184" s="82"/>
      <c r="WCH184" s="82"/>
      <c r="WCI184" s="82"/>
      <c r="WCJ184" s="82"/>
      <c r="WCK184" s="82"/>
      <c r="WCL184" s="82"/>
      <c r="WCM184" s="82"/>
      <c r="WCN184" s="82"/>
      <c r="WCO184" s="82"/>
      <c r="WCP184" s="82"/>
      <c r="WCQ184" s="82"/>
      <c r="WCR184" s="82"/>
      <c r="WCS184" s="82"/>
      <c r="WCT184" s="82"/>
      <c r="WCU184" s="82"/>
      <c r="WCV184" s="82"/>
      <c r="WCW184" s="82"/>
      <c r="WCX184" s="82"/>
      <c r="WCY184" s="82"/>
      <c r="WCZ184" s="82"/>
      <c r="WDA184" s="82"/>
      <c r="WDB184" s="82"/>
      <c r="WDC184" s="82"/>
      <c r="WDD184" s="82"/>
      <c r="WDE184" s="82"/>
      <c r="WDF184" s="82"/>
      <c r="WDG184" s="82"/>
      <c r="WDH184" s="82"/>
      <c r="WDI184" s="82"/>
      <c r="WDJ184" s="82"/>
      <c r="WDK184" s="82"/>
      <c r="WDL184" s="82"/>
      <c r="WDM184" s="82"/>
      <c r="WDN184" s="82"/>
      <c r="WDO184" s="82"/>
      <c r="WDP184" s="82"/>
      <c r="WDQ184" s="82"/>
      <c r="WDR184" s="82"/>
      <c r="WDS184" s="82"/>
      <c r="WDT184" s="82"/>
      <c r="WDU184" s="82"/>
      <c r="WDV184" s="82"/>
      <c r="WDW184" s="82"/>
      <c r="WDX184" s="82"/>
      <c r="WDY184" s="82"/>
      <c r="WDZ184" s="82"/>
      <c r="WEA184" s="82"/>
      <c r="WEB184" s="82"/>
      <c r="WEC184" s="82"/>
      <c r="WED184" s="82"/>
      <c r="WEE184" s="82"/>
      <c r="WEF184" s="82"/>
      <c r="WEG184" s="82"/>
      <c r="WEH184" s="82"/>
      <c r="WEI184" s="82"/>
      <c r="WEJ184" s="82"/>
      <c r="WEK184" s="82"/>
      <c r="WEL184" s="82"/>
      <c r="WEM184" s="82"/>
      <c r="WEN184" s="82"/>
      <c r="WEO184" s="82"/>
      <c r="WEP184" s="82"/>
      <c r="WEQ184" s="82"/>
      <c r="WER184" s="82"/>
      <c r="WES184" s="82"/>
      <c r="WET184" s="82"/>
      <c r="WEU184" s="82"/>
      <c r="WEV184" s="82"/>
      <c r="WEW184" s="82"/>
      <c r="WEX184" s="82"/>
      <c r="WEY184" s="82"/>
      <c r="WEZ184" s="82"/>
      <c r="WFA184" s="82"/>
      <c r="WFB184" s="82"/>
      <c r="WFC184" s="82"/>
      <c r="WFD184" s="82"/>
      <c r="WFE184" s="82"/>
      <c r="WFF184" s="82"/>
      <c r="WFG184" s="82"/>
      <c r="WFH184" s="82"/>
      <c r="WFI184" s="82"/>
      <c r="WFJ184" s="82"/>
      <c r="WFK184" s="82"/>
      <c r="WFL184" s="82"/>
      <c r="WFM184" s="82"/>
      <c r="WFN184" s="82"/>
      <c r="WFO184" s="82"/>
      <c r="WFP184" s="82"/>
      <c r="WFQ184" s="82"/>
      <c r="WFR184" s="82"/>
      <c r="WFS184" s="82"/>
      <c r="WFT184" s="82"/>
      <c r="WFU184" s="82"/>
      <c r="WFV184" s="82"/>
      <c r="WFW184" s="82"/>
      <c r="WFX184" s="82"/>
      <c r="WFY184" s="82"/>
      <c r="WFZ184" s="82"/>
      <c r="WGA184" s="82"/>
      <c r="WGB184" s="82"/>
      <c r="WGC184" s="82"/>
      <c r="WGD184" s="82"/>
      <c r="WGE184" s="82"/>
      <c r="WGF184" s="82"/>
      <c r="WGG184" s="82"/>
      <c r="WGH184" s="82"/>
      <c r="WGI184" s="82"/>
      <c r="WGJ184" s="82"/>
      <c r="WGK184" s="82"/>
      <c r="WGL184" s="82"/>
      <c r="WGM184" s="82"/>
      <c r="WGN184" s="82"/>
      <c r="WGO184" s="82"/>
      <c r="WGP184" s="82"/>
      <c r="WGQ184" s="82"/>
      <c r="WGR184" s="82"/>
      <c r="WGS184" s="82"/>
      <c r="WGT184" s="82"/>
      <c r="WGU184" s="82"/>
      <c r="WGV184" s="82"/>
      <c r="WGW184" s="82"/>
      <c r="WGX184" s="82"/>
      <c r="WGY184" s="82"/>
      <c r="WGZ184" s="82"/>
      <c r="WHA184" s="82"/>
      <c r="WHB184" s="82"/>
      <c r="WHC184" s="82"/>
      <c r="WHD184" s="82"/>
      <c r="WHE184" s="82"/>
      <c r="WHF184" s="82"/>
      <c r="WHG184" s="82"/>
      <c r="WHH184" s="82"/>
      <c r="WHI184" s="82"/>
      <c r="WHJ184" s="82"/>
      <c r="WHK184" s="82"/>
      <c r="WHL184" s="82"/>
      <c r="WHM184" s="82"/>
      <c r="WHN184" s="82"/>
      <c r="WHO184" s="82"/>
      <c r="WHP184" s="82"/>
      <c r="WHQ184" s="82"/>
      <c r="WHR184" s="82"/>
      <c r="WHS184" s="82"/>
      <c r="WHT184" s="82"/>
      <c r="WHU184" s="82"/>
      <c r="WHV184" s="82"/>
      <c r="WHW184" s="82"/>
      <c r="WHX184" s="82"/>
      <c r="WHY184" s="82"/>
      <c r="WHZ184" s="82"/>
      <c r="WIA184" s="82"/>
      <c r="WIB184" s="82"/>
      <c r="WIC184" s="82"/>
      <c r="WID184" s="82"/>
      <c r="WIE184" s="82"/>
      <c r="WIF184" s="82"/>
      <c r="WIG184" s="82"/>
      <c r="WIH184" s="82"/>
      <c r="WII184" s="82"/>
      <c r="WIJ184" s="82"/>
      <c r="WIK184" s="82"/>
      <c r="WIL184" s="82"/>
      <c r="WIM184" s="82"/>
      <c r="WIN184" s="82"/>
      <c r="WIO184" s="82"/>
      <c r="WIP184" s="82"/>
      <c r="WIQ184" s="82"/>
      <c r="WIR184" s="82"/>
      <c r="WIS184" s="82"/>
      <c r="WIT184" s="82"/>
      <c r="WIU184" s="82"/>
      <c r="WIV184" s="82"/>
      <c r="WIW184" s="82"/>
      <c r="WIX184" s="82"/>
      <c r="WIY184" s="82"/>
      <c r="WIZ184" s="82"/>
      <c r="WJA184" s="82"/>
      <c r="WJB184" s="82"/>
      <c r="WJC184" s="82"/>
      <c r="WJD184" s="82"/>
      <c r="WJE184" s="82"/>
      <c r="WJF184" s="82"/>
      <c r="WJG184" s="82"/>
      <c r="WJH184" s="82"/>
      <c r="WJI184" s="82"/>
      <c r="WJJ184" s="82"/>
      <c r="WJK184" s="82"/>
      <c r="WJL184" s="82"/>
      <c r="WJM184" s="82"/>
      <c r="WJN184" s="82"/>
      <c r="WJO184" s="82"/>
      <c r="WJP184" s="82"/>
      <c r="WJQ184" s="82"/>
      <c r="WJR184" s="82"/>
      <c r="WJS184" s="82"/>
      <c r="WJT184" s="82"/>
      <c r="WJU184" s="82"/>
      <c r="WJV184" s="82"/>
      <c r="WJW184" s="82"/>
      <c r="WJX184" s="82"/>
      <c r="WJY184" s="82"/>
      <c r="WJZ184" s="82"/>
      <c r="WKA184" s="82"/>
      <c r="WKB184" s="82"/>
      <c r="WKC184" s="82"/>
      <c r="WKD184" s="82"/>
      <c r="WKE184" s="82"/>
      <c r="WKF184" s="82"/>
      <c r="WKG184" s="82"/>
      <c r="WKH184" s="82"/>
      <c r="WKI184" s="82"/>
      <c r="WKJ184" s="82"/>
      <c r="WKK184" s="82"/>
      <c r="WKL184" s="82"/>
      <c r="WKM184" s="82"/>
      <c r="WKN184" s="82"/>
      <c r="WKO184" s="82"/>
      <c r="WKP184" s="82"/>
      <c r="WKQ184" s="82"/>
      <c r="WKR184" s="82"/>
      <c r="WKS184" s="82"/>
      <c r="WKT184" s="82"/>
      <c r="WKU184" s="82"/>
      <c r="WKV184" s="82"/>
      <c r="WKW184" s="82"/>
      <c r="WKX184" s="82"/>
      <c r="WKY184" s="82"/>
      <c r="WKZ184" s="82"/>
      <c r="WLA184" s="82"/>
      <c r="WLB184" s="82"/>
      <c r="WLC184" s="82"/>
      <c r="WLD184" s="82"/>
      <c r="WLE184" s="82"/>
      <c r="WLF184" s="82"/>
      <c r="WLG184" s="82"/>
      <c r="WLH184" s="82"/>
      <c r="WLI184" s="82"/>
      <c r="WLJ184" s="82"/>
      <c r="WLK184" s="82"/>
      <c r="WLL184" s="82"/>
      <c r="WLM184" s="82"/>
      <c r="WLN184" s="82"/>
      <c r="WLO184" s="82"/>
      <c r="WLP184" s="82"/>
      <c r="WLQ184" s="82"/>
      <c r="WLR184" s="82"/>
      <c r="WLS184" s="82"/>
      <c r="WLT184" s="82"/>
      <c r="WLU184" s="82"/>
      <c r="WLV184" s="82"/>
      <c r="WLW184" s="82"/>
      <c r="WLX184" s="82"/>
      <c r="WLY184" s="82"/>
      <c r="WLZ184" s="82"/>
      <c r="WMA184" s="82"/>
      <c r="WMB184" s="82"/>
      <c r="WMC184" s="82"/>
      <c r="WMD184" s="82"/>
      <c r="WME184" s="82"/>
      <c r="WMF184" s="82"/>
      <c r="WMG184" s="82"/>
      <c r="WMH184" s="82"/>
      <c r="WMI184" s="82"/>
      <c r="WMJ184" s="82"/>
      <c r="WMK184" s="82"/>
      <c r="WML184" s="82"/>
      <c r="WMM184" s="82"/>
      <c r="WMN184" s="82"/>
      <c r="WMO184" s="82"/>
      <c r="WMP184" s="82"/>
      <c r="WMQ184" s="82"/>
      <c r="WMR184" s="82"/>
      <c r="WMS184" s="82"/>
      <c r="WMT184" s="82"/>
      <c r="WMU184" s="82"/>
      <c r="WMV184" s="82"/>
      <c r="WMW184" s="82"/>
      <c r="WMX184" s="82"/>
      <c r="WMY184" s="82"/>
      <c r="WMZ184" s="82"/>
      <c r="WNA184" s="82"/>
      <c r="WNB184" s="82"/>
      <c r="WNC184" s="82"/>
      <c r="WND184" s="82"/>
      <c r="WNE184" s="82"/>
      <c r="WNF184" s="82"/>
      <c r="WNG184" s="82"/>
      <c r="WNH184" s="82"/>
      <c r="WNI184" s="82"/>
      <c r="WNJ184" s="82"/>
      <c r="WNK184" s="82"/>
      <c r="WNL184" s="82"/>
      <c r="WNM184" s="82"/>
      <c r="WNN184" s="82"/>
      <c r="WNO184" s="82"/>
      <c r="WNP184" s="82"/>
      <c r="WNQ184" s="82"/>
      <c r="WNR184" s="82"/>
      <c r="WNS184" s="82"/>
      <c r="WNT184" s="82"/>
      <c r="WNU184" s="82"/>
      <c r="WNV184" s="82"/>
      <c r="WNW184" s="82"/>
      <c r="WNX184" s="82"/>
      <c r="WNY184" s="82"/>
      <c r="WNZ184" s="82"/>
      <c r="WOA184" s="82"/>
      <c r="WOB184" s="82"/>
      <c r="WOC184" s="82"/>
      <c r="WOD184" s="82"/>
      <c r="WOE184" s="82"/>
      <c r="WOF184" s="82"/>
      <c r="WOG184" s="82"/>
      <c r="WOH184" s="82"/>
      <c r="WOI184" s="82"/>
      <c r="WOJ184" s="82"/>
      <c r="WOK184" s="82"/>
      <c r="WOL184" s="82"/>
      <c r="WOM184" s="82"/>
      <c r="WON184" s="82"/>
      <c r="WOO184" s="82"/>
      <c r="WOP184" s="82"/>
      <c r="WOQ184" s="82"/>
      <c r="WOR184" s="82"/>
      <c r="WOS184" s="82"/>
      <c r="WOT184" s="82"/>
      <c r="WOU184" s="82"/>
      <c r="WOV184" s="82"/>
      <c r="WOW184" s="82"/>
      <c r="WOX184" s="82"/>
      <c r="WOY184" s="82"/>
      <c r="WOZ184" s="82"/>
      <c r="WPA184" s="82"/>
      <c r="WPB184" s="82"/>
      <c r="WPC184" s="82"/>
      <c r="WPD184" s="82"/>
      <c r="WPE184" s="82"/>
      <c r="WPF184" s="82"/>
      <c r="WPG184" s="82"/>
      <c r="WPH184" s="82"/>
      <c r="WPI184" s="82"/>
      <c r="WPJ184" s="82"/>
      <c r="WPK184" s="82"/>
      <c r="WPL184" s="82"/>
      <c r="WPM184" s="82"/>
      <c r="WPN184" s="82"/>
      <c r="WPO184" s="82"/>
      <c r="WPP184" s="82"/>
      <c r="WPQ184" s="82"/>
      <c r="WPR184" s="82"/>
      <c r="WPS184" s="82"/>
      <c r="WPT184" s="82"/>
      <c r="WPU184" s="82"/>
      <c r="WPV184" s="82"/>
      <c r="WPW184" s="82"/>
      <c r="WPX184" s="82"/>
      <c r="WPY184" s="82"/>
      <c r="WPZ184" s="82"/>
      <c r="WQA184" s="82"/>
      <c r="WQB184" s="82"/>
      <c r="WQC184" s="82"/>
      <c r="WQD184" s="82"/>
      <c r="WQE184" s="82"/>
      <c r="WQF184" s="82"/>
      <c r="WQG184" s="82"/>
      <c r="WQH184" s="82"/>
      <c r="WQI184" s="82"/>
      <c r="WQJ184" s="82"/>
      <c r="WQK184" s="82"/>
      <c r="WQL184" s="82"/>
      <c r="WQM184" s="82"/>
      <c r="WQN184" s="82"/>
      <c r="WQO184" s="82"/>
      <c r="WQP184" s="82"/>
      <c r="WQQ184" s="82"/>
      <c r="WQR184" s="82"/>
      <c r="WQS184" s="82"/>
      <c r="WQT184" s="82"/>
      <c r="WQU184" s="82"/>
      <c r="WQV184" s="82"/>
      <c r="WQW184" s="82"/>
      <c r="WQX184" s="82"/>
      <c r="WQY184" s="82"/>
      <c r="WQZ184" s="82"/>
      <c r="WRA184" s="82"/>
      <c r="WRB184" s="82"/>
      <c r="WRC184" s="82"/>
      <c r="WRD184" s="82"/>
      <c r="WRE184" s="82"/>
      <c r="WRF184" s="82"/>
      <c r="WRG184" s="82"/>
      <c r="WRH184" s="82"/>
      <c r="WRI184" s="82"/>
      <c r="WRJ184" s="82"/>
      <c r="WRK184" s="82"/>
      <c r="WRL184" s="82"/>
      <c r="WRM184" s="82"/>
      <c r="WRN184" s="82"/>
      <c r="WRO184" s="82"/>
      <c r="WRP184" s="82"/>
      <c r="WRQ184" s="82"/>
      <c r="WRR184" s="82"/>
      <c r="WRS184" s="82"/>
      <c r="WRT184" s="82"/>
      <c r="WRU184" s="82"/>
      <c r="WRV184" s="82"/>
      <c r="WRW184" s="82"/>
      <c r="WRX184" s="82"/>
      <c r="WRY184" s="82"/>
      <c r="WRZ184" s="82"/>
      <c r="WSA184" s="82"/>
      <c r="WSB184" s="82"/>
      <c r="WSC184" s="82"/>
      <c r="WSD184" s="82"/>
      <c r="WSE184" s="82"/>
      <c r="WSF184" s="82"/>
      <c r="WSG184" s="82"/>
      <c r="WSH184" s="82"/>
      <c r="WSI184" s="82"/>
      <c r="WSJ184" s="82"/>
      <c r="WSK184" s="82"/>
      <c r="WSL184" s="82"/>
      <c r="WSM184" s="82"/>
      <c r="WSN184" s="82"/>
      <c r="WSO184" s="82"/>
      <c r="WSP184" s="82"/>
      <c r="WSQ184" s="82"/>
      <c r="WSR184" s="82"/>
      <c r="WSS184" s="82"/>
      <c r="WST184" s="82"/>
      <c r="WSU184" s="82"/>
      <c r="WSV184" s="82"/>
      <c r="WSW184" s="82"/>
      <c r="WSX184" s="82"/>
      <c r="WSY184" s="82"/>
      <c r="WSZ184" s="82"/>
      <c r="WTA184" s="82"/>
      <c r="WTB184" s="82"/>
      <c r="WTC184" s="82"/>
      <c r="WTD184" s="82"/>
      <c r="WTE184" s="82"/>
      <c r="WTF184" s="82"/>
      <c r="WTG184" s="82"/>
      <c r="WTH184" s="82"/>
      <c r="WTI184" s="82"/>
      <c r="WTJ184" s="82"/>
      <c r="WTK184" s="82"/>
      <c r="WTL184" s="82"/>
      <c r="WTM184" s="82"/>
      <c r="WTN184" s="82"/>
      <c r="WTO184" s="82"/>
      <c r="WTP184" s="82"/>
      <c r="WTQ184" s="82"/>
      <c r="WTR184" s="82"/>
      <c r="WTS184" s="82"/>
      <c r="WTT184" s="82"/>
      <c r="WTU184" s="82"/>
      <c r="WTV184" s="82"/>
      <c r="WTW184" s="82"/>
      <c r="WTX184" s="82"/>
      <c r="WTY184" s="82"/>
      <c r="WTZ184" s="82"/>
      <c r="WUA184" s="82"/>
      <c r="WUB184" s="82"/>
      <c r="WUC184" s="82"/>
      <c r="WUD184" s="82"/>
      <c r="WUE184" s="82"/>
      <c r="WUF184" s="82"/>
      <c r="WUG184" s="82"/>
      <c r="WUH184" s="82"/>
      <c r="WUI184" s="82"/>
      <c r="WUJ184" s="82"/>
      <c r="WUK184" s="82"/>
      <c r="WUL184" s="82"/>
      <c r="WUM184" s="82"/>
      <c r="WUN184" s="82"/>
      <c r="WUO184" s="82"/>
      <c r="WUP184" s="82"/>
      <c r="WUQ184" s="82"/>
      <c r="WUR184" s="82"/>
      <c r="WUS184" s="82"/>
      <c r="WUT184" s="82"/>
      <c r="WUU184" s="82"/>
      <c r="WUV184" s="82"/>
      <c r="WUW184" s="82"/>
      <c r="WUX184" s="82"/>
      <c r="WUY184" s="82"/>
      <c r="WUZ184" s="82"/>
      <c r="WVA184" s="82"/>
      <c r="WVB184" s="82"/>
      <c r="WVC184" s="82"/>
      <c r="WVD184" s="82"/>
      <c r="WVE184" s="82"/>
      <c r="WVF184" s="82"/>
      <c r="WVG184" s="82"/>
      <c r="WVH184" s="82"/>
      <c r="WVI184" s="82"/>
      <c r="WVJ184" s="82"/>
      <c r="WVK184" s="82"/>
      <c r="WVL184" s="82"/>
      <c r="WVM184" s="82"/>
      <c r="WVN184" s="82"/>
      <c r="WVO184" s="82"/>
      <c r="WVP184" s="82"/>
      <c r="WVQ184" s="82"/>
      <c r="WVR184" s="82"/>
      <c r="WVS184" s="82"/>
      <c r="WVT184" s="82"/>
      <c r="WVU184" s="82"/>
      <c r="WVV184" s="82"/>
      <c r="WVW184" s="82"/>
      <c r="WVX184" s="82"/>
      <c r="WVY184" s="82"/>
      <c r="WVZ184" s="82"/>
      <c r="WWA184" s="82"/>
      <c r="WWB184" s="82"/>
      <c r="WWC184" s="82"/>
      <c r="WWD184" s="82"/>
      <c r="WWE184" s="82"/>
      <c r="WWF184" s="82"/>
      <c r="WWG184" s="82"/>
      <c r="WWH184" s="82"/>
      <c r="WWI184" s="82"/>
      <c r="WWJ184" s="82"/>
      <c r="WWK184" s="82"/>
      <c r="WWL184" s="82"/>
      <c r="WWM184" s="82"/>
      <c r="WWN184" s="82"/>
      <c r="WWO184" s="82"/>
      <c r="WWP184" s="82"/>
      <c r="WWQ184" s="82"/>
      <c r="WWR184" s="82"/>
      <c r="WWS184" s="82"/>
      <c r="WWT184" s="82"/>
      <c r="WWU184" s="82"/>
      <c r="WWV184" s="82"/>
      <c r="WWW184" s="82"/>
      <c r="WWX184" s="82"/>
      <c r="WWY184" s="82"/>
      <c r="WWZ184" s="82"/>
      <c r="WXA184" s="82"/>
      <c r="WXB184" s="82"/>
      <c r="WXC184" s="82"/>
      <c r="WXD184" s="82"/>
      <c r="WXE184" s="82"/>
      <c r="WXF184" s="82"/>
      <c r="WXG184" s="82"/>
      <c r="WXH184" s="82"/>
      <c r="WXI184" s="82"/>
      <c r="WXJ184" s="82"/>
      <c r="WXK184" s="82"/>
      <c r="WXL184" s="82"/>
      <c r="WXM184" s="82"/>
      <c r="WXN184" s="82"/>
      <c r="WXO184" s="82"/>
      <c r="WXP184" s="82"/>
      <c r="WXQ184" s="82"/>
      <c r="WXR184" s="82"/>
      <c r="WXS184" s="82"/>
      <c r="WXT184" s="82"/>
      <c r="WXU184" s="82"/>
      <c r="WXV184" s="82"/>
      <c r="WXW184" s="82"/>
      <c r="WXX184" s="82"/>
      <c r="WXY184" s="82"/>
      <c r="WXZ184" s="82"/>
      <c r="WYA184" s="82"/>
      <c r="WYB184" s="82"/>
      <c r="WYC184" s="82"/>
      <c r="WYD184" s="82"/>
      <c r="WYE184" s="82"/>
      <c r="WYF184" s="82"/>
      <c r="WYG184" s="82"/>
      <c r="WYH184" s="82"/>
      <c r="WYI184" s="82"/>
      <c r="WYJ184" s="82"/>
      <c r="WYK184" s="82"/>
      <c r="WYL184" s="82"/>
      <c r="WYM184" s="82"/>
      <c r="WYN184" s="82"/>
      <c r="WYO184" s="82"/>
      <c r="WYP184" s="82"/>
      <c r="WYQ184" s="82"/>
      <c r="WYR184" s="82"/>
      <c r="WYS184" s="82"/>
      <c r="WYT184" s="82"/>
      <c r="WYU184" s="82"/>
      <c r="WYV184" s="82"/>
      <c r="WYW184" s="82"/>
      <c r="WYX184" s="82"/>
      <c r="WYY184" s="82"/>
      <c r="WYZ184" s="82"/>
      <c r="WZA184" s="82"/>
      <c r="WZB184" s="82"/>
      <c r="WZC184" s="82"/>
      <c r="WZD184" s="82"/>
      <c r="WZE184" s="82"/>
      <c r="WZF184" s="82"/>
      <c r="WZG184" s="82"/>
      <c r="WZH184" s="82"/>
      <c r="WZI184" s="82"/>
      <c r="WZJ184" s="82"/>
      <c r="WZK184" s="82"/>
      <c r="WZL184" s="82"/>
      <c r="WZM184" s="82"/>
      <c r="WZN184" s="82"/>
      <c r="WZO184" s="82"/>
      <c r="WZP184" s="82"/>
      <c r="WZQ184" s="82"/>
      <c r="WZR184" s="82"/>
      <c r="WZS184" s="82"/>
      <c r="WZT184" s="82"/>
      <c r="WZU184" s="82"/>
      <c r="WZV184" s="82"/>
      <c r="WZW184" s="82"/>
      <c r="WZX184" s="82"/>
      <c r="WZY184" s="82"/>
      <c r="WZZ184" s="82"/>
      <c r="XAA184" s="82"/>
      <c r="XAB184" s="82"/>
      <c r="XAC184" s="82"/>
      <c r="XAD184" s="82"/>
      <c r="XAE184" s="82"/>
      <c r="XAF184" s="82"/>
      <c r="XAG184" s="82"/>
      <c r="XAH184" s="82"/>
      <c r="XAI184" s="82"/>
      <c r="XAJ184" s="82"/>
      <c r="XAK184" s="82"/>
      <c r="XAL184" s="82"/>
      <c r="XAM184" s="82"/>
      <c r="XAN184" s="82"/>
      <c r="XAO184" s="82"/>
      <c r="XAP184" s="82"/>
      <c r="XAQ184" s="82"/>
      <c r="XAR184" s="82"/>
      <c r="XAS184" s="82"/>
      <c r="XAT184" s="82"/>
      <c r="XAU184" s="82"/>
      <c r="XAV184" s="82"/>
      <c r="XAW184" s="82"/>
      <c r="XAX184" s="82"/>
      <c r="XAY184" s="82"/>
      <c r="XAZ184" s="82"/>
      <c r="XBA184" s="82"/>
      <c r="XBB184" s="82"/>
      <c r="XBC184" s="82"/>
      <c r="XBD184" s="82"/>
      <c r="XBE184" s="82"/>
      <c r="XBF184" s="82"/>
      <c r="XBG184" s="82"/>
      <c r="XBH184" s="82"/>
      <c r="XBI184" s="82"/>
      <c r="XBJ184" s="82"/>
      <c r="XBK184" s="82"/>
      <c r="XBL184" s="82"/>
      <c r="XBM184" s="82"/>
      <c r="XBN184" s="82"/>
      <c r="XBO184" s="82"/>
      <c r="XBP184" s="82"/>
      <c r="XBQ184" s="82"/>
      <c r="XBR184" s="82"/>
      <c r="XBS184" s="82"/>
      <c r="XBT184" s="82"/>
      <c r="XBU184" s="82"/>
      <c r="XBV184" s="82"/>
      <c r="XBW184" s="82"/>
      <c r="XBX184" s="82"/>
      <c r="XBY184" s="82"/>
      <c r="XBZ184" s="82"/>
      <c r="XCA184" s="82"/>
      <c r="XCB184" s="82"/>
      <c r="XCC184" s="82"/>
      <c r="XCD184" s="82"/>
      <c r="XCE184" s="82"/>
      <c r="XCF184" s="82"/>
      <c r="XCG184" s="82"/>
      <c r="XCH184" s="82"/>
      <c r="XCI184" s="82"/>
      <c r="XCJ184" s="82"/>
      <c r="XCK184" s="82"/>
      <c r="XCL184" s="82"/>
      <c r="XCM184" s="82"/>
      <c r="XCN184" s="82"/>
      <c r="XCO184" s="82"/>
      <c r="XCP184" s="82"/>
      <c r="XCQ184" s="82"/>
      <c r="XCR184" s="82"/>
      <c r="XCS184" s="82"/>
      <c r="XCT184" s="82"/>
      <c r="XCU184" s="82"/>
      <c r="XCV184" s="82"/>
      <c r="XCW184" s="82"/>
      <c r="XCX184" s="82"/>
      <c r="XCY184" s="82"/>
      <c r="XCZ184" s="82"/>
      <c r="XDA184" s="82"/>
      <c r="XDB184" s="82"/>
      <c r="XDC184" s="82"/>
      <c r="XDD184" s="82"/>
      <c r="XDE184" s="82"/>
      <c r="XDF184" s="82"/>
      <c r="XDG184" s="82"/>
      <c r="XDH184" s="82"/>
      <c r="XDI184" s="82"/>
      <c r="XDJ184" s="82"/>
      <c r="XDK184" s="82"/>
      <c r="XDL184" s="82"/>
      <c r="XDM184" s="82"/>
      <c r="XDN184" s="82"/>
      <c r="XDO184" s="82"/>
      <c r="XDP184" s="82"/>
      <c r="XDQ184" s="82"/>
      <c r="XDR184" s="82"/>
      <c r="XDS184" s="82"/>
      <c r="XDT184" s="82"/>
      <c r="XDU184" s="82"/>
      <c r="XDV184" s="82"/>
      <c r="XDW184" s="82"/>
      <c r="XDX184" s="82"/>
      <c r="XDY184" s="82"/>
      <c r="XDZ184" s="82"/>
      <c r="XEA184" s="82"/>
      <c r="XEB184" s="82"/>
      <c r="XEC184" s="82"/>
      <c r="XED184" s="82"/>
      <c r="XEE184" s="82"/>
      <c r="XEF184" s="82"/>
      <c r="XEG184" s="82"/>
      <c r="XEH184" s="82"/>
      <c r="XEI184" s="82"/>
      <c r="XEJ184" s="82"/>
      <c r="XEK184" s="82"/>
      <c r="XEL184" s="82"/>
      <c r="XEM184" s="82"/>
      <c r="XEN184" s="82"/>
      <c r="XEO184" s="82"/>
      <c r="XEP184" s="82"/>
      <c r="XEQ184" s="82"/>
      <c r="XER184" s="82"/>
      <c r="XES184" s="82"/>
      <c r="XET184" s="82"/>
      <c r="XEU184" s="82"/>
      <c r="XEV184" s="82"/>
      <c r="XEW184" s="82"/>
      <c r="XEX184" s="82"/>
      <c r="XEY184" s="82"/>
      <c r="XEZ184" s="82"/>
      <c r="XFA184" s="82"/>
      <c r="XFB184" s="82"/>
      <c r="XFC184" s="82"/>
      <c r="XFD184" s="82"/>
    </row>
    <row r="185" spans="2:16384" ht="15" customHeight="1">
      <c r="B185" s="83"/>
      <c r="C185" s="83"/>
      <c r="D185" s="83"/>
      <c r="E185" s="323" t="str">
        <f>C177</f>
        <v>CO 2</v>
      </c>
      <c r="F185" s="324"/>
      <c r="G185" s="325">
        <f>IFERROR(SUM(D177:AB177)/COUNTIF(D177:AB177,"&gt;=0"),0)</f>
        <v>62.515785104105227</v>
      </c>
      <c r="H185" s="326"/>
      <c r="I185" s="322">
        <f t="shared" si="33"/>
        <v>3</v>
      </c>
      <c r="J185" s="322"/>
      <c r="L185" s="217">
        <f>IF($C$3=H219,   IF($H$3=I219,(J219*External!$I$185*0.01+K219*'2'!$O$185*0.01+L219*AssgQuiz!$H$174*0.01+M219*AssgQuiz!$H$175*0.01),   IF($H$3=I220,(J220*External!$I$185*0.01+K220*'2'!$O$185*0.01+L220*AssgQuiz!$H$174*0.01+M220*AssgQuiz!$H$175*0.01),   IF($H$3=I221,(J221*External!$I$185*0.01+K221*'2'!$O$185*0.01+L221*AssgQuiz!$H$174*0.01+M221*AssgQuiz!$H$175*0.01),   IF($H$3=I222,(J222*External!$I$185*0.01+K222*'2'!$O$185*0.01+L222*AssgQuiz!$H$174*0.01+M222*AssgQuiz!$H$175*0.01),0)))), IF($C$3=H226,   IF($H$3=I226,(J226*External!$I$185*0.01+K226*'2'!$O$185*0.01+L226*AssgQuiz!$H$174*0.01+M226*AssgQuiz!$H$175*0.01),   IF($H$3=I227,(J227*External!$I$185*0.01+K227*'2'!$O$185*0.01+L227*AssgQuiz!$H$174*0.01+M227*AssgQuiz!$H$175*0.01),   IF($H$3=I228,(J228*External!$I$185*0.01+K228*'2'!$O$185*0.01+L228*AssgQuiz!$H$174*0.01+M228*AssgQuiz!$H$175*0.01),   IF($H$3=I229,(J229*External!$I$185*0.01+K229*'2'!$O$185*0.01+L229*AssgQuiz!$H$174*0.01+M229*AssgQuiz!$H$175*0.01),0)))), IF($C$3=H233,   IF($H$3=I233,(J233*External!$I$185*0.01+K233*'2'!$O$185*0.01+L233*AssgQuiz!$H$174*0.01+M233*AssgQuiz!$H$175*0.01),   IF($H$3=I234,(J234*External!$I$185*0.01+K234*'2'!$O$185*0.01+L234*AssgQuiz!$H$174*0.01+M234*AssgQuiz!$H$175*0.01),   IF($H$3=I235,(J235*External!$I$185*0.01+K235*'2'!$O$185*0.01+L235*AssgQuiz!$H$174*0.01+M235*AssgQuiz!$H$175*0.01),   IF($H$3=I236,(J236*External!$I$185*0.01+K236*'2'!$O$185*0.01+L236*AssgQuiz!$H$174*0.01+M236*AssgQuiz!$H$175*0.01),0)))), IF($C$3=H240,   IF($H$3=I240,(J240*External!$I$185*0.01+K240*'2'!$O$185*0.01+L240*AssgQuiz!$H$174*0.01+M240*AssgQuiz!$H$175*0.01),   IF($H$3=I241,(J241*External!$I$185*0.01+K241*'2'!$O$185*0.01+L241*AssgQuiz!$H$174*0.01+M241*AssgQuiz!$H$175*0.01),   IF($H$3=I242,(J242*External!$I$185*0.01+K242*'2'!$O$185*0.01+L242*AssgQuiz!$H$174*0.01+M242*AssgQuiz!$H$175*0.01),   IF($H$3=I243,(J243*External!$I$185*0.01+K243*'2'!$O$185*0.01+L243*AssgQuiz!$H$174*0.01+M243*AssgQuiz!$H$175*0.01),0))))))))</f>
        <v>3</v>
      </c>
      <c r="M185" s="82"/>
      <c r="N185" s="82"/>
      <c r="O185" s="82"/>
      <c r="P185" s="82"/>
      <c r="Q185" s="82"/>
      <c r="W185" s="82"/>
      <c r="X185" s="82"/>
      <c r="Y185" s="82"/>
      <c r="Z185" s="82"/>
      <c r="AA185" s="82"/>
      <c r="AB185" s="82"/>
      <c r="AC185" s="82"/>
      <c r="AD185" s="82"/>
      <c r="AE185" s="82"/>
      <c r="AF185" s="82"/>
      <c r="AG185" s="82"/>
      <c r="AH185" s="82"/>
      <c r="AI185" s="82"/>
      <c r="AJ185" s="82"/>
      <c r="AK185" s="82"/>
      <c r="AL185" s="82"/>
      <c r="AM185" s="82"/>
      <c r="AN185" s="82"/>
      <c r="AO185" s="82"/>
      <c r="AP185" s="82"/>
      <c r="AQ185" s="82"/>
      <c r="AR185" s="82"/>
      <c r="AS185" s="82"/>
      <c r="AT185" s="82"/>
      <c r="AU185" s="82"/>
      <c r="AV185" s="82"/>
      <c r="AW185" s="82"/>
      <c r="AX185" s="82"/>
      <c r="AY185" s="82"/>
      <c r="AZ185" s="82"/>
      <c r="BA185" s="82"/>
      <c r="BB185" s="82"/>
      <c r="BC185" s="82"/>
      <c r="BD185" s="82"/>
      <c r="BE185" s="82"/>
      <c r="BF185" s="82"/>
      <c r="BG185" s="82"/>
      <c r="BH185" s="82"/>
      <c r="BI185" s="82"/>
      <c r="BJ185" s="82"/>
      <c r="BK185" s="82"/>
      <c r="BL185" s="82"/>
      <c r="BM185" s="82"/>
      <c r="BN185" s="82"/>
      <c r="BO185" s="82"/>
      <c r="BP185" s="82"/>
      <c r="BQ185" s="82"/>
      <c r="BR185" s="82"/>
      <c r="BS185" s="82"/>
      <c r="BT185" s="82"/>
      <c r="BU185" s="82"/>
      <c r="BV185" s="82"/>
      <c r="BW185" s="82"/>
      <c r="BX185" s="82"/>
      <c r="BY185" s="82"/>
      <c r="BZ185" s="82"/>
      <c r="CA185" s="82"/>
      <c r="CB185" s="82"/>
      <c r="CC185" s="82"/>
      <c r="CD185" s="82"/>
      <c r="CE185" s="82"/>
      <c r="CF185" s="82"/>
      <c r="CG185" s="82"/>
      <c r="CH185" s="82"/>
      <c r="CI185" s="82"/>
      <c r="CJ185" s="82"/>
      <c r="CK185" s="82"/>
      <c r="CL185" s="82"/>
      <c r="CM185" s="82"/>
      <c r="CN185" s="82"/>
      <c r="CO185" s="82"/>
      <c r="CP185" s="82"/>
      <c r="CQ185" s="82"/>
      <c r="CR185" s="82"/>
      <c r="CS185" s="82"/>
      <c r="CT185" s="82"/>
      <c r="CU185" s="82"/>
      <c r="CV185" s="82"/>
      <c r="CW185" s="82"/>
      <c r="CX185" s="82"/>
      <c r="CY185" s="82"/>
      <c r="CZ185" s="82"/>
      <c r="DA185" s="82"/>
      <c r="DB185" s="82"/>
      <c r="DC185" s="82"/>
      <c r="DD185" s="82"/>
      <c r="DE185" s="82"/>
      <c r="DF185" s="82"/>
      <c r="DG185" s="82"/>
      <c r="DH185" s="82"/>
      <c r="DI185" s="82"/>
      <c r="DJ185" s="82"/>
      <c r="DK185" s="82"/>
      <c r="DL185" s="82"/>
      <c r="DM185" s="82"/>
      <c r="DN185" s="82"/>
      <c r="DO185" s="82"/>
      <c r="DP185" s="82"/>
      <c r="DQ185" s="82"/>
      <c r="DR185" s="82"/>
      <c r="DS185" s="82"/>
      <c r="DT185" s="82"/>
      <c r="DU185" s="82"/>
      <c r="DV185" s="82"/>
      <c r="DW185" s="82"/>
      <c r="DX185" s="82"/>
      <c r="DY185" s="82"/>
      <c r="DZ185" s="82"/>
      <c r="EA185" s="82"/>
      <c r="EB185" s="82"/>
      <c r="EC185" s="82"/>
      <c r="ED185" s="82"/>
      <c r="EE185" s="82"/>
      <c r="EF185" s="82"/>
      <c r="EG185" s="82"/>
      <c r="EH185" s="82"/>
      <c r="EI185" s="82"/>
      <c r="EJ185" s="82"/>
      <c r="EK185" s="82"/>
      <c r="EL185" s="82"/>
      <c r="EM185" s="82"/>
      <c r="EN185" s="82"/>
      <c r="EO185" s="82"/>
      <c r="EP185" s="82"/>
      <c r="EQ185" s="82"/>
      <c r="ER185" s="82"/>
      <c r="ES185" s="82"/>
      <c r="ET185" s="82"/>
      <c r="EU185" s="82"/>
      <c r="EV185" s="82"/>
      <c r="EW185" s="82"/>
      <c r="EX185" s="82"/>
      <c r="EY185" s="82"/>
      <c r="EZ185" s="82"/>
      <c r="FA185" s="82"/>
      <c r="FB185" s="82"/>
      <c r="FC185" s="82"/>
      <c r="FD185" s="82"/>
      <c r="FE185" s="82"/>
      <c r="FF185" s="82"/>
      <c r="FG185" s="82"/>
      <c r="FH185" s="82"/>
      <c r="FI185" s="82"/>
      <c r="FJ185" s="82"/>
      <c r="FK185" s="82"/>
      <c r="FL185" s="82"/>
      <c r="FM185" s="82"/>
      <c r="FN185" s="82"/>
      <c r="FO185" s="82"/>
      <c r="FP185" s="82"/>
      <c r="FQ185" s="82"/>
      <c r="FR185" s="82"/>
      <c r="FS185" s="82"/>
      <c r="FT185" s="82"/>
      <c r="FU185" s="82"/>
      <c r="FV185" s="82"/>
      <c r="FW185" s="82"/>
      <c r="FX185" s="82"/>
      <c r="FY185" s="82"/>
      <c r="FZ185" s="82"/>
      <c r="GA185" s="82"/>
      <c r="GB185" s="82"/>
      <c r="GC185" s="82"/>
      <c r="GD185" s="82"/>
      <c r="GE185" s="82"/>
      <c r="GF185" s="82"/>
      <c r="GG185" s="82"/>
      <c r="GH185" s="82"/>
      <c r="GI185" s="82"/>
      <c r="GJ185" s="82"/>
      <c r="GK185" s="82"/>
      <c r="GL185" s="82"/>
      <c r="GM185" s="82"/>
      <c r="GN185" s="82"/>
      <c r="GO185" s="82"/>
      <c r="GP185" s="82"/>
      <c r="GQ185" s="82"/>
      <c r="GR185" s="82"/>
      <c r="GS185" s="82"/>
      <c r="GT185" s="82"/>
      <c r="GU185" s="82"/>
      <c r="GV185" s="82"/>
      <c r="GW185" s="82"/>
      <c r="GX185" s="82"/>
      <c r="GY185" s="82"/>
      <c r="GZ185" s="82"/>
      <c r="HA185" s="82"/>
      <c r="HB185" s="82"/>
      <c r="HC185" s="82"/>
      <c r="HD185" s="82"/>
      <c r="HE185" s="82"/>
      <c r="HF185" s="82"/>
      <c r="HG185" s="82"/>
      <c r="HH185" s="82"/>
      <c r="HI185" s="82"/>
      <c r="HJ185" s="82"/>
      <c r="HK185" s="82"/>
      <c r="HL185" s="82"/>
      <c r="HM185" s="82"/>
      <c r="HN185" s="82"/>
      <c r="HO185" s="82"/>
      <c r="HP185" s="82"/>
      <c r="HQ185" s="82"/>
      <c r="HR185" s="82"/>
      <c r="HS185" s="82"/>
      <c r="HT185" s="82"/>
      <c r="HU185" s="82"/>
      <c r="HV185" s="82"/>
      <c r="HW185" s="82"/>
      <c r="HX185" s="82"/>
      <c r="HY185" s="82"/>
      <c r="HZ185" s="82"/>
      <c r="IA185" s="82"/>
      <c r="IB185" s="82"/>
      <c r="IC185" s="82"/>
      <c r="ID185" s="82"/>
      <c r="IE185" s="82"/>
      <c r="IF185" s="82"/>
      <c r="IG185" s="82"/>
      <c r="IH185" s="82"/>
      <c r="II185" s="82"/>
      <c r="IJ185" s="82"/>
      <c r="IK185" s="82"/>
      <c r="IL185" s="82"/>
      <c r="IM185" s="82"/>
      <c r="IN185" s="82"/>
      <c r="IO185" s="82"/>
      <c r="IP185" s="82"/>
      <c r="IQ185" s="82"/>
      <c r="IR185" s="82"/>
      <c r="IS185" s="82"/>
      <c r="IT185" s="82"/>
      <c r="IU185" s="82"/>
      <c r="IV185" s="82"/>
      <c r="IW185" s="82"/>
      <c r="IX185" s="82"/>
      <c r="IY185" s="82"/>
      <c r="IZ185" s="82"/>
      <c r="JA185" s="82"/>
      <c r="JB185" s="82"/>
      <c r="JC185" s="82"/>
      <c r="JD185" s="82"/>
      <c r="JE185" s="82"/>
      <c r="JF185" s="82"/>
      <c r="JG185" s="82"/>
      <c r="JH185" s="82"/>
      <c r="JI185" s="82"/>
      <c r="JJ185" s="82"/>
      <c r="JK185" s="82"/>
      <c r="JL185" s="82"/>
      <c r="JM185" s="82"/>
      <c r="JN185" s="82"/>
      <c r="JO185" s="82"/>
      <c r="JP185" s="82"/>
      <c r="JQ185" s="82"/>
      <c r="JR185" s="82"/>
      <c r="JS185" s="82"/>
      <c r="JT185" s="82"/>
      <c r="JU185" s="82"/>
      <c r="JV185" s="82"/>
      <c r="JW185" s="82"/>
      <c r="JX185" s="82"/>
      <c r="JY185" s="82"/>
      <c r="JZ185" s="82"/>
      <c r="KA185" s="82"/>
      <c r="KB185" s="82"/>
      <c r="KC185" s="82"/>
      <c r="KD185" s="82"/>
      <c r="KE185" s="82"/>
      <c r="KF185" s="82"/>
      <c r="KG185" s="82"/>
      <c r="KH185" s="82"/>
      <c r="KI185" s="82"/>
      <c r="KJ185" s="82"/>
      <c r="KK185" s="82"/>
      <c r="KL185" s="82"/>
      <c r="KM185" s="82"/>
      <c r="KN185" s="82"/>
      <c r="KO185" s="82"/>
      <c r="KP185" s="82"/>
      <c r="KQ185" s="82"/>
      <c r="KR185" s="82"/>
      <c r="KS185" s="82"/>
      <c r="KT185" s="82"/>
      <c r="KU185" s="82"/>
      <c r="KV185" s="82"/>
      <c r="KW185" s="82"/>
      <c r="KX185" s="82"/>
      <c r="KY185" s="82"/>
      <c r="KZ185" s="82"/>
      <c r="LA185" s="82"/>
      <c r="LB185" s="82"/>
      <c r="LC185" s="82"/>
      <c r="LD185" s="82"/>
      <c r="LE185" s="82"/>
      <c r="LF185" s="82"/>
      <c r="LG185" s="82"/>
      <c r="LH185" s="82"/>
      <c r="LI185" s="82"/>
      <c r="LJ185" s="82"/>
      <c r="LK185" s="82"/>
      <c r="LL185" s="82"/>
      <c r="LM185" s="82"/>
      <c r="LN185" s="82"/>
      <c r="LO185" s="82"/>
      <c r="LP185" s="82"/>
      <c r="LQ185" s="82"/>
      <c r="LR185" s="82"/>
      <c r="LS185" s="82"/>
      <c r="LT185" s="82"/>
      <c r="LU185" s="82"/>
      <c r="LV185" s="82"/>
      <c r="LW185" s="82"/>
      <c r="LX185" s="82"/>
      <c r="LY185" s="82"/>
      <c r="LZ185" s="82"/>
      <c r="MA185" s="82"/>
      <c r="MB185" s="82"/>
      <c r="MC185" s="82"/>
      <c r="MD185" s="82"/>
      <c r="ME185" s="82"/>
      <c r="MF185" s="82"/>
      <c r="MG185" s="82"/>
      <c r="MH185" s="82"/>
      <c r="MI185" s="82"/>
      <c r="MJ185" s="82"/>
      <c r="MK185" s="82"/>
      <c r="ML185" s="82"/>
      <c r="MM185" s="82"/>
      <c r="MN185" s="82"/>
      <c r="MO185" s="82"/>
      <c r="MP185" s="82"/>
      <c r="MQ185" s="82"/>
      <c r="MR185" s="82"/>
      <c r="MS185" s="82"/>
      <c r="MT185" s="82"/>
      <c r="MU185" s="82"/>
      <c r="MV185" s="82"/>
      <c r="MW185" s="82"/>
      <c r="MX185" s="82"/>
      <c r="MY185" s="82"/>
      <c r="MZ185" s="82"/>
      <c r="NA185" s="82"/>
      <c r="NB185" s="82"/>
      <c r="NC185" s="82"/>
      <c r="ND185" s="82"/>
      <c r="NE185" s="82"/>
      <c r="NF185" s="82"/>
      <c r="NG185" s="82"/>
      <c r="NH185" s="82"/>
      <c r="NI185" s="82"/>
      <c r="NJ185" s="82"/>
      <c r="NK185" s="82"/>
      <c r="NL185" s="82"/>
      <c r="NM185" s="82"/>
      <c r="NN185" s="82"/>
      <c r="NO185" s="82"/>
      <c r="NP185" s="82"/>
      <c r="NQ185" s="82"/>
      <c r="NR185" s="82"/>
      <c r="NS185" s="82"/>
      <c r="NT185" s="82"/>
      <c r="NU185" s="82"/>
      <c r="NV185" s="82"/>
      <c r="NW185" s="82"/>
      <c r="NX185" s="82"/>
      <c r="NY185" s="82"/>
      <c r="NZ185" s="82"/>
      <c r="OA185" s="82"/>
      <c r="OB185" s="82"/>
      <c r="OC185" s="82"/>
      <c r="OD185" s="82"/>
      <c r="OE185" s="82"/>
      <c r="OF185" s="82"/>
      <c r="OG185" s="82"/>
      <c r="OH185" s="82"/>
      <c r="OI185" s="82"/>
      <c r="OJ185" s="82"/>
      <c r="OK185" s="82"/>
      <c r="OL185" s="82"/>
      <c r="OM185" s="82"/>
      <c r="ON185" s="82"/>
      <c r="OO185" s="82"/>
      <c r="OP185" s="82"/>
      <c r="OQ185" s="82"/>
      <c r="OR185" s="82"/>
      <c r="OS185" s="82"/>
      <c r="OT185" s="82"/>
      <c r="OU185" s="82"/>
      <c r="OV185" s="82"/>
      <c r="OW185" s="82"/>
      <c r="OX185" s="82"/>
      <c r="OY185" s="82"/>
      <c r="OZ185" s="82"/>
      <c r="PA185" s="82"/>
      <c r="PB185" s="82"/>
      <c r="PC185" s="82"/>
      <c r="PD185" s="82"/>
      <c r="PE185" s="82"/>
      <c r="PF185" s="82"/>
      <c r="PG185" s="82"/>
      <c r="PH185" s="82"/>
      <c r="PI185" s="82"/>
      <c r="PJ185" s="82"/>
      <c r="PK185" s="82"/>
      <c r="PL185" s="82"/>
      <c r="PM185" s="82"/>
      <c r="PN185" s="82"/>
      <c r="PO185" s="82"/>
      <c r="PP185" s="82"/>
      <c r="PQ185" s="82"/>
      <c r="PR185" s="82"/>
      <c r="PS185" s="82"/>
      <c r="PT185" s="82"/>
      <c r="PU185" s="82"/>
      <c r="PV185" s="82"/>
      <c r="PW185" s="82"/>
      <c r="PX185" s="82"/>
      <c r="PY185" s="82"/>
      <c r="PZ185" s="82"/>
      <c r="QA185" s="82"/>
      <c r="QB185" s="82"/>
      <c r="QC185" s="82"/>
      <c r="QD185" s="82"/>
      <c r="QE185" s="82"/>
      <c r="QF185" s="82"/>
      <c r="QG185" s="82"/>
      <c r="QH185" s="82"/>
      <c r="QI185" s="82"/>
      <c r="QJ185" s="82"/>
      <c r="QK185" s="82"/>
      <c r="QL185" s="82"/>
      <c r="QM185" s="82"/>
      <c r="QN185" s="82"/>
      <c r="QO185" s="82"/>
      <c r="QP185" s="82"/>
      <c r="QQ185" s="82"/>
      <c r="QR185" s="82"/>
      <c r="QS185" s="82"/>
      <c r="QT185" s="82"/>
      <c r="QU185" s="82"/>
      <c r="QV185" s="82"/>
      <c r="QW185" s="82"/>
      <c r="QX185" s="82"/>
      <c r="QY185" s="82"/>
      <c r="QZ185" s="82"/>
      <c r="RA185" s="82"/>
      <c r="RB185" s="82"/>
      <c r="RC185" s="82"/>
      <c r="RD185" s="82"/>
      <c r="RE185" s="82"/>
      <c r="RF185" s="82"/>
      <c r="RG185" s="82"/>
      <c r="RH185" s="82"/>
      <c r="RI185" s="82"/>
      <c r="RJ185" s="82"/>
      <c r="RK185" s="82"/>
      <c r="RL185" s="82"/>
      <c r="RM185" s="82"/>
      <c r="RN185" s="82"/>
      <c r="RO185" s="82"/>
      <c r="RP185" s="82"/>
      <c r="RQ185" s="82"/>
      <c r="RR185" s="82"/>
      <c r="RS185" s="82"/>
      <c r="RT185" s="82"/>
      <c r="RU185" s="82"/>
      <c r="RV185" s="82"/>
      <c r="RW185" s="82"/>
      <c r="RX185" s="82"/>
      <c r="RY185" s="82"/>
      <c r="RZ185" s="82"/>
      <c r="SA185" s="82"/>
      <c r="SB185" s="82"/>
      <c r="SC185" s="82"/>
      <c r="SD185" s="82"/>
      <c r="SE185" s="82"/>
      <c r="SF185" s="82"/>
      <c r="SG185" s="82"/>
      <c r="SH185" s="82"/>
      <c r="SI185" s="82"/>
      <c r="SJ185" s="82"/>
      <c r="SK185" s="82"/>
      <c r="SL185" s="82"/>
      <c r="SM185" s="82"/>
      <c r="SN185" s="82"/>
      <c r="SO185" s="82"/>
      <c r="SP185" s="82"/>
      <c r="SQ185" s="82"/>
      <c r="SR185" s="82"/>
      <c r="SS185" s="82"/>
      <c r="ST185" s="82"/>
      <c r="SU185" s="82"/>
      <c r="SV185" s="82"/>
      <c r="SW185" s="82"/>
      <c r="SX185" s="82"/>
      <c r="SY185" s="82"/>
      <c r="SZ185" s="82"/>
      <c r="TA185" s="82"/>
      <c r="TB185" s="82"/>
      <c r="TC185" s="82"/>
      <c r="TD185" s="82"/>
      <c r="TE185" s="82"/>
      <c r="TF185" s="82"/>
      <c r="TG185" s="82"/>
      <c r="TH185" s="82"/>
      <c r="TI185" s="82"/>
      <c r="TJ185" s="82"/>
      <c r="TK185" s="82"/>
      <c r="TL185" s="82"/>
      <c r="TM185" s="82"/>
      <c r="TN185" s="82"/>
      <c r="TO185" s="82"/>
      <c r="TP185" s="82"/>
      <c r="TQ185" s="82"/>
      <c r="TR185" s="82"/>
      <c r="TS185" s="82"/>
      <c r="TT185" s="82"/>
      <c r="TU185" s="82"/>
      <c r="TV185" s="82"/>
      <c r="TW185" s="82"/>
      <c r="TX185" s="82"/>
      <c r="TY185" s="82"/>
      <c r="TZ185" s="82"/>
      <c r="UA185" s="82"/>
      <c r="UB185" s="82"/>
      <c r="UC185" s="82"/>
      <c r="UD185" s="82"/>
      <c r="UE185" s="82"/>
      <c r="UF185" s="82"/>
      <c r="UG185" s="82"/>
      <c r="UH185" s="82"/>
      <c r="UI185" s="82"/>
      <c r="UJ185" s="82"/>
      <c r="UK185" s="82"/>
      <c r="UL185" s="82"/>
      <c r="UM185" s="82"/>
      <c r="UN185" s="82"/>
      <c r="UO185" s="82"/>
      <c r="UP185" s="82"/>
      <c r="UQ185" s="82"/>
      <c r="UR185" s="82"/>
      <c r="US185" s="82"/>
      <c r="UT185" s="82"/>
      <c r="UU185" s="82"/>
      <c r="UV185" s="82"/>
      <c r="UW185" s="82"/>
      <c r="UX185" s="82"/>
      <c r="UY185" s="82"/>
      <c r="UZ185" s="82"/>
      <c r="VA185" s="82"/>
      <c r="VB185" s="82"/>
      <c r="VC185" s="82"/>
      <c r="VD185" s="82"/>
      <c r="VE185" s="82"/>
      <c r="VF185" s="82"/>
      <c r="VG185" s="82"/>
      <c r="VH185" s="82"/>
      <c r="VI185" s="82"/>
      <c r="VJ185" s="82"/>
      <c r="VK185" s="82"/>
      <c r="VL185" s="82"/>
      <c r="VM185" s="82"/>
      <c r="VN185" s="82"/>
      <c r="VO185" s="82"/>
      <c r="VP185" s="82"/>
      <c r="VQ185" s="82"/>
      <c r="VR185" s="82"/>
      <c r="VS185" s="82"/>
      <c r="VT185" s="82"/>
      <c r="VU185" s="82"/>
      <c r="VV185" s="82"/>
      <c r="VW185" s="82"/>
      <c r="VX185" s="82"/>
      <c r="VY185" s="82"/>
      <c r="VZ185" s="82"/>
      <c r="WA185" s="82"/>
      <c r="WB185" s="82"/>
      <c r="WC185" s="82"/>
      <c r="WD185" s="82"/>
      <c r="WE185" s="82"/>
      <c r="WF185" s="82"/>
      <c r="WG185" s="82"/>
      <c r="WH185" s="82"/>
      <c r="WI185" s="82"/>
      <c r="WJ185" s="82"/>
      <c r="WK185" s="82"/>
      <c r="WL185" s="82"/>
      <c r="WM185" s="82"/>
      <c r="WN185" s="82"/>
      <c r="WO185" s="82"/>
      <c r="WP185" s="82"/>
      <c r="WQ185" s="82"/>
      <c r="WR185" s="82"/>
      <c r="WS185" s="82"/>
      <c r="WT185" s="82"/>
      <c r="WU185" s="82"/>
      <c r="WV185" s="82"/>
      <c r="WW185" s="82"/>
      <c r="WX185" s="82"/>
      <c r="WY185" s="82"/>
      <c r="WZ185" s="82"/>
      <c r="XA185" s="82"/>
      <c r="XB185" s="82"/>
      <c r="XC185" s="82"/>
      <c r="XD185" s="82"/>
      <c r="XE185" s="82"/>
      <c r="XF185" s="82"/>
      <c r="XG185" s="82"/>
      <c r="XH185" s="82"/>
      <c r="XI185" s="82"/>
      <c r="XJ185" s="82"/>
      <c r="XK185" s="82"/>
      <c r="XL185" s="82"/>
      <c r="XM185" s="82"/>
      <c r="XN185" s="82"/>
      <c r="XO185" s="82"/>
      <c r="XP185" s="82"/>
      <c r="XQ185" s="82"/>
      <c r="XR185" s="82"/>
      <c r="XS185" s="82"/>
      <c r="XT185" s="82"/>
      <c r="XU185" s="82"/>
      <c r="XV185" s="82"/>
      <c r="XW185" s="82"/>
      <c r="XX185" s="82"/>
      <c r="XY185" s="82"/>
      <c r="XZ185" s="82"/>
      <c r="YA185" s="82"/>
      <c r="YB185" s="82"/>
      <c r="YC185" s="82"/>
      <c r="YD185" s="82"/>
      <c r="YE185" s="82"/>
      <c r="YF185" s="82"/>
      <c r="YG185" s="82"/>
      <c r="YH185" s="82"/>
      <c r="YI185" s="82"/>
      <c r="YJ185" s="82"/>
      <c r="YK185" s="82"/>
      <c r="YL185" s="82"/>
      <c r="YM185" s="82"/>
      <c r="YN185" s="82"/>
      <c r="YO185" s="82"/>
      <c r="YP185" s="82"/>
      <c r="YQ185" s="82"/>
      <c r="YR185" s="82"/>
      <c r="YS185" s="82"/>
      <c r="YT185" s="82"/>
      <c r="YU185" s="82"/>
      <c r="YV185" s="82"/>
      <c r="YW185" s="82"/>
      <c r="YX185" s="82"/>
      <c r="YY185" s="82"/>
      <c r="YZ185" s="82"/>
      <c r="ZA185" s="82"/>
      <c r="ZB185" s="82"/>
      <c r="ZC185" s="82"/>
      <c r="ZD185" s="82"/>
      <c r="ZE185" s="82"/>
      <c r="ZF185" s="82"/>
      <c r="ZG185" s="82"/>
      <c r="ZH185" s="82"/>
      <c r="ZI185" s="82"/>
      <c r="ZJ185" s="82"/>
      <c r="ZK185" s="82"/>
      <c r="ZL185" s="82"/>
      <c r="ZM185" s="82"/>
      <c r="ZN185" s="82"/>
      <c r="ZO185" s="82"/>
      <c r="ZP185" s="82"/>
      <c r="ZQ185" s="82"/>
      <c r="ZR185" s="82"/>
      <c r="ZS185" s="82"/>
      <c r="ZT185" s="82"/>
      <c r="ZU185" s="82"/>
      <c r="ZV185" s="82"/>
      <c r="ZW185" s="82"/>
      <c r="ZX185" s="82"/>
      <c r="ZY185" s="82"/>
      <c r="ZZ185" s="82"/>
      <c r="AAA185" s="82"/>
      <c r="AAB185" s="82"/>
      <c r="AAC185" s="82"/>
      <c r="AAD185" s="82"/>
      <c r="AAE185" s="82"/>
      <c r="AAF185" s="82"/>
      <c r="AAG185" s="82"/>
      <c r="AAH185" s="82"/>
      <c r="AAI185" s="82"/>
      <c r="AAJ185" s="82"/>
      <c r="AAK185" s="82"/>
      <c r="AAL185" s="82"/>
      <c r="AAM185" s="82"/>
      <c r="AAN185" s="82"/>
      <c r="AAO185" s="82"/>
      <c r="AAP185" s="82"/>
      <c r="AAQ185" s="82"/>
      <c r="AAR185" s="82"/>
      <c r="AAS185" s="82"/>
      <c r="AAT185" s="82"/>
      <c r="AAU185" s="82"/>
      <c r="AAV185" s="82"/>
      <c r="AAW185" s="82"/>
      <c r="AAX185" s="82"/>
      <c r="AAY185" s="82"/>
      <c r="AAZ185" s="82"/>
      <c r="ABA185" s="82"/>
      <c r="ABB185" s="82"/>
      <c r="ABC185" s="82"/>
      <c r="ABD185" s="82"/>
      <c r="ABE185" s="82"/>
      <c r="ABF185" s="82"/>
      <c r="ABG185" s="82"/>
      <c r="ABH185" s="82"/>
      <c r="ABI185" s="82"/>
      <c r="ABJ185" s="82"/>
      <c r="ABK185" s="82"/>
      <c r="ABL185" s="82"/>
      <c r="ABM185" s="82"/>
      <c r="ABN185" s="82"/>
      <c r="ABO185" s="82"/>
      <c r="ABP185" s="82"/>
      <c r="ABQ185" s="82"/>
      <c r="ABR185" s="82"/>
      <c r="ABS185" s="82"/>
      <c r="ABT185" s="82"/>
      <c r="ABU185" s="82"/>
      <c r="ABV185" s="82"/>
      <c r="ABW185" s="82"/>
      <c r="ABX185" s="82"/>
      <c r="ABY185" s="82"/>
      <c r="ABZ185" s="82"/>
      <c r="ACA185" s="82"/>
      <c r="ACB185" s="82"/>
      <c r="ACC185" s="82"/>
      <c r="ACD185" s="82"/>
      <c r="ACE185" s="82"/>
      <c r="ACF185" s="82"/>
      <c r="ACG185" s="82"/>
      <c r="ACH185" s="82"/>
      <c r="ACI185" s="82"/>
      <c r="ACJ185" s="82"/>
      <c r="ACK185" s="82"/>
      <c r="ACL185" s="82"/>
      <c r="ACM185" s="82"/>
      <c r="ACN185" s="82"/>
      <c r="ACO185" s="82"/>
      <c r="ACP185" s="82"/>
      <c r="ACQ185" s="82"/>
      <c r="ACR185" s="82"/>
      <c r="ACS185" s="82"/>
      <c r="ACT185" s="82"/>
      <c r="ACU185" s="82"/>
      <c r="ACV185" s="82"/>
      <c r="ACW185" s="82"/>
      <c r="ACX185" s="82"/>
      <c r="ACY185" s="82"/>
      <c r="ACZ185" s="82"/>
      <c r="ADA185" s="82"/>
      <c r="ADB185" s="82"/>
      <c r="ADC185" s="82"/>
      <c r="ADD185" s="82"/>
      <c r="ADE185" s="82"/>
      <c r="ADF185" s="82"/>
      <c r="ADG185" s="82"/>
      <c r="ADH185" s="82"/>
      <c r="ADI185" s="82"/>
      <c r="ADJ185" s="82"/>
      <c r="ADK185" s="82"/>
      <c r="ADL185" s="82"/>
      <c r="ADM185" s="82"/>
      <c r="ADN185" s="82"/>
      <c r="ADO185" s="82"/>
      <c r="ADP185" s="82"/>
      <c r="ADQ185" s="82"/>
      <c r="ADR185" s="82"/>
      <c r="ADS185" s="82"/>
      <c r="ADT185" s="82"/>
      <c r="ADU185" s="82"/>
      <c r="ADV185" s="82"/>
      <c r="ADW185" s="82"/>
      <c r="ADX185" s="82"/>
      <c r="ADY185" s="82"/>
      <c r="ADZ185" s="82"/>
      <c r="AEA185" s="82"/>
      <c r="AEB185" s="82"/>
      <c r="AEC185" s="82"/>
      <c r="AED185" s="82"/>
      <c r="AEE185" s="82"/>
      <c r="AEF185" s="82"/>
      <c r="AEG185" s="82"/>
      <c r="AEH185" s="82"/>
      <c r="AEI185" s="82"/>
      <c r="AEJ185" s="82"/>
      <c r="AEK185" s="82"/>
      <c r="AEL185" s="82"/>
      <c r="AEM185" s="82"/>
      <c r="AEN185" s="82"/>
      <c r="AEO185" s="82"/>
      <c r="AEP185" s="82"/>
      <c r="AEQ185" s="82"/>
      <c r="AER185" s="82"/>
      <c r="AES185" s="82"/>
      <c r="AET185" s="82"/>
      <c r="AEU185" s="82"/>
      <c r="AEV185" s="82"/>
      <c r="AEW185" s="82"/>
      <c r="AEX185" s="82"/>
      <c r="AEY185" s="82"/>
      <c r="AEZ185" s="82"/>
      <c r="AFA185" s="82"/>
      <c r="AFB185" s="82"/>
      <c r="AFC185" s="82"/>
      <c r="AFD185" s="82"/>
      <c r="AFE185" s="82"/>
      <c r="AFF185" s="82"/>
      <c r="AFG185" s="82"/>
      <c r="AFH185" s="82"/>
      <c r="AFI185" s="82"/>
      <c r="AFJ185" s="82"/>
      <c r="AFK185" s="82"/>
      <c r="AFL185" s="82"/>
      <c r="AFM185" s="82"/>
      <c r="AFN185" s="82"/>
      <c r="AFO185" s="82"/>
      <c r="AFP185" s="82"/>
      <c r="AFQ185" s="82"/>
      <c r="AFR185" s="82"/>
      <c r="AFS185" s="82"/>
      <c r="AFT185" s="82"/>
      <c r="AFU185" s="82"/>
      <c r="AFV185" s="82"/>
      <c r="AFW185" s="82"/>
      <c r="AFX185" s="82"/>
      <c r="AFY185" s="82"/>
      <c r="AFZ185" s="82"/>
      <c r="AGA185" s="82"/>
      <c r="AGB185" s="82"/>
      <c r="AGC185" s="82"/>
      <c r="AGD185" s="82"/>
      <c r="AGE185" s="82"/>
      <c r="AGF185" s="82"/>
      <c r="AGG185" s="82"/>
      <c r="AGH185" s="82"/>
      <c r="AGI185" s="82"/>
      <c r="AGJ185" s="82"/>
      <c r="AGK185" s="82"/>
      <c r="AGL185" s="82"/>
      <c r="AGM185" s="82"/>
      <c r="AGN185" s="82"/>
      <c r="AGO185" s="82"/>
      <c r="AGP185" s="82"/>
      <c r="AGQ185" s="82"/>
      <c r="AGR185" s="82"/>
      <c r="AGS185" s="82"/>
      <c r="AGT185" s="82"/>
      <c r="AGU185" s="82"/>
      <c r="AGV185" s="82"/>
      <c r="AGW185" s="82"/>
      <c r="AGX185" s="82"/>
      <c r="AGY185" s="82"/>
      <c r="AGZ185" s="82"/>
      <c r="AHA185" s="82"/>
      <c r="AHB185" s="82"/>
      <c r="AHC185" s="82"/>
      <c r="AHD185" s="82"/>
      <c r="AHE185" s="82"/>
      <c r="AHF185" s="82"/>
      <c r="AHG185" s="82"/>
      <c r="AHH185" s="82"/>
      <c r="AHI185" s="82"/>
      <c r="AHJ185" s="82"/>
      <c r="AHK185" s="82"/>
      <c r="AHL185" s="82"/>
      <c r="AHM185" s="82"/>
      <c r="AHN185" s="82"/>
      <c r="AHO185" s="82"/>
      <c r="AHP185" s="82"/>
      <c r="AHQ185" s="82"/>
      <c r="AHR185" s="82"/>
      <c r="AHS185" s="82"/>
      <c r="AHT185" s="82"/>
      <c r="AHU185" s="82"/>
      <c r="AHV185" s="82"/>
      <c r="AHW185" s="82"/>
      <c r="AHX185" s="82"/>
      <c r="AHY185" s="82"/>
      <c r="AHZ185" s="82"/>
      <c r="AIA185" s="82"/>
      <c r="AIB185" s="82"/>
      <c r="AIC185" s="82"/>
      <c r="AID185" s="82"/>
      <c r="AIE185" s="82"/>
      <c r="AIF185" s="82"/>
      <c r="AIG185" s="82"/>
      <c r="AIH185" s="82"/>
      <c r="AII185" s="82"/>
      <c r="AIJ185" s="82"/>
      <c r="AIK185" s="82"/>
      <c r="AIL185" s="82"/>
      <c r="AIM185" s="82"/>
      <c r="AIN185" s="82"/>
      <c r="AIO185" s="82"/>
      <c r="AIP185" s="82"/>
      <c r="AIQ185" s="82"/>
      <c r="AIR185" s="82"/>
      <c r="AIS185" s="82"/>
      <c r="AIT185" s="82"/>
      <c r="AIU185" s="82"/>
      <c r="AIV185" s="82"/>
      <c r="AIW185" s="82"/>
      <c r="AIX185" s="82"/>
      <c r="AIY185" s="82"/>
      <c r="AIZ185" s="82"/>
      <c r="AJA185" s="82"/>
      <c r="AJB185" s="82"/>
      <c r="AJC185" s="82"/>
      <c r="AJD185" s="82"/>
      <c r="AJE185" s="82"/>
      <c r="AJF185" s="82"/>
      <c r="AJG185" s="82"/>
      <c r="AJH185" s="82"/>
      <c r="AJI185" s="82"/>
      <c r="AJJ185" s="82"/>
      <c r="AJK185" s="82"/>
      <c r="AJL185" s="82"/>
      <c r="AJM185" s="82"/>
      <c r="AJN185" s="82"/>
      <c r="AJO185" s="82"/>
      <c r="AJP185" s="82"/>
      <c r="AJQ185" s="82"/>
      <c r="AJR185" s="82"/>
      <c r="AJS185" s="82"/>
      <c r="AJT185" s="82"/>
      <c r="AJU185" s="82"/>
      <c r="AJV185" s="82"/>
      <c r="AJW185" s="82"/>
      <c r="AJX185" s="82"/>
      <c r="AJY185" s="82"/>
      <c r="AJZ185" s="82"/>
      <c r="AKA185" s="82"/>
      <c r="AKB185" s="82"/>
      <c r="AKC185" s="82"/>
      <c r="AKD185" s="82"/>
      <c r="AKE185" s="82"/>
      <c r="AKF185" s="82"/>
      <c r="AKG185" s="82"/>
      <c r="AKH185" s="82"/>
      <c r="AKI185" s="82"/>
      <c r="AKJ185" s="82"/>
      <c r="AKK185" s="82"/>
      <c r="AKL185" s="82"/>
      <c r="AKM185" s="82"/>
      <c r="AKN185" s="82"/>
      <c r="AKO185" s="82"/>
      <c r="AKP185" s="82"/>
      <c r="AKQ185" s="82"/>
      <c r="AKR185" s="82"/>
      <c r="AKS185" s="82"/>
      <c r="AKT185" s="82"/>
      <c r="AKU185" s="82"/>
      <c r="AKV185" s="82"/>
      <c r="AKW185" s="82"/>
      <c r="AKX185" s="82"/>
      <c r="AKY185" s="82"/>
      <c r="AKZ185" s="82"/>
      <c r="ALA185" s="82"/>
      <c r="ALB185" s="82"/>
      <c r="ALC185" s="82"/>
      <c r="ALD185" s="82"/>
      <c r="ALE185" s="82"/>
      <c r="ALF185" s="82"/>
      <c r="ALG185" s="82"/>
      <c r="ALH185" s="82"/>
      <c r="ALI185" s="82"/>
      <c r="ALJ185" s="82"/>
      <c r="ALK185" s="82"/>
      <c r="ALL185" s="82"/>
      <c r="ALM185" s="82"/>
      <c r="ALN185" s="82"/>
      <c r="ALO185" s="82"/>
      <c r="ALP185" s="82"/>
      <c r="ALQ185" s="82"/>
      <c r="ALR185" s="82"/>
      <c r="ALS185" s="82"/>
      <c r="ALT185" s="82"/>
      <c r="ALU185" s="82"/>
      <c r="ALV185" s="82"/>
      <c r="ALW185" s="82"/>
      <c r="ALX185" s="82"/>
      <c r="ALY185" s="82"/>
      <c r="ALZ185" s="82"/>
      <c r="AMA185" s="82"/>
      <c r="AMB185" s="82"/>
      <c r="AMC185" s="82"/>
      <c r="AMD185" s="82"/>
      <c r="AME185" s="82"/>
      <c r="AMF185" s="82"/>
      <c r="AMG185" s="82"/>
      <c r="AMH185" s="82"/>
      <c r="AMI185" s="82"/>
      <c r="AMJ185" s="82"/>
      <c r="AMK185" s="82"/>
      <c r="AML185" s="82"/>
      <c r="AMM185" s="82"/>
      <c r="AMN185" s="82"/>
      <c r="AMO185" s="82"/>
      <c r="AMP185" s="82"/>
      <c r="AMQ185" s="82"/>
      <c r="AMR185" s="82"/>
      <c r="AMS185" s="82"/>
      <c r="AMT185" s="82"/>
      <c r="AMU185" s="82"/>
      <c r="AMV185" s="82"/>
      <c r="AMW185" s="82"/>
      <c r="AMX185" s="82"/>
      <c r="AMY185" s="82"/>
      <c r="AMZ185" s="82"/>
      <c r="ANA185" s="82"/>
      <c r="ANB185" s="82"/>
      <c r="ANC185" s="82"/>
      <c r="AND185" s="82"/>
      <c r="ANE185" s="82"/>
      <c r="ANF185" s="82"/>
      <c r="ANG185" s="82"/>
      <c r="ANH185" s="82"/>
      <c r="ANI185" s="82"/>
      <c r="ANJ185" s="82"/>
      <c r="ANK185" s="82"/>
      <c r="ANL185" s="82"/>
      <c r="ANM185" s="82"/>
      <c r="ANN185" s="82"/>
      <c r="ANO185" s="82"/>
      <c r="ANP185" s="82"/>
      <c r="ANQ185" s="82"/>
      <c r="ANR185" s="82"/>
      <c r="ANS185" s="82"/>
      <c r="ANT185" s="82"/>
      <c r="ANU185" s="82"/>
      <c r="ANV185" s="82"/>
      <c r="ANW185" s="82"/>
      <c r="ANX185" s="82"/>
      <c r="ANY185" s="82"/>
      <c r="ANZ185" s="82"/>
      <c r="AOA185" s="82"/>
      <c r="AOB185" s="82"/>
      <c r="AOC185" s="82"/>
      <c r="AOD185" s="82"/>
      <c r="AOE185" s="82"/>
      <c r="AOF185" s="82"/>
      <c r="AOG185" s="82"/>
      <c r="AOH185" s="82"/>
      <c r="AOI185" s="82"/>
      <c r="AOJ185" s="82"/>
      <c r="AOK185" s="82"/>
      <c r="AOL185" s="82"/>
      <c r="AOM185" s="82"/>
      <c r="AON185" s="82"/>
      <c r="AOO185" s="82"/>
      <c r="AOP185" s="82"/>
      <c r="AOQ185" s="82"/>
      <c r="AOR185" s="82"/>
      <c r="AOS185" s="82"/>
      <c r="AOT185" s="82"/>
      <c r="AOU185" s="82"/>
      <c r="AOV185" s="82"/>
      <c r="AOW185" s="82"/>
      <c r="AOX185" s="82"/>
      <c r="AOY185" s="82"/>
      <c r="AOZ185" s="82"/>
      <c r="APA185" s="82"/>
      <c r="APB185" s="82"/>
      <c r="APC185" s="82"/>
      <c r="APD185" s="82"/>
      <c r="APE185" s="82"/>
      <c r="APF185" s="82"/>
      <c r="APG185" s="82"/>
      <c r="APH185" s="82"/>
      <c r="API185" s="82"/>
      <c r="APJ185" s="82"/>
      <c r="APK185" s="82"/>
      <c r="APL185" s="82"/>
      <c r="APM185" s="82"/>
      <c r="APN185" s="82"/>
      <c r="APO185" s="82"/>
      <c r="APP185" s="82"/>
      <c r="APQ185" s="82"/>
      <c r="APR185" s="82"/>
      <c r="APS185" s="82"/>
      <c r="APT185" s="82"/>
      <c r="APU185" s="82"/>
      <c r="APV185" s="82"/>
      <c r="APW185" s="82"/>
      <c r="APX185" s="82"/>
      <c r="APY185" s="82"/>
      <c r="APZ185" s="82"/>
      <c r="AQA185" s="82"/>
      <c r="AQB185" s="82"/>
      <c r="AQC185" s="82"/>
      <c r="AQD185" s="82"/>
      <c r="AQE185" s="82"/>
      <c r="AQF185" s="82"/>
      <c r="AQG185" s="82"/>
      <c r="AQH185" s="82"/>
      <c r="AQI185" s="82"/>
      <c r="AQJ185" s="82"/>
      <c r="AQK185" s="82"/>
      <c r="AQL185" s="82"/>
      <c r="AQM185" s="82"/>
      <c r="AQN185" s="82"/>
      <c r="AQO185" s="82"/>
      <c r="AQP185" s="82"/>
      <c r="AQQ185" s="82"/>
      <c r="AQR185" s="82"/>
      <c r="AQS185" s="82"/>
      <c r="AQT185" s="82"/>
      <c r="AQU185" s="82"/>
      <c r="AQV185" s="82"/>
      <c r="AQW185" s="82"/>
      <c r="AQX185" s="82"/>
      <c r="AQY185" s="82"/>
      <c r="AQZ185" s="82"/>
      <c r="ARA185" s="82"/>
      <c r="ARB185" s="82"/>
      <c r="ARC185" s="82"/>
      <c r="ARD185" s="82"/>
      <c r="ARE185" s="82"/>
      <c r="ARF185" s="82"/>
      <c r="ARG185" s="82"/>
      <c r="ARH185" s="82"/>
      <c r="ARI185" s="82"/>
      <c r="ARJ185" s="82"/>
      <c r="ARK185" s="82"/>
      <c r="ARL185" s="82"/>
      <c r="ARM185" s="82"/>
      <c r="ARN185" s="82"/>
      <c r="ARO185" s="82"/>
      <c r="ARP185" s="82"/>
      <c r="ARQ185" s="82"/>
      <c r="ARR185" s="82"/>
      <c r="ARS185" s="82"/>
      <c r="ART185" s="82"/>
      <c r="ARU185" s="82"/>
      <c r="ARV185" s="82"/>
      <c r="ARW185" s="82"/>
      <c r="ARX185" s="82"/>
      <c r="ARY185" s="82"/>
      <c r="ARZ185" s="82"/>
      <c r="ASA185" s="82"/>
      <c r="ASB185" s="82"/>
      <c r="ASC185" s="82"/>
      <c r="ASD185" s="82"/>
      <c r="ASE185" s="82"/>
      <c r="ASF185" s="82"/>
      <c r="ASG185" s="82"/>
      <c r="ASH185" s="82"/>
      <c r="ASI185" s="82"/>
      <c r="ASJ185" s="82"/>
      <c r="ASK185" s="82"/>
      <c r="ASL185" s="82"/>
      <c r="ASM185" s="82"/>
      <c r="ASN185" s="82"/>
      <c r="ASO185" s="82"/>
      <c r="ASP185" s="82"/>
      <c r="ASQ185" s="82"/>
      <c r="ASR185" s="82"/>
      <c r="ASS185" s="82"/>
      <c r="AST185" s="82"/>
      <c r="ASU185" s="82"/>
      <c r="ASV185" s="82"/>
      <c r="ASW185" s="82"/>
      <c r="ASX185" s="82"/>
      <c r="ASY185" s="82"/>
      <c r="ASZ185" s="82"/>
      <c r="ATA185" s="82"/>
      <c r="ATB185" s="82"/>
      <c r="ATC185" s="82"/>
      <c r="ATD185" s="82"/>
      <c r="ATE185" s="82"/>
      <c r="ATF185" s="82"/>
      <c r="ATG185" s="82"/>
      <c r="ATH185" s="82"/>
      <c r="ATI185" s="82"/>
      <c r="ATJ185" s="82"/>
      <c r="ATK185" s="82"/>
      <c r="ATL185" s="82"/>
      <c r="ATM185" s="82"/>
      <c r="ATN185" s="82"/>
      <c r="ATO185" s="82"/>
      <c r="ATP185" s="82"/>
      <c r="ATQ185" s="82"/>
      <c r="ATR185" s="82"/>
      <c r="ATS185" s="82"/>
      <c r="ATT185" s="82"/>
      <c r="ATU185" s="82"/>
      <c r="ATV185" s="82"/>
      <c r="ATW185" s="82"/>
      <c r="ATX185" s="82"/>
      <c r="ATY185" s="82"/>
      <c r="ATZ185" s="82"/>
      <c r="AUA185" s="82"/>
      <c r="AUB185" s="82"/>
      <c r="AUC185" s="82"/>
      <c r="AUD185" s="82"/>
      <c r="AUE185" s="82"/>
      <c r="AUF185" s="82"/>
      <c r="AUG185" s="82"/>
      <c r="AUH185" s="82"/>
      <c r="AUI185" s="82"/>
      <c r="AUJ185" s="82"/>
      <c r="AUK185" s="82"/>
      <c r="AUL185" s="82"/>
      <c r="AUM185" s="82"/>
      <c r="AUN185" s="82"/>
      <c r="AUO185" s="82"/>
      <c r="AUP185" s="82"/>
      <c r="AUQ185" s="82"/>
      <c r="AUR185" s="82"/>
      <c r="AUS185" s="82"/>
      <c r="AUT185" s="82"/>
      <c r="AUU185" s="82"/>
      <c r="AUV185" s="82"/>
      <c r="AUW185" s="82"/>
      <c r="AUX185" s="82"/>
      <c r="AUY185" s="82"/>
      <c r="AUZ185" s="82"/>
      <c r="AVA185" s="82"/>
      <c r="AVB185" s="82"/>
      <c r="AVC185" s="82"/>
      <c r="AVD185" s="82"/>
      <c r="AVE185" s="82"/>
      <c r="AVF185" s="82"/>
      <c r="AVG185" s="82"/>
      <c r="AVH185" s="82"/>
      <c r="AVI185" s="82"/>
      <c r="AVJ185" s="82"/>
      <c r="AVK185" s="82"/>
      <c r="AVL185" s="82"/>
      <c r="AVM185" s="82"/>
      <c r="AVN185" s="82"/>
      <c r="AVO185" s="82"/>
      <c r="AVP185" s="82"/>
      <c r="AVQ185" s="82"/>
      <c r="AVR185" s="82"/>
      <c r="AVS185" s="82"/>
      <c r="AVT185" s="82"/>
      <c r="AVU185" s="82"/>
      <c r="AVV185" s="82"/>
      <c r="AVW185" s="82"/>
      <c r="AVX185" s="82"/>
      <c r="AVY185" s="82"/>
      <c r="AVZ185" s="82"/>
      <c r="AWA185" s="82"/>
      <c r="AWB185" s="82"/>
      <c r="AWC185" s="82"/>
      <c r="AWD185" s="82"/>
      <c r="AWE185" s="82"/>
      <c r="AWF185" s="82"/>
      <c r="AWG185" s="82"/>
      <c r="AWH185" s="82"/>
      <c r="AWI185" s="82"/>
      <c r="AWJ185" s="82"/>
      <c r="AWK185" s="82"/>
      <c r="AWL185" s="82"/>
      <c r="AWM185" s="82"/>
      <c r="AWN185" s="82"/>
      <c r="AWO185" s="82"/>
      <c r="AWP185" s="82"/>
      <c r="AWQ185" s="82"/>
      <c r="AWR185" s="82"/>
      <c r="AWS185" s="82"/>
      <c r="AWT185" s="82"/>
      <c r="AWU185" s="82"/>
      <c r="AWV185" s="82"/>
      <c r="AWW185" s="82"/>
      <c r="AWX185" s="82"/>
      <c r="AWY185" s="82"/>
      <c r="AWZ185" s="82"/>
      <c r="AXA185" s="82"/>
      <c r="AXB185" s="82"/>
      <c r="AXC185" s="82"/>
      <c r="AXD185" s="82"/>
      <c r="AXE185" s="82"/>
      <c r="AXF185" s="82"/>
      <c r="AXG185" s="82"/>
      <c r="AXH185" s="82"/>
      <c r="AXI185" s="82"/>
      <c r="AXJ185" s="82"/>
      <c r="AXK185" s="82"/>
      <c r="AXL185" s="82"/>
      <c r="AXM185" s="82"/>
      <c r="AXN185" s="82"/>
      <c r="AXO185" s="82"/>
      <c r="AXP185" s="82"/>
      <c r="AXQ185" s="82"/>
      <c r="AXR185" s="82"/>
      <c r="AXS185" s="82"/>
      <c r="AXT185" s="82"/>
      <c r="AXU185" s="82"/>
      <c r="AXV185" s="82"/>
      <c r="AXW185" s="82"/>
      <c r="AXX185" s="82"/>
      <c r="AXY185" s="82"/>
      <c r="AXZ185" s="82"/>
      <c r="AYA185" s="82"/>
      <c r="AYB185" s="82"/>
      <c r="AYC185" s="82"/>
      <c r="AYD185" s="82"/>
      <c r="AYE185" s="82"/>
      <c r="AYF185" s="82"/>
      <c r="AYG185" s="82"/>
      <c r="AYH185" s="82"/>
      <c r="AYI185" s="82"/>
      <c r="AYJ185" s="82"/>
      <c r="AYK185" s="82"/>
      <c r="AYL185" s="82"/>
      <c r="AYM185" s="82"/>
      <c r="AYN185" s="82"/>
      <c r="AYO185" s="82"/>
      <c r="AYP185" s="82"/>
      <c r="AYQ185" s="82"/>
      <c r="AYR185" s="82"/>
      <c r="AYS185" s="82"/>
      <c r="AYT185" s="82"/>
      <c r="AYU185" s="82"/>
      <c r="AYV185" s="82"/>
      <c r="AYW185" s="82"/>
      <c r="AYX185" s="82"/>
      <c r="AYY185" s="82"/>
      <c r="AYZ185" s="82"/>
      <c r="AZA185" s="82"/>
      <c r="AZB185" s="82"/>
      <c r="AZC185" s="82"/>
      <c r="AZD185" s="82"/>
      <c r="AZE185" s="82"/>
      <c r="AZF185" s="82"/>
      <c r="AZG185" s="82"/>
      <c r="AZH185" s="82"/>
      <c r="AZI185" s="82"/>
      <c r="AZJ185" s="82"/>
      <c r="AZK185" s="82"/>
      <c r="AZL185" s="82"/>
      <c r="AZM185" s="82"/>
      <c r="AZN185" s="82"/>
      <c r="AZO185" s="82"/>
      <c r="AZP185" s="82"/>
      <c r="AZQ185" s="82"/>
      <c r="AZR185" s="82"/>
      <c r="AZS185" s="82"/>
      <c r="AZT185" s="82"/>
      <c r="AZU185" s="82"/>
      <c r="AZV185" s="82"/>
      <c r="AZW185" s="82"/>
      <c r="AZX185" s="82"/>
      <c r="AZY185" s="82"/>
      <c r="AZZ185" s="82"/>
      <c r="BAA185" s="82"/>
      <c r="BAB185" s="82"/>
      <c r="BAC185" s="82"/>
      <c r="BAD185" s="82"/>
      <c r="BAE185" s="82"/>
      <c r="BAF185" s="82"/>
      <c r="BAG185" s="82"/>
      <c r="BAH185" s="82"/>
      <c r="BAI185" s="82"/>
      <c r="BAJ185" s="82"/>
      <c r="BAK185" s="82"/>
      <c r="BAL185" s="82"/>
      <c r="BAM185" s="82"/>
      <c r="BAN185" s="82"/>
      <c r="BAO185" s="82"/>
      <c r="BAP185" s="82"/>
      <c r="BAQ185" s="82"/>
      <c r="BAR185" s="82"/>
      <c r="BAS185" s="82"/>
      <c r="BAT185" s="82"/>
      <c r="BAU185" s="82"/>
      <c r="BAV185" s="82"/>
      <c r="BAW185" s="82"/>
      <c r="BAX185" s="82"/>
      <c r="BAY185" s="82"/>
      <c r="BAZ185" s="82"/>
      <c r="BBA185" s="82"/>
      <c r="BBB185" s="82"/>
      <c r="BBC185" s="82"/>
      <c r="BBD185" s="82"/>
      <c r="BBE185" s="82"/>
      <c r="BBF185" s="82"/>
      <c r="BBG185" s="82"/>
      <c r="BBH185" s="82"/>
      <c r="BBI185" s="82"/>
      <c r="BBJ185" s="82"/>
      <c r="BBK185" s="82"/>
      <c r="BBL185" s="82"/>
      <c r="BBM185" s="82"/>
      <c r="BBN185" s="82"/>
      <c r="BBO185" s="82"/>
      <c r="BBP185" s="82"/>
      <c r="BBQ185" s="82"/>
      <c r="BBR185" s="82"/>
      <c r="BBS185" s="82"/>
      <c r="BBT185" s="82"/>
      <c r="BBU185" s="82"/>
      <c r="BBV185" s="82"/>
      <c r="BBW185" s="82"/>
      <c r="BBX185" s="82"/>
      <c r="BBY185" s="82"/>
      <c r="BBZ185" s="82"/>
      <c r="BCA185" s="82"/>
      <c r="BCB185" s="82"/>
      <c r="BCC185" s="82"/>
      <c r="BCD185" s="82"/>
      <c r="BCE185" s="82"/>
      <c r="BCF185" s="82"/>
      <c r="BCG185" s="82"/>
      <c r="BCH185" s="82"/>
      <c r="BCI185" s="82"/>
      <c r="BCJ185" s="82"/>
      <c r="BCK185" s="82"/>
      <c r="BCL185" s="82"/>
      <c r="BCM185" s="82"/>
      <c r="BCN185" s="82"/>
      <c r="BCO185" s="82"/>
      <c r="BCP185" s="82"/>
      <c r="BCQ185" s="82"/>
      <c r="BCR185" s="82"/>
      <c r="BCS185" s="82"/>
      <c r="BCT185" s="82"/>
      <c r="BCU185" s="82"/>
      <c r="BCV185" s="82"/>
      <c r="BCW185" s="82"/>
      <c r="BCX185" s="82"/>
      <c r="BCY185" s="82"/>
      <c r="BCZ185" s="82"/>
      <c r="BDA185" s="82"/>
      <c r="BDB185" s="82"/>
      <c r="BDC185" s="82"/>
      <c r="BDD185" s="82"/>
      <c r="BDE185" s="82"/>
      <c r="BDF185" s="82"/>
      <c r="BDG185" s="82"/>
      <c r="BDH185" s="82"/>
      <c r="BDI185" s="82"/>
      <c r="BDJ185" s="82"/>
      <c r="BDK185" s="82"/>
      <c r="BDL185" s="82"/>
      <c r="BDM185" s="82"/>
      <c r="BDN185" s="82"/>
      <c r="BDO185" s="82"/>
      <c r="BDP185" s="82"/>
      <c r="BDQ185" s="82"/>
      <c r="BDR185" s="82"/>
      <c r="BDS185" s="82"/>
      <c r="BDT185" s="82"/>
      <c r="BDU185" s="82"/>
      <c r="BDV185" s="82"/>
      <c r="BDW185" s="82"/>
      <c r="BDX185" s="82"/>
      <c r="BDY185" s="82"/>
      <c r="BDZ185" s="82"/>
      <c r="BEA185" s="82"/>
      <c r="BEB185" s="82"/>
      <c r="BEC185" s="82"/>
      <c r="BED185" s="82"/>
      <c r="BEE185" s="82"/>
      <c r="BEF185" s="82"/>
      <c r="BEG185" s="82"/>
      <c r="BEH185" s="82"/>
      <c r="BEI185" s="82"/>
      <c r="BEJ185" s="82"/>
      <c r="BEK185" s="82"/>
      <c r="BEL185" s="82"/>
      <c r="BEM185" s="82"/>
      <c r="BEN185" s="82"/>
      <c r="BEO185" s="82"/>
      <c r="BEP185" s="82"/>
      <c r="BEQ185" s="82"/>
      <c r="BER185" s="82"/>
      <c r="BES185" s="82"/>
      <c r="BET185" s="82"/>
      <c r="BEU185" s="82"/>
      <c r="BEV185" s="82"/>
      <c r="BEW185" s="82"/>
      <c r="BEX185" s="82"/>
      <c r="BEY185" s="82"/>
      <c r="BEZ185" s="82"/>
      <c r="BFA185" s="82"/>
      <c r="BFB185" s="82"/>
      <c r="BFC185" s="82"/>
      <c r="BFD185" s="82"/>
      <c r="BFE185" s="82"/>
      <c r="BFF185" s="82"/>
      <c r="BFG185" s="82"/>
      <c r="BFH185" s="82"/>
      <c r="BFI185" s="82"/>
      <c r="BFJ185" s="82"/>
      <c r="BFK185" s="82"/>
      <c r="BFL185" s="82"/>
      <c r="BFM185" s="82"/>
      <c r="BFN185" s="82"/>
      <c r="BFO185" s="82"/>
      <c r="BFP185" s="82"/>
      <c r="BFQ185" s="82"/>
      <c r="BFR185" s="82"/>
      <c r="BFS185" s="82"/>
      <c r="BFT185" s="82"/>
      <c r="BFU185" s="82"/>
      <c r="BFV185" s="82"/>
      <c r="BFW185" s="82"/>
      <c r="BFX185" s="82"/>
      <c r="BFY185" s="82"/>
      <c r="BFZ185" s="82"/>
      <c r="BGA185" s="82"/>
      <c r="BGB185" s="82"/>
      <c r="BGC185" s="82"/>
      <c r="BGD185" s="82"/>
      <c r="BGE185" s="82"/>
      <c r="BGF185" s="82"/>
      <c r="BGG185" s="82"/>
      <c r="BGH185" s="82"/>
      <c r="BGI185" s="82"/>
      <c r="BGJ185" s="82"/>
      <c r="BGK185" s="82"/>
      <c r="BGL185" s="82"/>
      <c r="BGM185" s="82"/>
      <c r="BGN185" s="82"/>
      <c r="BGO185" s="82"/>
      <c r="BGP185" s="82"/>
      <c r="BGQ185" s="82"/>
      <c r="BGR185" s="82"/>
      <c r="BGS185" s="82"/>
      <c r="BGT185" s="82"/>
      <c r="BGU185" s="82"/>
      <c r="BGV185" s="82"/>
      <c r="BGW185" s="82"/>
      <c r="BGX185" s="82"/>
      <c r="BGY185" s="82"/>
      <c r="BGZ185" s="82"/>
      <c r="BHA185" s="82"/>
      <c r="BHB185" s="82"/>
      <c r="BHC185" s="82"/>
      <c r="BHD185" s="82"/>
      <c r="BHE185" s="82"/>
      <c r="BHF185" s="82"/>
      <c r="BHG185" s="82"/>
      <c r="BHH185" s="82"/>
      <c r="BHI185" s="82"/>
      <c r="BHJ185" s="82"/>
      <c r="BHK185" s="82"/>
      <c r="BHL185" s="82"/>
      <c r="BHM185" s="82"/>
      <c r="BHN185" s="82"/>
      <c r="BHO185" s="82"/>
      <c r="BHP185" s="82"/>
      <c r="BHQ185" s="82"/>
      <c r="BHR185" s="82"/>
      <c r="BHS185" s="82"/>
      <c r="BHT185" s="82"/>
      <c r="BHU185" s="82"/>
      <c r="BHV185" s="82"/>
      <c r="BHW185" s="82"/>
      <c r="BHX185" s="82"/>
      <c r="BHY185" s="82"/>
      <c r="BHZ185" s="82"/>
      <c r="BIA185" s="82"/>
      <c r="BIB185" s="82"/>
      <c r="BIC185" s="82"/>
      <c r="BID185" s="82"/>
      <c r="BIE185" s="82"/>
      <c r="BIF185" s="82"/>
      <c r="BIG185" s="82"/>
      <c r="BIH185" s="82"/>
      <c r="BII185" s="82"/>
      <c r="BIJ185" s="82"/>
      <c r="BIK185" s="82"/>
      <c r="BIL185" s="82"/>
      <c r="BIM185" s="82"/>
      <c r="BIN185" s="82"/>
      <c r="BIO185" s="82"/>
      <c r="BIP185" s="82"/>
      <c r="BIQ185" s="82"/>
      <c r="BIR185" s="82"/>
      <c r="BIS185" s="82"/>
      <c r="BIT185" s="82"/>
      <c r="BIU185" s="82"/>
      <c r="BIV185" s="82"/>
      <c r="BIW185" s="82"/>
      <c r="BIX185" s="82"/>
      <c r="BIY185" s="82"/>
      <c r="BIZ185" s="82"/>
      <c r="BJA185" s="82"/>
      <c r="BJB185" s="82"/>
      <c r="BJC185" s="82"/>
      <c r="BJD185" s="82"/>
      <c r="BJE185" s="82"/>
      <c r="BJF185" s="82"/>
      <c r="BJG185" s="82"/>
      <c r="BJH185" s="82"/>
      <c r="BJI185" s="82"/>
      <c r="BJJ185" s="82"/>
      <c r="BJK185" s="82"/>
      <c r="BJL185" s="82"/>
      <c r="BJM185" s="82"/>
      <c r="BJN185" s="82"/>
      <c r="BJO185" s="82"/>
      <c r="BJP185" s="82"/>
      <c r="BJQ185" s="82"/>
      <c r="BJR185" s="82"/>
      <c r="BJS185" s="82"/>
      <c r="BJT185" s="82"/>
      <c r="BJU185" s="82"/>
      <c r="BJV185" s="82"/>
      <c r="BJW185" s="82"/>
      <c r="BJX185" s="82"/>
      <c r="BJY185" s="82"/>
      <c r="BJZ185" s="82"/>
      <c r="BKA185" s="82"/>
      <c r="BKB185" s="82"/>
      <c r="BKC185" s="82"/>
      <c r="BKD185" s="82"/>
      <c r="BKE185" s="82"/>
      <c r="BKF185" s="82"/>
      <c r="BKG185" s="82"/>
      <c r="BKH185" s="82"/>
      <c r="BKI185" s="82"/>
      <c r="BKJ185" s="82"/>
      <c r="BKK185" s="82"/>
      <c r="BKL185" s="82"/>
      <c r="BKM185" s="82"/>
      <c r="BKN185" s="82"/>
      <c r="BKO185" s="82"/>
      <c r="BKP185" s="82"/>
      <c r="BKQ185" s="82"/>
      <c r="BKR185" s="82"/>
      <c r="BKS185" s="82"/>
      <c r="BKT185" s="82"/>
      <c r="BKU185" s="82"/>
      <c r="BKV185" s="82"/>
      <c r="BKW185" s="82"/>
      <c r="BKX185" s="82"/>
      <c r="BKY185" s="82"/>
      <c r="BKZ185" s="82"/>
      <c r="BLA185" s="82"/>
      <c r="BLB185" s="82"/>
      <c r="BLC185" s="82"/>
      <c r="BLD185" s="82"/>
      <c r="BLE185" s="82"/>
      <c r="BLF185" s="82"/>
      <c r="BLG185" s="82"/>
      <c r="BLH185" s="82"/>
      <c r="BLI185" s="82"/>
      <c r="BLJ185" s="82"/>
      <c r="BLK185" s="82"/>
      <c r="BLL185" s="82"/>
      <c r="BLM185" s="82"/>
      <c r="BLN185" s="82"/>
      <c r="BLO185" s="82"/>
      <c r="BLP185" s="82"/>
      <c r="BLQ185" s="82"/>
      <c r="BLR185" s="82"/>
      <c r="BLS185" s="82"/>
      <c r="BLT185" s="82"/>
      <c r="BLU185" s="82"/>
      <c r="BLV185" s="82"/>
      <c r="BLW185" s="82"/>
      <c r="BLX185" s="82"/>
      <c r="BLY185" s="82"/>
      <c r="BLZ185" s="82"/>
      <c r="BMA185" s="82"/>
      <c r="BMB185" s="82"/>
      <c r="BMC185" s="82"/>
      <c r="BMD185" s="82"/>
      <c r="BME185" s="82"/>
      <c r="BMF185" s="82"/>
      <c r="BMG185" s="82"/>
      <c r="BMH185" s="82"/>
      <c r="BMI185" s="82"/>
      <c r="BMJ185" s="82"/>
      <c r="BMK185" s="82"/>
      <c r="BML185" s="82"/>
      <c r="BMM185" s="82"/>
      <c r="BMN185" s="82"/>
      <c r="BMO185" s="82"/>
      <c r="BMP185" s="82"/>
      <c r="BMQ185" s="82"/>
      <c r="BMR185" s="82"/>
      <c r="BMS185" s="82"/>
      <c r="BMT185" s="82"/>
      <c r="BMU185" s="82"/>
      <c r="BMV185" s="82"/>
      <c r="BMW185" s="82"/>
      <c r="BMX185" s="82"/>
      <c r="BMY185" s="82"/>
      <c r="BMZ185" s="82"/>
      <c r="BNA185" s="82"/>
      <c r="BNB185" s="82"/>
      <c r="BNC185" s="82"/>
      <c r="BND185" s="82"/>
      <c r="BNE185" s="82"/>
      <c r="BNF185" s="82"/>
      <c r="BNG185" s="82"/>
      <c r="BNH185" s="82"/>
      <c r="BNI185" s="82"/>
      <c r="BNJ185" s="82"/>
      <c r="BNK185" s="82"/>
      <c r="BNL185" s="82"/>
      <c r="BNM185" s="82"/>
      <c r="BNN185" s="82"/>
      <c r="BNO185" s="82"/>
      <c r="BNP185" s="82"/>
      <c r="BNQ185" s="82"/>
      <c r="BNR185" s="82"/>
      <c r="BNS185" s="82"/>
      <c r="BNT185" s="82"/>
      <c r="BNU185" s="82"/>
      <c r="BNV185" s="82"/>
      <c r="BNW185" s="82"/>
      <c r="BNX185" s="82"/>
      <c r="BNY185" s="82"/>
      <c r="BNZ185" s="82"/>
      <c r="BOA185" s="82"/>
      <c r="BOB185" s="82"/>
      <c r="BOC185" s="82"/>
      <c r="BOD185" s="82"/>
      <c r="BOE185" s="82"/>
      <c r="BOF185" s="82"/>
      <c r="BOG185" s="82"/>
      <c r="BOH185" s="82"/>
      <c r="BOI185" s="82"/>
      <c r="BOJ185" s="82"/>
      <c r="BOK185" s="82"/>
      <c r="BOL185" s="82"/>
      <c r="BOM185" s="82"/>
      <c r="BON185" s="82"/>
      <c r="BOO185" s="82"/>
      <c r="BOP185" s="82"/>
      <c r="BOQ185" s="82"/>
      <c r="BOR185" s="82"/>
      <c r="BOS185" s="82"/>
      <c r="BOT185" s="82"/>
      <c r="BOU185" s="82"/>
      <c r="BOV185" s="82"/>
      <c r="BOW185" s="82"/>
      <c r="BOX185" s="82"/>
      <c r="BOY185" s="82"/>
      <c r="BOZ185" s="82"/>
      <c r="BPA185" s="82"/>
      <c r="BPB185" s="82"/>
      <c r="BPC185" s="82"/>
      <c r="BPD185" s="82"/>
      <c r="BPE185" s="82"/>
      <c r="BPF185" s="82"/>
      <c r="BPG185" s="82"/>
      <c r="BPH185" s="82"/>
      <c r="BPI185" s="82"/>
      <c r="BPJ185" s="82"/>
      <c r="BPK185" s="82"/>
      <c r="BPL185" s="82"/>
      <c r="BPM185" s="82"/>
      <c r="BPN185" s="82"/>
      <c r="BPO185" s="82"/>
      <c r="BPP185" s="82"/>
      <c r="BPQ185" s="82"/>
      <c r="BPR185" s="82"/>
      <c r="BPS185" s="82"/>
      <c r="BPT185" s="82"/>
      <c r="BPU185" s="82"/>
      <c r="BPV185" s="82"/>
      <c r="BPW185" s="82"/>
      <c r="BPX185" s="82"/>
      <c r="BPY185" s="82"/>
      <c r="BPZ185" s="82"/>
      <c r="BQA185" s="82"/>
      <c r="BQB185" s="82"/>
      <c r="BQC185" s="82"/>
      <c r="BQD185" s="82"/>
      <c r="BQE185" s="82"/>
      <c r="BQF185" s="82"/>
      <c r="BQG185" s="82"/>
      <c r="BQH185" s="82"/>
      <c r="BQI185" s="82"/>
      <c r="BQJ185" s="82"/>
      <c r="BQK185" s="82"/>
      <c r="BQL185" s="82"/>
      <c r="BQM185" s="82"/>
      <c r="BQN185" s="82"/>
      <c r="BQO185" s="82"/>
      <c r="BQP185" s="82"/>
      <c r="BQQ185" s="82"/>
      <c r="BQR185" s="82"/>
      <c r="BQS185" s="82"/>
      <c r="BQT185" s="82"/>
      <c r="BQU185" s="82"/>
      <c r="BQV185" s="82"/>
      <c r="BQW185" s="82"/>
      <c r="BQX185" s="82"/>
      <c r="BQY185" s="82"/>
      <c r="BQZ185" s="82"/>
      <c r="BRA185" s="82"/>
      <c r="BRB185" s="82"/>
      <c r="BRC185" s="82"/>
      <c r="BRD185" s="82"/>
      <c r="BRE185" s="82"/>
      <c r="BRF185" s="82"/>
      <c r="BRG185" s="82"/>
      <c r="BRH185" s="82"/>
      <c r="BRI185" s="82"/>
      <c r="BRJ185" s="82"/>
      <c r="BRK185" s="82"/>
      <c r="BRL185" s="82"/>
      <c r="BRM185" s="82"/>
      <c r="BRN185" s="82"/>
      <c r="BRO185" s="82"/>
      <c r="BRP185" s="82"/>
      <c r="BRQ185" s="82"/>
      <c r="BRR185" s="82"/>
      <c r="BRS185" s="82"/>
      <c r="BRT185" s="82"/>
      <c r="BRU185" s="82"/>
      <c r="BRV185" s="82"/>
      <c r="BRW185" s="82"/>
      <c r="BRX185" s="82"/>
      <c r="BRY185" s="82"/>
      <c r="BRZ185" s="82"/>
      <c r="BSA185" s="82"/>
      <c r="BSB185" s="82"/>
      <c r="BSC185" s="82"/>
      <c r="BSD185" s="82"/>
      <c r="BSE185" s="82"/>
      <c r="BSF185" s="82"/>
      <c r="BSG185" s="82"/>
      <c r="BSH185" s="82"/>
      <c r="BSI185" s="82"/>
      <c r="BSJ185" s="82"/>
      <c r="BSK185" s="82"/>
      <c r="BSL185" s="82"/>
      <c r="BSM185" s="82"/>
      <c r="BSN185" s="82"/>
      <c r="BSO185" s="82"/>
      <c r="BSP185" s="82"/>
      <c r="BSQ185" s="82"/>
      <c r="BSR185" s="82"/>
      <c r="BSS185" s="82"/>
      <c r="BST185" s="82"/>
      <c r="BSU185" s="82"/>
      <c r="BSV185" s="82"/>
      <c r="BSW185" s="82"/>
      <c r="BSX185" s="82"/>
      <c r="BSY185" s="82"/>
      <c r="BSZ185" s="82"/>
      <c r="BTA185" s="82"/>
      <c r="BTB185" s="82"/>
      <c r="BTC185" s="82"/>
      <c r="BTD185" s="82"/>
      <c r="BTE185" s="82"/>
      <c r="BTF185" s="82"/>
      <c r="BTG185" s="82"/>
      <c r="BTH185" s="82"/>
      <c r="BTI185" s="82"/>
      <c r="BTJ185" s="82"/>
      <c r="BTK185" s="82"/>
      <c r="BTL185" s="82"/>
      <c r="BTM185" s="82"/>
      <c r="BTN185" s="82"/>
      <c r="BTO185" s="82"/>
      <c r="BTP185" s="82"/>
      <c r="BTQ185" s="82"/>
      <c r="BTR185" s="82"/>
      <c r="BTS185" s="82"/>
      <c r="BTT185" s="82"/>
      <c r="BTU185" s="82"/>
      <c r="BTV185" s="82"/>
      <c r="BTW185" s="82"/>
      <c r="BTX185" s="82"/>
      <c r="BTY185" s="82"/>
      <c r="BTZ185" s="82"/>
      <c r="BUA185" s="82"/>
      <c r="BUB185" s="82"/>
      <c r="BUC185" s="82"/>
      <c r="BUD185" s="82"/>
      <c r="BUE185" s="82"/>
      <c r="BUF185" s="82"/>
      <c r="BUG185" s="82"/>
      <c r="BUH185" s="82"/>
      <c r="BUI185" s="82"/>
      <c r="BUJ185" s="82"/>
      <c r="BUK185" s="82"/>
      <c r="BUL185" s="82"/>
      <c r="BUM185" s="82"/>
      <c r="BUN185" s="82"/>
      <c r="BUO185" s="82"/>
      <c r="BUP185" s="82"/>
      <c r="BUQ185" s="82"/>
      <c r="BUR185" s="82"/>
      <c r="BUS185" s="82"/>
      <c r="BUT185" s="82"/>
      <c r="BUU185" s="82"/>
      <c r="BUV185" s="82"/>
      <c r="BUW185" s="82"/>
      <c r="BUX185" s="82"/>
      <c r="BUY185" s="82"/>
      <c r="BUZ185" s="82"/>
      <c r="BVA185" s="82"/>
      <c r="BVB185" s="82"/>
      <c r="BVC185" s="82"/>
      <c r="BVD185" s="82"/>
      <c r="BVE185" s="82"/>
      <c r="BVF185" s="82"/>
      <c r="BVG185" s="82"/>
      <c r="BVH185" s="82"/>
      <c r="BVI185" s="82"/>
      <c r="BVJ185" s="82"/>
      <c r="BVK185" s="82"/>
      <c r="BVL185" s="82"/>
      <c r="BVM185" s="82"/>
      <c r="BVN185" s="82"/>
      <c r="BVO185" s="82"/>
      <c r="BVP185" s="82"/>
      <c r="BVQ185" s="82"/>
      <c r="BVR185" s="82"/>
      <c r="BVS185" s="82"/>
      <c r="BVT185" s="82"/>
      <c r="BVU185" s="82"/>
      <c r="BVV185" s="82"/>
      <c r="BVW185" s="82"/>
      <c r="BVX185" s="82"/>
      <c r="BVY185" s="82"/>
      <c r="BVZ185" s="82"/>
      <c r="BWA185" s="82"/>
      <c r="BWB185" s="82"/>
      <c r="BWC185" s="82"/>
      <c r="BWD185" s="82"/>
      <c r="BWE185" s="82"/>
      <c r="BWF185" s="82"/>
      <c r="BWG185" s="82"/>
      <c r="BWH185" s="82"/>
      <c r="BWI185" s="82"/>
      <c r="BWJ185" s="82"/>
      <c r="BWK185" s="82"/>
      <c r="BWL185" s="82"/>
      <c r="BWM185" s="82"/>
      <c r="BWN185" s="82"/>
      <c r="BWO185" s="82"/>
      <c r="BWP185" s="82"/>
      <c r="BWQ185" s="82"/>
      <c r="BWR185" s="82"/>
      <c r="BWS185" s="82"/>
      <c r="BWT185" s="82"/>
      <c r="BWU185" s="82"/>
      <c r="BWV185" s="82"/>
      <c r="BWW185" s="82"/>
      <c r="BWX185" s="82"/>
      <c r="BWY185" s="82"/>
      <c r="BWZ185" s="82"/>
      <c r="BXA185" s="82"/>
      <c r="BXB185" s="82"/>
      <c r="BXC185" s="82"/>
      <c r="BXD185" s="82"/>
      <c r="BXE185" s="82"/>
      <c r="BXF185" s="82"/>
      <c r="BXG185" s="82"/>
      <c r="BXH185" s="82"/>
      <c r="BXI185" s="82"/>
      <c r="BXJ185" s="82"/>
      <c r="BXK185" s="82"/>
      <c r="BXL185" s="82"/>
      <c r="BXM185" s="82"/>
      <c r="BXN185" s="82"/>
      <c r="BXO185" s="82"/>
      <c r="BXP185" s="82"/>
      <c r="BXQ185" s="82"/>
      <c r="BXR185" s="82"/>
      <c r="BXS185" s="82"/>
      <c r="BXT185" s="82"/>
      <c r="BXU185" s="82"/>
      <c r="BXV185" s="82"/>
      <c r="BXW185" s="82"/>
      <c r="BXX185" s="82"/>
      <c r="BXY185" s="82"/>
      <c r="BXZ185" s="82"/>
      <c r="BYA185" s="82"/>
      <c r="BYB185" s="82"/>
      <c r="BYC185" s="82"/>
      <c r="BYD185" s="82"/>
      <c r="BYE185" s="82"/>
      <c r="BYF185" s="82"/>
      <c r="BYG185" s="82"/>
      <c r="BYH185" s="82"/>
      <c r="BYI185" s="82"/>
      <c r="BYJ185" s="82"/>
      <c r="BYK185" s="82"/>
      <c r="BYL185" s="82"/>
      <c r="BYM185" s="82"/>
      <c r="BYN185" s="82"/>
      <c r="BYO185" s="82"/>
      <c r="BYP185" s="82"/>
      <c r="BYQ185" s="82"/>
      <c r="BYR185" s="82"/>
      <c r="BYS185" s="82"/>
      <c r="BYT185" s="82"/>
      <c r="BYU185" s="82"/>
      <c r="BYV185" s="82"/>
      <c r="BYW185" s="82"/>
      <c r="BYX185" s="82"/>
      <c r="BYY185" s="82"/>
      <c r="BYZ185" s="82"/>
      <c r="BZA185" s="82"/>
      <c r="BZB185" s="82"/>
      <c r="BZC185" s="82"/>
      <c r="BZD185" s="82"/>
      <c r="BZE185" s="82"/>
      <c r="BZF185" s="82"/>
      <c r="BZG185" s="82"/>
      <c r="BZH185" s="82"/>
      <c r="BZI185" s="82"/>
      <c r="BZJ185" s="82"/>
      <c r="BZK185" s="82"/>
      <c r="BZL185" s="82"/>
      <c r="BZM185" s="82"/>
      <c r="BZN185" s="82"/>
      <c r="BZO185" s="82"/>
      <c r="BZP185" s="82"/>
      <c r="BZQ185" s="82"/>
      <c r="BZR185" s="82"/>
      <c r="BZS185" s="82"/>
      <c r="BZT185" s="82"/>
      <c r="BZU185" s="82"/>
      <c r="BZV185" s="82"/>
      <c r="BZW185" s="82"/>
      <c r="BZX185" s="82"/>
      <c r="BZY185" s="82"/>
      <c r="BZZ185" s="82"/>
      <c r="CAA185" s="82"/>
      <c r="CAB185" s="82"/>
      <c r="CAC185" s="82"/>
      <c r="CAD185" s="82"/>
      <c r="CAE185" s="82"/>
      <c r="CAF185" s="82"/>
      <c r="CAG185" s="82"/>
      <c r="CAH185" s="82"/>
      <c r="CAI185" s="82"/>
      <c r="CAJ185" s="82"/>
      <c r="CAK185" s="82"/>
      <c r="CAL185" s="82"/>
      <c r="CAM185" s="82"/>
      <c r="CAN185" s="82"/>
      <c r="CAO185" s="82"/>
      <c r="CAP185" s="82"/>
      <c r="CAQ185" s="82"/>
      <c r="CAR185" s="82"/>
      <c r="CAS185" s="82"/>
      <c r="CAT185" s="82"/>
      <c r="CAU185" s="82"/>
      <c r="CAV185" s="82"/>
      <c r="CAW185" s="82"/>
      <c r="CAX185" s="82"/>
      <c r="CAY185" s="82"/>
      <c r="CAZ185" s="82"/>
      <c r="CBA185" s="82"/>
      <c r="CBB185" s="82"/>
      <c r="CBC185" s="82"/>
      <c r="CBD185" s="82"/>
      <c r="CBE185" s="82"/>
      <c r="CBF185" s="82"/>
      <c r="CBG185" s="82"/>
      <c r="CBH185" s="82"/>
      <c r="CBI185" s="82"/>
      <c r="CBJ185" s="82"/>
      <c r="CBK185" s="82"/>
      <c r="CBL185" s="82"/>
      <c r="CBM185" s="82"/>
      <c r="CBN185" s="82"/>
      <c r="CBO185" s="82"/>
      <c r="CBP185" s="82"/>
      <c r="CBQ185" s="82"/>
      <c r="CBR185" s="82"/>
      <c r="CBS185" s="82"/>
      <c r="CBT185" s="82"/>
      <c r="CBU185" s="82"/>
      <c r="CBV185" s="82"/>
      <c r="CBW185" s="82"/>
      <c r="CBX185" s="82"/>
      <c r="CBY185" s="82"/>
      <c r="CBZ185" s="82"/>
      <c r="CCA185" s="82"/>
      <c r="CCB185" s="82"/>
      <c r="CCC185" s="82"/>
      <c r="CCD185" s="82"/>
      <c r="CCE185" s="82"/>
      <c r="CCF185" s="82"/>
      <c r="CCG185" s="82"/>
      <c r="CCH185" s="82"/>
      <c r="CCI185" s="82"/>
      <c r="CCJ185" s="82"/>
      <c r="CCK185" s="82"/>
      <c r="CCL185" s="82"/>
      <c r="CCM185" s="82"/>
      <c r="CCN185" s="82"/>
      <c r="CCO185" s="82"/>
      <c r="CCP185" s="82"/>
      <c r="CCQ185" s="82"/>
      <c r="CCR185" s="82"/>
      <c r="CCS185" s="82"/>
      <c r="CCT185" s="82"/>
      <c r="CCU185" s="82"/>
      <c r="CCV185" s="82"/>
      <c r="CCW185" s="82"/>
      <c r="CCX185" s="82"/>
      <c r="CCY185" s="82"/>
      <c r="CCZ185" s="82"/>
      <c r="CDA185" s="82"/>
      <c r="CDB185" s="82"/>
      <c r="CDC185" s="82"/>
      <c r="CDD185" s="82"/>
      <c r="CDE185" s="82"/>
      <c r="CDF185" s="82"/>
      <c r="CDG185" s="82"/>
      <c r="CDH185" s="82"/>
      <c r="CDI185" s="82"/>
      <c r="CDJ185" s="82"/>
      <c r="CDK185" s="82"/>
      <c r="CDL185" s="82"/>
      <c r="CDM185" s="82"/>
      <c r="CDN185" s="82"/>
      <c r="CDO185" s="82"/>
      <c r="CDP185" s="82"/>
      <c r="CDQ185" s="82"/>
      <c r="CDR185" s="82"/>
      <c r="CDS185" s="82"/>
      <c r="CDT185" s="82"/>
      <c r="CDU185" s="82"/>
      <c r="CDV185" s="82"/>
      <c r="CDW185" s="82"/>
      <c r="CDX185" s="82"/>
      <c r="CDY185" s="82"/>
      <c r="CDZ185" s="82"/>
      <c r="CEA185" s="82"/>
      <c r="CEB185" s="82"/>
      <c r="CEC185" s="82"/>
      <c r="CED185" s="82"/>
      <c r="CEE185" s="82"/>
      <c r="CEF185" s="82"/>
      <c r="CEG185" s="82"/>
      <c r="CEH185" s="82"/>
      <c r="CEI185" s="82"/>
      <c r="CEJ185" s="82"/>
      <c r="CEK185" s="82"/>
      <c r="CEL185" s="82"/>
      <c r="CEM185" s="82"/>
      <c r="CEN185" s="82"/>
      <c r="CEO185" s="82"/>
      <c r="CEP185" s="82"/>
      <c r="CEQ185" s="82"/>
      <c r="CER185" s="82"/>
      <c r="CES185" s="82"/>
      <c r="CET185" s="82"/>
      <c r="CEU185" s="82"/>
      <c r="CEV185" s="82"/>
      <c r="CEW185" s="82"/>
      <c r="CEX185" s="82"/>
      <c r="CEY185" s="82"/>
      <c r="CEZ185" s="82"/>
      <c r="CFA185" s="82"/>
      <c r="CFB185" s="82"/>
      <c r="CFC185" s="82"/>
      <c r="CFD185" s="82"/>
      <c r="CFE185" s="82"/>
      <c r="CFF185" s="82"/>
      <c r="CFG185" s="82"/>
      <c r="CFH185" s="82"/>
      <c r="CFI185" s="82"/>
      <c r="CFJ185" s="82"/>
      <c r="CFK185" s="82"/>
      <c r="CFL185" s="82"/>
      <c r="CFM185" s="82"/>
      <c r="CFN185" s="82"/>
      <c r="CFO185" s="82"/>
      <c r="CFP185" s="82"/>
      <c r="CFQ185" s="82"/>
      <c r="CFR185" s="82"/>
      <c r="CFS185" s="82"/>
      <c r="CFT185" s="82"/>
      <c r="CFU185" s="82"/>
      <c r="CFV185" s="82"/>
      <c r="CFW185" s="82"/>
      <c r="CFX185" s="82"/>
      <c r="CFY185" s="82"/>
      <c r="CFZ185" s="82"/>
      <c r="CGA185" s="82"/>
      <c r="CGB185" s="82"/>
      <c r="CGC185" s="82"/>
      <c r="CGD185" s="82"/>
      <c r="CGE185" s="82"/>
      <c r="CGF185" s="82"/>
      <c r="CGG185" s="82"/>
      <c r="CGH185" s="82"/>
      <c r="CGI185" s="82"/>
      <c r="CGJ185" s="82"/>
      <c r="CGK185" s="82"/>
      <c r="CGL185" s="82"/>
      <c r="CGM185" s="82"/>
      <c r="CGN185" s="82"/>
      <c r="CGO185" s="82"/>
      <c r="CGP185" s="82"/>
      <c r="CGQ185" s="82"/>
      <c r="CGR185" s="82"/>
      <c r="CGS185" s="82"/>
      <c r="CGT185" s="82"/>
      <c r="CGU185" s="82"/>
      <c r="CGV185" s="82"/>
      <c r="CGW185" s="82"/>
      <c r="CGX185" s="82"/>
      <c r="CGY185" s="82"/>
      <c r="CGZ185" s="82"/>
      <c r="CHA185" s="82"/>
      <c r="CHB185" s="82"/>
      <c r="CHC185" s="82"/>
      <c r="CHD185" s="82"/>
      <c r="CHE185" s="82"/>
      <c r="CHF185" s="82"/>
      <c r="CHG185" s="82"/>
      <c r="CHH185" s="82"/>
      <c r="CHI185" s="82"/>
      <c r="CHJ185" s="82"/>
      <c r="CHK185" s="82"/>
      <c r="CHL185" s="82"/>
      <c r="CHM185" s="82"/>
      <c r="CHN185" s="82"/>
      <c r="CHO185" s="82"/>
      <c r="CHP185" s="82"/>
      <c r="CHQ185" s="82"/>
      <c r="CHR185" s="82"/>
      <c r="CHS185" s="82"/>
      <c r="CHT185" s="82"/>
      <c r="CHU185" s="82"/>
      <c r="CHV185" s="82"/>
      <c r="CHW185" s="82"/>
      <c r="CHX185" s="82"/>
      <c r="CHY185" s="82"/>
      <c r="CHZ185" s="82"/>
      <c r="CIA185" s="82"/>
      <c r="CIB185" s="82"/>
      <c r="CIC185" s="82"/>
      <c r="CID185" s="82"/>
      <c r="CIE185" s="82"/>
      <c r="CIF185" s="82"/>
      <c r="CIG185" s="82"/>
      <c r="CIH185" s="82"/>
      <c r="CII185" s="82"/>
      <c r="CIJ185" s="82"/>
      <c r="CIK185" s="82"/>
      <c r="CIL185" s="82"/>
      <c r="CIM185" s="82"/>
      <c r="CIN185" s="82"/>
      <c r="CIO185" s="82"/>
      <c r="CIP185" s="82"/>
      <c r="CIQ185" s="82"/>
      <c r="CIR185" s="82"/>
      <c r="CIS185" s="82"/>
      <c r="CIT185" s="82"/>
      <c r="CIU185" s="82"/>
      <c r="CIV185" s="82"/>
      <c r="CIW185" s="82"/>
      <c r="CIX185" s="82"/>
      <c r="CIY185" s="82"/>
      <c r="CIZ185" s="82"/>
      <c r="CJA185" s="82"/>
      <c r="CJB185" s="82"/>
      <c r="CJC185" s="82"/>
      <c r="CJD185" s="82"/>
      <c r="CJE185" s="82"/>
      <c r="CJF185" s="82"/>
      <c r="CJG185" s="82"/>
      <c r="CJH185" s="82"/>
      <c r="CJI185" s="82"/>
      <c r="CJJ185" s="82"/>
      <c r="CJK185" s="82"/>
      <c r="CJL185" s="82"/>
      <c r="CJM185" s="82"/>
      <c r="CJN185" s="82"/>
      <c r="CJO185" s="82"/>
      <c r="CJP185" s="82"/>
      <c r="CJQ185" s="82"/>
      <c r="CJR185" s="82"/>
      <c r="CJS185" s="82"/>
      <c r="CJT185" s="82"/>
      <c r="CJU185" s="82"/>
      <c r="CJV185" s="82"/>
      <c r="CJW185" s="82"/>
      <c r="CJX185" s="82"/>
      <c r="CJY185" s="82"/>
      <c r="CJZ185" s="82"/>
      <c r="CKA185" s="82"/>
      <c r="CKB185" s="82"/>
      <c r="CKC185" s="82"/>
      <c r="CKD185" s="82"/>
      <c r="CKE185" s="82"/>
      <c r="CKF185" s="82"/>
      <c r="CKG185" s="82"/>
      <c r="CKH185" s="82"/>
      <c r="CKI185" s="82"/>
      <c r="CKJ185" s="82"/>
      <c r="CKK185" s="82"/>
      <c r="CKL185" s="82"/>
      <c r="CKM185" s="82"/>
      <c r="CKN185" s="82"/>
      <c r="CKO185" s="82"/>
      <c r="CKP185" s="82"/>
      <c r="CKQ185" s="82"/>
      <c r="CKR185" s="82"/>
      <c r="CKS185" s="82"/>
      <c r="CKT185" s="82"/>
      <c r="CKU185" s="82"/>
      <c r="CKV185" s="82"/>
      <c r="CKW185" s="82"/>
      <c r="CKX185" s="82"/>
      <c r="CKY185" s="82"/>
      <c r="CKZ185" s="82"/>
      <c r="CLA185" s="82"/>
      <c r="CLB185" s="82"/>
      <c r="CLC185" s="82"/>
      <c r="CLD185" s="82"/>
      <c r="CLE185" s="82"/>
      <c r="CLF185" s="82"/>
      <c r="CLG185" s="82"/>
      <c r="CLH185" s="82"/>
      <c r="CLI185" s="82"/>
      <c r="CLJ185" s="82"/>
      <c r="CLK185" s="82"/>
      <c r="CLL185" s="82"/>
      <c r="CLM185" s="82"/>
      <c r="CLN185" s="82"/>
      <c r="CLO185" s="82"/>
      <c r="CLP185" s="82"/>
      <c r="CLQ185" s="82"/>
      <c r="CLR185" s="82"/>
      <c r="CLS185" s="82"/>
      <c r="CLT185" s="82"/>
      <c r="CLU185" s="82"/>
      <c r="CLV185" s="82"/>
      <c r="CLW185" s="82"/>
      <c r="CLX185" s="82"/>
      <c r="CLY185" s="82"/>
      <c r="CLZ185" s="82"/>
      <c r="CMA185" s="82"/>
      <c r="CMB185" s="82"/>
      <c r="CMC185" s="82"/>
      <c r="CMD185" s="82"/>
      <c r="CME185" s="82"/>
      <c r="CMF185" s="82"/>
      <c r="CMG185" s="82"/>
      <c r="CMH185" s="82"/>
      <c r="CMI185" s="82"/>
      <c r="CMJ185" s="82"/>
      <c r="CMK185" s="82"/>
      <c r="CML185" s="82"/>
      <c r="CMM185" s="82"/>
      <c r="CMN185" s="82"/>
      <c r="CMO185" s="82"/>
      <c r="CMP185" s="82"/>
      <c r="CMQ185" s="82"/>
      <c r="CMR185" s="82"/>
      <c r="CMS185" s="82"/>
      <c r="CMT185" s="82"/>
      <c r="CMU185" s="82"/>
      <c r="CMV185" s="82"/>
      <c r="CMW185" s="82"/>
      <c r="CMX185" s="82"/>
      <c r="CMY185" s="82"/>
      <c r="CMZ185" s="82"/>
      <c r="CNA185" s="82"/>
      <c r="CNB185" s="82"/>
      <c r="CNC185" s="82"/>
      <c r="CND185" s="82"/>
      <c r="CNE185" s="82"/>
      <c r="CNF185" s="82"/>
      <c r="CNG185" s="82"/>
      <c r="CNH185" s="82"/>
      <c r="CNI185" s="82"/>
      <c r="CNJ185" s="82"/>
      <c r="CNK185" s="82"/>
      <c r="CNL185" s="82"/>
      <c r="CNM185" s="82"/>
      <c r="CNN185" s="82"/>
      <c r="CNO185" s="82"/>
      <c r="CNP185" s="82"/>
      <c r="CNQ185" s="82"/>
      <c r="CNR185" s="82"/>
      <c r="CNS185" s="82"/>
      <c r="CNT185" s="82"/>
      <c r="CNU185" s="82"/>
      <c r="CNV185" s="82"/>
      <c r="CNW185" s="82"/>
      <c r="CNX185" s="82"/>
      <c r="CNY185" s="82"/>
      <c r="CNZ185" s="82"/>
      <c r="COA185" s="82"/>
      <c r="COB185" s="82"/>
      <c r="COC185" s="82"/>
      <c r="COD185" s="82"/>
      <c r="COE185" s="82"/>
      <c r="COF185" s="82"/>
      <c r="COG185" s="82"/>
      <c r="COH185" s="82"/>
      <c r="COI185" s="82"/>
      <c r="COJ185" s="82"/>
      <c r="COK185" s="82"/>
      <c r="COL185" s="82"/>
      <c r="COM185" s="82"/>
      <c r="CON185" s="82"/>
      <c r="COO185" s="82"/>
      <c r="COP185" s="82"/>
      <c r="COQ185" s="82"/>
      <c r="COR185" s="82"/>
      <c r="COS185" s="82"/>
      <c r="COT185" s="82"/>
      <c r="COU185" s="82"/>
      <c r="COV185" s="82"/>
      <c r="COW185" s="82"/>
      <c r="COX185" s="82"/>
      <c r="COY185" s="82"/>
      <c r="COZ185" s="82"/>
      <c r="CPA185" s="82"/>
      <c r="CPB185" s="82"/>
      <c r="CPC185" s="82"/>
      <c r="CPD185" s="82"/>
      <c r="CPE185" s="82"/>
      <c r="CPF185" s="82"/>
      <c r="CPG185" s="82"/>
      <c r="CPH185" s="82"/>
      <c r="CPI185" s="82"/>
      <c r="CPJ185" s="82"/>
      <c r="CPK185" s="82"/>
      <c r="CPL185" s="82"/>
      <c r="CPM185" s="82"/>
      <c r="CPN185" s="82"/>
      <c r="CPO185" s="82"/>
      <c r="CPP185" s="82"/>
      <c r="CPQ185" s="82"/>
      <c r="CPR185" s="82"/>
      <c r="CPS185" s="82"/>
      <c r="CPT185" s="82"/>
      <c r="CPU185" s="82"/>
      <c r="CPV185" s="82"/>
      <c r="CPW185" s="82"/>
      <c r="CPX185" s="82"/>
      <c r="CPY185" s="82"/>
      <c r="CPZ185" s="82"/>
      <c r="CQA185" s="82"/>
      <c r="CQB185" s="82"/>
      <c r="CQC185" s="82"/>
      <c r="CQD185" s="82"/>
      <c r="CQE185" s="82"/>
      <c r="CQF185" s="82"/>
      <c r="CQG185" s="82"/>
      <c r="CQH185" s="82"/>
      <c r="CQI185" s="82"/>
      <c r="CQJ185" s="82"/>
      <c r="CQK185" s="82"/>
      <c r="CQL185" s="82"/>
      <c r="CQM185" s="82"/>
      <c r="CQN185" s="82"/>
      <c r="CQO185" s="82"/>
      <c r="CQP185" s="82"/>
      <c r="CQQ185" s="82"/>
      <c r="CQR185" s="82"/>
      <c r="CQS185" s="82"/>
      <c r="CQT185" s="82"/>
      <c r="CQU185" s="82"/>
      <c r="CQV185" s="82"/>
      <c r="CQW185" s="82"/>
      <c r="CQX185" s="82"/>
      <c r="CQY185" s="82"/>
      <c r="CQZ185" s="82"/>
      <c r="CRA185" s="82"/>
      <c r="CRB185" s="82"/>
      <c r="CRC185" s="82"/>
      <c r="CRD185" s="82"/>
      <c r="CRE185" s="82"/>
      <c r="CRF185" s="82"/>
      <c r="CRG185" s="82"/>
      <c r="CRH185" s="82"/>
      <c r="CRI185" s="82"/>
      <c r="CRJ185" s="82"/>
      <c r="CRK185" s="82"/>
      <c r="CRL185" s="82"/>
      <c r="CRM185" s="82"/>
      <c r="CRN185" s="82"/>
      <c r="CRO185" s="82"/>
      <c r="CRP185" s="82"/>
      <c r="CRQ185" s="82"/>
      <c r="CRR185" s="82"/>
      <c r="CRS185" s="82"/>
      <c r="CRT185" s="82"/>
      <c r="CRU185" s="82"/>
      <c r="CRV185" s="82"/>
      <c r="CRW185" s="82"/>
      <c r="CRX185" s="82"/>
      <c r="CRY185" s="82"/>
      <c r="CRZ185" s="82"/>
      <c r="CSA185" s="82"/>
      <c r="CSB185" s="82"/>
      <c r="CSC185" s="82"/>
      <c r="CSD185" s="82"/>
      <c r="CSE185" s="82"/>
      <c r="CSF185" s="82"/>
      <c r="CSG185" s="82"/>
      <c r="CSH185" s="82"/>
      <c r="CSI185" s="82"/>
      <c r="CSJ185" s="82"/>
      <c r="CSK185" s="82"/>
      <c r="CSL185" s="82"/>
      <c r="CSM185" s="82"/>
      <c r="CSN185" s="82"/>
      <c r="CSO185" s="82"/>
      <c r="CSP185" s="82"/>
      <c r="CSQ185" s="82"/>
      <c r="CSR185" s="82"/>
      <c r="CSS185" s="82"/>
      <c r="CST185" s="82"/>
      <c r="CSU185" s="82"/>
      <c r="CSV185" s="82"/>
      <c r="CSW185" s="82"/>
      <c r="CSX185" s="82"/>
      <c r="CSY185" s="82"/>
      <c r="CSZ185" s="82"/>
      <c r="CTA185" s="82"/>
      <c r="CTB185" s="82"/>
      <c r="CTC185" s="82"/>
      <c r="CTD185" s="82"/>
      <c r="CTE185" s="82"/>
      <c r="CTF185" s="82"/>
      <c r="CTG185" s="82"/>
      <c r="CTH185" s="82"/>
      <c r="CTI185" s="82"/>
      <c r="CTJ185" s="82"/>
      <c r="CTK185" s="82"/>
      <c r="CTL185" s="82"/>
      <c r="CTM185" s="82"/>
      <c r="CTN185" s="82"/>
      <c r="CTO185" s="82"/>
      <c r="CTP185" s="82"/>
      <c r="CTQ185" s="82"/>
      <c r="CTR185" s="82"/>
      <c r="CTS185" s="82"/>
      <c r="CTT185" s="82"/>
      <c r="CTU185" s="82"/>
      <c r="CTV185" s="82"/>
      <c r="CTW185" s="82"/>
      <c r="CTX185" s="82"/>
      <c r="CTY185" s="82"/>
      <c r="CTZ185" s="82"/>
      <c r="CUA185" s="82"/>
      <c r="CUB185" s="82"/>
      <c r="CUC185" s="82"/>
      <c r="CUD185" s="82"/>
      <c r="CUE185" s="82"/>
      <c r="CUF185" s="82"/>
      <c r="CUG185" s="82"/>
      <c r="CUH185" s="82"/>
      <c r="CUI185" s="82"/>
      <c r="CUJ185" s="82"/>
      <c r="CUK185" s="82"/>
      <c r="CUL185" s="82"/>
      <c r="CUM185" s="82"/>
      <c r="CUN185" s="82"/>
      <c r="CUO185" s="82"/>
      <c r="CUP185" s="82"/>
      <c r="CUQ185" s="82"/>
      <c r="CUR185" s="82"/>
      <c r="CUS185" s="82"/>
      <c r="CUT185" s="82"/>
      <c r="CUU185" s="82"/>
      <c r="CUV185" s="82"/>
      <c r="CUW185" s="82"/>
      <c r="CUX185" s="82"/>
      <c r="CUY185" s="82"/>
      <c r="CUZ185" s="82"/>
      <c r="CVA185" s="82"/>
      <c r="CVB185" s="82"/>
      <c r="CVC185" s="82"/>
      <c r="CVD185" s="82"/>
      <c r="CVE185" s="82"/>
      <c r="CVF185" s="82"/>
      <c r="CVG185" s="82"/>
      <c r="CVH185" s="82"/>
      <c r="CVI185" s="82"/>
      <c r="CVJ185" s="82"/>
      <c r="CVK185" s="82"/>
      <c r="CVL185" s="82"/>
      <c r="CVM185" s="82"/>
      <c r="CVN185" s="82"/>
      <c r="CVO185" s="82"/>
      <c r="CVP185" s="82"/>
      <c r="CVQ185" s="82"/>
      <c r="CVR185" s="82"/>
      <c r="CVS185" s="82"/>
      <c r="CVT185" s="82"/>
      <c r="CVU185" s="82"/>
      <c r="CVV185" s="82"/>
      <c r="CVW185" s="82"/>
      <c r="CVX185" s="82"/>
      <c r="CVY185" s="82"/>
      <c r="CVZ185" s="82"/>
      <c r="CWA185" s="82"/>
      <c r="CWB185" s="82"/>
      <c r="CWC185" s="82"/>
      <c r="CWD185" s="82"/>
      <c r="CWE185" s="82"/>
      <c r="CWF185" s="82"/>
      <c r="CWG185" s="82"/>
      <c r="CWH185" s="82"/>
      <c r="CWI185" s="82"/>
      <c r="CWJ185" s="82"/>
      <c r="CWK185" s="82"/>
      <c r="CWL185" s="82"/>
      <c r="CWM185" s="82"/>
      <c r="CWN185" s="82"/>
      <c r="CWO185" s="82"/>
      <c r="CWP185" s="82"/>
      <c r="CWQ185" s="82"/>
      <c r="CWR185" s="82"/>
      <c r="CWS185" s="82"/>
      <c r="CWT185" s="82"/>
      <c r="CWU185" s="82"/>
      <c r="CWV185" s="82"/>
      <c r="CWW185" s="82"/>
      <c r="CWX185" s="82"/>
      <c r="CWY185" s="82"/>
      <c r="CWZ185" s="82"/>
      <c r="CXA185" s="82"/>
      <c r="CXB185" s="82"/>
      <c r="CXC185" s="82"/>
      <c r="CXD185" s="82"/>
      <c r="CXE185" s="82"/>
      <c r="CXF185" s="82"/>
      <c r="CXG185" s="82"/>
      <c r="CXH185" s="82"/>
      <c r="CXI185" s="82"/>
      <c r="CXJ185" s="82"/>
      <c r="CXK185" s="82"/>
      <c r="CXL185" s="82"/>
      <c r="CXM185" s="82"/>
      <c r="CXN185" s="82"/>
      <c r="CXO185" s="82"/>
      <c r="CXP185" s="82"/>
      <c r="CXQ185" s="82"/>
      <c r="CXR185" s="82"/>
      <c r="CXS185" s="82"/>
      <c r="CXT185" s="82"/>
      <c r="CXU185" s="82"/>
      <c r="CXV185" s="82"/>
      <c r="CXW185" s="82"/>
      <c r="CXX185" s="82"/>
      <c r="CXY185" s="82"/>
      <c r="CXZ185" s="82"/>
      <c r="CYA185" s="82"/>
      <c r="CYB185" s="82"/>
      <c r="CYC185" s="82"/>
      <c r="CYD185" s="82"/>
      <c r="CYE185" s="82"/>
      <c r="CYF185" s="82"/>
      <c r="CYG185" s="82"/>
      <c r="CYH185" s="82"/>
      <c r="CYI185" s="82"/>
      <c r="CYJ185" s="82"/>
      <c r="CYK185" s="82"/>
      <c r="CYL185" s="82"/>
      <c r="CYM185" s="82"/>
      <c r="CYN185" s="82"/>
      <c r="CYO185" s="82"/>
      <c r="CYP185" s="82"/>
      <c r="CYQ185" s="82"/>
      <c r="CYR185" s="82"/>
      <c r="CYS185" s="82"/>
      <c r="CYT185" s="82"/>
      <c r="CYU185" s="82"/>
      <c r="CYV185" s="82"/>
      <c r="CYW185" s="82"/>
      <c r="CYX185" s="82"/>
      <c r="CYY185" s="82"/>
      <c r="CYZ185" s="82"/>
      <c r="CZA185" s="82"/>
      <c r="CZB185" s="82"/>
      <c r="CZC185" s="82"/>
      <c r="CZD185" s="82"/>
      <c r="CZE185" s="82"/>
      <c r="CZF185" s="82"/>
      <c r="CZG185" s="82"/>
      <c r="CZH185" s="82"/>
      <c r="CZI185" s="82"/>
      <c r="CZJ185" s="82"/>
      <c r="CZK185" s="82"/>
      <c r="CZL185" s="82"/>
      <c r="CZM185" s="82"/>
      <c r="CZN185" s="82"/>
      <c r="CZO185" s="82"/>
      <c r="CZP185" s="82"/>
      <c r="CZQ185" s="82"/>
      <c r="CZR185" s="82"/>
      <c r="CZS185" s="82"/>
      <c r="CZT185" s="82"/>
      <c r="CZU185" s="82"/>
      <c r="CZV185" s="82"/>
      <c r="CZW185" s="82"/>
      <c r="CZX185" s="82"/>
      <c r="CZY185" s="82"/>
      <c r="CZZ185" s="82"/>
      <c r="DAA185" s="82"/>
      <c r="DAB185" s="82"/>
      <c r="DAC185" s="82"/>
      <c r="DAD185" s="82"/>
      <c r="DAE185" s="82"/>
      <c r="DAF185" s="82"/>
      <c r="DAG185" s="82"/>
      <c r="DAH185" s="82"/>
      <c r="DAI185" s="82"/>
      <c r="DAJ185" s="82"/>
      <c r="DAK185" s="82"/>
      <c r="DAL185" s="82"/>
      <c r="DAM185" s="82"/>
      <c r="DAN185" s="82"/>
      <c r="DAO185" s="82"/>
      <c r="DAP185" s="82"/>
      <c r="DAQ185" s="82"/>
      <c r="DAR185" s="82"/>
      <c r="DAS185" s="82"/>
      <c r="DAT185" s="82"/>
      <c r="DAU185" s="82"/>
      <c r="DAV185" s="82"/>
      <c r="DAW185" s="82"/>
      <c r="DAX185" s="82"/>
      <c r="DAY185" s="82"/>
      <c r="DAZ185" s="82"/>
      <c r="DBA185" s="82"/>
      <c r="DBB185" s="82"/>
      <c r="DBC185" s="82"/>
      <c r="DBD185" s="82"/>
      <c r="DBE185" s="82"/>
      <c r="DBF185" s="82"/>
      <c r="DBG185" s="82"/>
      <c r="DBH185" s="82"/>
      <c r="DBI185" s="82"/>
      <c r="DBJ185" s="82"/>
      <c r="DBK185" s="82"/>
      <c r="DBL185" s="82"/>
      <c r="DBM185" s="82"/>
      <c r="DBN185" s="82"/>
      <c r="DBO185" s="82"/>
      <c r="DBP185" s="82"/>
      <c r="DBQ185" s="82"/>
      <c r="DBR185" s="82"/>
      <c r="DBS185" s="82"/>
      <c r="DBT185" s="82"/>
      <c r="DBU185" s="82"/>
      <c r="DBV185" s="82"/>
      <c r="DBW185" s="82"/>
      <c r="DBX185" s="82"/>
      <c r="DBY185" s="82"/>
      <c r="DBZ185" s="82"/>
      <c r="DCA185" s="82"/>
      <c r="DCB185" s="82"/>
      <c r="DCC185" s="82"/>
      <c r="DCD185" s="82"/>
      <c r="DCE185" s="82"/>
      <c r="DCF185" s="82"/>
      <c r="DCG185" s="82"/>
      <c r="DCH185" s="82"/>
      <c r="DCI185" s="82"/>
      <c r="DCJ185" s="82"/>
      <c r="DCK185" s="82"/>
      <c r="DCL185" s="82"/>
      <c r="DCM185" s="82"/>
      <c r="DCN185" s="82"/>
      <c r="DCO185" s="82"/>
      <c r="DCP185" s="82"/>
      <c r="DCQ185" s="82"/>
      <c r="DCR185" s="82"/>
      <c r="DCS185" s="82"/>
      <c r="DCT185" s="82"/>
      <c r="DCU185" s="82"/>
      <c r="DCV185" s="82"/>
      <c r="DCW185" s="82"/>
      <c r="DCX185" s="82"/>
      <c r="DCY185" s="82"/>
      <c r="DCZ185" s="82"/>
      <c r="DDA185" s="82"/>
      <c r="DDB185" s="82"/>
      <c r="DDC185" s="82"/>
      <c r="DDD185" s="82"/>
      <c r="DDE185" s="82"/>
      <c r="DDF185" s="82"/>
      <c r="DDG185" s="82"/>
      <c r="DDH185" s="82"/>
      <c r="DDI185" s="82"/>
      <c r="DDJ185" s="82"/>
      <c r="DDK185" s="82"/>
      <c r="DDL185" s="82"/>
      <c r="DDM185" s="82"/>
      <c r="DDN185" s="82"/>
      <c r="DDO185" s="82"/>
      <c r="DDP185" s="82"/>
      <c r="DDQ185" s="82"/>
      <c r="DDR185" s="82"/>
      <c r="DDS185" s="82"/>
      <c r="DDT185" s="82"/>
      <c r="DDU185" s="82"/>
      <c r="DDV185" s="82"/>
      <c r="DDW185" s="82"/>
      <c r="DDX185" s="82"/>
      <c r="DDY185" s="82"/>
      <c r="DDZ185" s="82"/>
      <c r="DEA185" s="82"/>
      <c r="DEB185" s="82"/>
      <c r="DEC185" s="82"/>
      <c r="DED185" s="82"/>
      <c r="DEE185" s="82"/>
      <c r="DEF185" s="82"/>
      <c r="DEG185" s="82"/>
      <c r="DEH185" s="82"/>
      <c r="DEI185" s="82"/>
      <c r="DEJ185" s="82"/>
      <c r="DEK185" s="82"/>
      <c r="DEL185" s="82"/>
      <c r="DEM185" s="82"/>
      <c r="DEN185" s="82"/>
      <c r="DEO185" s="82"/>
      <c r="DEP185" s="82"/>
      <c r="DEQ185" s="82"/>
      <c r="DER185" s="82"/>
      <c r="DES185" s="82"/>
      <c r="DET185" s="82"/>
      <c r="DEU185" s="82"/>
      <c r="DEV185" s="82"/>
      <c r="DEW185" s="82"/>
      <c r="DEX185" s="82"/>
      <c r="DEY185" s="82"/>
      <c r="DEZ185" s="82"/>
      <c r="DFA185" s="82"/>
      <c r="DFB185" s="82"/>
      <c r="DFC185" s="82"/>
      <c r="DFD185" s="82"/>
      <c r="DFE185" s="82"/>
      <c r="DFF185" s="82"/>
      <c r="DFG185" s="82"/>
      <c r="DFH185" s="82"/>
      <c r="DFI185" s="82"/>
      <c r="DFJ185" s="82"/>
      <c r="DFK185" s="82"/>
      <c r="DFL185" s="82"/>
      <c r="DFM185" s="82"/>
      <c r="DFN185" s="82"/>
      <c r="DFO185" s="82"/>
      <c r="DFP185" s="82"/>
      <c r="DFQ185" s="82"/>
      <c r="DFR185" s="82"/>
      <c r="DFS185" s="82"/>
      <c r="DFT185" s="82"/>
      <c r="DFU185" s="82"/>
      <c r="DFV185" s="82"/>
      <c r="DFW185" s="82"/>
      <c r="DFX185" s="82"/>
      <c r="DFY185" s="82"/>
      <c r="DFZ185" s="82"/>
      <c r="DGA185" s="82"/>
      <c r="DGB185" s="82"/>
      <c r="DGC185" s="82"/>
      <c r="DGD185" s="82"/>
      <c r="DGE185" s="82"/>
      <c r="DGF185" s="82"/>
      <c r="DGG185" s="82"/>
      <c r="DGH185" s="82"/>
      <c r="DGI185" s="82"/>
      <c r="DGJ185" s="82"/>
      <c r="DGK185" s="82"/>
      <c r="DGL185" s="82"/>
      <c r="DGM185" s="82"/>
      <c r="DGN185" s="82"/>
      <c r="DGO185" s="82"/>
      <c r="DGP185" s="82"/>
      <c r="DGQ185" s="82"/>
      <c r="DGR185" s="82"/>
      <c r="DGS185" s="82"/>
      <c r="DGT185" s="82"/>
      <c r="DGU185" s="82"/>
      <c r="DGV185" s="82"/>
      <c r="DGW185" s="82"/>
      <c r="DGX185" s="82"/>
      <c r="DGY185" s="82"/>
      <c r="DGZ185" s="82"/>
      <c r="DHA185" s="82"/>
      <c r="DHB185" s="82"/>
      <c r="DHC185" s="82"/>
      <c r="DHD185" s="82"/>
      <c r="DHE185" s="82"/>
      <c r="DHF185" s="82"/>
      <c r="DHG185" s="82"/>
      <c r="DHH185" s="82"/>
      <c r="DHI185" s="82"/>
      <c r="DHJ185" s="82"/>
      <c r="DHK185" s="82"/>
      <c r="DHL185" s="82"/>
      <c r="DHM185" s="82"/>
      <c r="DHN185" s="82"/>
      <c r="DHO185" s="82"/>
      <c r="DHP185" s="82"/>
      <c r="DHQ185" s="82"/>
      <c r="DHR185" s="82"/>
      <c r="DHS185" s="82"/>
      <c r="DHT185" s="82"/>
      <c r="DHU185" s="82"/>
      <c r="DHV185" s="82"/>
      <c r="DHW185" s="82"/>
      <c r="DHX185" s="82"/>
      <c r="DHY185" s="82"/>
      <c r="DHZ185" s="82"/>
      <c r="DIA185" s="82"/>
      <c r="DIB185" s="82"/>
      <c r="DIC185" s="82"/>
      <c r="DID185" s="82"/>
      <c r="DIE185" s="82"/>
      <c r="DIF185" s="82"/>
      <c r="DIG185" s="82"/>
      <c r="DIH185" s="82"/>
      <c r="DII185" s="82"/>
      <c r="DIJ185" s="82"/>
      <c r="DIK185" s="82"/>
      <c r="DIL185" s="82"/>
      <c r="DIM185" s="82"/>
      <c r="DIN185" s="82"/>
      <c r="DIO185" s="82"/>
      <c r="DIP185" s="82"/>
      <c r="DIQ185" s="82"/>
      <c r="DIR185" s="82"/>
      <c r="DIS185" s="82"/>
      <c r="DIT185" s="82"/>
      <c r="DIU185" s="82"/>
      <c r="DIV185" s="82"/>
      <c r="DIW185" s="82"/>
      <c r="DIX185" s="82"/>
      <c r="DIY185" s="82"/>
      <c r="DIZ185" s="82"/>
      <c r="DJA185" s="82"/>
      <c r="DJB185" s="82"/>
      <c r="DJC185" s="82"/>
      <c r="DJD185" s="82"/>
      <c r="DJE185" s="82"/>
      <c r="DJF185" s="82"/>
      <c r="DJG185" s="82"/>
      <c r="DJH185" s="82"/>
      <c r="DJI185" s="82"/>
      <c r="DJJ185" s="82"/>
      <c r="DJK185" s="82"/>
      <c r="DJL185" s="82"/>
      <c r="DJM185" s="82"/>
      <c r="DJN185" s="82"/>
      <c r="DJO185" s="82"/>
      <c r="DJP185" s="82"/>
      <c r="DJQ185" s="82"/>
      <c r="DJR185" s="82"/>
      <c r="DJS185" s="82"/>
      <c r="DJT185" s="82"/>
      <c r="DJU185" s="82"/>
      <c r="DJV185" s="82"/>
      <c r="DJW185" s="82"/>
      <c r="DJX185" s="82"/>
      <c r="DJY185" s="82"/>
      <c r="DJZ185" s="82"/>
      <c r="DKA185" s="82"/>
      <c r="DKB185" s="82"/>
      <c r="DKC185" s="82"/>
      <c r="DKD185" s="82"/>
      <c r="DKE185" s="82"/>
      <c r="DKF185" s="82"/>
      <c r="DKG185" s="82"/>
      <c r="DKH185" s="82"/>
      <c r="DKI185" s="82"/>
      <c r="DKJ185" s="82"/>
      <c r="DKK185" s="82"/>
      <c r="DKL185" s="82"/>
      <c r="DKM185" s="82"/>
      <c r="DKN185" s="82"/>
      <c r="DKO185" s="82"/>
      <c r="DKP185" s="82"/>
      <c r="DKQ185" s="82"/>
      <c r="DKR185" s="82"/>
      <c r="DKS185" s="82"/>
      <c r="DKT185" s="82"/>
      <c r="DKU185" s="82"/>
      <c r="DKV185" s="82"/>
      <c r="DKW185" s="82"/>
      <c r="DKX185" s="82"/>
      <c r="DKY185" s="82"/>
      <c r="DKZ185" s="82"/>
      <c r="DLA185" s="82"/>
      <c r="DLB185" s="82"/>
      <c r="DLC185" s="82"/>
      <c r="DLD185" s="82"/>
      <c r="DLE185" s="82"/>
      <c r="DLF185" s="82"/>
      <c r="DLG185" s="82"/>
      <c r="DLH185" s="82"/>
      <c r="DLI185" s="82"/>
      <c r="DLJ185" s="82"/>
      <c r="DLK185" s="82"/>
      <c r="DLL185" s="82"/>
      <c r="DLM185" s="82"/>
      <c r="DLN185" s="82"/>
      <c r="DLO185" s="82"/>
      <c r="DLP185" s="82"/>
      <c r="DLQ185" s="82"/>
      <c r="DLR185" s="82"/>
      <c r="DLS185" s="82"/>
      <c r="DLT185" s="82"/>
      <c r="DLU185" s="82"/>
      <c r="DLV185" s="82"/>
      <c r="DLW185" s="82"/>
      <c r="DLX185" s="82"/>
      <c r="DLY185" s="82"/>
      <c r="DLZ185" s="82"/>
      <c r="DMA185" s="82"/>
      <c r="DMB185" s="82"/>
      <c r="DMC185" s="82"/>
      <c r="DMD185" s="82"/>
      <c r="DME185" s="82"/>
      <c r="DMF185" s="82"/>
      <c r="DMG185" s="82"/>
      <c r="DMH185" s="82"/>
      <c r="DMI185" s="82"/>
      <c r="DMJ185" s="82"/>
      <c r="DMK185" s="82"/>
      <c r="DML185" s="82"/>
      <c r="DMM185" s="82"/>
      <c r="DMN185" s="82"/>
      <c r="DMO185" s="82"/>
      <c r="DMP185" s="82"/>
      <c r="DMQ185" s="82"/>
      <c r="DMR185" s="82"/>
      <c r="DMS185" s="82"/>
      <c r="DMT185" s="82"/>
      <c r="DMU185" s="82"/>
      <c r="DMV185" s="82"/>
      <c r="DMW185" s="82"/>
      <c r="DMX185" s="82"/>
      <c r="DMY185" s="82"/>
      <c r="DMZ185" s="82"/>
      <c r="DNA185" s="82"/>
      <c r="DNB185" s="82"/>
      <c r="DNC185" s="82"/>
      <c r="DND185" s="82"/>
      <c r="DNE185" s="82"/>
      <c r="DNF185" s="82"/>
      <c r="DNG185" s="82"/>
      <c r="DNH185" s="82"/>
      <c r="DNI185" s="82"/>
      <c r="DNJ185" s="82"/>
      <c r="DNK185" s="82"/>
      <c r="DNL185" s="82"/>
      <c r="DNM185" s="82"/>
      <c r="DNN185" s="82"/>
      <c r="DNO185" s="82"/>
      <c r="DNP185" s="82"/>
      <c r="DNQ185" s="82"/>
      <c r="DNR185" s="82"/>
      <c r="DNS185" s="82"/>
      <c r="DNT185" s="82"/>
      <c r="DNU185" s="82"/>
      <c r="DNV185" s="82"/>
      <c r="DNW185" s="82"/>
      <c r="DNX185" s="82"/>
      <c r="DNY185" s="82"/>
      <c r="DNZ185" s="82"/>
      <c r="DOA185" s="82"/>
      <c r="DOB185" s="82"/>
      <c r="DOC185" s="82"/>
      <c r="DOD185" s="82"/>
      <c r="DOE185" s="82"/>
      <c r="DOF185" s="82"/>
      <c r="DOG185" s="82"/>
      <c r="DOH185" s="82"/>
      <c r="DOI185" s="82"/>
      <c r="DOJ185" s="82"/>
      <c r="DOK185" s="82"/>
      <c r="DOL185" s="82"/>
      <c r="DOM185" s="82"/>
      <c r="DON185" s="82"/>
      <c r="DOO185" s="82"/>
      <c r="DOP185" s="82"/>
      <c r="DOQ185" s="82"/>
      <c r="DOR185" s="82"/>
      <c r="DOS185" s="82"/>
      <c r="DOT185" s="82"/>
      <c r="DOU185" s="82"/>
      <c r="DOV185" s="82"/>
      <c r="DOW185" s="82"/>
      <c r="DOX185" s="82"/>
      <c r="DOY185" s="82"/>
      <c r="DOZ185" s="82"/>
      <c r="DPA185" s="82"/>
      <c r="DPB185" s="82"/>
      <c r="DPC185" s="82"/>
      <c r="DPD185" s="82"/>
      <c r="DPE185" s="82"/>
      <c r="DPF185" s="82"/>
      <c r="DPG185" s="82"/>
      <c r="DPH185" s="82"/>
      <c r="DPI185" s="82"/>
      <c r="DPJ185" s="82"/>
      <c r="DPK185" s="82"/>
      <c r="DPL185" s="82"/>
      <c r="DPM185" s="82"/>
      <c r="DPN185" s="82"/>
      <c r="DPO185" s="82"/>
      <c r="DPP185" s="82"/>
      <c r="DPQ185" s="82"/>
      <c r="DPR185" s="82"/>
      <c r="DPS185" s="82"/>
      <c r="DPT185" s="82"/>
      <c r="DPU185" s="82"/>
      <c r="DPV185" s="82"/>
      <c r="DPW185" s="82"/>
      <c r="DPX185" s="82"/>
      <c r="DPY185" s="82"/>
      <c r="DPZ185" s="82"/>
      <c r="DQA185" s="82"/>
      <c r="DQB185" s="82"/>
      <c r="DQC185" s="82"/>
      <c r="DQD185" s="82"/>
      <c r="DQE185" s="82"/>
      <c r="DQF185" s="82"/>
      <c r="DQG185" s="82"/>
      <c r="DQH185" s="82"/>
      <c r="DQI185" s="82"/>
      <c r="DQJ185" s="82"/>
      <c r="DQK185" s="82"/>
      <c r="DQL185" s="82"/>
      <c r="DQM185" s="82"/>
      <c r="DQN185" s="82"/>
      <c r="DQO185" s="82"/>
      <c r="DQP185" s="82"/>
      <c r="DQQ185" s="82"/>
      <c r="DQR185" s="82"/>
      <c r="DQS185" s="82"/>
      <c r="DQT185" s="82"/>
      <c r="DQU185" s="82"/>
      <c r="DQV185" s="82"/>
      <c r="DQW185" s="82"/>
      <c r="DQX185" s="82"/>
      <c r="DQY185" s="82"/>
      <c r="DQZ185" s="82"/>
      <c r="DRA185" s="82"/>
      <c r="DRB185" s="82"/>
      <c r="DRC185" s="82"/>
      <c r="DRD185" s="82"/>
      <c r="DRE185" s="82"/>
      <c r="DRF185" s="82"/>
      <c r="DRG185" s="82"/>
      <c r="DRH185" s="82"/>
      <c r="DRI185" s="82"/>
      <c r="DRJ185" s="82"/>
      <c r="DRK185" s="82"/>
      <c r="DRL185" s="82"/>
      <c r="DRM185" s="82"/>
      <c r="DRN185" s="82"/>
      <c r="DRO185" s="82"/>
      <c r="DRP185" s="82"/>
      <c r="DRQ185" s="82"/>
      <c r="DRR185" s="82"/>
      <c r="DRS185" s="82"/>
      <c r="DRT185" s="82"/>
      <c r="DRU185" s="82"/>
      <c r="DRV185" s="82"/>
      <c r="DRW185" s="82"/>
      <c r="DRX185" s="82"/>
      <c r="DRY185" s="82"/>
      <c r="DRZ185" s="82"/>
      <c r="DSA185" s="82"/>
      <c r="DSB185" s="82"/>
      <c r="DSC185" s="82"/>
      <c r="DSD185" s="82"/>
      <c r="DSE185" s="82"/>
      <c r="DSF185" s="82"/>
      <c r="DSG185" s="82"/>
      <c r="DSH185" s="82"/>
      <c r="DSI185" s="82"/>
      <c r="DSJ185" s="82"/>
      <c r="DSK185" s="82"/>
      <c r="DSL185" s="82"/>
      <c r="DSM185" s="82"/>
      <c r="DSN185" s="82"/>
      <c r="DSO185" s="82"/>
      <c r="DSP185" s="82"/>
      <c r="DSQ185" s="82"/>
      <c r="DSR185" s="82"/>
      <c r="DSS185" s="82"/>
      <c r="DST185" s="82"/>
      <c r="DSU185" s="82"/>
      <c r="DSV185" s="82"/>
      <c r="DSW185" s="82"/>
      <c r="DSX185" s="82"/>
      <c r="DSY185" s="82"/>
      <c r="DSZ185" s="82"/>
      <c r="DTA185" s="82"/>
      <c r="DTB185" s="82"/>
      <c r="DTC185" s="82"/>
      <c r="DTD185" s="82"/>
      <c r="DTE185" s="82"/>
      <c r="DTF185" s="82"/>
      <c r="DTG185" s="82"/>
      <c r="DTH185" s="82"/>
      <c r="DTI185" s="82"/>
      <c r="DTJ185" s="82"/>
      <c r="DTK185" s="82"/>
      <c r="DTL185" s="82"/>
      <c r="DTM185" s="82"/>
      <c r="DTN185" s="82"/>
      <c r="DTO185" s="82"/>
      <c r="DTP185" s="82"/>
      <c r="DTQ185" s="82"/>
      <c r="DTR185" s="82"/>
      <c r="DTS185" s="82"/>
      <c r="DTT185" s="82"/>
      <c r="DTU185" s="82"/>
      <c r="DTV185" s="82"/>
      <c r="DTW185" s="82"/>
      <c r="DTX185" s="82"/>
      <c r="DTY185" s="82"/>
      <c r="DTZ185" s="82"/>
      <c r="DUA185" s="82"/>
      <c r="DUB185" s="82"/>
      <c r="DUC185" s="82"/>
      <c r="DUD185" s="82"/>
      <c r="DUE185" s="82"/>
      <c r="DUF185" s="82"/>
      <c r="DUG185" s="82"/>
      <c r="DUH185" s="82"/>
      <c r="DUI185" s="82"/>
      <c r="DUJ185" s="82"/>
      <c r="DUK185" s="82"/>
      <c r="DUL185" s="82"/>
      <c r="DUM185" s="82"/>
      <c r="DUN185" s="82"/>
      <c r="DUO185" s="82"/>
      <c r="DUP185" s="82"/>
      <c r="DUQ185" s="82"/>
      <c r="DUR185" s="82"/>
      <c r="DUS185" s="82"/>
      <c r="DUT185" s="82"/>
      <c r="DUU185" s="82"/>
      <c r="DUV185" s="82"/>
      <c r="DUW185" s="82"/>
      <c r="DUX185" s="82"/>
      <c r="DUY185" s="82"/>
      <c r="DUZ185" s="82"/>
      <c r="DVA185" s="82"/>
      <c r="DVB185" s="82"/>
      <c r="DVC185" s="82"/>
      <c r="DVD185" s="82"/>
      <c r="DVE185" s="82"/>
      <c r="DVF185" s="82"/>
      <c r="DVG185" s="82"/>
      <c r="DVH185" s="82"/>
      <c r="DVI185" s="82"/>
      <c r="DVJ185" s="82"/>
      <c r="DVK185" s="82"/>
      <c r="DVL185" s="82"/>
      <c r="DVM185" s="82"/>
      <c r="DVN185" s="82"/>
      <c r="DVO185" s="82"/>
      <c r="DVP185" s="82"/>
      <c r="DVQ185" s="82"/>
      <c r="DVR185" s="82"/>
      <c r="DVS185" s="82"/>
      <c r="DVT185" s="82"/>
      <c r="DVU185" s="82"/>
      <c r="DVV185" s="82"/>
      <c r="DVW185" s="82"/>
      <c r="DVX185" s="82"/>
      <c r="DVY185" s="82"/>
      <c r="DVZ185" s="82"/>
      <c r="DWA185" s="82"/>
      <c r="DWB185" s="82"/>
      <c r="DWC185" s="82"/>
      <c r="DWD185" s="82"/>
      <c r="DWE185" s="82"/>
      <c r="DWF185" s="82"/>
      <c r="DWG185" s="82"/>
      <c r="DWH185" s="82"/>
      <c r="DWI185" s="82"/>
      <c r="DWJ185" s="82"/>
      <c r="DWK185" s="82"/>
      <c r="DWL185" s="82"/>
      <c r="DWM185" s="82"/>
      <c r="DWN185" s="82"/>
      <c r="DWO185" s="82"/>
      <c r="DWP185" s="82"/>
      <c r="DWQ185" s="82"/>
      <c r="DWR185" s="82"/>
      <c r="DWS185" s="82"/>
      <c r="DWT185" s="82"/>
      <c r="DWU185" s="82"/>
      <c r="DWV185" s="82"/>
      <c r="DWW185" s="82"/>
      <c r="DWX185" s="82"/>
      <c r="DWY185" s="82"/>
      <c r="DWZ185" s="82"/>
      <c r="DXA185" s="82"/>
      <c r="DXB185" s="82"/>
      <c r="DXC185" s="82"/>
      <c r="DXD185" s="82"/>
      <c r="DXE185" s="82"/>
      <c r="DXF185" s="82"/>
      <c r="DXG185" s="82"/>
      <c r="DXH185" s="82"/>
      <c r="DXI185" s="82"/>
      <c r="DXJ185" s="82"/>
      <c r="DXK185" s="82"/>
      <c r="DXL185" s="82"/>
      <c r="DXM185" s="82"/>
      <c r="DXN185" s="82"/>
      <c r="DXO185" s="82"/>
      <c r="DXP185" s="82"/>
      <c r="DXQ185" s="82"/>
      <c r="DXR185" s="82"/>
      <c r="DXS185" s="82"/>
      <c r="DXT185" s="82"/>
      <c r="DXU185" s="82"/>
      <c r="DXV185" s="82"/>
      <c r="DXW185" s="82"/>
      <c r="DXX185" s="82"/>
      <c r="DXY185" s="82"/>
      <c r="DXZ185" s="82"/>
      <c r="DYA185" s="82"/>
      <c r="DYB185" s="82"/>
      <c r="DYC185" s="82"/>
      <c r="DYD185" s="82"/>
      <c r="DYE185" s="82"/>
      <c r="DYF185" s="82"/>
      <c r="DYG185" s="82"/>
      <c r="DYH185" s="82"/>
      <c r="DYI185" s="82"/>
      <c r="DYJ185" s="82"/>
      <c r="DYK185" s="82"/>
      <c r="DYL185" s="82"/>
      <c r="DYM185" s="82"/>
      <c r="DYN185" s="82"/>
      <c r="DYO185" s="82"/>
      <c r="DYP185" s="82"/>
      <c r="DYQ185" s="82"/>
      <c r="DYR185" s="82"/>
      <c r="DYS185" s="82"/>
      <c r="DYT185" s="82"/>
      <c r="DYU185" s="82"/>
      <c r="DYV185" s="82"/>
      <c r="DYW185" s="82"/>
      <c r="DYX185" s="82"/>
      <c r="DYY185" s="82"/>
      <c r="DYZ185" s="82"/>
      <c r="DZA185" s="82"/>
      <c r="DZB185" s="82"/>
      <c r="DZC185" s="82"/>
      <c r="DZD185" s="82"/>
      <c r="DZE185" s="82"/>
      <c r="DZF185" s="82"/>
      <c r="DZG185" s="82"/>
      <c r="DZH185" s="82"/>
      <c r="DZI185" s="82"/>
      <c r="DZJ185" s="82"/>
      <c r="DZK185" s="82"/>
      <c r="DZL185" s="82"/>
      <c r="DZM185" s="82"/>
      <c r="DZN185" s="82"/>
      <c r="DZO185" s="82"/>
      <c r="DZP185" s="82"/>
      <c r="DZQ185" s="82"/>
      <c r="DZR185" s="82"/>
      <c r="DZS185" s="82"/>
      <c r="DZT185" s="82"/>
      <c r="DZU185" s="82"/>
      <c r="DZV185" s="82"/>
      <c r="DZW185" s="82"/>
      <c r="DZX185" s="82"/>
      <c r="DZY185" s="82"/>
      <c r="DZZ185" s="82"/>
      <c r="EAA185" s="82"/>
      <c r="EAB185" s="82"/>
      <c r="EAC185" s="82"/>
      <c r="EAD185" s="82"/>
      <c r="EAE185" s="82"/>
      <c r="EAF185" s="82"/>
      <c r="EAG185" s="82"/>
      <c r="EAH185" s="82"/>
      <c r="EAI185" s="82"/>
      <c r="EAJ185" s="82"/>
      <c r="EAK185" s="82"/>
      <c r="EAL185" s="82"/>
      <c r="EAM185" s="82"/>
      <c r="EAN185" s="82"/>
      <c r="EAO185" s="82"/>
      <c r="EAP185" s="82"/>
      <c r="EAQ185" s="82"/>
      <c r="EAR185" s="82"/>
      <c r="EAS185" s="82"/>
      <c r="EAT185" s="82"/>
      <c r="EAU185" s="82"/>
      <c r="EAV185" s="82"/>
      <c r="EAW185" s="82"/>
      <c r="EAX185" s="82"/>
      <c r="EAY185" s="82"/>
      <c r="EAZ185" s="82"/>
      <c r="EBA185" s="82"/>
      <c r="EBB185" s="82"/>
      <c r="EBC185" s="82"/>
      <c r="EBD185" s="82"/>
      <c r="EBE185" s="82"/>
      <c r="EBF185" s="82"/>
      <c r="EBG185" s="82"/>
      <c r="EBH185" s="82"/>
      <c r="EBI185" s="82"/>
      <c r="EBJ185" s="82"/>
      <c r="EBK185" s="82"/>
      <c r="EBL185" s="82"/>
      <c r="EBM185" s="82"/>
      <c r="EBN185" s="82"/>
      <c r="EBO185" s="82"/>
      <c r="EBP185" s="82"/>
      <c r="EBQ185" s="82"/>
      <c r="EBR185" s="82"/>
      <c r="EBS185" s="82"/>
      <c r="EBT185" s="82"/>
      <c r="EBU185" s="82"/>
      <c r="EBV185" s="82"/>
      <c r="EBW185" s="82"/>
      <c r="EBX185" s="82"/>
      <c r="EBY185" s="82"/>
      <c r="EBZ185" s="82"/>
      <c r="ECA185" s="82"/>
      <c r="ECB185" s="82"/>
      <c r="ECC185" s="82"/>
      <c r="ECD185" s="82"/>
      <c r="ECE185" s="82"/>
      <c r="ECF185" s="82"/>
      <c r="ECG185" s="82"/>
      <c r="ECH185" s="82"/>
      <c r="ECI185" s="82"/>
      <c r="ECJ185" s="82"/>
      <c r="ECK185" s="82"/>
      <c r="ECL185" s="82"/>
      <c r="ECM185" s="82"/>
      <c r="ECN185" s="82"/>
      <c r="ECO185" s="82"/>
      <c r="ECP185" s="82"/>
      <c r="ECQ185" s="82"/>
      <c r="ECR185" s="82"/>
      <c r="ECS185" s="82"/>
      <c r="ECT185" s="82"/>
      <c r="ECU185" s="82"/>
      <c r="ECV185" s="82"/>
      <c r="ECW185" s="82"/>
      <c r="ECX185" s="82"/>
      <c r="ECY185" s="82"/>
      <c r="ECZ185" s="82"/>
      <c r="EDA185" s="82"/>
      <c r="EDB185" s="82"/>
      <c r="EDC185" s="82"/>
      <c r="EDD185" s="82"/>
      <c r="EDE185" s="82"/>
      <c r="EDF185" s="82"/>
      <c r="EDG185" s="82"/>
      <c r="EDH185" s="82"/>
      <c r="EDI185" s="82"/>
      <c r="EDJ185" s="82"/>
      <c r="EDK185" s="82"/>
      <c r="EDL185" s="82"/>
      <c r="EDM185" s="82"/>
      <c r="EDN185" s="82"/>
      <c r="EDO185" s="82"/>
      <c r="EDP185" s="82"/>
      <c r="EDQ185" s="82"/>
      <c r="EDR185" s="82"/>
      <c r="EDS185" s="82"/>
      <c r="EDT185" s="82"/>
      <c r="EDU185" s="82"/>
      <c r="EDV185" s="82"/>
      <c r="EDW185" s="82"/>
      <c r="EDX185" s="82"/>
      <c r="EDY185" s="82"/>
      <c r="EDZ185" s="82"/>
      <c r="EEA185" s="82"/>
      <c r="EEB185" s="82"/>
      <c r="EEC185" s="82"/>
      <c r="EED185" s="82"/>
      <c r="EEE185" s="82"/>
      <c r="EEF185" s="82"/>
      <c r="EEG185" s="82"/>
      <c r="EEH185" s="82"/>
      <c r="EEI185" s="82"/>
      <c r="EEJ185" s="82"/>
      <c r="EEK185" s="82"/>
      <c r="EEL185" s="82"/>
      <c r="EEM185" s="82"/>
      <c r="EEN185" s="82"/>
      <c r="EEO185" s="82"/>
      <c r="EEP185" s="82"/>
      <c r="EEQ185" s="82"/>
      <c r="EER185" s="82"/>
      <c r="EES185" s="82"/>
      <c r="EET185" s="82"/>
      <c r="EEU185" s="82"/>
      <c r="EEV185" s="82"/>
      <c r="EEW185" s="82"/>
      <c r="EEX185" s="82"/>
      <c r="EEY185" s="82"/>
      <c r="EEZ185" s="82"/>
      <c r="EFA185" s="82"/>
      <c r="EFB185" s="82"/>
      <c r="EFC185" s="82"/>
      <c r="EFD185" s="82"/>
      <c r="EFE185" s="82"/>
      <c r="EFF185" s="82"/>
      <c r="EFG185" s="82"/>
      <c r="EFH185" s="82"/>
      <c r="EFI185" s="82"/>
      <c r="EFJ185" s="82"/>
      <c r="EFK185" s="82"/>
      <c r="EFL185" s="82"/>
      <c r="EFM185" s="82"/>
      <c r="EFN185" s="82"/>
      <c r="EFO185" s="82"/>
      <c r="EFP185" s="82"/>
      <c r="EFQ185" s="82"/>
      <c r="EFR185" s="82"/>
      <c r="EFS185" s="82"/>
      <c r="EFT185" s="82"/>
      <c r="EFU185" s="82"/>
      <c r="EFV185" s="82"/>
      <c r="EFW185" s="82"/>
      <c r="EFX185" s="82"/>
      <c r="EFY185" s="82"/>
      <c r="EFZ185" s="82"/>
      <c r="EGA185" s="82"/>
      <c r="EGB185" s="82"/>
      <c r="EGC185" s="82"/>
      <c r="EGD185" s="82"/>
      <c r="EGE185" s="82"/>
      <c r="EGF185" s="82"/>
      <c r="EGG185" s="82"/>
      <c r="EGH185" s="82"/>
      <c r="EGI185" s="82"/>
      <c r="EGJ185" s="82"/>
      <c r="EGK185" s="82"/>
      <c r="EGL185" s="82"/>
      <c r="EGM185" s="82"/>
      <c r="EGN185" s="82"/>
      <c r="EGO185" s="82"/>
      <c r="EGP185" s="82"/>
      <c r="EGQ185" s="82"/>
      <c r="EGR185" s="82"/>
      <c r="EGS185" s="82"/>
      <c r="EGT185" s="82"/>
      <c r="EGU185" s="82"/>
      <c r="EGV185" s="82"/>
      <c r="EGW185" s="82"/>
      <c r="EGX185" s="82"/>
      <c r="EGY185" s="82"/>
      <c r="EGZ185" s="82"/>
      <c r="EHA185" s="82"/>
      <c r="EHB185" s="82"/>
      <c r="EHC185" s="82"/>
      <c r="EHD185" s="82"/>
      <c r="EHE185" s="82"/>
      <c r="EHF185" s="82"/>
      <c r="EHG185" s="82"/>
      <c r="EHH185" s="82"/>
      <c r="EHI185" s="82"/>
      <c r="EHJ185" s="82"/>
      <c r="EHK185" s="82"/>
      <c r="EHL185" s="82"/>
      <c r="EHM185" s="82"/>
      <c r="EHN185" s="82"/>
      <c r="EHO185" s="82"/>
      <c r="EHP185" s="82"/>
      <c r="EHQ185" s="82"/>
      <c r="EHR185" s="82"/>
      <c r="EHS185" s="82"/>
      <c r="EHT185" s="82"/>
      <c r="EHU185" s="82"/>
      <c r="EHV185" s="82"/>
      <c r="EHW185" s="82"/>
      <c r="EHX185" s="82"/>
      <c r="EHY185" s="82"/>
      <c r="EHZ185" s="82"/>
      <c r="EIA185" s="82"/>
      <c r="EIB185" s="82"/>
      <c r="EIC185" s="82"/>
      <c r="EID185" s="82"/>
      <c r="EIE185" s="82"/>
      <c r="EIF185" s="82"/>
      <c r="EIG185" s="82"/>
      <c r="EIH185" s="82"/>
      <c r="EII185" s="82"/>
      <c r="EIJ185" s="82"/>
      <c r="EIK185" s="82"/>
      <c r="EIL185" s="82"/>
      <c r="EIM185" s="82"/>
      <c r="EIN185" s="82"/>
      <c r="EIO185" s="82"/>
      <c r="EIP185" s="82"/>
      <c r="EIQ185" s="82"/>
      <c r="EIR185" s="82"/>
      <c r="EIS185" s="82"/>
      <c r="EIT185" s="82"/>
      <c r="EIU185" s="82"/>
      <c r="EIV185" s="82"/>
      <c r="EIW185" s="82"/>
      <c r="EIX185" s="82"/>
      <c r="EIY185" s="82"/>
      <c r="EIZ185" s="82"/>
      <c r="EJA185" s="82"/>
      <c r="EJB185" s="82"/>
      <c r="EJC185" s="82"/>
      <c r="EJD185" s="82"/>
      <c r="EJE185" s="82"/>
      <c r="EJF185" s="82"/>
      <c r="EJG185" s="82"/>
      <c r="EJH185" s="82"/>
      <c r="EJI185" s="82"/>
      <c r="EJJ185" s="82"/>
      <c r="EJK185" s="82"/>
      <c r="EJL185" s="82"/>
      <c r="EJM185" s="82"/>
      <c r="EJN185" s="82"/>
      <c r="EJO185" s="82"/>
      <c r="EJP185" s="82"/>
      <c r="EJQ185" s="82"/>
      <c r="EJR185" s="82"/>
      <c r="EJS185" s="82"/>
      <c r="EJT185" s="82"/>
      <c r="EJU185" s="82"/>
      <c r="EJV185" s="82"/>
      <c r="EJW185" s="82"/>
      <c r="EJX185" s="82"/>
      <c r="EJY185" s="82"/>
      <c r="EJZ185" s="82"/>
      <c r="EKA185" s="82"/>
      <c r="EKB185" s="82"/>
      <c r="EKC185" s="82"/>
      <c r="EKD185" s="82"/>
      <c r="EKE185" s="82"/>
      <c r="EKF185" s="82"/>
      <c r="EKG185" s="82"/>
      <c r="EKH185" s="82"/>
      <c r="EKI185" s="82"/>
      <c r="EKJ185" s="82"/>
      <c r="EKK185" s="82"/>
      <c r="EKL185" s="82"/>
      <c r="EKM185" s="82"/>
      <c r="EKN185" s="82"/>
      <c r="EKO185" s="82"/>
      <c r="EKP185" s="82"/>
      <c r="EKQ185" s="82"/>
      <c r="EKR185" s="82"/>
      <c r="EKS185" s="82"/>
      <c r="EKT185" s="82"/>
      <c r="EKU185" s="82"/>
      <c r="EKV185" s="82"/>
      <c r="EKW185" s="82"/>
      <c r="EKX185" s="82"/>
      <c r="EKY185" s="82"/>
      <c r="EKZ185" s="82"/>
      <c r="ELA185" s="82"/>
      <c r="ELB185" s="82"/>
      <c r="ELC185" s="82"/>
      <c r="ELD185" s="82"/>
      <c r="ELE185" s="82"/>
      <c r="ELF185" s="82"/>
      <c r="ELG185" s="82"/>
      <c r="ELH185" s="82"/>
      <c r="ELI185" s="82"/>
      <c r="ELJ185" s="82"/>
      <c r="ELK185" s="82"/>
      <c r="ELL185" s="82"/>
      <c r="ELM185" s="82"/>
      <c r="ELN185" s="82"/>
      <c r="ELO185" s="82"/>
      <c r="ELP185" s="82"/>
      <c r="ELQ185" s="82"/>
      <c r="ELR185" s="82"/>
      <c r="ELS185" s="82"/>
      <c r="ELT185" s="82"/>
      <c r="ELU185" s="82"/>
      <c r="ELV185" s="82"/>
      <c r="ELW185" s="82"/>
      <c r="ELX185" s="82"/>
      <c r="ELY185" s="82"/>
      <c r="ELZ185" s="82"/>
      <c r="EMA185" s="82"/>
      <c r="EMB185" s="82"/>
      <c r="EMC185" s="82"/>
      <c r="EMD185" s="82"/>
      <c r="EME185" s="82"/>
      <c r="EMF185" s="82"/>
      <c r="EMG185" s="82"/>
      <c r="EMH185" s="82"/>
      <c r="EMI185" s="82"/>
      <c r="EMJ185" s="82"/>
      <c r="EMK185" s="82"/>
      <c r="EML185" s="82"/>
      <c r="EMM185" s="82"/>
      <c r="EMN185" s="82"/>
      <c r="EMO185" s="82"/>
      <c r="EMP185" s="82"/>
      <c r="EMQ185" s="82"/>
      <c r="EMR185" s="82"/>
      <c r="EMS185" s="82"/>
      <c r="EMT185" s="82"/>
      <c r="EMU185" s="82"/>
      <c r="EMV185" s="82"/>
      <c r="EMW185" s="82"/>
      <c r="EMX185" s="82"/>
      <c r="EMY185" s="82"/>
      <c r="EMZ185" s="82"/>
      <c r="ENA185" s="82"/>
      <c r="ENB185" s="82"/>
      <c r="ENC185" s="82"/>
      <c r="END185" s="82"/>
      <c r="ENE185" s="82"/>
      <c r="ENF185" s="82"/>
      <c r="ENG185" s="82"/>
      <c r="ENH185" s="82"/>
      <c r="ENI185" s="82"/>
      <c r="ENJ185" s="82"/>
      <c r="ENK185" s="82"/>
      <c r="ENL185" s="82"/>
      <c r="ENM185" s="82"/>
      <c r="ENN185" s="82"/>
      <c r="ENO185" s="82"/>
      <c r="ENP185" s="82"/>
      <c r="ENQ185" s="82"/>
      <c r="ENR185" s="82"/>
      <c r="ENS185" s="82"/>
      <c r="ENT185" s="82"/>
      <c r="ENU185" s="82"/>
      <c r="ENV185" s="82"/>
      <c r="ENW185" s="82"/>
      <c r="ENX185" s="82"/>
      <c r="ENY185" s="82"/>
      <c r="ENZ185" s="82"/>
      <c r="EOA185" s="82"/>
      <c r="EOB185" s="82"/>
      <c r="EOC185" s="82"/>
      <c r="EOD185" s="82"/>
      <c r="EOE185" s="82"/>
      <c r="EOF185" s="82"/>
      <c r="EOG185" s="82"/>
      <c r="EOH185" s="82"/>
      <c r="EOI185" s="82"/>
      <c r="EOJ185" s="82"/>
      <c r="EOK185" s="82"/>
      <c r="EOL185" s="82"/>
      <c r="EOM185" s="82"/>
      <c r="EON185" s="82"/>
      <c r="EOO185" s="82"/>
      <c r="EOP185" s="82"/>
      <c r="EOQ185" s="82"/>
      <c r="EOR185" s="82"/>
      <c r="EOS185" s="82"/>
      <c r="EOT185" s="82"/>
      <c r="EOU185" s="82"/>
      <c r="EOV185" s="82"/>
      <c r="EOW185" s="82"/>
      <c r="EOX185" s="82"/>
      <c r="EOY185" s="82"/>
      <c r="EOZ185" s="82"/>
      <c r="EPA185" s="82"/>
      <c r="EPB185" s="82"/>
      <c r="EPC185" s="82"/>
      <c r="EPD185" s="82"/>
      <c r="EPE185" s="82"/>
      <c r="EPF185" s="82"/>
      <c r="EPG185" s="82"/>
      <c r="EPH185" s="82"/>
      <c r="EPI185" s="82"/>
      <c r="EPJ185" s="82"/>
      <c r="EPK185" s="82"/>
      <c r="EPL185" s="82"/>
      <c r="EPM185" s="82"/>
      <c r="EPN185" s="82"/>
      <c r="EPO185" s="82"/>
      <c r="EPP185" s="82"/>
      <c r="EPQ185" s="82"/>
      <c r="EPR185" s="82"/>
      <c r="EPS185" s="82"/>
      <c r="EPT185" s="82"/>
      <c r="EPU185" s="82"/>
      <c r="EPV185" s="82"/>
      <c r="EPW185" s="82"/>
      <c r="EPX185" s="82"/>
      <c r="EPY185" s="82"/>
      <c r="EPZ185" s="82"/>
      <c r="EQA185" s="82"/>
      <c r="EQB185" s="82"/>
      <c r="EQC185" s="82"/>
      <c r="EQD185" s="82"/>
      <c r="EQE185" s="82"/>
      <c r="EQF185" s="82"/>
      <c r="EQG185" s="82"/>
      <c r="EQH185" s="82"/>
      <c r="EQI185" s="82"/>
      <c r="EQJ185" s="82"/>
      <c r="EQK185" s="82"/>
      <c r="EQL185" s="82"/>
      <c r="EQM185" s="82"/>
      <c r="EQN185" s="82"/>
      <c r="EQO185" s="82"/>
      <c r="EQP185" s="82"/>
      <c r="EQQ185" s="82"/>
      <c r="EQR185" s="82"/>
      <c r="EQS185" s="82"/>
      <c r="EQT185" s="82"/>
      <c r="EQU185" s="82"/>
      <c r="EQV185" s="82"/>
      <c r="EQW185" s="82"/>
      <c r="EQX185" s="82"/>
      <c r="EQY185" s="82"/>
      <c r="EQZ185" s="82"/>
      <c r="ERA185" s="82"/>
      <c r="ERB185" s="82"/>
      <c r="ERC185" s="82"/>
      <c r="ERD185" s="82"/>
      <c r="ERE185" s="82"/>
      <c r="ERF185" s="82"/>
      <c r="ERG185" s="82"/>
      <c r="ERH185" s="82"/>
      <c r="ERI185" s="82"/>
      <c r="ERJ185" s="82"/>
      <c r="ERK185" s="82"/>
      <c r="ERL185" s="82"/>
      <c r="ERM185" s="82"/>
      <c r="ERN185" s="82"/>
      <c r="ERO185" s="82"/>
      <c r="ERP185" s="82"/>
      <c r="ERQ185" s="82"/>
      <c r="ERR185" s="82"/>
      <c r="ERS185" s="82"/>
      <c r="ERT185" s="82"/>
      <c r="ERU185" s="82"/>
      <c r="ERV185" s="82"/>
      <c r="ERW185" s="82"/>
      <c r="ERX185" s="82"/>
      <c r="ERY185" s="82"/>
      <c r="ERZ185" s="82"/>
      <c r="ESA185" s="82"/>
      <c r="ESB185" s="82"/>
      <c r="ESC185" s="82"/>
      <c r="ESD185" s="82"/>
      <c r="ESE185" s="82"/>
      <c r="ESF185" s="82"/>
      <c r="ESG185" s="82"/>
      <c r="ESH185" s="82"/>
      <c r="ESI185" s="82"/>
      <c r="ESJ185" s="82"/>
      <c r="ESK185" s="82"/>
      <c r="ESL185" s="82"/>
      <c r="ESM185" s="82"/>
      <c r="ESN185" s="82"/>
      <c r="ESO185" s="82"/>
      <c r="ESP185" s="82"/>
      <c r="ESQ185" s="82"/>
      <c r="ESR185" s="82"/>
      <c r="ESS185" s="82"/>
      <c r="EST185" s="82"/>
      <c r="ESU185" s="82"/>
      <c r="ESV185" s="82"/>
      <c r="ESW185" s="82"/>
      <c r="ESX185" s="82"/>
      <c r="ESY185" s="82"/>
      <c r="ESZ185" s="82"/>
      <c r="ETA185" s="82"/>
      <c r="ETB185" s="82"/>
      <c r="ETC185" s="82"/>
      <c r="ETD185" s="82"/>
      <c r="ETE185" s="82"/>
      <c r="ETF185" s="82"/>
      <c r="ETG185" s="82"/>
      <c r="ETH185" s="82"/>
      <c r="ETI185" s="82"/>
      <c r="ETJ185" s="82"/>
      <c r="ETK185" s="82"/>
      <c r="ETL185" s="82"/>
      <c r="ETM185" s="82"/>
      <c r="ETN185" s="82"/>
      <c r="ETO185" s="82"/>
      <c r="ETP185" s="82"/>
      <c r="ETQ185" s="82"/>
      <c r="ETR185" s="82"/>
      <c r="ETS185" s="82"/>
      <c r="ETT185" s="82"/>
      <c r="ETU185" s="82"/>
      <c r="ETV185" s="82"/>
      <c r="ETW185" s="82"/>
      <c r="ETX185" s="82"/>
      <c r="ETY185" s="82"/>
      <c r="ETZ185" s="82"/>
      <c r="EUA185" s="82"/>
      <c r="EUB185" s="82"/>
      <c r="EUC185" s="82"/>
      <c r="EUD185" s="82"/>
      <c r="EUE185" s="82"/>
      <c r="EUF185" s="82"/>
      <c r="EUG185" s="82"/>
      <c r="EUH185" s="82"/>
      <c r="EUI185" s="82"/>
      <c r="EUJ185" s="82"/>
      <c r="EUK185" s="82"/>
      <c r="EUL185" s="82"/>
      <c r="EUM185" s="82"/>
      <c r="EUN185" s="82"/>
      <c r="EUO185" s="82"/>
      <c r="EUP185" s="82"/>
      <c r="EUQ185" s="82"/>
      <c r="EUR185" s="82"/>
      <c r="EUS185" s="82"/>
      <c r="EUT185" s="82"/>
      <c r="EUU185" s="82"/>
      <c r="EUV185" s="82"/>
      <c r="EUW185" s="82"/>
      <c r="EUX185" s="82"/>
      <c r="EUY185" s="82"/>
      <c r="EUZ185" s="82"/>
      <c r="EVA185" s="82"/>
      <c r="EVB185" s="82"/>
      <c r="EVC185" s="82"/>
      <c r="EVD185" s="82"/>
      <c r="EVE185" s="82"/>
      <c r="EVF185" s="82"/>
      <c r="EVG185" s="82"/>
      <c r="EVH185" s="82"/>
      <c r="EVI185" s="82"/>
      <c r="EVJ185" s="82"/>
      <c r="EVK185" s="82"/>
      <c r="EVL185" s="82"/>
      <c r="EVM185" s="82"/>
      <c r="EVN185" s="82"/>
      <c r="EVO185" s="82"/>
      <c r="EVP185" s="82"/>
      <c r="EVQ185" s="82"/>
      <c r="EVR185" s="82"/>
      <c r="EVS185" s="82"/>
      <c r="EVT185" s="82"/>
      <c r="EVU185" s="82"/>
      <c r="EVV185" s="82"/>
      <c r="EVW185" s="82"/>
      <c r="EVX185" s="82"/>
      <c r="EVY185" s="82"/>
      <c r="EVZ185" s="82"/>
      <c r="EWA185" s="82"/>
      <c r="EWB185" s="82"/>
      <c r="EWC185" s="82"/>
      <c r="EWD185" s="82"/>
      <c r="EWE185" s="82"/>
      <c r="EWF185" s="82"/>
      <c r="EWG185" s="82"/>
      <c r="EWH185" s="82"/>
      <c r="EWI185" s="82"/>
      <c r="EWJ185" s="82"/>
      <c r="EWK185" s="82"/>
      <c r="EWL185" s="82"/>
      <c r="EWM185" s="82"/>
      <c r="EWN185" s="82"/>
      <c r="EWO185" s="82"/>
      <c r="EWP185" s="82"/>
      <c r="EWQ185" s="82"/>
      <c r="EWR185" s="82"/>
      <c r="EWS185" s="82"/>
      <c r="EWT185" s="82"/>
      <c r="EWU185" s="82"/>
      <c r="EWV185" s="82"/>
      <c r="EWW185" s="82"/>
      <c r="EWX185" s="82"/>
      <c r="EWY185" s="82"/>
      <c r="EWZ185" s="82"/>
      <c r="EXA185" s="82"/>
      <c r="EXB185" s="82"/>
      <c r="EXC185" s="82"/>
      <c r="EXD185" s="82"/>
      <c r="EXE185" s="82"/>
      <c r="EXF185" s="82"/>
      <c r="EXG185" s="82"/>
      <c r="EXH185" s="82"/>
      <c r="EXI185" s="82"/>
      <c r="EXJ185" s="82"/>
      <c r="EXK185" s="82"/>
      <c r="EXL185" s="82"/>
      <c r="EXM185" s="82"/>
      <c r="EXN185" s="82"/>
      <c r="EXO185" s="82"/>
      <c r="EXP185" s="82"/>
      <c r="EXQ185" s="82"/>
      <c r="EXR185" s="82"/>
      <c r="EXS185" s="82"/>
      <c r="EXT185" s="82"/>
      <c r="EXU185" s="82"/>
      <c r="EXV185" s="82"/>
      <c r="EXW185" s="82"/>
      <c r="EXX185" s="82"/>
      <c r="EXY185" s="82"/>
      <c r="EXZ185" s="82"/>
      <c r="EYA185" s="82"/>
      <c r="EYB185" s="82"/>
      <c r="EYC185" s="82"/>
      <c r="EYD185" s="82"/>
      <c r="EYE185" s="82"/>
      <c r="EYF185" s="82"/>
      <c r="EYG185" s="82"/>
      <c r="EYH185" s="82"/>
      <c r="EYI185" s="82"/>
      <c r="EYJ185" s="82"/>
      <c r="EYK185" s="82"/>
      <c r="EYL185" s="82"/>
      <c r="EYM185" s="82"/>
      <c r="EYN185" s="82"/>
      <c r="EYO185" s="82"/>
      <c r="EYP185" s="82"/>
      <c r="EYQ185" s="82"/>
      <c r="EYR185" s="82"/>
      <c r="EYS185" s="82"/>
      <c r="EYT185" s="82"/>
      <c r="EYU185" s="82"/>
      <c r="EYV185" s="82"/>
      <c r="EYW185" s="82"/>
      <c r="EYX185" s="82"/>
      <c r="EYY185" s="82"/>
      <c r="EYZ185" s="82"/>
      <c r="EZA185" s="82"/>
      <c r="EZB185" s="82"/>
      <c r="EZC185" s="82"/>
      <c r="EZD185" s="82"/>
      <c r="EZE185" s="82"/>
      <c r="EZF185" s="82"/>
      <c r="EZG185" s="82"/>
      <c r="EZH185" s="82"/>
      <c r="EZI185" s="82"/>
      <c r="EZJ185" s="82"/>
      <c r="EZK185" s="82"/>
      <c r="EZL185" s="82"/>
      <c r="EZM185" s="82"/>
      <c r="EZN185" s="82"/>
      <c r="EZO185" s="82"/>
      <c r="EZP185" s="82"/>
      <c r="EZQ185" s="82"/>
      <c r="EZR185" s="82"/>
      <c r="EZS185" s="82"/>
      <c r="EZT185" s="82"/>
      <c r="EZU185" s="82"/>
      <c r="EZV185" s="82"/>
      <c r="EZW185" s="82"/>
      <c r="EZX185" s="82"/>
      <c r="EZY185" s="82"/>
      <c r="EZZ185" s="82"/>
      <c r="FAA185" s="82"/>
      <c r="FAB185" s="82"/>
      <c r="FAC185" s="82"/>
      <c r="FAD185" s="82"/>
      <c r="FAE185" s="82"/>
      <c r="FAF185" s="82"/>
      <c r="FAG185" s="82"/>
      <c r="FAH185" s="82"/>
      <c r="FAI185" s="82"/>
      <c r="FAJ185" s="82"/>
      <c r="FAK185" s="82"/>
      <c r="FAL185" s="82"/>
      <c r="FAM185" s="82"/>
      <c r="FAN185" s="82"/>
      <c r="FAO185" s="82"/>
      <c r="FAP185" s="82"/>
      <c r="FAQ185" s="82"/>
      <c r="FAR185" s="82"/>
      <c r="FAS185" s="82"/>
      <c r="FAT185" s="82"/>
      <c r="FAU185" s="82"/>
      <c r="FAV185" s="82"/>
      <c r="FAW185" s="82"/>
      <c r="FAX185" s="82"/>
      <c r="FAY185" s="82"/>
      <c r="FAZ185" s="82"/>
      <c r="FBA185" s="82"/>
      <c r="FBB185" s="82"/>
      <c r="FBC185" s="82"/>
      <c r="FBD185" s="82"/>
      <c r="FBE185" s="82"/>
      <c r="FBF185" s="82"/>
      <c r="FBG185" s="82"/>
      <c r="FBH185" s="82"/>
      <c r="FBI185" s="82"/>
      <c r="FBJ185" s="82"/>
      <c r="FBK185" s="82"/>
      <c r="FBL185" s="82"/>
      <c r="FBM185" s="82"/>
      <c r="FBN185" s="82"/>
      <c r="FBO185" s="82"/>
      <c r="FBP185" s="82"/>
      <c r="FBQ185" s="82"/>
      <c r="FBR185" s="82"/>
      <c r="FBS185" s="82"/>
      <c r="FBT185" s="82"/>
      <c r="FBU185" s="82"/>
      <c r="FBV185" s="82"/>
      <c r="FBW185" s="82"/>
      <c r="FBX185" s="82"/>
      <c r="FBY185" s="82"/>
      <c r="FBZ185" s="82"/>
      <c r="FCA185" s="82"/>
      <c r="FCB185" s="82"/>
      <c r="FCC185" s="82"/>
      <c r="FCD185" s="82"/>
      <c r="FCE185" s="82"/>
      <c r="FCF185" s="82"/>
      <c r="FCG185" s="82"/>
      <c r="FCH185" s="82"/>
      <c r="FCI185" s="82"/>
      <c r="FCJ185" s="82"/>
      <c r="FCK185" s="82"/>
      <c r="FCL185" s="82"/>
      <c r="FCM185" s="82"/>
      <c r="FCN185" s="82"/>
      <c r="FCO185" s="82"/>
      <c r="FCP185" s="82"/>
      <c r="FCQ185" s="82"/>
      <c r="FCR185" s="82"/>
      <c r="FCS185" s="82"/>
      <c r="FCT185" s="82"/>
      <c r="FCU185" s="82"/>
      <c r="FCV185" s="82"/>
      <c r="FCW185" s="82"/>
      <c r="FCX185" s="82"/>
      <c r="FCY185" s="82"/>
      <c r="FCZ185" s="82"/>
      <c r="FDA185" s="82"/>
      <c r="FDB185" s="82"/>
      <c r="FDC185" s="82"/>
      <c r="FDD185" s="82"/>
      <c r="FDE185" s="82"/>
      <c r="FDF185" s="82"/>
      <c r="FDG185" s="82"/>
      <c r="FDH185" s="82"/>
      <c r="FDI185" s="82"/>
      <c r="FDJ185" s="82"/>
      <c r="FDK185" s="82"/>
      <c r="FDL185" s="82"/>
      <c r="FDM185" s="82"/>
      <c r="FDN185" s="82"/>
      <c r="FDO185" s="82"/>
      <c r="FDP185" s="82"/>
      <c r="FDQ185" s="82"/>
      <c r="FDR185" s="82"/>
      <c r="FDS185" s="82"/>
      <c r="FDT185" s="82"/>
      <c r="FDU185" s="82"/>
      <c r="FDV185" s="82"/>
      <c r="FDW185" s="82"/>
      <c r="FDX185" s="82"/>
      <c r="FDY185" s="82"/>
      <c r="FDZ185" s="82"/>
      <c r="FEA185" s="82"/>
      <c r="FEB185" s="82"/>
      <c r="FEC185" s="82"/>
      <c r="FED185" s="82"/>
      <c r="FEE185" s="82"/>
      <c r="FEF185" s="82"/>
      <c r="FEG185" s="82"/>
      <c r="FEH185" s="82"/>
      <c r="FEI185" s="82"/>
      <c r="FEJ185" s="82"/>
      <c r="FEK185" s="82"/>
      <c r="FEL185" s="82"/>
      <c r="FEM185" s="82"/>
      <c r="FEN185" s="82"/>
      <c r="FEO185" s="82"/>
      <c r="FEP185" s="82"/>
      <c r="FEQ185" s="82"/>
      <c r="FER185" s="82"/>
      <c r="FES185" s="82"/>
      <c r="FET185" s="82"/>
      <c r="FEU185" s="82"/>
      <c r="FEV185" s="82"/>
      <c r="FEW185" s="82"/>
      <c r="FEX185" s="82"/>
      <c r="FEY185" s="82"/>
      <c r="FEZ185" s="82"/>
      <c r="FFA185" s="82"/>
      <c r="FFB185" s="82"/>
      <c r="FFC185" s="82"/>
      <c r="FFD185" s="82"/>
      <c r="FFE185" s="82"/>
      <c r="FFF185" s="82"/>
      <c r="FFG185" s="82"/>
      <c r="FFH185" s="82"/>
      <c r="FFI185" s="82"/>
      <c r="FFJ185" s="82"/>
      <c r="FFK185" s="82"/>
      <c r="FFL185" s="82"/>
      <c r="FFM185" s="82"/>
      <c r="FFN185" s="82"/>
      <c r="FFO185" s="82"/>
      <c r="FFP185" s="82"/>
      <c r="FFQ185" s="82"/>
      <c r="FFR185" s="82"/>
      <c r="FFS185" s="82"/>
      <c r="FFT185" s="82"/>
      <c r="FFU185" s="82"/>
      <c r="FFV185" s="82"/>
      <c r="FFW185" s="82"/>
      <c r="FFX185" s="82"/>
      <c r="FFY185" s="82"/>
      <c r="FFZ185" s="82"/>
      <c r="FGA185" s="82"/>
      <c r="FGB185" s="82"/>
      <c r="FGC185" s="82"/>
      <c r="FGD185" s="82"/>
      <c r="FGE185" s="82"/>
      <c r="FGF185" s="82"/>
      <c r="FGG185" s="82"/>
      <c r="FGH185" s="82"/>
      <c r="FGI185" s="82"/>
      <c r="FGJ185" s="82"/>
      <c r="FGK185" s="82"/>
      <c r="FGL185" s="82"/>
      <c r="FGM185" s="82"/>
      <c r="FGN185" s="82"/>
      <c r="FGO185" s="82"/>
      <c r="FGP185" s="82"/>
      <c r="FGQ185" s="82"/>
      <c r="FGR185" s="82"/>
      <c r="FGS185" s="82"/>
      <c r="FGT185" s="82"/>
      <c r="FGU185" s="82"/>
      <c r="FGV185" s="82"/>
      <c r="FGW185" s="82"/>
      <c r="FGX185" s="82"/>
      <c r="FGY185" s="82"/>
      <c r="FGZ185" s="82"/>
      <c r="FHA185" s="82"/>
      <c r="FHB185" s="82"/>
      <c r="FHC185" s="82"/>
      <c r="FHD185" s="82"/>
      <c r="FHE185" s="82"/>
      <c r="FHF185" s="82"/>
      <c r="FHG185" s="82"/>
      <c r="FHH185" s="82"/>
      <c r="FHI185" s="82"/>
      <c r="FHJ185" s="82"/>
      <c r="FHK185" s="82"/>
      <c r="FHL185" s="82"/>
      <c r="FHM185" s="82"/>
      <c r="FHN185" s="82"/>
      <c r="FHO185" s="82"/>
      <c r="FHP185" s="82"/>
      <c r="FHQ185" s="82"/>
      <c r="FHR185" s="82"/>
      <c r="FHS185" s="82"/>
      <c r="FHT185" s="82"/>
      <c r="FHU185" s="82"/>
      <c r="FHV185" s="82"/>
      <c r="FHW185" s="82"/>
      <c r="FHX185" s="82"/>
      <c r="FHY185" s="82"/>
      <c r="FHZ185" s="82"/>
      <c r="FIA185" s="82"/>
      <c r="FIB185" s="82"/>
      <c r="FIC185" s="82"/>
      <c r="FID185" s="82"/>
      <c r="FIE185" s="82"/>
      <c r="FIF185" s="82"/>
      <c r="FIG185" s="82"/>
      <c r="FIH185" s="82"/>
      <c r="FII185" s="82"/>
      <c r="FIJ185" s="82"/>
      <c r="FIK185" s="82"/>
      <c r="FIL185" s="82"/>
      <c r="FIM185" s="82"/>
      <c r="FIN185" s="82"/>
      <c r="FIO185" s="82"/>
      <c r="FIP185" s="82"/>
      <c r="FIQ185" s="82"/>
      <c r="FIR185" s="82"/>
      <c r="FIS185" s="82"/>
      <c r="FIT185" s="82"/>
      <c r="FIU185" s="82"/>
      <c r="FIV185" s="82"/>
      <c r="FIW185" s="82"/>
      <c r="FIX185" s="82"/>
      <c r="FIY185" s="82"/>
      <c r="FIZ185" s="82"/>
      <c r="FJA185" s="82"/>
      <c r="FJB185" s="82"/>
      <c r="FJC185" s="82"/>
      <c r="FJD185" s="82"/>
      <c r="FJE185" s="82"/>
      <c r="FJF185" s="82"/>
      <c r="FJG185" s="82"/>
      <c r="FJH185" s="82"/>
      <c r="FJI185" s="82"/>
      <c r="FJJ185" s="82"/>
      <c r="FJK185" s="82"/>
      <c r="FJL185" s="82"/>
      <c r="FJM185" s="82"/>
      <c r="FJN185" s="82"/>
      <c r="FJO185" s="82"/>
      <c r="FJP185" s="82"/>
      <c r="FJQ185" s="82"/>
      <c r="FJR185" s="82"/>
      <c r="FJS185" s="82"/>
      <c r="FJT185" s="82"/>
      <c r="FJU185" s="82"/>
      <c r="FJV185" s="82"/>
      <c r="FJW185" s="82"/>
      <c r="FJX185" s="82"/>
      <c r="FJY185" s="82"/>
      <c r="FJZ185" s="82"/>
      <c r="FKA185" s="82"/>
      <c r="FKB185" s="82"/>
      <c r="FKC185" s="82"/>
      <c r="FKD185" s="82"/>
      <c r="FKE185" s="82"/>
      <c r="FKF185" s="82"/>
      <c r="FKG185" s="82"/>
      <c r="FKH185" s="82"/>
      <c r="FKI185" s="82"/>
      <c r="FKJ185" s="82"/>
      <c r="FKK185" s="82"/>
      <c r="FKL185" s="82"/>
      <c r="FKM185" s="82"/>
      <c r="FKN185" s="82"/>
      <c r="FKO185" s="82"/>
      <c r="FKP185" s="82"/>
      <c r="FKQ185" s="82"/>
      <c r="FKR185" s="82"/>
      <c r="FKS185" s="82"/>
      <c r="FKT185" s="82"/>
      <c r="FKU185" s="82"/>
      <c r="FKV185" s="82"/>
      <c r="FKW185" s="82"/>
      <c r="FKX185" s="82"/>
      <c r="FKY185" s="82"/>
      <c r="FKZ185" s="82"/>
      <c r="FLA185" s="82"/>
      <c r="FLB185" s="82"/>
      <c r="FLC185" s="82"/>
      <c r="FLD185" s="82"/>
      <c r="FLE185" s="82"/>
      <c r="FLF185" s="82"/>
      <c r="FLG185" s="82"/>
      <c r="FLH185" s="82"/>
      <c r="FLI185" s="82"/>
      <c r="FLJ185" s="82"/>
      <c r="FLK185" s="82"/>
      <c r="FLL185" s="82"/>
      <c r="FLM185" s="82"/>
      <c r="FLN185" s="82"/>
      <c r="FLO185" s="82"/>
      <c r="FLP185" s="82"/>
      <c r="FLQ185" s="82"/>
      <c r="FLR185" s="82"/>
      <c r="FLS185" s="82"/>
      <c r="FLT185" s="82"/>
      <c r="FLU185" s="82"/>
      <c r="FLV185" s="82"/>
      <c r="FLW185" s="82"/>
      <c r="FLX185" s="82"/>
      <c r="FLY185" s="82"/>
      <c r="FLZ185" s="82"/>
      <c r="FMA185" s="82"/>
      <c r="FMB185" s="82"/>
      <c r="FMC185" s="82"/>
      <c r="FMD185" s="82"/>
      <c r="FME185" s="82"/>
      <c r="FMF185" s="82"/>
      <c r="FMG185" s="82"/>
      <c r="FMH185" s="82"/>
      <c r="FMI185" s="82"/>
      <c r="FMJ185" s="82"/>
      <c r="FMK185" s="82"/>
      <c r="FML185" s="82"/>
      <c r="FMM185" s="82"/>
      <c r="FMN185" s="82"/>
      <c r="FMO185" s="82"/>
      <c r="FMP185" s="82"/>
      <c r="FMQ185" s="82"/>
      <c r="FMR185" s="82"/>
      <c r="FMS185" s="82"/>
      <c r="FMT185" s="82"/>
      <c r="FMU185" s="82"/>
      <c r="FMV185" s="82"/>
      <c r="FMW185" s="82"/>
      <c r="FMX185" s="82"/>
      <c r="FMY185" s="82"/>
      <c r="FMZ185" s="82"/>
      <c r="FNA185" s="82"/>
      <c r="FNB185" s="82"/>
      <c r="FNC185" s="82"/>
      <c r="FND185" s="82"/>
      <c r="FNE185" s="82"/>
      <c r="FNF185" s="82"/>
      <c r="FNG185" s="82"/>
      <c r="FNH185" s="82"/>
      <c r="FNI185" s="82"/>
      <c r="FNJ185" s="82"/>
      <c r="FNK185" s="82"/>
      <c r="FNL185" s="82"/>
      <c r="FNM185" s="82"/>
      <c r="FNN185" s="82"/>
      <c r="FNO185" s="82"/>
      <c r="FNP185" s="82"/>
      <c r="FNQ185" s="82"/>
      <c r="FNR185" s="82"/>
      <c r="FNS185" s="82"/>
      <c r="FNT185" s="82"/>
      <c r="FNU185" s="82"/>
      <c r="FNV185" s="82"/>
      <c r="FNW185" s="82"/>
      <c r="FNX185" s="82"/>
      <c r="FNY185" s="82"/>
      <c r="FNZ185" s="82"/>
      <c r="FOA185" s="82"/>
      <c r="FOB185" s="82"/>
      <c r="FOC185" s="82"/>
      <c r="FOD185" s="82"/>
      <c r="FOE185" s="82"/>
      <c r="FOF185" s="82"/>
      <c r="FOG185" s="82"/>
      <c r="FOH185" s="82"/>
      <c r="FOI185" s="82"/>
      <c r="FOJ185" s="82"/>
      <c r="FOK185" s="82"/>
      <c r="FOL185" s="82"/>
      <c r="FOM185" s="82"/>
      <c r="FON185" s="82"/>
      <c r="FOO185" s="82"/>
      <c r="FOP185" s="82"/>
      <c r="FOQ185" s="82"/>
      <c r="FOR185" s="82"/>
      <c r="FOS185" s="82"/>
      <c r="FOT185" s="82"/>
      <c r="FOU185" s="82"/>
      <c r="FOV185" s="82"/>
      <c r="FOW185" s="82"/>
      <c r="FOX185" s="82"/>
      <c r="FOY185" s="82"/>
      <c r="FOZ185" s="82"/>
      <c r="FPA185" s="82"/>
      <c r="FPB185" s="82"/>
      <c r="FPC185" s="82"/>
      <c r="FPD185" s="82"/>
      <c r="FPE185" s="82"/>
      <c r="FPF185" s="82"/>
      <c r="FPG185" s="82"/>
      <c r="FPH185" s="82"/>
      <c r="FPI185" s="82"/>
      <c r="FPJ185" s="82"/>
      <c r="FPK185" s="82"/>
      <c r="FPL185" s="82"/>
      <c r="FPM185" s="82"/>
      <c r="FPN185" s="82"/>
      <c r="FPO185" s="82"/>
      <c r="FPP185" s="82"/>
      <c r="FPQ185" s="82"/>
      <c r="FPR185" s="82"/>
      <c r="FPS185" s="82"/>
      <c r="FPT185" s="82"/>
      <c r="FPU185" s="82"/>
      <c r="FPV185" s="82"/>
      <c r="FPW185" s="82"/>
      <c r="FPX185" s="82"/>
      <c r="FPY185" s="82"/>
      <c r="FPZ185" s="82"/>
      <c r="FQA185" s="82"/>
      <c r="FQB185" s="82"/>
      <c r="FQC185" s="82"/>
      <c r="FQD185" s="82"/>
      <c r="FQE185" s="82"/>
      <c r="FQF185" s="82"/>
      <c r="FQG185" s="82"/>
      <c r="FQH185" s="82"/>
      <c r="FQI185" s="82"/>
      <c r="FQJ185" s="82"/>
      <c r="FQK185" s="82"/>
      <c r="FQL185" s="82"/>
      <c r="FQM185" s="82"/>
      <c r="FQN185" s="82"/>
      <c r="FQO185" s="82"/>
      <c r="FQP185" s="82"/>
      <c r="FQQ185" s="82"/>
      <c r="FQR185" s="82"/>
      <c r="FQS185" s="82"/>
      <c r="FQT185" s="82"/>
      <c r="FQU185" s="82"/>
      <c r="FQV185" s="82"/>
      <c r="FQW185" s="82"/>
      <c r="FQX185" s="82"/>
      <c r="FQY185" s="82"/>
      <c r="FQZ185" s="82"/>
      <c r="FRA185" s="82"/>
      <c r="FRB185" s="82"/>
      <c r="FRC185" s="82"/>
      <c r="FRD185" s="82"/>
      <c r="FRE185" s="82"/>
      <c r="FRF185" s="82"/>
      <c r="FRG185" s="82"/>
      <c r="FRH185" s="82"/>
      <c r="FRI185" s="82"/>
      <c r="FRJ185" s="82"/>
      <c r="FRK185" s="82"/>
      <c r="FRL185" s="82"/>
      <c r="FRM185" s="82"/>
      <c r="FRN185" s="82"/>
      <c r="FRO185" s="82"/>
      <c r="FRP185" s="82"/>
      <c r="FRQ185" s="82"/>
      <c r="FRR185" s="82"/>
      <c r="FRS185" s="82"/>
      <c r="FRT185" s="82"/>
      <c r="FRU185" s="82"/>
      <c r="FRV185" s="82"/>
      <c r="FRW185" s="82"/>
      <c r="FRX185" s="82"/>
      <c r="FRY185" s="82"/>
      <c r="FRZ185" s="82"/>
      <c r="FSA185" s="82"/>
      <c r="FSB185" s="82"/>
      <c r="FSC185" s="82"/>
      <c r="FSD185" s="82"/>
      <c r="FSE185" s="82"/>
      <c r="FSF185" s="82"/>
      <c r="FSG185" s="82"/>
      <c r="FSH185" s="82"/>
      <c r="FSI185" s="82"/>
      <c r="FSJ185" s="82"/>
      <c r="FSK185" s="82"/>
      <c r="FSL185" s="82"/>
      <c r="FSM185" s="82"/>
      <c r="FSN185" s="82"/>
      <c r="FSO185" s="82"/>
      <c r="FSP185" s="82"/>
      <c r="FSQ185" s="82"/>
      <c r="FSR185" s="82"/>
      <c r="FSS185" s="82"/>
      <c r="FST185" s="82"/>
      <c r="FSU185" s="82"/>
      <c r="FSV185" s="82"/>
      <c r="FSW185" s="82"/>
      <c r="FSX185" s="82"/>
      <c r="FSY185" s="82"/>
      <c r="FSZ185" s="82"/>
      <c r="FTA185" s="82"/>
      <c r="FTB185" s="82"/>
      <c r="FTC185" s="82"/>
      <c r="FTD185" s="82"/>
      <c r="FTE185" s="82"/>
      <c r="FTF185" s="82"/>
      <c r="FTG185" s="82"/>
      <c r="FTH185" s="82"/>
      <c r="FTI185" s="82"/>
      <c r="FTJ185" s="82"/>
      <c r="FTK185" s="82"/>
      <c r="FTL185" s="82"/>
      <c r="FTM185" s="82"/>
      <c r="FTN185" s="82"/>
      <c r="FTO185" s="82"/>
      <c r="FTP185" s="82"/>
      <c r="FTQ185" s="82"/>
      <c r="FTR185" s="82"/>
      <c r="FTS185" s="82"/>
      <c r="FTT185" s="82"/>
      <c r="FTU185" s="82"/>
      <c r="FTV185" s="82"/>
      <c r="FTW185" s="82"/>
      <c r="FTX185" s="82"/>
      <c r="FTY185" s="82"/>
      <c r="FTZ185" s="82"/>
      <c r="FUA185" s="82"/>
      <c r="FUB185" s="82"/>
      <c r="FUC185" s="82"/>
      <c r="FUD185" s="82"/>
      <c r="FUE185" s="82"/>
      <c r="FUF185" s="82"/>
      <c r="FUG185" s="82"/>
      <c r="FUH185" s="82"/>
      <c r="FUI185" s="82"/>
      <c r="FUJ185" s="82"/>
      <c r="FUK185" s="82"/>
      <c r="FUL185" s="82"/>
      <c r="FUM185" s="82"/>
      <c r="FUN185" s="82"/>
      <c r="FUO185" s="82"/>
      <c r="FUP185" s="82"/>
      <c r="FUQ185" s="82"/>
      <c r="FUR185" s="82"/>
      <c r="FUS185" s="82"/>
      <c r="FUT185" s="82"/>
      <c r="FUU185" s="82"/>
      <c r="FUV185" s="82"/>
      <c r="FUW185" s="82"/>
      <c r="FUX185" s="82"/>
      <c r="FUY185" s="82"/>
      <c r="FUZ185" s="82"/>
      <c r="FVA185" s="82"/>
      <c r="FVB185" s="82"/>
      <c r="FVC185" s="82"/>
      <c r="FVD185" s="82"/>
      <c r="FVE185" s="82"/>
      <c r="FVF185" s="82"/>
      <c r="FVG185" s="82"/>
      <c r="FVH185" s="82"/>
      <c r="FVI185" s="82"/>
      <c r="FVJ185" s="82"/>
      <c r="FVK185" s="82"/>
      <c r="FVL185" s="82"/>
      <c r="FVM185" s="82"/>
      <c r="FVN185" s="82"/>
      <c r="FVO185" s="82"/>
      <c r="FVP185" s="82"/>
      <c r="FVQ185" s="82"/>
      <c r="FVR185" s="82"/>
      <c r="FVS185" s="82"/>
      <c r="FVT185" s="82"/>
      <c r="FVU185" s="82"/>
      <c r="FVV185" s="82"/>
      <c r="FVW185" s="82"/>
      <c r="FVX185" s="82"/>
      <c r="FVY185" s="82"/>
      <c r="FVZ185" s="82"/>
      <c r="FWA185" s="82"/>
      <c r="FWB185" s="82"/>
      <c r="FWC185" s="82"/>
      <c r="FWD185" s="82"/>
      <c r="FWE185" s="82"/>
      <c r="FWF185" s="82"/>
      <c r="FWG185" s="82"/>
      <c r="FWH185" s="82"/>
      <c r="FWI185" s="82"/>
      <c r="FWJ185" s="82"/>
      <c r="FWK185" s="82"/>
      <c r="FWL185" s="82"/>
      <c r="FWM185" s="82"/>
      <c r="FWN185" s="82"/>
      <c r="FWO185" s="82"/>
      <c r="FWP185" s="82"/>
      <c r="FWQ185" s="82"/>
      <c r="FWR185" s="82"/>
      <c r="FWS185" s="82"/>
      <c r="FWT185" s="82"/>
      <c r="FWU185" s="82"/>
      <c r="FWV185" s="82"/>
      <c r="FWW185" s="82"/>
      <c r="FWX185" s="82"/>
      <c r="FWY185" s="82"/>
      <c r="FWZ185" s="82"/>
      <c r="FXA185" s="82"/>
      <c r="FXB185" s="82"/>
      <c r="FXC185" s="82"/>
      <c r="FXD185" s="82"/>
      <c r="FXE185" s="82"/>
      <c r="FXF185" s="82"/>
      <c r="FXG185" s="82"/>
      <c r="FXH185" s="82"/>
      <c r="FXI185" s="82"/>
      <c r="FXJ185" s="82"/>
      <c r="FXK185" s="82"/>
      <c r="FXL185" s="82"/>
      <c r="FXM185" s="82"/>
      <c r="FXN185" s="82"/>
      <c r="FXO185" s="82"/>
      <c r="FXP185" s="82"/>
      <c r="FXQ185" s="82"/>
      <c r="FXR185" s="82"/>
      <c r="FXS185" s="82"/>
      <c r="FXT185" s="82"/>
      <c r="FXU185" s="82"/>
      <c r="FXV185" s="82"/>
      <c r="FXW185" s="82"/>
      <c r="FXX185" s="82"/>
      <c r="FXY185" s="82"/>
      <c r="FXZ185" s="82"/>
      <c r="FYA185" s="82"/>
      <c r="FYB185" s="82"/>
      <c r="FYC185" s="82"/>
      <c r="FYD185" s="82"/>
      <c r="FYE185" s="82"/>
      <c r="FYF185" s="82"/>
      <c r="FYG185" s="82"/>
      <c r="FYH185" s="82"/>
      <c r="FYI185" s="82"/>
      <c r="FYJ185" s="82"/>
      <c r="FYK185" s="82"/>
      <c r="FYL185" s="82"/>
      <c r="FYM185" s="82"/>
      <c r="FYN185" s="82"/>
      <c r="FYO185" s="82"/>
      <c r="FYP185" s="82"/>
      <c r="FYQ185" s="82"/>
      <c r="FYR185" s="82"/>
      <c r="FYS185" s="82"/>
      <c r="FYT185" s="82"/>
      <c r="FYU185" s="82"/>
      <c r="FYV185" s="82"/>
      <c r="FYW185" s="82"/>
      <c r="FYX185" s="82"/>
      <c r="FYY185" s="82"/>
      <c r="FYZ185" s="82"/>
      <c r="FZA185" s="82"/>
      <c r="FZB185" s="82"/>
      <c r="FZC185" s="82"/>
      <c r="FZD185" s="82"/>
      <c r="FZE185" s="82"/>
      <c r="FZF185" s="82"/>
      <c r="FZG185" s="82"/>
      <c r="FZH185" s="82"/>
      <c r="FZI185" s="82"/>
      <c r="FZJ185" s="82"/>
      <c r="FZK185" s="82"/>
      <c r="FZL185" s="82"/>
      <c r="FZM185" s="82"/>
      <c r="FZN185" s="82"/>
      <c r="FZO185" s="82"/>
      <c r="FZP185" s="82"/>
      <c r="FZQ185" s="82"/>
      <c r="FZR185" s="82"/>
      <c r="FZS185" s="82"/>
      <c r="FZT185" s="82"/>
      <c r="FZU185" s="82"/>
      <c r="FZV185" s="82"/>
      <c r="FZW185" s="82"/>
      <c r="FZX185" s="82"/>
      <c r="FZY185" s="82"/>
      <c r="FZZ185" s="82"/>
      <c r="GAA185" s="82"/>
      <c r="GAB185" s="82"/>
      <c r="GAC185" s="82"/>
      <c r="GAD185" s="82"/>
      <c r="GAE185" s="82"/>
      <c r="GAF185" s="82"/>
      <c r="GAG185" s="82"/>
      <c r="GAH185" s="82"/>
      <c r="GAI185" s="82"/>
      <c r="GAJ185" s="82"/>
      <c r="GAK185" s="82"/>
      <c r="GAL185" s="82"/>
      <c r="GAM185" s="82"/>
      <c r="GAN185" s="82"/>
      <c r="GAO185" s="82"/>
      <c r="GAP185" s="82"/>
      <c r="GAQ185" s="82"/>
      <c r="GAR185" s="82"/>
      <c r="GAS185" s="82"/>
      <c r="GAT185" s="82"/>
      <c r="GAU185" s="82"/>
      <c r="GAV185" s="82"/>
      <c r="GAW185" s="82"/>
      <c r="GAX185" s="82"/>
      <c r="GAY185" s="82"/>
      <c r="GAZ185" s="82"/>
      <c r="GBA185" s="82"/>
      <c r="GBB185" s="82"/>
      <c r="GBC185" s="82"/>
      <c r="GBD185" s="82"/>
      <c r="GBE185" s="82"/>
      <c r="GBF185" s="82"/>
      <c r="GBG185" s="82"/>
      <c r="GBH185" s="82"/>
      <c r="GBI185" s="82"/>
      <c r="GBJ185" s="82"/>
      <c r="GBK185" s="82"/>
      <c r="GBL185" s="82"/>
      <c r="GBM185" s="82"/>
      <c r="GBN185" s="82"/>
      <c r="GBO185" s="82"/>
      <c r="GBP185" s="82"/>
      <c r="GBQ185" s="82"/>
      <c r="GBR185" s="82"/>
      <c r="GBS185" s="82"/>
      <c r="GBT185" s="82"/>
      <c r="GBU185" s="82"/>
      <c r="GBV185" s="82"/>
      <c r="GBW185" s="82"/>
      <c r="GBX185" s="82"/>
      <c r="GBY185" s="82"/>
      <c r="GBZ185" s="82"/>
      <c r="GCA185" s="82"/>
      <c r="GCB185" s="82"/>
      <c r="GCC185" s="82"/>
      <c r="GCD185" s="82"/>
      <c r="GCE185" s="82"/>
      <c r="GCF185" s="82"/>
      <c r="GCG185" s="82"/>
      <c r="GCH185" s="82"/>
      <c r="GCI185" s="82"/>
      <c r="GCJ185" s="82"/>
      <c r="GCK185" s="82"/>
      <c r="GCL185" s="82"/>
      <c r="GCM185" s="82"/>
      <c r="GCN185" s="82"/>
      <c r="GCO185" s="82"/>
      <c r="GCP185" s="82"/>
      <c r="GCQ185" s="82"/>
      <c r="GCR185" s="82"/>
      <c r="GCS185" s="82"/>
      <c r="GCT185" s="82"/>
      <c r="GCU185" s="82"/>
      <c r="GCV185" s="82"/>
      <c r="GCW185" s="82"/>
      <c r="GCX185" s="82"/>
      <c r="GCY185" s="82"/>
      <c r="GCZ185" s="82"/>
      <c r="GDA185" s="82"/>
      <c r="GDB185" s="82"/>
      <c r="GDC185" s="82"/>
      <c r="GDD185" s="82"/>
      <c r="GDE185" s="82"/>
      <c r="GDF185" s="82"/>
      <c r="GDG185" s="82"/>
      <c r="GDH185" s="82"/>
      <c r="GDI185" s="82"/>
      <c r="GDJ185" s="82"/>
      <c r="GDK185" s="82"/>
      <c r="GDL185" s="82"/>
      <c r="GDM185" s="82"/>
      <c r="GDN185" s="82"/>
      <c r="GDO185" s="82"/>
      <c r="GDP185" s="82"/>
      <c r="GDQ185" s="82"/>
      <c r="GDR185" s="82"/>
      <c r="GDS185" s="82"/>
      <c r="GDT185" s="82"/>
      <c r="GDU185" s="82"/>
      <c r="GDV185" s="82"/>
      <c r="GDW185" s="82"/>
      <c r="GDX185" s="82"/>
      <c r="GDY185" s="82"/>
      <c r="GDZ185" s="82"/>
      <c r="GEA185" s="82"/>
      <c r="GEB185" s="82"/>
      <c r="GEC185" s="82"/>
      <c r="GED185" s="82"/>
      <c r="GEE185" s="82"/>
      <c r="GEF185" s="82"/>
      <c r="GEG185" s="82"/>
      <c r="GEH185" s="82"/>
      <c r="GEI185" s="82"/>
      <c r="GEJ185" s="82"/>
      <c r="GEK185" s="82"/>
      <c r="GEL185" s="82"/>
      <c r="GEM185" s="82"/>
      <c r="GEN185" s="82"/>
      <c r="GEO185" s="82"/>
      <c r="GEP185" s="82"/>
      <c r="GEQ185" s="82"/>
      <c r="GER185" s="82"/>
      <c r="GES185" s="82"/>
      <c r="GET185" s="82"/>
      <c r="GEU185" s="82"/>
      <c r="GEV185" s="82"/>
      <c r="GEW185" s="82"/>
      <c r="GEX185" s="82"/>
      <c r="GEY185" s="82"/>
      <c r="GEZ185" s="82"/>
      <c r="GFA185" s="82"/>
      <c r="GFB185" s="82"/>
      <c r="GFC185" s="82"/>
      <c r="GFD185" s="82"/>
      <c r="GFE185" s="82"/>
      <c r="GFF185" s="82"/>
      <c r="GFG185" s="82"/>
      <c r="GFH185" s="82"/>
      <c r="GFI185" s="82"/>
      <c r="GFJ185" s="82"/>
      <c r="GFK185" s="82"/>
      <c r="GFL185" s="82"/>
      <c r="GFM185" s="82"/>
      <c r="GFN185" s="82"/>
      <c r="GFO185" s="82"/>
      <c r="GFP185" s="82"/>
      <c r="GFQ185" s="82"/>
      <c r="GFR185" s="82"/>
      <c r="GFS185" s="82"/>
      <c r="GFT185" s="82"/>
      <c r="GFU185" s="82"/>
      <c r="GFV185" s="82"/>
      <c r="GFW185" s="82"/>
      <c r="GFX185" s="82"/>
      <c r="GFY185" s="82"/>
      <c r="GFZ185" s="82"/>
      <c r="GGA185" s="82"/>
      <c r="GGB185" s="82"/>
      <c r="GGC185" s="82"/>
      <c r="GGD185" s="82"/>
      <c r="GGE185" s="82"/>
      <c r="GGF185" s="82"/>
      <c r="GGG185" s="82"/>
      <c r="GGH185" s="82"/>
      <c r="GGI185" s="82"/>
      <c r="GGJ185" s="82"/>
      <c r="GGK185" s="82"/>
      <c r="GGL185" s="82"/>
      <c r="GGM185" s="82"/>
      <c r="GGN185" s="82"/>
      <c r="GGO185" s="82"/>
      <c r="GGP185" s="82"/>
      <c r="GGQ185" s="82"/>
      <c r="GGR185" s="82"/>
      <c r="GGS185" s="82"/>
      <c r="GGT185" s="82"/>
      <c r="GGU185" s="82"/>
      <c r="GGV185" s="82"/>
      <c r="GGW185" s="82"/>
      <c r="GGX185" s="82"/>
      <c r="GGY185" s="82"/>
      <c r="GGZ185" s="82"/>
      <c r="GHA185" s="82"/>
      <c r="GHB185" s="82"/>
      <c r="GHC185" s="82"/>
      <c r="GHD185" s="82"/>
      <c r="GHE185" s="82"/>
      <c r="GHF185" s="82"/>
      <c r="GHG185" s="82"/>
      <c r="GHH185" s="82"/>
      <c r="GHI185" s="82"/>
      <c r="GHJ185" s="82"/>
      <c r="GHK185" s="82"/>
      <c r="GHL185" s="82"/>
      <c r="GHM185" s="82"/>
      <c r="GHN185" s="82"/>
      <c r="GHO185" s="82"/>
      <c r="GHP185" s="82"/>
      <c r="GHQ185" s="82"/>
      <c r="GHR185" s="82"/>
      <c r="GHS185" s="82"/>
      <c r="GHT185" s="82"/>
      <c r="GHU185" s="82"/>
      <c r="GHV185" s="82"/>
      <c r="GHW185" s="82"/>
      <c r="GHX185" s="82"/>
      <c r="GHY185" s="82"/>
      <c r="GHZ185" s="82"/>
      <c r="GIA185" s="82"/>
      <c r="GIB185" s="82"/>
      <c r="GIC185" s="82"/>
      <c r="GID185" s="82"/>
      <c r="GIE185" s="82"/>
      <c r="GIF185" s="82"/>
      <c r="GIG185" s="82"/>
      <c r="GIH185" s="82"/>
      <c r="GII185" s="82"/>
      <c r="GIJ185" s="82"/>
      <c r="GIK185" s="82"/>
      <c r="GIL185" s="82"/>
      <c r="GIM185" s="82"/>
      <c r="GIN185" s="82"/>
      <c r="GIO185" s="82"/>
      <c r="GIP185" s="82"/>
      <c r="GIQ185" s="82"/>
      <c r="GIR185" s="82"/>
      <c r="GIS185" s="82"/>
      <c r="GIT185" s="82"/>
      <c r="GIU185" s="82"/>
      <c r="GIV185" s="82"/>
      <c r="GIW185" s="82"/>
      <c r="GIX185" s="82"/>
      <c r="GIY185" s="82"/>
      <c r="GIZ185" s="82"/>
      <c r="GJA185" s="82"/>
      <c r="GJB185" s="82"/>
      <c r="GJC185" s="82"/>
      <c r="GJD185" s="82"/>
      <c r="GJE185" s="82"/>
      <c r="GJF185" s="82"/>
      <c r="GJG185" s="82"/>
      <c r="GJH185" s="82"/>
      <c r="GJI185" s="82"/>
      <c r="GJJ185" s="82"/>
      <c r="GJK185" s="82"/>
      <c r="GJL185" s="82"/>
      <c r="GJM185" s="82"/>
      <c r="GJN185" s="82"/>
      <c r="GJO185" s="82"/>
      <c r="GJP185" s="82"/>
      <c r="GJQ185" s="82"/>
      <c r="GJR185" s="82"/>
      <c r="GJS185" s="82"/>
      <c r="GJT185" s="82"/>
      <c r="GJU185" s="82"/>
      <c r="GJV185" s="82"/>
      <c r="GJW185" s="82"/>
      <c r="GJX185" s="82"/>
      <c r="GJY185" s="82"/>
      <c r="GJZ185" s="82"/>
      <c r="GKA185" s="82"/>
      <c r="GKB185" s="82"/>
      <c r="GKC185" s="82"/>
      <c r="GKD185" s="82"/>
      <c r="GKE185" s="82"/>
      <c r="GKF185" s="82"/>
      <c r="GKG185" s="82"/>
      <c r="GKH185" s="82"/>
      <c r="GKI185" s="82"/>
      <c r="GKJ185" s="82"/>
      <c r="GKK185" s="82"/>
      <c r="GKL185" s="82"/>
      <c r="GKM185" s="82"/>
      <c r="GKN185" s="82"/>
      <c r="GKO185" s="82"/>
      <c r="GKP185" s="82"/>
      <c r="GKQ185" s="82"/>
      <c r="GKR185" s="82"/>
      <c r="GKS185" s="82"/>
      <c r="GKT185" s="82"/>
      <c r="GKU185" s="82"/>
      <c r="GKV185" s="82"/>
      <c r="GKW185" s="82"/>
      <c r="GKX185" s="82"/>
      <c r="GKY185" s="82"/>
      <c r="GKZ185" s="82"/>
      <c r="GLA185" s="82"/>
      <c r="GLB185" s="82"/>
      <c r="GLC185" s="82"/>
      <c r="GLD185" s="82"/>
      <c r="GLE185" s="82"/>
      <c r="GLF185" s="82"/>
      <c r="GLG185" s="82"/>
      <c r="GLH185" s="82"/>
      <c r="GLI185" s="82"/>
      <c r="GLJ185" s="82"/>
      <c r="GLK185" s="82"/>
      <c r="GLL185" s="82"/>
      <c r="GLM185" s="82"/>
      <c r="GLN185" s="82"/>
      <c r="GLO185" s="82"/>
      <c r="GLP185" s="82"/>
      <c r="GLQ185" s="82"/>
      <c r="GLR185" s="82"/>
      <c r="GLS185" s="82"/>
      <c r="GLT185" s="82"/>
      <c r="GLU185" s="82"/>
      <c r="GLV185" s="82"/>
      <c r="GLW185" s="82"/>
      <c r="GLX185" s="82"/>
      <c r="GLY185" s="82"/>
      <c r="GLZ185" s="82"/>
      <c r="GMA185" s="82"/>
      <c r="GMB185" s="82"/>
      <c r="GMC185" s="82"/>
      <c r="GMD185" s="82"/>
      <c r="GME185" s="82"/>
      <c r="GMF185" s="82"/>
      <c r="GMG185" s="82"/>
      <c r="GMH185" s="82"/>
      <c r="GMI185" s="82"/>
      <c r="GMJ185" s="82"/>
      <c r="GMK185" s="82"/>
      <c r="GML185" s="82"/>
      <c r="GMM185" s="82"/>
      <c r="GMN185" s="82"/>
      <c r="GMO185" s="82"/>
      <c r="GMP185" s="82"/>
      <c r="GMQ185" s="82"/>
      <c r="GMR185" s="82"/>
      <c r="GMS185" s="82"/>
      <c r="GMT185" s="82"/>
      <c r="GMU185" s="82"/>
      <c r="GMV185" s="82"/>
      <c r="GMW185" s="82"/>
      <c r="GMX185" s="82"/>
      <c r="GMY185" s="82"/>
      <c r="GMZ185" s="82"/>
      <c r="GNA185" s="82"/>
      <c r="GNB185" s="82"/>
      <c r="GNC185" s="82"/>
      <c r="GND185" s="82"/>
      <c r="GNE185" s="82"/>
      <c r="GNF185" s="82"/>
      <c r="GNG185" s="82"/>
      <c r="GNH185" s="82"/>
      <c r="GNI185" s="82"/>
      <c r="GNJ185" s="82"/>
      <c r="GNK185" s="82"/>
      <c r="GNL185" s="82"/>
      <c r="GNM185" s="82"/>
      <c r="GNN185" s="82"/>
      <c r="GNO185" s="82"/>
      <c r="GNP185" s="82"/>
      <c r="GNQ185" s="82"/>
      <c r="GNR185" s="82"/>
      <c r="GNS185" s="82"/>
      <c r="GNT185" s="82"/>
      <c r="GNU185" s="82"/>
      <c r="GNV185" s="82"/>
      <c r="GNW185" s="82"/>
      <c r="GNX185" s="82"/>
      <c r="GNY185" s="82"/>
      <c r="GNZ185" s="82"/>
      <c r="GOA185" s="82"/>
      <c r="GOB185" s="82"/>
      <c r="GOC185" s="82"/>
      <c r="GOD185" s="82"/>
      <c r="GOE185" s="82"/>
      <c r="GOF185" s="82"/>
      <c r="GOG185" s="82"/>
      <c r="GOH185" s="82"/>
      <c r="GOI185" s="82"/>
      <c r="GOJ185" s="82"/>
      <c r="GOK185" s="82"/>
      <c r="GOL185" s="82"/>
      <c r="GOM185" s="82"/>
      <c r="GON185" s="82"/>
      <c r="GOO185" s="82"/>
      <c r="GOP185" s="82"/>
      <c r="GOQ185" s="82"/>
      <c r="GOR185" s="82"/>
      <c r="GOS185" s="82"/>
      <c r="GOT185" s="82"/>
      <c r="GOU185" s="82"/>
      <c r="GOV185" s="82"/>
      <c r="GOW185" s="82"/>
      <c r="GOX185" s="82"/>
      <c r="GOY185" s="82"/>
      <c r="GOZ185" s="82"/>
      <c r="GPA185" s="82"/>
      <c r="GPB185" s="82"/>
      <c r="GPC185" s="82"/>
      <c r="GPD185" s="82"/>
      <c r="GPE185" s="82"/>
      <c r="GPF185" s="82"/>
      <c r="GPG185" s="82"/>
      <c r="GPH185" s="82"/>
      <c r="GPI185" s="82"/>
      <c r="GPJ185" s="82"/>
      <c r="GPK185" s="82"/>
      <c r="GPL185" s="82"/>
      <c r="GPM185" s="82"/>
      <c r="GPN185" s="82"/>
      <c r="GPO185" s="82"/>
      <c r="GPP185" s="82"/>
      <c r="GPQ185" s="82"/>
      <c r="GPR185" s="82"/>
      <c r="GPS185" s="82"/>
      <c r="GPT185" s="82"/>
      <c r="GPU185" s="82"/>
      <c r="GPV185" s="82"/>
      <c r="GPW185" s="82"/>
      <c r="GPX185" s="82"/>
      <c r="GPY185" s="82"/>
      <c r="GPZ185" s="82"/>
      <c r="GQA185" s="82"/>
      <c r="GQB185" s="82"/>
      <c r="GQC185" s="82"/>
      <c r="GQD185" s="82"/>
      <c r="GQE185" s="82"/>
      <c r="GQF185" s="82"/>
      <c r="GQG185" s="82"/>
      <c r="GQH185" s="82"/>
      <c r="GQI185" s="82"/>
      <c r="GQJ185" s="82"/>
      <c r="GQK185" s="82"/>
      <c r="GQL185" s="82"/>
      <c r="GQM185" s="82"/>
      <c r="GQN185" s="82"/>
      <c r="GQO185" s="82"/>
      <c r="GQP185" s="82"/>
      <c r="GQQ185" s="82"/>
      <c r="GQR185" s="82"/>
      <c r="GQS185" s="82"/>
      <c r="GQT185" s="82"/>
      <c r="GQU185" s="82"/>
      <c r="GQV185" s="82"/>
      <c r="GQW185" s="82"/>
      <c r="GQX185" s="82"/>
      <c r="GQY185" s="82"/>
      <c r="GQZ185" s="82"/>
      <c r="GRA185" s="82"/>
      <c r="GRB185" s="82"/>
      <c r="GRC185" s="82"/>
      <c r="GRD185" s="82"/>
      <c r="GRE185" s="82"/>
      <c r="GRF185" s="82"/>
      <c r="GRG185" s="82"/>
      <c r="GRH185" s="82"/>
      <c r="GRI185" s="82"/>
      <c r="GRJ185" s="82"/>
      <c r="GRK185" s="82"/>
      <c r="GRL185" s="82"/>
      <c r="GRM185" s="82"/>
      <c r="GRN185" s="82"/>
      <c r="GRO185" s="82"/>
      <c r="GRP185" s="82"/>
      <c r="GRQ185" s="82"/>
      <c r="GRR185" s="82"/>
      <c r="GRS185" s="82"/>
      <c r="GRT185" s="82"/>
      <c r="GRU185" s="82"/>
      <c r="GRV185" s="82"/>
      <c r="GRW185" s="82"/>
      <c r="GRX185" s="82"/>
      <c r="GRY185" s="82"/>
      <c r="GRZ185" s="82"/>
      <c r="GSA185" s="82"/>
      <c r="GSB185" s="82"/>
      <c r="GSC185" s="82"/>
      <c r="GSD185" s="82"/>
      <c r="GSE185" s="82"/>
      <c r="GSF185" s="82"/>
      <c r="GSG185" s="82"/>
      <c r="GSH185" s="82"/>
      <c r="GSI185" s="82"/>
      <c r="GSJ185" s="82"/>
      <c r="GSK185" s="82"/>
      <c r="GSL185" s="82"/>
      <c r="GSM185" s="82"/>
      <c r="GSN185" s="82"/>
      <c r="GSO185" s="82"/>
      <c r="GSP185" s="82"/>
      <c r="GSQ185" s="82"/>
      <c r="GSR185" s="82"/>
      <c r="GSS185" s="82"/>
      <c r="GST185" s="82"/>
      <c r="GSU185" s="82"/>
      <c r="GSV185" s="82"/>
      <c r="GSW185" s="82"/>
      <c r="GSX185" s="82"/>
      <c r="GSY185" s="82"/>
      <c r="GSZ185" s="82"/>
      <c r="GTA185" s="82"/>
      <c r="GTB185" s="82"/>
      <c r="GTC185" s="82"/>
      <c r="GTD185" s="82"/>
      <c r="GTE185" s="82"/>
      <c r="GTF185" s="82"/>
      <c r="GTG185" s="82"/>
      <c r="GTH185" s="82"/>
      <c r="GTI185" s="82"/>
      <c r="GTJ185" s="82"/>
      <c r="GTK185" s="82"/>
      <c r="GTL185" s="82"/>
      <c r="GTM185" s="82"/>
      <c r="GTN185" s="82"/>
      <c r="GTO185" s="82"/>
      <c r="GTP185" s="82"/>
      <c r="GTQ185" s="82"/>
      <c r="GTR185" s="82"/>
      <c r="GTS185" s="82"/>
      <c r="GTT185" s="82"/>
      <c r="GTU185" s="82"/>
      <c r="GTV185" s="82"/>
      <c r="GTW185" s="82"/>
      <c r="GTX185" s="82"/>
      <c r="GTY185" s="82"/>
      <c r="GTZ185" s="82"/>
      <c r="GUA185" s="82"/>
      <c r="GUB185" s="82"/>
      <c r="GUC185" s="82"/>
      <c r="GUD185" s="82"/>
      <c r="GUE185" s="82"/>
      <c r="GUF185" s="82"/>
      <c r="GUG185" s="82"/>
      <c r="GUH185" s="82"/>
      <c r="GUI185" s="82"/>
      <c r="GUJ185" s="82"/>
      <c r="GUK185" s="82"/>
      <c r="GUL185" s="82"/>
      <c r="GUM185" s="82"/>
      <c r="GUN185" s="82"/>
      <c r="GUO185" s="82"/>
      <c r="GUP185" s="82"/>
      <c r="GUQ185" s="82"/>
      <c r="GUR185" s="82"/>
      <c r="GUS185" s="82"/>
      <c r="GUT185" s="82"/>
      <c r="GUU185" s="82"/>
      <c r="GUV185" s="82"/>
      <c r="GUW185" s="82"/>
      <c r="GUX185" s="82"/>
      <c r="GUY185" s="82"/>
      <c r="GUZ185" s="82"/>
      <c r="GVA185" s="82"/>
      <c r="GVB185" s="82"/>
      <c r="GVC185" s="82"/>
      <c r="GVD185" s="82"/>
      <c r="GVE185" s="82"/>
      <c r="GVF185" s="82"/>
      <c r="GVG185" s="82"/>
      <c r="GVH185" s="82"/>
      <c r="GVI185" s="82"/>
      <c r="GVJ185" s="82"/>
      <c r="GVK185" s="82"/>
      <c r="GVL185" s="82"/>
      <c r="GVM185" s="82"/>
      <c r="GVN185" s="82"/>
      <c r="GVO185" s="82"/>
      <c r="GVP185" s="82"/>
      <c r="GVQ185" s="82"/>
      <c r="GVR185" s="82"/>
      <c r="GVS185" s="82"/>
      <c r="GVT185" s="82"/>
      <c r="GVU185" s="82"/>
      <c r="GVV185" s="82"/>
      <c r="GVW185" s="82"/>
      <c r="GVX185" s="82"/>
      <c r="GVY185" s="82"/>
      <c r="GVZ185" s="82"/>
      <c r="GWA185" s="82"/>
      <c r="GWB185" s="82"/>
      <c r="GWC185" s="82"/>
      <c r="GWD185" s="82"/>
      <c r="GWE185" s="82"/>
      <c r="GWF185" s="82"/>
      <c r="GWG185" s="82"/>
      <c r="GWH185" s="82"/>
      <c r="GWI185" s="82"/>
      <c r="GWJ185" s="82"/>
      <c r="GWK185" s="82"/>
      <c r="GWL185" s="82"/>
      <c r="GWM185" s="82"/>
      <c r="GWN185" s="82"/>
      <c r="GWO185" s="82"/>
      <c r="GWP185" s="82"/>
      <c r="GWQ185" s="82"/>
      <c r="GWR185" s="82"/>
      <c r="GWS185" s="82"/>
      <c r="GWT185" s="82"/>
      <c r="GWU185" s="82"/>
      <c r="GWV185" s="82"/>
      <c r="GWW185" s="82"/>
      <c r="GWX185" s="82"/>
      <c r="GWY185" s="82"/>
      <c r="GWZ185" s="82"/>
      <c r="GXA185" s="82"/>
      <c r="GXB185" s="82"/>
      <c r="GXC185" s="82"/>
      <c r="GXD185" s="82"/>
      <c r="GXE185" s="82"/>
      <c r="GXF185" s="82"/>
      <c r="GXG185" s="82"/>
      <c r="GXH185" s="82"/>
      <c r="GXI185" s="82"/>
      <c r="GXJ185" s="82"/>
      <c r="GXK185" s="82"/>
      <c r="GXL185" s="82"/>
      <c r="GXM185" s="82"/>
      <c r="GXN185" s="82"/>
      <c r="GXO185" s="82"/>
      <c r="GXP185" s="82"/>
      <c r="GXQ185" s="82"/>
      <c r="GXR185" s="82"/>
      <c r="GXS185" s="82"/>
      <c r="GXT185" s="82"/>
      <c r="GXU185" s="82"/>
      <c r="GXV185" s="82"/>
      <c r="GXW185" s="82"/>
      <c r="GXX185" s="82"/>
      <c r="GXY185" s="82"/>
      <c r="GXZ185" s="82"/>
      <c r="GYA185" s="82"/>
      <c r="GYB185" s="82"/>
      <c r="GYC185" s="82"/>
      <c r="GYD185" s="82"/>
      <c r="GYE185" s="82"/>
      <c r="GYF185" s="82"/>
      <c r="GYG185" s="82"/>
      <c r="GYH185" s="82"/>
      <c r="GYI185" s="82"/>
      <c r="GYJ185" s="82"/>
      <c r="GYK185" s="82"/>
      <c r="GYL185" s="82"/>
      <c r="GYM185" s="82"/>
      <c r="GYN185" s="82"/>
      <c r="GYO185" s="82"/>
      <c r="GYP185" s="82"/>
      <c r="GYQ185" s="82"/>
      <c r="GYR185" s="82"/>
      <c r="GYS185" s="82"/>
      <c r="GYT185" s="82"/>
      <c r="GYU185" s="82"/>
      <c r="GYV185" s="82"/>
      <c r="GYW185" s="82"/>
      <c r="GYX185" s="82"/>
      <c r="GYY185" s="82"/>
      <c r="GYZ185" s="82"/>
      <c r="GZA185" s="82"/>
      <c r="GZB185" s="82"/>
      <c r="GZC185" s="82"/>
      <c r="GZD185" s="82"/>
      <c r="GZE185" s="82"/>
      <c r="GZF185" s="82"/>
      <c r="GZG185" s="82"/>
      <c r="GZH185" s="82"/>
      <c r="GZI185" s="82"/>
      <c r="GZJ185" s="82"/>
      <c r="GZK185" s="82"/>
      <c r="GZL185" s="82"/>
      <c r="GZM185" s="82"/>
      <c r="GZN185" s="82"/>
      <c r="GZO185" s="82"/>
      <c r="GZP185" s="82"/>
      <c r="GZQ185" s="82"/>
      <c r="GZR185" s="82"/>
      <c r="GZS185" s="82"/>
      <c r="GZT185" s="82"/>
      <c r="GZU185" s="82"/>
      <c r="GZV185" s="82"/>
      <c r="GZW185" s="82"/>
      <c r="GZX185" s="82"/>
      <c r="GZY185" s="82"/>
      <c r="GZZ185" s="82"/>
      <c r="HAA185" s="82"/>
      <c r="HAB185" s="82"/>
      <c r="HAC185" s="82"/>
      <c r="HAD185" s="82"/>
      <c r="HAE185" s="82"/>
      <c r="HAF185" s="82"/>
      <c r="HAG185" s="82"/>
      <c r="HAH185" s="82"/>
      <c r="HAI185" s="82"/>
      <c r="HAJ185" s="82"/>
      <c r="HAK185" s="82"/>
      <c r="HAL185" s="82"/>
      <c r="HAM185" s="82"/>
      <c r="HAN185" s="82"/>
      <c r="HAO185" s="82"/>
      <c r="HAP185" s="82"/>
      <c r="HAQ185" s="82"/>
      <c r="HAR185" s="82"/>
      <c r="HAS185" s="82"/>
      <c r="HAT185" s="82"/>
      <c r="HAU185" s="82"/>
      <c r="HAV185" s="82"/>
      <c r="HAW185" s="82"/>
      <c r="HAX185" s="82"/>
      <c r="HAY185" s="82"/>
      <c r="HAZ185" s="82"/>
      <c r="HBA185" s="82"/>
      <c r="HBB185" s="82"/>
      <c r="HBC185" s="82"/>
      <c r="HBD185" s="82"/>
      <c r="HBE185" s="82"/>
      <c r="HBF185" s="82"/>
      <c r="HBG185" s="82"/>
      <c r="HBH185" s="82"/>
      <c r="HBI185" s="82"/>
      <c r="HBJ185" s="82"/>
      <c r="HBK185" s="82"/>
      <c r="HBL185" s="82"/>
      <c r="HBM185" s="82"/>
      <c r="HBN185" s="82"/>
      <c r="HBO185" s="82"/>
      <c r="HBP185" s="82"/>
      <c r="HBQ185" s="82"/>
      <c r="HBR185" s="82"/>
      <c r="HBS185" s="82"/>
      <c r="HBT185" s="82"/>
      <c r="HBU185" s="82"/>
      <c r="HBV185" s="82"/>
      <c r="HBW185" s="82"/>
      <c r="HBX185" s="82"/>
      <c r="HBY185" s="82"/>
      <c r="HBZ185" s="82"/>
      <c r="HCA185" s="82"/>
      <c r="HCB185" s="82"/>
      <c r="HCC185" s="82"/>
      <c r="HCD185" s="82"/>
      <c r="HCE185" s="82"/>
      <c r="HCF185" s="82"/>
      <c r="HCG185" s="82"/>
      <c r="HCH185" s="82"/>
      <c r="HCI185" s="82"/>
      <c r="HCJ185" s="82"/>
      <c r="HCK185" s="82"/>
      <c r="HCL185" s="82"/>
      <c r="HCM185" s="82"/>
      <c r="HCN185" s="82"/>
      <c r="HCO185" s="82"/>
      <c r="HCP185" s="82"/>
      <c r="HCQ185" s="82"/>
      <c r="HCR185" s="82"/>
      <c r="HCS185" s="82"/>
      <c r="HCT185" s="82"/>
      <c r="HCU185" s="82"/>
      <c r="HCV185" s="82"/>
      <c r="HCW185" s="82"/>
      <c r="HCX185" s="82"/>
      <c r="HCY185" s="82"/>
      <c r="HCZ185" s="82"/>
      <c r="HDA185" s="82"/>
      <c r="HDB185" s="82"/>
      <c r="HDC185" s="82"/>
      <c r="HDD185" s="82"/>
      <c r="HDE185" s="82"/>
      <c r="HDF185" s="82"/>
      <c r="HDG185" s="82"/>
      <c r="HDH185" s="82"/>
      <c r="HDI185" s="82"/>
      <c r="HDJ185" s="82"/>
      <c r="HDK185" s="82"/>
      <c r="HDL185" s="82"/>
      <c r="HDM185" s="82"/>
      <c r="HDN185" s="82"/>
      <c r="HDO185" s="82"/>
      <c r="HDP185" s="82"/>
      <c r="HDQ185" s="82"/>
      <c r="HDR185" s="82"/>
      <c r="HDS185" s="82"/>
      <c r="HDT185" s="82"/>
      <c r="HDU185" s="82"/>
      <c r="HDV185" s="82"/>
      <c r="HDW185" s="82"/>
      <c r="HDX185" s="82"/>
      <c r="HDY185" s="82"/>
      <c r="HDZ185" s="82"/>
      <c r="HEA185" s="82"/>
      <c r="HEB185" s="82"/>
      <c r="HEC185" s="82"/>
      <c r="HED185" s="82"/>
      <c r="HEE185" s="82"/>
      <c r="HEF185" s="82"/>
      <c r="HEG185" s="82"/>
      <c r="HEH185" s="82"/>
      <c r="HEI185" s="82"/>
      <c r="HEJ185" s="82"/>
      <c r="HEK185" s="82"/>
      <c r="HEL185" s="82"/>
      <c r="HEM185" s="82"/>
      <c r="HEN185" s="82"/>
      <c r="HEO185" s="82"/>
      <c r="HEP185" s="82"/>
      <c r="HEQ185" s="82"/>
      <c r="HER185" s="82"/>
      <c r="HES185" s="82"/>
      <c r="HET185" s="82"/>
      <c r="HEU185" s="82"/>
      <c r="HEV185" s="82"/>
      <c r="HEW185" s="82"/>
      <c r="HEX185" s="82"/>
      <c r="HEY185" s="82"/>
      <c r="HEZ185" s="82"/>
      <c r="HFA185" s="82"/>
      <c r="HFB185" s="82"/>
      <c r="HFC185" s="82"/>
      <c r="HFD185" s="82"/>
      <c r="HFE185" s="82"/>
      <c r="HFF185" s="82"/>
      <c r="HFG185" s="82"/>
      <c r="HFH185" s="82"/>
      <c r="HFI185" s="82"/>
      <c r="HFJ185" s="82"/>
      <c r="HFK185" s="82"/>
      <c r="HFL185" s="82"/>
      <c r="HFM185" s="82"/>
      <c r="HFN185" s="82"/>
      <c r="HFO185" s="82"/>
      <c r="HFP185" s="82"/>
      <c r="HFQ185" s="82"/>
      <c r="HFR185" s="82"/>
      <c r="HFS185" s="82"/>
      <c r="HFT185" s="82"/>
      <c r="HFU185" s="82"/>
      <c r="HFV185" s="82"/>
      <c r="HFW185" s="82"/>
      <c r="HFX185" s="82"/>
      <c r="HFY185" s="82"/>
      <c r="HFZ185" s="82"/>
      <c r="HGA185" s="82"/>
      <c r="HGB185" s="82"/>
      <c r="HGC185" s="82"/>
      <c r="HGD185" s="82"/>
      <c r="HGE185" s="82"/>
      <c r="HGF185" s="82"/>
      <c r="HGG185" s="82"/>
      <c r="HGH185" s="82"/>
      <c r="HGI185" s="82"/>
      <c r="HGJ185" s="82"/>
      <c r="HGK185" s="82"/>
      <c r="HGL185" s="82"/>
      <c r="HGM185" s="82"/>
      <c r="HGN185" s="82"/>
      <c r="HGO185" s="82"/>
      <c r="HGP185" s="82"/>
      <c r="HGQ185" s="82"/>
      <c r="HGR185" s="82"/>
      <c r="HGS185" s="82"/>
      <c r="HGT185" s="82"/>
      <c r="HGU185" s="82"/>
      <c r="HGV185" s="82"/>
      <c r="HGW185" s="82"/>
      <c r="HGX185" s="82"/>
      <c r="HGY185" s="82"/>
      <c r="HGZ185" s="82"/>
      <c r="HHA185" s="82"/>
      <c r="HHB185" s="82"/>
      <c r="HHC185" s="82"/>
      <c r="HHD185" s="82"/>
      <c r="HHE185" s="82"/>
      <c r="HHF185" s="82"/>
      <c r="HHG185" s="82"/>
      <c r="HHH185" s="82"/>
      <c r="HHI185" s="82"/>
      <c r="HHJ185" s="82"/>
      <c r="HHK185" s="82"/>
      <c r="HHL185" s="82"/>
      <c r="HHM185" s="82"/>
      <c r="HHN185" s="82"/>
      <c r="HHO185" s="82"/>
      <c r="HHP185" s="82"/>
      <c r="HHQ185" s="82"/>
      <c r="HHR185" s="82"/>
      <c r="HHS185" s="82"/>
      <c r="HHT185" s="82"/>
      <c r="HHU185" s="82"/>
      <c r="HHV185" s="82"/>
      <c r="HHW185" s="82"/>
      <c r="HHX185" s="82"/>
      <c r="HHY185" s="82"/>
      <c r="HHZ185" s="82"/>
      <c r="HIA185" s="82"/>
      <c r="HIB185" s="82"/>
      <c r="HIC185" s="82"/>
      <c r="HID185" s="82"/>
      <c r="HIE185" s="82"/>
      <c r="HIF185" s="82"/>
      <c r="HIG185" s="82"/>
      <c r="HIH185" s="82"/>
      <c r="HII185" s="82"/>
      <c r="HIJ185" s="82"/>
      <c r="HIK185" s="82"/>
      <c r="HIL185" s="82"/>
      <c r="HIM185" s="82"/>
      <c r="HIN185" s="82"/>
      <c r="HIO185" s="82"/>
      <c r="HIP185" s="82"/>
      <c r="HIQ185" s="82"/>
      <c r="HIR185" s="82"/>
      <c r="HIS185" s="82"/>
      <c r="HIT185" s="82"/>
      <c r="HIU185" s="82"/>
      <c r="HIV185" s="82"/>
      <c r="HIW185" s="82"/>
      <c r="HIX185" s="82"/>
      <c r="HIY185" s="82"/>
      <c r="HIZ185" s="82"/>
      <c r="HJA185" s="82"/>
      <c r="HJB185" s="82"/>
      <c r="HJC185" s="82"/>
      <c r="HJD185" s="82"/>
      <c r="HJE185" s="82"/>
      <c r="HJF185" s="82"/>
      <c r="HJG185" s="82"/>
      <c r="HJH185" s="82"/>
      <c r="HJI185" s="82"/>
      <c r="HJJ185" s="82"/>
      <c r="HJK185" s="82"/>
      <c r="HJL185" s="82"/>
      <c r="HJM185" s="82"/>
      <c r="HJN185" s="82"/>
      <c r="HJO185" s="82"/>
      <c r="HJP185" s="82"/>
      <c r="HJQ185" s="82"/>
      <c r="HJR185" s="82"/>
      <c r="HJS185" s="82"/>
      <c r="HJT185" s="82"/>
      <c r="HJU185" s="82"/>
      <c r="HJV185" s="82"/>
      <c r="HJW185" s="82"/>
      <c r="HJX185" s="82"/>
      <c r="HJY185" s="82"/>
      <c r="HJZ185" s="82"/>
      <c r="HKA185" s="82"/>
      <c r="HKB185" s="82"/>
      <c r="HKC185" s="82"/>
      <c r="HKD185" s="82"/>
      <c r="HKE185" s="82"/>
      <c r="HKF185" s="82"/>
      <c r="HKG185" s="82"/>
      <c r="HKH185" s="82"/>
      <c r="HKI185" s="82"/>
      <c r="HKJ185" s="82"/>
      <c r="HKK185" s="82"/>
      <c r="HKL185" s="82"/>
      <c r="HKM185" s="82"/>
      <c r="HKN185" s="82"/>
      <c r="HKO185" s="82"/>
      <c r="HKP185" s="82"/>
      <c r="HKQ185" s="82"/>
      <c r="HKR185" s="82"/>
      <c r="HKS185" s="82"/>
      <c r="HKT185" s="82"/>
      <c r="HKU185" s="82"/>
      <c r="HKV185" s="82"/>
      <c r="HKW185" s="82"/>
      <c r="HKX185" s="82"/>
      <c r="HKY185" s="82"/>
      <c r="HKZ185" s="82"/>
      <c r="HLA185" s="82"/>
      <c r="HLB185" s="82"/>
      <c r="HLC185" s="82"/>
      <c r="HLD185" s="82"/>
      <c r="HLE185" s="82"/>
      <c r="HLF185" s="82"/>
      <c r="HLG185" s="82"/>
      <c r="HLH185" s="82"/>
      <c r="HLI185" s="82"/>
      <c r="HLJ185" s="82"/>
      <c r="HLK185" s="82"/>
      <c r="HLL185" s="82"/>
      <c r="HLM185" s="82"/>
      <c r="HLN185" s="82"/>
      <c r="HLO185" s="82"/>
      <c r="HLP185" s="82"/>
      <c r="HLQ185" s="82"/>
      <c r="HLR185" s="82"/>
      <c r="HLS185" s="82"/>
      <c r="HLT185" s="82"/>
      <c r="HLU185" s="82"/>
      <c r="HLV185" s="82"/>
      <c r="HLW185" s="82"/>
      <c r="HLX185" s="82"/>
      <c r="HLY185" s="82"/>
      <c r="HLZ185" s="82"/>
      <c r="HMA185" s="82"/>
      <c r="HMB185" s="82"/>
      <c r="HMC185" s="82"/>
      <c r="HMD185" s="82"/>
      <c r="HME185" s="82"/>
      <c r="HMF185" s="82"/>
      <c r="HMG185" s="82"/>
      <c r="HMH185" s="82"/>
      <c r="HMI185" s="82"/>
      <c r="HMJ185" s="82"/>
      <c r="HMK185" s="82"/>
      <c r="HML185" s="82"/>
      <c r="HMM185" s="82"/>
      <c r="HMN185" s="82"/>
      <c r="HMO185" s="82"/>
      <c r="HMP185" s="82"/>
      <c r="HMQ185" s="82"/>
      <c r="HMR185" s="82"/>
      <c r="HMS185" s="82"/>
      <c r="HMT185" s="82"/>
      <c r="HMU185" s="82"/>
      <c r="HMV185" s="82"/>
      <c r="HMW185" s="82"/>
      <c r="HMX185" s="82"/>
      <c r="HMY185" s="82"/>
      <c r="HMZ185" s="82"/>
      <c r="HNA185" s="82"/>
      <c r="HNB185" s="82"/>
      <c r="HNC185" s="82"/>
      <c r="HND185" s="82"/>
      <c r="HNE185" s="82"/>
      <c r="HNF185" s="82"/>
      <c r="HNG185" s="82"/>
      <c r="HNH185" s="82"/>
      <c r="HNI185" s="82"/>
      <c r="HNJ185" s="82"/>
      <c r="HNK185" s="82"/>
      <c r="HNL185" s="82"/>
      <c r="HNM185" s="82"/>
      <c r="HNN185" s="82"/>
      <c r="HNO185" s="82"/>
      <c r="HNP185" s="82"/>
      <c r="HNQ185" s="82"/>
      <c r="HNR185" s="82"/>
      <c r="HNS185" s="82"/>
      <c r="HNT185" s="82"/>
      <c r="HNU185" s="82"/>
      <c r="HNV185" s="82"/>
      <c r="HNW185" s="82"/>
      <c r="HNX185" s="82"/>
      <c r="HNY185" s="82"/>
      <c r="HNZ185" s="82"/>
      <c r="HOA185" s="82"/>
      <c r="HOB185" s="82"/>
      <c r="HOC185" s="82"/>
      <c r="HOD185" s="82"/>
      <c r="HOE185" s="82"/>
      <c r="HOF185" s="82"/>
      <c r="HOG185" s="82"/>
      <c r="HOH185" s="82"/>
      <c r="HOI185" s="82"/>
      <c r="HOJ185" s="82"/>
      <c r="HOK185" s="82"/>
      <c r="HOL185" s="82"/>
      <c r="HOM185" s="82"/>
      <c r="HON185" s="82"/>
      <c r="HOO185" s="82"/>
      <c r="HOP185" s="82"/>
      <c r="HOQ185" s="82"/>
      <c r="HOR185" s="82"/>
      <c r="HOS185" s="82"/>
      <c r="HOT185" s="82"/>
      <c r="HOU185" s="82"/>
      <c r="HOV185" s="82"/>
      <c r="HOW185" s="82"/>
      <c r="HOX185" s="82"/>
      <c r="HOY185" s="82"/>
      <c r="HOZ185" s="82"/>
      <c r="HPA185" s="82"/>
      <c r="HPB185" s="82"/>
      <c r="HPC185" s="82"/>
      <c r="HPD185" s="82"/>
      <c r="HPE185" s="82"/>
      <c r="HPF185" s="82"/>
      <c r="HPG185" s="82"/>
      <c r="HPH185" s="82"/>
      <c r="HPI185" s="82"/>
      <c r="HPJ185" s="82"/>
      <c r="HPK185" s="82"/>
      <c r="HPL185" s="82"/>
      <c r="HPM185" s="82"/>
      <c r="HPN185" s="82"/>
      <c r="HPO185" s="82"/>
      <c r="HPP185" s="82"/>
      <c r="HPQ185" s="82"/>
      <c r="HPR185" s="82"/>
      <c r="HPS185" s="82"/>
      <c r="HPT185" s="82"/>
      <c r="HPU185" s="82"/>
      <c r="HPV185" s="82"/>
      <c r="HPW185" s="82"/>
      <c r="HPX185" s="82"/>
      <c r="HPY185" s="82"/>
      <c r="HPZ185" s="82"/>
      <c r="HQA185" s="82"/>
      <c r="HQB185" s="82"/>
      <c r="HQC185" s="82"/>
      <c r="HQD185" s="82"/>
      <c r="HQE185" s="82"/>
      <c r="HQF185" s="82"/>
      <c r="HQG185" s="82"/>
      <c r="HQH185" s="82"/>
      <c r="HQI185" s="82"/>
      <c r="HQJ185" s="82"/>
      <c r="HQK185" s="82"/>
      <c r="HQL185" s="82"/>
      <c r="HQM185" s="82"/>
      <c r="HQN185" s="82"/>
      <c r="HQO185" s="82"/>
      <c r="HQP185" s="82"/>
      <c r="HQQ185" s="82"/>
      <c r="HQR185" s="82"/>
      <c r="HQS185" s="82"/>
      <c r="HQT185" s="82"/>
      <c r="HQU185" s="82"/>
      <c r="HQV185" s="82"/>
      <c r="HQW185" s="82"/>
      <c r="HQX185" s="82"/>
      <c r="HQY185" s="82"/>
      <c r="HQZ185" s="82"/>
      <c r="HRA185" s="82"/>
      <c r="HRB185" s="82"/>
      <c r="HRC185" s="82"/>
      <c r="HRD185" s="82"/>
      <c r="HRE185" s="82"/>
      <c r="HRF185" s="82"/>
      <c r="HRG185" s="82"/>
      <c r="HRH185" s="82"/>
      <c r="HRI185" s="82"/>
      <c r="HRJ185" s="82"/>
      <c r="HRK185" s="82"/>
      <c r="HRL185" s="82"/>
      <c r="HRM185" s="82"/>
      <c r="HRN185" s="82"/>
      <c r="HRO185" s="82"/>
      <c r="HRP185" s="82"/>
      <c r="HRQ185" s="82"/>
      <c r="HRR185" s="82"/>
      <c r="HRS185" s="82"/>
      <c r="HRT185" s="82"/>
      <c r="HRU185" s="82"/>
      <c r="HRV185" s="82"/>
      <c r="HRW185" s="82"/>
      <c r="HRX185" s="82"/>
      <c r="HRY185" s="82"/>
      <c r="HRZ185" s="82"/>
      <c r="HSA185" s="82"/>
      <c r="HSB185" s="82"/>
      <c r="HSC185" s="82"/>
      <c r="HSD185" s="82"/>
      <c r="HSE185" s="82"/>
      <c r="HSF185" s="82"/>
      <c r="HSG185" s="82"/>
      <c r="HSH185" s="82"/>
      <c r="HSI185" s="82"/>
      <c r="HSJ185" s="82"/>
      <c r="HSK185" s="82"/>
      <c r="HSL185" s="82"/>
      <c r="HSM185" s="82"/>
      <c r="HSN185" s="82"/>
      <c r="HSO185" s="82"/>
      <c r="HSP185" s="82"/>
      <c r="HSQ185" s="82"/>
      <c r="HSR185" s="82"/>
      <c r="HSS185" s="82"/>
      <c r="HST185" s="82"/>
      <c r="HSU185" s="82"/>
      <c r="HSV185" s="82"/>
      <c r="HSW185" s="82"/>
      <c r="HSX185" s="82"/>
      <c r="HSY185" s="82"/>
      <c r="HSZ185" s="82"/>
      <c r="HTA185" s="82"/>
      <c r="HTB185" s="82"/>
      <c r="HTC185" s="82"/>
      <c r="HTD185" s="82"/>
      <c r="HTE185" s="82"/>
      <c r="HTF185" s="82"/>
      <c r="HTG185" s="82"/>
      <c r="HTH185" s="82"/>
      <c r="HTI185" s="82"/>
      <c r="HTJ185" s="82"/>
      <c r="HTK185" s="82"/>
      <c r="HTL185" s="82"/>
      <c r="HTM185" s="82"/>
      <c r="HTN185" s="82"/>
      <c r="HTO185" s="82"/>
      <c r="HTP185" s="82"/>
      <c r="HTQ185" s="82"/>
      <c r="HTR185" s="82"/>
      <c r="HTS185" s="82"/>
      <c r="HTT185" s="82"/>
      <c r="HTU185" s="82"/>
      <c r="HTV185" s="82"/>
      <c r="HTW185" s="82"/>
      <c r="HTX185" s="82"/>
      <c r="HTY185" s="82"/>
      <c r="HTZ185" s="82"/>
      <c r="HUA185" s="82"/>
      <c r="HUB185" s="82"/>
      <c r="HUC185" s="82"/>
      <c r="HUD185" s="82"/>
      <c r="HUE185" s="82"/>
      <c r="HUF185" s="82"/>
      <c r="HUG185" s="82"/>
      <c r="HUH185" s="82"/>
      <c r="HUI185" s="82"/>
      <c r="HUJ185" s="82"/>
      <c r="HUK185" s="82"/>
      <c r="HUL185" s="82"/>
      <c r="HUM185" s="82"/>
      <c r="HUN185" s="82"/>
      <c r="HUO185" s="82"/>
      <c r="HUP185" s="82"/>
      <c r="HUQ185" s="82"/>
      <c r="HUR185" s="82"/>
      <c r="HUS185" s="82"/>
      <c r="HUT185" s="82"/>
      <c r="HUU185" s="82"/>
      <c r="HUV185" s="82"/>
      <c r="HUW185" s="82"/>
      <c r="HUX185" s="82"/>
      <c r="HUY185" s="82"/>
      <c r="HUZ185" s="82"/>
      <c r="HVA185" s="82"/>
      <c r="HVB185" s="82"/>
      <c r="HVC185" s="82"/>
      <c r="HVD185" s="82"/>
      <c r="HVE185" s="82"/>
      <c r="HVF185" s="82"/>
      <c r="HVG185" s="82"/>
      <c r="HVH185" s="82"/>
      <c r="HVI185" s="82"/>
      <c r="HVJ185" s="82"/>
      <c r="HVK185" s="82"/>
      <c r="HVL185" s="82"/>
      <c r="HVM185" s="82"/>
      <c r="HVN185" s="82"/>
      <c r="HVO185" s="82"/>
      <c r="HVP185" s="82"/>
      <c r="HVQ185" s="82"/>
      <c r="HVR185" s="82"/>
      <c r="HVS185" s="82"/>
      <c r="HVT185" s="82"/>
      <c r="HVU185" s="82"/>
      <c r="HVV185" s="82"/>
      <c r="HVW185" s="82"/>
      <c r="HVX185" s="82"/>
      <c r="HVY185" s="82"/>
      <c r="HVZ185" s="82"/>
      <c r="HWA185" s="82"/>
      <c r="HWB185" s="82"/>
      <c r="HWC185" s="82"/>
      <c r="HWD185" s="82"/>
      <c r="HWE185" s="82"/>
      <c r="HWF185" s="82"/>
      <c r="HWG185" s="82"/>
      <c r="HWH185" s="82"/>
      <c r="HWI185" s="82"/>
      <c r="HWJ185" s="82"/>
      <c r="HWK185" s="82"/>
      <c r="HWL185" s="82"/>
      <c r="HWM185" s="82"/>
      <c r="HWN185" s="82"/>
      <c r="HWO185" s="82"/>
      <c r="HWP185" s="82"/>
      <c r="HWQ185" s="82"/>
      <c r="HWR185" s="82"/>
      <c r="HWS185" s="82"/>
      <c r="HWT185" s="82"/>
      <c r="HWU185" s="82"/>
      <c r="HWV185" s="82"/>
      <c r="HWW185" s="82"/>
      <c r="HWX185" s="82"/>
      <c r="HWY185" s="82"/>
      <c r="HWZ185" s="82"/>
      <c r="HXA185" s="82"/>
      <c r="HXB185" s="82"/>
      <c r="HXC185" s="82"/>
      <c r="HXD185" s="82"/>
      <c r="HXE185" s="82"/>
      <c r="HXF185" s="82"/>
      <c r="HXG185" s="82"/>
      <c r="HXH185" s="82"/>
      <c r="HXI185" s="82"/>
      <c r="HXJ185" s="82"/>
      <c r="HXK185" s="82"/>
      <c r="HXL185" s="82"/>
      <c r="HXM185" s="82"/>
      <c r="HXN185" s="82"/>
      <c r="HXO185" s="82"/>
      <c r="HXP185" s="82"/>
      <c r="HXQ185" s="82"/>
      <c r="HXR185" s="82"/>
      <c r="HXS185" s="82"/>
      <c r="HXT185" s="82"/>
      <c r="HXU185" s="82"/>
      <c r="HXV185" s="82"/>
      <c r="HXW185" s="82"/>
      <c r="HXX185" s="82"/>
      <c r="HXY185" s="82"/>
      <c r="HXZ185" s="82"/>
      <c r="HYA185" s="82"/>
      <c r="HYB185" s="82"/>
      <c r="HYC185" s="82"/>
      <c r="HYD185" s="82"/>
      <c r="HYE185" s="82"/>
      <c r="HYF185" s="82"/>
      <c r="HYG185" s="82"/>
      <c r="HYH185" s="82"/>
      <c r="HYI185" s="82"/>
      <c r="HYJ185" s="82"/>
      <c r="HYK185" s="82"/>
      <c r="HYL185" s="82"/>
      <c r="HYM185" s="82"/>
      <c r="HYN185" s="82"/>
      <c r="HYO185" s="82"/>
      <c r="HYP185" s="82"/>
      <c r="HYQ185" s="82"/>
      <c r="HYR185" s="82"/>
      <c r="HYS185" s="82"/>
      <c r="HYT185" s="82"/>
      <c r="HYU185" s="82"/>
      <c r="HYV185" s="82"/>
      <c r="HYW185" s="82"/>
      <c r="HYX185" s="82"/>
      <c r="HYY185" s="82"/>
      <c r="HYZ185" s="82"/>
      <c r="HZA185" s="82"/>
      <c r="HZB185" s="82"/>
      <c r="HZC185" s="82"/>
      <c r="HZD185" s="82"/>
      <c r="HZE185" s="82"/>
      <c r="HZF185" s="82"/>
      <c r="HZG185" s="82"/>
      <c r="HZH185" s="82"/>
      <c r="HZI185" s="82"/>
      <c r="HZJ185" s="82"/>
      <c r="HZK185" s="82"/>
      <c r="HZL185" s="82"/>
      <c r="HZM185" s="82"/>
      <c r="HZN185" s="82"/>
      <c r="HZO185" s="82"/>
      <c r="HZP185" s="82"/>
      <c r="HZQ185" s="82"/>
      <c r="HZR185" s="82"/>
      <c r="HZS185" s="82"/>
      <c r="HZT185" s="82"/>
      <c r="HZU185" s="82"/>
      <c r="HZV185" s="82"/>
      <c r="HZW185" s="82"/>
      <c r="HZX185" s="82"/>
      <c r="HZY185" s="82"/>
      <c r="HZZ185" s="82"/>
      <c r="IAA185" s="82"/>
      <c r="IAB185" s="82"/>
      <c r="IAC185" s="82"/>
      <c r="IAD185" s="82"/>
      <c r="IAE185" s="82"/>
      <c r="IAF185" s="82"/>
      <c r="IAG185" s="82"/>
      <c r="IAH185" s="82"/>
      <c r="IAI185" s="82"/>
      <c r="IAJ185" s="82"/>
      <c r="IAK185" s="82"/>
      <c r="IAL185" s="82"/>
      <c r="IAM185" s="82"/>
      <c r="IAN185" s="82"/>
      <c r="IAO185" s="82"/>
      <c r="IAP185" s="82"/>
      <c r="IAQ185" s="82"/>
      <c r="IAR185" s="82"/>
      <c r="IAS185" s="82"/>
      <c r="IAT185" s="82"/>
      <c r="IAU185" s="82"/>
      <c r="IAV185" s="82"/>
      <c r="IAW185" s="82"/>
      <c r="IAX185" s="82"/>
      <c r="IAY185" s="82"/>
      <c r="IAZ185" s="82"/>
      <c r="IBA185" s="82"/>
      <c r="IBB185" s="82"/>
      <c r="IBC185" s="82"/>
      <c r="IBD185" s="82"/>
      <c r="IBE185" s="82"/>
      <c r="IBF185" s="82"/>
      <c r="IBG185" s="82"/>
      <c r="IBH185" s="82"/>
      <c r="IBI185" s="82"/>
      <c r="IBJ185" s="82"/>
      <c r="IBK185" s="82"/>
      <c r="IBL185" s="82"/>
      <c r="IBM185" s="82"/>
      <c r="IBN185" s="82"/>
      <c r="IBO185" s="82"/>
      <c r="IBP185" s="82"/>
      <c r="IBQ185" s="82"/>
      <c r="IBR185" s="82"/>
      <c r="IBS185" s="82"/>
      <c r="IBT185" s="82"/>
      <c r="IBU185" s="82"/>
      <c r="IBV185" s="82"/>
      <c r="IBW185" s="82"/>
      <c r="IBX185" s="82"/>
      <c r="IBY185" s="82"/>
      <c r="IBZ185" s="82"/>
      <c r="ICA185" s="82"/>
      <c r="ICB185" s="82"/>
      <c r="ICC185" s="82"/>
      <c r="ICD185" s="82"/>
      <c r="ICE185" s="82"/>
      <c r="ICF185" s="82"/>
      <c r="ICG185" s="82"/>
      <c r="ICH185" s="82"/>
      <c r="ICI185" s="82"/>
      <c r="ICJ185" s="82"/>
      <c r="ICK185" s="82"/>
      <c r="ICL185" s="82"/>
      <c r="ICM185" s="82"/>
      <c r="ICN185" s="82"/>
      <c r="ICO185" s="82"/>
      <c r="ICP185" s="82"/>
      <c r="ICQ185" s="82"/>
      <c r="ICR185" s="82"/>
      <c r="ICS185" s="82"/>
      <c r="ICT185" s="82"/>
      <c r="ICU185" s="82"/>
      <c r="ICV185" s="82"/>
      <c r="ICW185" s="82"/>
      <c r="ICX185" s="82"/>
      <c r="ICY185" s="82"/>
      <c r="ICZ185" s="82"/>
      <c r="IDA185" s="82"/>
      <c r="IDB185" s="82"/>
      <c r="IDC185" s="82"/>
      <c r="IDD185" s="82"/>
      <c r="IDE185" s="82"/>
      <c r="IDF185" s="82"/>
      <c r="IDG185" s="82"/>
      <c r="IDH185" s="82"/>
      <c r="IDI185" s="82"/>
      <c r="IDJ185" s="82"/>
      <c r="IDK185" s="82"/>
      <c r="IDL185" s="82"/>
      <c r="IDM185" s="82"/>
      <c r="IDN185" s="82"/>
      <c r="IDO185" s="82"/>
      <c r="IDP185" s="82"/>
      <c r="IDQ185" s="82"/>
      <c r="IDR185" s="82"/>
      <c r="IDS185" s="82"/>
      <c r="IDT185" s="82"/>
      <c r="IDU185" s="82"/>
      <c r="IDV185" s="82"/>
      <c r="IDW185" s="82"/>
      <c r="IDX185" s="82"/>
      <c r="IDY185" s="82"/>
      <c r="IDZ185" s="82"/>
      <c r="IEA185" s="82"/>
      <c r="IEB185" s="82"/>
      <c r="IEC185" s="82"/>
      <c r="IED185" s="82"/>
      <c r="IEE185" s="82"/>
      <c r="IEF185" s="82"/>
      <c r="IEG185" s="82"/>
      <c r="IEH185" s="82"/>
      <c r="IEI185" s="82"/>
      <c r="IEJ185" s="82"/>
      <c r="IEK185" s="82"/>
      <c r="IEL185" s="82"/>
      <c r="IEM185" s="82"/>
      <c r="IEN185" s="82"/>
      <c r="IEO185" s="82"/>
      <c r="IEP185" s="82"/>
      <c r="IEQ185" s="82"/>
      <c r="IER185" s="82"/>
      <c r="IES185" s="82"/>
      <c r="IET185" s="82"/>
      <c r="IEU185" s="82"/>
      <c r="IEV185" s="82"/>
      <c r="IEW185" s="82"/>
      <c r="IEX185" s="82"/>
      <c r="IEY185" s="82"/>
      <c r="IEZ185" s="82"/>
      <c r="IFA185" s="82"/>
      <c r="IFB185" s="82"/>
      <c r="IFC185" s="82"/>
      <c r="IFD185" s="82"/>
      <c r="IFE185" s="82"/>
      <c r="IFF185" s="82"/>
      <c r="IFG185" s="82"/>
      <c r="IFH185" s="82"/>
      <c r="IFI185" s="82"/>
      <c r="IFJ185" s="82"/>
      <c r="IFK185" s="82"/>
      <c r="IFL185" s="82"/>
      <c r="IFM185" s="82"/>
      <c r="IFN185" s="82"/>
      <c r="IFO185" s="82"/>
      <c r="IFP185" s="82"/>
      <c r="IFQ185" s="82"/>
      <c r="IFR185" s="82"/>
      <c r="IFS185" s="82"/>
      <c r="IFT185" s="82"/>
      <c r="IFU185" s="82"/>
      <c r="IFV185" s="82"/>
      <c r="IFW185" s="82"/>
      <c r="IFX185" s="82"/>
      <c r="IFY185" s="82"/>
      <c r="IFZ185" s="82"/>
      <c r="IGA185" s="82"/>
      <c r="IGB185" s="82"/>
      <c r="IGC185" s="82"/>
      <c r="IGD185" s="82"/>
      <c r="IGE185" s="82"/>
      <c r="IGF185" s="82"/>
      <c r="IGG185" s="82"/>
      <c r="IGH185" s="82"/>
      <c r="IGI185" s="82"/>
      <c r="IGJ185" s="82"/>
      <c r="IGK185" s="82"/>
      <c r="IGL185" s="82"/>
      <c r="IGM185" s="82"/>
      <c r="IGN185" s="82"/>
      <c r="IGO185" s="82"/>
      <c r="IGP185" s="82"/>
      <c r="IGQ185" s="82"/>
      <c r="IGR185" s="82"/>
      <c r="IGS185" s="82"/>
      <c r="IGT185" s="82"/>
      <c r="IGU185" s="82"/>
      <c r="IGV185" s="82"/>
      <c r="IGW185" s="82"/>
      <c r="IGX185" s="82"/>
      <c r="IGY185" s="82"/>
      <c r="IGZ185" s="82"/>
      <c r="IHA185" s="82"/>
      <c r="IHB185" s="82"/>
      <c r="IHC185" s="82"/>
      <c r="IHD185" s="82"/>
      <c r="IHE185" s="82"/>
      <c r="IHF185" s="82"/>
      <c r="IHG185" s="82"/>
      <c r="IHH185" s="82"/>
      <c r="IHI185" s="82"/>
      <c r="IHJ185" s="82"/>
      <c r="IHK185" s="82"/>
      <c r="IHL185" s="82"/>
      <c r="IHM185" s="82"/>
      <c r="IHN185" s="82"/>
      <c r="IHO185" s="82"/>
      <c r="IHP185" s="82"/>
      <c r="IHQ185" s="82"/>
      <c r="IHR185" s="82"/>
      <c r="IHS185" s="82"/>
      <c r="IHT185" s="82"/>
      <c r="IHU185" s="82"/>
      <c r="IHV185" s="82"/>
      <c r="IHW185" s="82"/>
      <c r="IHX185" s="82"/>
      <c r="IHY185" s="82"/>
      <c r="IHZ185" s="82"/>
      <c r="IIA185" s="82"/>
      <c r="IIB185" s="82"/>
      <c r="IIC185" s="82"/>
      <c r="IID185" s="82"/>
      <c r="IIE185" s="82"/>
      <c r="IIF185" s="82"/>
      <c r="IIG185" s="82"/>
      <c r="IIH185" s="82"/>
      <c r="III185" s="82"/>
      <c r="IIJ185" s="82"/>
      <c r="IIK185" s="82"/>
      <c r="IIL185" s="82"/>
      <c r="IIM185" s="82"/>
      <c r="IIN185" s="82"/>
      <c r="IIO185" s="82"/>
      <c r="IIP185" s="82"/>
      <c r="IIQ185" s="82"/>
      <c r="IIR185" s="82"/>
      <c r="IIS185" s="82"/>
      <c r="IIT185" s="82"/>
      <c r="IIU185" s="82"/>
      <c r="IIV185" s="82"/>
      <c r="IIW185" s="82"/>
      <c r="IIX185" s="82"/>
      <c r="IIY185" s="82"/>
      <c r="IIZ185" s="82"/>
      <c r="IJA185" s="82"/>
      <c r="IJB185" s="82"/>
      <c r="IJC185" s="82"/>
      <c r="IJD185" s="82"/>
      <c r="IJE185" s="82"/>
      <c r="IJF185" s="82"/>
      <c r="IJG185" s="82"/>
      <c r="IJH185" s="82"/>
      <c r="IJI185" s="82"/>
      <c r="IJJ185" s="82"/>
      <c r="IJK185" s="82"/>
      <c r="IJL185" s="82"/>
      <c r="IJM185" s="82"/>
      <c r="IJN185" s="82"/>
      <c r="IJO185" s="82"/>
      <c r="IJP185" s="82"/>
      <c r="IJQ185" s="82"/>
      <c r="IJR185" s="82"/>
      <c r="IJS185" s="82"/>
      <c r="IJT185" s="82"/>
      <c r="IJU185" s="82"/>
      <c r="IJV185" s="82"/>
      <c r="IJW185" s="82"/>
      <c r="IJX185" s="82"/>
      <c r="IJY185" s="82"/>
      <c r="IJZ185" s="82"/>
      <c r="IKA185" s="82"/>
      <c r="IKB185" s="82"/>
      <c r="IKC185" s="82"/>
      <c r="IKD185" s="82"/>
      <c r="IKE185" s="82"/>
      <c r="IKF185" s="82"/>
      <c r="IKG185" s="82"/>
      <c r="IKH185" s="82"/>
      <c r="IKI185" s="82"/>
      <c r="IKJ185" s="82"/>
      <c r="IKK185" s="82"/>
      <c r="IKL185" s="82"/>
      <c r="IKM185" s="82"/>
      <c r="IKN185" s="82"/>
      <c r="IKO185" s="82"/>
      <c r="IKP185" s="82"/>
      <c r="IKQ185" s="82"/>
      <c r="IKR185" s="82"/>
      <c r="IKS185" s="82"/>
      <c r="IKT185" s="82"/>
      <c r="IKU185" s="82"/>
      <c r="IKV185" s="82"/>
      <c r="IKW185" s="82"/>
      <c r="IKX185" s="82"/>
      <c r="IKY185" s="82"/>
      <c r="IKZ185" s="82"/>
      <c r="ILA185" s="82"/>
      <c r="ILB185" s="82"/>
      <c r="ILC185" s="82"/>
      <c r="ILD185" s="82"/>
      <c r="ILE185" s="82"/>
      <c r="ILF185" s="82"/>
      <c r="ILG185" s="82"/>
      <c r="ILH185" s="82"/>
      <c r="ILI185" s="82"/>
      <c r="ILJ185" s="82"/>
      <c r="ILK185" s="82"/>
      <c r="ILL185" s="82"/>
      <c r="ILM185" s="82"/>
      <c r="ILN185" s="82"/>
      <c r="ILO185" s="82"/>
      <c r="ILP185" s="82"/>
      <c r="ILQ185" s="82"/>
      <c r="ILR185" s="82"/>
      <c r="ILS185" s="82"/>
      <c r="ILT185" s="82"/>
      <c r="ILU185" s="82"/>
      <c r="ILV185" s="82"/>
      <c r="ILW185" s="82"/>
      <c r="ILX185" s="82"/>
      <c r="ILY185" s="82"/>
      <c r="ILZ185" s="82"/>
      <c r="IMA185" s="82"/>
      <c r="IMB185" s="82"/>
      <c r="IMC185" s="82"/>
      <c r="IMD185" s="82"/>
      <c r="IME185" s="82"/>
      <c r="IMF185" s="82"/>
      <c r="IMG185" s="82"/>
      <c r="IMH185" s="82"/>
      <c r="IMI185" s="82"/>
      <c r="IMJ185" s="82"/>
      <c r="IMK185" s="82"/>
      <c r="IML185" s="82"/>
      <c r="IMM185" s="82"/>
      <c r="IMN185" s="82"/>
      <c r="IMO185" s="82"/>
      <c r="IMP185" s="82"/>
      <c r="IMQ185" s="82"/>
      <c r="IMR185" s="82"/>
      <c r="IMS185" s="82"/>
      <c r="IMT185" s="82"/>
      <c r="IMU185" s="82"/>
      <c r="IMV185" s="82"/>
      <c r="IMW185" s="82"/>
      <c r="IMX185" s="82"/>
      <c r="IMY185" s="82"/>
      <c r="IMZ185" s="82"/>
      <c r="INA185" s="82"/>
      <c r="INB185" s="82"/>
      <c r="INC185" s="82"/>
      <c r="IND185" s="82"/>
      <c r="INE185" s="82"/>
      <c r="INF185" s="82"/>
      <c r="ING185" s="82"/>
      <c r="INH185" s="82"/>
      <c r="INI185" s="82"/>
      <c r="INJ185" s="82"/>
      <c r="INK185" s="82"/>
      <c r="INL185" s="82"/>
      <c r="INM185" s="82"/>
      <c r="INN185" s="82"/>
      <c r="INO185" s="82"/>
      <c r="INP185" s="82"/>
      <c r="INQ185" s="82"/>
      <c r="INR185" s="82"/>
      <c r="INS185" s="82"/>
      <c r="INT185" s="82"/>
      <c r="INU185" s="82"/>
      <c r="INV185" s="82"/>
      <c r="INW185" s="82"/>
      <c r="INX185" s="82"/>
      <c r="INY185" s="82"/>
      <c r="INZ185" s="82"/>
      <c r="IOA185" s="82"/>
      <c r="IOB185" s="82"/>
      <c r="IOC185" s="82"/>
      <c r="IOD185" s="82"/>
      <c r="IOE185" s="82"/>
      <c r="IOF185" s="82"/>
      <c r="IOG185" s="82"/>
      <c r="IOH185" s="82"/>
      <c r="IOI185" s="82"/>
      <c r="IOJ185" s="82"/>
      <c r="IOK185" s="82"/>
      <c r="IOL185" s="82"/>
      <c r="IOM185" s="82"/>
      <c r="ION185" s="82"/>
      <c r="IOO185" s="82"/>
      <c r="IOP185" s="82"/>
      <c r="IOQ185" s="82"/>
      <c r="IOR185" s="82"/>
      <c r="IOS185" s="82"/>
      <c r="IOT185" s="82"/>
      <c r="IOU185" s="82"/>
      <c r="IOV185" s="82"/>
      <c r="IOW185" s="82"/>
      <c r="IOX185" s="82"/>
      <c r="IOY185" s="82"/>
      <c r="IOZ185" s="82"/>
      <c r="IPA185" s="82"/>
      <c r="IPB185" s="82"/>
      <c r="IPC185" s="82"/>
      <c r="IPD185" s="82"/>
      <c r="IPE185" s="82"/>
      <c r="IPF185" s="82"/>
      <c r="IPG185" s="82"/>
      <c r="IPH185" s="82"/>
      <c r="IPI185" s="82"/>
      <c r="IPJ185" s="82"/>
      <c r="IPK185" s="82"/>
      <c r="IPL185" s="82"/>
      <c r="IPM185" s="82"/>
      <c r="IPN185" s="82"/>
      <c r="IPO185" s="82"/>
      <c r="IPP185" s="82"/>
      <c r="IPQ185" s="82"/>
      <c r="IPR185" s="82"/>
      <c r="IPS185" s="82"/>
      <c r="IPT185" s="82"/>
      <c r="IPU185" s="82"/>
      <c r="IPV185" s="82"/>
      <c r="IPW185" s="82"/>
      <c r="IPX185" s="82"/>
      <c r="IPY185" s="82"/>
      <c r="IPZ185" s="82"/>
      <c r="IQA185" s="82"/>
      <c r="IQB185" s="82"/>
      <c r="IQC185" s="82"/>
      <c r="IQD185" s="82"/>
      <c r="IQE185" s="82"/>
      <c r="IQF185" s="82"/>
      <c r="IQG185" s="82"/>
      <c r="IQH185" s="82"/>
      <c r="IQI185" s="82"/>
      <c r="IQJ185" s="82"/>
      <c r="IQK185" s="82"/>
      <c r="IQL185" s="82"/>
      <c r="IQM185" s="82"/>
      <c r="IQN185" s="82"/>
      <c r="IQO185" s="82"/>
      <c r="IQP185" s="82"/>
      <c r="IQQ185" s="82"/>
      <c r="IQR185" s="82"/>
      <c r="IQS185" s="82"/>
      <c r="IQT185" s="82"/>
      <c r="IQU185" s="82"/>
      <c r="IQV185" s="82"/>
      <c r="IQW185" s="82"/>
      <c r="IQX185" s="82"/>
      <c r="IQY185" s="82"/>
      <c r="IQZ185" s="82"/>
      <c r="IRA185" s="82"/>
      <c r="IRB185" s="82"/>
      <c r="IRC185" s="82"/>
      <c r="IRD185" s="82"/>
      <c r="IRE185" s="82"/>
      <c r="IRF185" s="82"/>
      <c r="IRG185" s="82"/>
      <c r="IRH185" s="82"/>
      <c r="IRI185" s="82"/>
      <c r="IRJ185" s="82"/>
      <c r="IRK185" s="82"/>
      <c r="IRL185" s="82"/>
      <c r="IRM185" s="82"/>
      <c r="IRN185" s="82"/>
      <c r="IRO185" s="82"/>
      <c r="IRP185" s="82"/>
      <c r="IRQ185" s="82"/>
      <c r="IRR185" s="82"/>
      <c r="IRS185" s="82"/>
      <c r="IRT185" s="82"/>
      <c r="IRU185" s="82"/>
      <c r="IRV185" s="82"/>
      <c r="IRW185" s="82"/>
      <c r="IRX185" s="82"/>
      <c r="IRY185" s="82"/>
      <c r="IRZ185" s="82"/>
      <c r="ISA185" s="82"/>
      <c r="ISB185" s="82"/>
      <c r="ISC185" s="82"/>
      <c r="ISD185" s="82"/>
      <c r="ISE185" s="82"/>
      <c r="ISF185" s="82"/>
      <c r="ISG185" s="82"/>
      <c r="ISH185" s="82"/>
      <c r="ISI185" s="82"/>
      <c r="ISJ185" s="82"/>
      <c r="ISK185" s="82"/>
      <c r="ISL185" s="82"/>
      <c r="ISM185" s="82"/>
      <c r="ISN185" s="82"/>
      <c r="ISO185" s="82"/>
      <c r="ISP185" s="82"/>
      <c r="ISQ185" s="82"/>
      <c r="ISR185" s="82"/>
      <c r="ISS185" s="82"/>
      <c r="IST185" s="82"/>
      <c r="ISU185" s="82"/>
      <c r="ISV185" s="82"/>
      <c r="ISW185" s="82"/>
      <c r="ISX185" s="82"/>
      <c r="ISY185" s="82"/>
      <c r="ISZ185" s="82"/>
      <c r="ITA185" s="82"/>
      <c r="ITB185" s="82"/>
      <c r="ITC185" s="82"/>
      <c r="ITD185" s="82"/>
      <c r="ITE185" s="82"/>
      <c r="ITF185" s="82"/>
      <c r="ITG185" s="82"/>
      <c r="ITH185" s="82"/>
      <c r="ITI185" s="82"/>
      <c r="ITJ185" s="82"/>
      <c r="ITK185" s="82"/>
      <c r="ITL185" s="82"/>
      <c r="ITM185" s="82"/>
      <c r="ITN185" s="82"/>
      <c r="ITO185" s="82"/>
      <c r="ITP185" s="82"/>
      <c r="ITQ185" s="82"/>
      <c r="ITR185" s="82"/>
      <c r="ITS185" s="82"/>
      <c r="ITT185" s="82"/>
      <c r="ITU185" s="82"/>
      <c r="ITV185" s="82"/>
      <c r="ITW185" s="82"/>
      <c r="ITX185" s="82"/>
      <c r="ITY185" s="82"/>
      <c r="ITZ185" s="82"/>
      <c r="IUA185" s="82"/>
      <c r="IUB185" s="82"/>
      <c r="IUC185" s="82"/>
      <c r="IUD185" s="82"/>
      <c r="IUE185" s="82"/>
      <c r="IUF185" s="82"/>
      <c r="IUG185" s="82"/>
      <c r="IUH185" s="82"/>
      <c r="IUI185" s="82"/>
      <c r="IUJ185" s="82"/>
      <c r="IUK185" s="82"/>
      <c r="IUL185" s="82"/>
      <c r="IUM185" s="82"/>
      <c r="IUN185" s="82"/>
      <c r="IUO185" s="82"/>
      <c r="IUP185" s="82"/>
      <c r="IUQ185" s="82"/>
      <c r="IUR185" s="82"/>
      <c r="IUS185" s="82"/>
      <c r="IUT185" s="82"/>
      <c r="IUU185" s="82"/>
      <c r="IUV185" s="82"/>
      <c r="IUW185" s="82"/>
      <c r="IUX185" s="82"/>
      <c r="IUY185" s="82"/>
      <c r="IUZ185" s="82"/>
      <c r="IVA185" s="82"/>
      <c r="IVB185" s="82"/>
      <c r="IVC185" s="82"/>
      <c r="IVD185" s="82"/>
      <c r="IVE185" s="82"/>
      <c r="IVF185" s="82"/>
      <c r="IVG185" s="82"/>
      <c r="IVH185" s="82"/>
      <c r="IVI185" s="82"/>
      <c r="IVJ185" s="82"/>
      <c r="IVK185" s="82"/>
      <c r="IVL185" s="82"/>
      <c r="IVM185" s="82"/>
      <c r="IVN185" s="82"/>
      <c r="IVO185" s="82"/>
      <c r="IVP185" s="82"/>
      <c r="IVQ185" s="82"/>
      <c r="IVR185" s="82"/>
      <c r="IVS185" s="82"/>
      <c r="IVT185" s="82"/>
      <c r="IVU185" s="82"/>
      <c r="IVV185" s="82"/>
      <c r="IVW185" s="82"/>
      <c r="IVX185" s="82"/>
      <c r="IVY185" s="82"/>
      <c r="IVZ185" s="82"/>
      <c r="IWA185" s="82"/>
      <c r="IWB185" s="82"/>
      <c r="IWC185" s="82"/>
      <c r="IWD185" s="82"/>
      <c r="IWE185" s="82"/>
      <c r="IWF185" s="82"/>
      <c r="IWG185" s="82"/>
      <c r="IWH185" s="82"/>
      <c r="IWI185" s="82"/>
      <c r="IWJ185" s="82"/>
      <c r="IWK185" s="82"/>
      <c r="IWL185" s="82"/>
      <c r="IWM185" s="82"/>
      <c r="IWN185" s="82"/>
      <c r="IWO185" s="82"/>
      <c r="IWP185" s="82"/>
      <c r="IWQ185" s="82"/>
      <c r="IWR185" s="82"/>
      <c r="IWS185" s="82"/>
      <c r="IWT185" s="82"/>
      <c r="IWU185" s="82"/>
      <c r="IWV185" s="82"/>
      <c r="IWW185" s="82"/>
      <c r="IWX185" s="82"/>
      <c r="IWY185" s="82"/>
      <c r="IWZ185" s="82"/>
      <c r="IXA185" s="82"/>
      <c r="IXB185" s="82"/>
      <c r="IXC185" s="82"/>
      <c r="IXD185" s="82"/>
      <c r="IXE185" s="82"/>
      <c r="IXF185" s="82"/>
      <c r="IXG185" s="82"/>
      <c r="IXH185" s="82"/>
      <c r="IXI185" s="82"/>
      <c r="IXJ185" s="82"/>
      <c r="IXK185" s="82"/>
      <c r="IXL185" s="82"/>
      <c r="IXM185" s="82"/>
      <c r="IXN185" s="82"/>
      <c r="IXO185" s="82"/>
      <c r="IXP185" s="82"/>
      <c r="IXQ185" s="82"/>
      <c r="IXR185" s="82"/>
      <c r="IXS185" s="82"/>
      <c r="IXT185" s="82"/>
      <c r="IXU185" s="82"/>
      <c r="IXV185" s="82"/>
      <c r="IXW185" s="82"/>
      <c r="IXX185" s="82"/>
      <c r="IXY185" s="82"/>
      <c r="IXZ185" s="82"/>
      <c r="IYA185" s="82"/>
      <c r="IYB185" s="82"/>
      <c r="IYC185" s="82"/>
      <c r="IYD185" s="82"/>
      <c r="IYE185" s="82"/>
      <c r="IYF185" s="82"/>
      <c r="IYG185" s="82"/>
      <c r="IYH185" s="82"/>
      <c r="IYI185" s="82"/>
      <c r="IYJ185" s="82"/>
      <c r="IYK185" s="82"/>
      <c r="IYL185" s="82"/>
      <c r="IYM185" s="82"/>
      <c r="IYN185" s="82"/>
      <c r="IYO185" s="82"/>
      <c r="IYP185" s="82"/>
      <c r="IYQ185" s="82"/>
      <c r="IYR185" s="82"/>
      <c r="IYS185" s="82"/>
      <c r="IYT185" s="82"/>
      <c r="IYU185" s="82"/>
      <c r="IYV185" s="82"/>
      <c r="IYW185" s="82"/>
      <c r="IYX185" s="82"/>
      <c r="IYY185" s="82"/>
      <c r="IYZ185" s="82"/>
      <c r="IZA185" s="82"/>
      <c r="IZB185" s="82"/>
      <c r="IZC185" s="82"/>
      <c r="IZD185" s="82"/>
      <c r="IZE185" s="82"/>
      <c r="IZF185" s="82"/>
      <c r="IZG185" s="82"/>
      <c r="IZH185" s="82"/>
      <c r="IZI185" s="82"/>
      <c r="IZJ185" s="82"/>
      <c r="IZK185" s="82"/>
      <c r="IZL185" s="82"/>
      <c r="IZM185" s="82"/>
      <c r="IZN185" s="82"/>
      <c r="IZO185" s="82"/>
      <c r="IZP185" s="82"/>
      <c r="IZQ185" s="82"/>
      <c r="IZR185" s="82"/>
      <c r="IZS185" s="82"/>
      <c r="IZT185" s="82"/>
      <c r="IZU185" s="82"/>
      <c r="IZV185" s="82"/>
      <c r="IZW185" s="82"/>
      <c r="IZX185" s="82"/>
      <c r="IZY185" s="82"/>
      <c r="IZZ185" s="82"/>
      <c r="JAA185" s="82"/>
      <c r="JAB185" s="82"/>
      <c r="JAC185" s="82"/>
      <c r="JAD185" s="82"/>
      <c r="JAE185" s="82"/>
      <c r="JAF185" s="82"/>
      <c r="JAG185" s="82"/>
      <c r="JAH185" s="82"/>
      <c r="JAI185" s="82"/>
      <c r="JAJ185" s="82"/>
      <c r="JAK185" s="82"/>
      <c r="JAL185" s="82"/>
      <c r="JAM185" s="82"/>
      <c r="JAN185" s="82"/>
      <c r="JAO185" s="82"/>
      <c r="JAP185" s="82"/>
      <c r="JAQ185" s="82"/>
      <c r="JAR185" s="82"/>
      <c r="JAS185" s="82"/>
      <c r="JAT185" s="82"/>
      <c r="JAU185" s="82"/>
      <c r="JAV185" s="82"/>
      <c r="JAW185" s="82"/>
      <c r="JAX185" s="82"/>
      <c r="JAY185" s="82"/>
      <c r="JAZ185" s="82"/>
      <c r="JBA185" s="82"/>
      <c r="JBB185" s="82"/>
      <c r="JBC185" s="82"/>
      <c r="JBD185" s="82"/>
      <c r="JBE185" s="82"/>
      <c r="JBF185" s="82"/>
      <c r="JBG185" s="82"/>
      <c r="JBH185" s="82"/>
      <c r="JBI185" s="82"/>
      <c r="JBJ185" s="82"/>
      <c r="JBK185" s="82"/>
      <c r="JBL185" s="82"/>
      <c r="JBM185" s="82"/>
      <c r="JBN185" s="82"/>
      <c r="JBO185" s="82"/>
      <c r="JBP185" s="82"/>
      <c r="JBQ185" s="82"/>
      <c r="JBR185" s="82"/>
      <c r="JBS185" s="82"/>
      <c r="JBT185" s="82"/>
      <c r="JBU185" s="82"/>
      <c r="JBV185" s="82"/>
      <c r="JBW185" s="82"/>
      <c r="JBX185" s="82"/>
      <c r="JBY185" s="82"/>
      <c r="JBZ185" s="82"/>
      <c r="JCA185" s="82"/>
      <c r="JCB185" s="82"/>
      <c r="JCC185" s="82"/>
      <c r="JCD185" s="82"/>
      <c r="JCE185" s="82"/>
      <c r="JCF185" s="82"/>
      <c r="JCG185" s="82"/>
      <c r="JCH185" s="82"/>
      <c r="JCI185" s="82"/>
      <c r="JCJ185" s="82"/>
      <c r="JCK185" s="82"/>
      <c r="JCL185" s="82"/>
      <c r="JCM185" s="82"/>
      <c r="JCN185" s="82"/>
      <c r="JCO185" s="82"/>
      <c r="JCP185" s="82"/>
      <c r="JCQ185" s="82"/>
      <c r="JCR185" s="82"/>
      <c r="JCS185" s="82"/>
      <c r="JCT185" s="82"/>
      <c r="JCU185" s="82"/>
      <c r="JCV185" s="82"/>
      <c r="JCW185" s="82"/>
      <c r="JCX185" s="82"/>
      <c r="JCY185" s="82"/>
      <c r="JCZ185" s="82"/>
      <c r="JDA185" s="82"/>
      <c r="JDB185" s="82"/>
      <c r="JDC185" s="82"/>
      <c r="JDD185" s="82"/>
      <c r="JDE185" s="82"/>
      <c r="JDF185" s="82"/>
      <c r="JDG185" s="82"/>
      <c r="JDH185" s="82"/>
      <c r="JDI185" s="82"/>
      <c r="JDJ185" s="82"/>
      <c r="JDK185" s="82"/>
      <c r="JDL185" s="82"/>
      <c r="JDM185" s="82"/>
      <c r="JDN185" s="82"/>
      <c r="JDO185" s="82"/>
      <c r="JDP185" s="82"/>
      <c r="JDQ185" s="82"/>
      <c r="JDR185" s="82"/>
      <c r="JDS185" s="82"/>
      <c r="JDT185" s="82"/>
      <c r="JDU185" s="82"/>
      <c r="JDV185" s="82"/>
      <c r="JDW185" s="82"/>
      <c r="JDX185" s="82"/>
      <c r="JDY185" s="82"/>
      <c r="JDZ185" s="82"/>
      <c r="JEA185" s="82"/>
      <c r="JEB185" s="82"/>
      <c r="JEC185" s="82"/>
      <c r="JED185" s="82"/>
      <c r="JEE185" s="82"/>
      <c r="JEF185" s="82"/>
      <c r="JEG185" s="82"/>
      <c r="JEH185" s="82"/>
      <c r="JEI185" s="82"/>
      <c r="JEJ185" s="82"/>
      <c r="JEK185" s="82"/>
      <c r="JEL185" s="82"/>
      <c r="JEM185" s="82"/>
      <c r="JEN185" s="82"/>
      <c r="JEO185" s="82"/>
      <c r="JEP185" s="82"/>
      <c r="JEQ185" s="82"/>
      <c r="JER185" s="82"/>
      <c r="JES185" s="82"/>
      <c r="JET185" s="82"/>
      <c r="JEU185" s="82"/>
      <c r="JEV185" s="82"/>
      <c r="JEW185" s="82"/>
      <c r="JEX185" s="82"/>
      <c r="JEY185" s="82"/>
      <c r="JEZ185" s="82"/>
      <c r="JFA185" s="82"/>
      <c r="JFB185" s="82"/>
      <c r="JFC185" s="82"/>
      <c r="JFD185" s="82"/>
      <c r="JFE185" s="82"/>
      <c r="JFF185" s="82"/>
      <c r="JFG185" s="82"/>
      <c r="JFH185" s="82"/>
      <c r="JFI185" s="82"/>
      <c r="JFJ185" s="82"/>
      <c r="JFK185" s="82"/>
      <c r="JFL185" s="82"/>
      <c r="JFM185" s="82"/>
      <c r="JFN185" s="82"/>
      <c r="JFO185" s="82"/>
      <c r="JFP185" s="82"/>
      <c r="JFQ185" s="82"/>
      <c r="JFR185" s="82"/>
      <c r="JFS185" s="82"/>
      <c r="JFT185" s="82"/>
      <c r="JFU185" s="82"/>
      <c r="JFV185" s="82"/>
      <c r="JFW185" s="82"/>
      <c r="JFX185" s="82"/>
      <c r="JFY185" s="82"/>
      <c r="JFZ185" s="82"/>
      <c r="JGA185" s="82"/>
      <c r="JGB185" s="82"/>
      <c r="JGC185" s="82"/>
      <c r="JGD185" s="82"/>
      <c r="JGE185" s="82"/>
      <c r="JGF185" s="82"/>
      <c r="JGG185" s="82"/>
      <c r="JGH185" s="82"/>
      <c r="JGI185" s="82"/>
      <c r="JGJ185" s="82"/>
      <c r="JGK185" s="82"/>
      <c r="JGL185" s="82"/>
      <c r="JGM185" s="82"/>
      <c r="JGN185" s="82"/>
      <c r="JGO185" s="82"/>
      <c r="JGP185" s="82"/>
      <c r="JGQ185" s="82"/>
      <c r="JGR185" s="82"/>
      <c r="JGS185" s="82"/>
      <c r="JGT185" s="82"/>
      <c r="JGU185" s="82"/>
      <c r="JGV185" s="82"/>
      <c r="JGW185" s="82"/>
      <c r="JGX185" s="82"/>
      <c r="JGY185" s="82"/>
      <c r="JGZ185" s="82"/>
      <c r="JHA185" s="82"/>
      <c r="JHB185" s="82"/>
      <c r="JHC185" s="82"/>
      <c r="JHD185" s="82"/>
      <c r="JHE185" s="82"/>
      <c r="JHF185" s="82"/>
      <c r="JHG185" s="82"/>
      <c r="JHH185" s="82"/>
      <c r="JHI185" s="82"/>
      <c r="JHJ185" s="82"/>
      <c r="JHK185" s="82"/>
      <c r="JHL185" s="82"/>
      <c r="JHM185" s="82"/>
      <c r="JHN185" s="82"/>
      <c r="JHO185" s="82"/>
      <c r="JHP185" s="82"/>
      <c r="JHQ185" s="82"/>
      <c r="JHR185" s="82"/>
      <c r="JHS185" s="82"/>
      <c r="JHT185" s="82"/>
      <c r="JHU185" s="82"/>
      <c r="JHV185" s="82"/>
      <c r="JHW185" s="82"/>
      <c r="JHX185" s="82"/>
      <c r="JHY185" s="82"/>
      <c r="JHZ185" s="82"/>
      <c r="JIA185" s="82"/>
      <c r="JIB185" s="82"/>
      <c r="JIC185" s="82"/>
      <c r="JID185" s="82"/>
      <c r="JIE185" s="82"/>
      <c r="JIF185" s="82"/>
      <c r="JIG185" s="82"/>
      <c r="JIH185" s="82"/>
      <c r="JII185" s="82"/>
      <c r="JIJ185" s="82"/>
      <c r="JIK185" s="82"/>
      <c r="JIL185" s="82"/>
      <c r="JIM185" s="82"/>
      <c r="JIN185" s="82"/>
      <c r="JIO185" s="82"/>
      <c r="JIP185" s="82"/>
      <c r="JIQ185" s="82"/>
      <c r="JIR185" s="82"/>
      <c r="JIS185" s="82"/>
      <c r="JIT185" s="82"/>
      <c r="JIU185" s="82"/>
      <c r="JIV185" s="82"/>
      <c r="JIW185" s="82"/>
      <c r="JIX185" s="82"/>
      <c r="JIY185" s="82"/>
      <c r="JIZ185" s="82"/>
      <c r="JJA185" s="82"/>
      <c r="JJB185" s="82"/>
      <c r="JJC185" s="82"/>
      <c r="JJD185" s="82"/>
      <c r="JJE185" s="82"/>
      <c r="JJF185" s="82"/>
      <c r="JJG185" s="82"/>
      <c r="JJH185" s="82"/>
      <c r="JJI185" s="82"/>
      <c r="JJJ185" s="82"/>
      <c r="JJK185" s="82"/>
      <c r="JJL185" s="82"/>
      <c r="JJM185" s="82"/>
      <c r="JJN185" s="82"/>
      <c r="JJO185" s="82"/>
      <c r="JJP185" s="82"/>
      <c r="JJQ185" s="82"/>
      <c r="JJR185" s="82"/>
      <c r="JJS185" s="82"/>
      <c r="JJT185" s="82"/>
      <c r="JJU185" s="82"/>
      <c r="JJV185" s="82"/>
      <c r="JJW185" s="82"/>
      <c r="JJX185" s="82"/>
      <c r="JJY185" s="82"/>
      <c r="JJZ185" s="82"/>
      <c r="JKA185" s="82"/>
      <c r="JKB185" s="82"/>
      <c r="JKC185" s="82"/>
      <c r="JKD185" s="82"/>
      <c r="JKE185" s="82"/>
      <c r="JKF185" s="82"/>
      <c r="JKG185" s="82"/>
      <c r="JKH185" s="82"/>
      <c r="JKI185" s="82"/>
      <c r="JKJ185" s="82"/>
      <c r="JKK185" s="82"/>
      <c r="JKL185" s="82"/>
      <c r="JKM185" s="82"/>
      <c r="JKN185" s="82"/>
      <c r="JKO185" s="82"/>
      <c r="JKP185" s="82"/>
      <c r="JKQ185" s="82"/>
      <c r="JKR185" s="82"/>
      <c r="JKS185" s="82"/>
      <c r="JKT185" s="82"/>
      <c r="JKU185" s="82"/>
      <c r="JKV185" s="82"/>
      <c r="JKW185" s="82"/>
      <c r="JKX185" s="82"/>
      <c r="JKY185" s="82"/>
      <c r="JKZ185" s="82"/>
      <c r="JLA185" s="82"/>
      <c r="JLB185" s="82"/>
      <c r="JLC185" s="82"/>
      <c r="JLD185" s="82"/>
      <c r="JLE185" s="82"/>
      <c r="JLF185" s="82"/>
      <c r="JLG185" s="82"/>
      <c r="JLH185" s="82"/>
      <c r="JLI185" s="82"/>
      <c r="JLJ185" s="82"/>
      <c r="JLK185" s="82"/>
      <c r="JLL185" s="82"/>
      <c r="JLM185" s="82"/>
      <c r="JLN185" s="82"/>
      <c r="JLO185" s="82"/>
      <c r="JLP185" s="82"/>
      <c r="JLQ185" s="82"/>
      <c r="JLR185" s="82"/>
      <c r="JLS185" s="82"/>
      <c r="JLT185" s="82"/>
      <c r="JLU185" s="82"/>
      <c r="JLV185" s="82"/>
      <c r="JLW185" s="82"/>
      <c r="JLX185" s="82"/>
      <c r="JLY185" s="82"/>
      <c r="JLZ185" s="82"/>
      <c r="JMA185" s="82"/>
      <c r="JMB185" s="82"/>
      <c r="JMC185" s="82"/>
      <c r="JMD185" s="82"/>
      <c r="JME185" s="82"/>
      <c r="JMF185" s="82"/>
      <c r="JMG185" s="82"/>
      <c r="JMH185" s="82"/>
      <c r="JMI185" s="82"/>
      <c r="JMJ185" s="82"/>
      <c r="JMK185" s="82"/>
      <c r="JML185" s="82"/>
      <c r="JMM185" s="82"/>
      <c r="JMN185" s="82"/>
      <c r="JMO185" s="82"/>
      <c r="JMP185" s="82"/>
      <c r="JMQ185" s="82"/>
      <c r="JMR185" s="82"/>
      <c r="JMS185" s="82"/>
      <c r="JMT185" s="82"/>
      <c r="JMU185" s="82"/>
      <c r="JMV185" s="82"/>
      <c r="JMW185" s="82"/>
      <c r="JMX185" s="82"/>
      <c r="JMY185" s="82"/>
      <c r="JMZ185" s="82"/>
      <c r="JNA185" s="82"/>
      <c r="JNB185" s="82"/>
      <c r="JNC185" s="82"/>
      <c r="JND185" s="82"/>
      <c r="JNE185" s="82"/>
      <c r="JNF185" s="82"/>
      <c r="JNG185" s="82"/>
      <c r="JNH185" s="82"/>
      <c r="JNI185" s="82"/>
      <c r="JNJ185" s="82"/>
      <c r="JNK185" s="82"/>
      <c r="JNL185" s="82"/>
      <c r="JNM185" s="82"/>
      <c r="JNN185" s="82"/>
      <c r="JNO185" s="82"/>
      <c r="JNP185" s="82"/>
      <c r="JNQ185" s="82"/>
      <c r="JNR185" s="82"/>
      <c r="JNS185" s="82"/>
      <c r="JNT185" s="82"/>
      <c r="JNU185" s="82"/>
      <c r="JNV185" s="82"/>
      <c r="JNW185" s="82"/>
      <c r="JNX185" s="82"/>
      <c r="JNY185" s="82"/>
      <c r="JNZ185" s="82"/>
      <c r="JOA185" s="82"/>
      <c r="JOB185" s="82"/>
      <c r="JOC185" s="82"/>
      <c r="JOD185" s="82"/>
      <c r="JOE185" s="82"/>
      <c r="JOF185" s="82"/>
      <c r="JOG185" s="82"/>
      <c r="JOH185" s="82"/>
      <c r="JOI185" s="82"/>
      <c r="JOJ185" s="82"/>
      <c r="JOK185" s="82"/>
      <c r="JOL185" s="82"/>
      <c r="JOM185" s="82"/>
      <c r="JON185" s="82"/>
      <c r="JOO185" s="82"/>
      <c r="JOP185" s="82"/>
      <c r="JOQ185" s="82"/>
      <c r="JOR185" s="82"/>
      <c r="JOS185" s="82"/>
      <c r="JOT185" s="82"/>
      <c r="JOU185" s="82"/>
      <c r="JOV185" s="82"/>
      <c r="JOW185" s="82"/>
      <c r="JOX185" s="82"/>
      <c r="JOY185" s="82"/>
      <c r="JOZ185" s="82"/>
      <c r="JPA185" s="82"/>
      <c r="JPB185" s="82"/>
      <c r="JPC185" s="82"/>
      <c r="JPD185" s="82"/>
      <c r="JPE185" s="82"/>
      <c r="JPF185" s="82"/>
      <c r="JPG185" s="82"/>
      <c r="JPH185" s="82"/>
      <c r="JPI185" s="82"/>
      <c r="JPJ185" s="82"/>
      <c r="JPK185" s="82"/>
      <c r="JPL185" s="82"/>
      <c r="JPM185" s="82"/>
      <c r="JPN185" s="82"/>
      <c r="JPO185" s="82"/>
      <c r="JPP185" s="82"/>
      <c r="JPQ185" s="82"/>
      <c r="JPR185" s="82"/>
      <c r="JPS185" s="82"/>
      <c r="JPT185" s="82"/>
      <c r="JPU185" s="82"/>
      <c r="JPV185" s="82"/>
      <c r="JPW185" s="82"/>
      <c r="JPX185" s="82"/>
      <c r="JPY185" s="82"/>
      <c r="JPZ185" s="82"/>
      <c r="JQA185" s="82"/>
      <c r="JQB185" s="82"/>
      <c r="JQC185" s="82"/>
      <c r="JQD185" s="82"/>
      <c r="JQE185" s="82"/>
      <c r="JQF185" s="82"/>
      <c r="JQG185" s="82"/>
      <c r="JQH185" s="82"/>
      <c r="JQI185" s="82"/>
      <c r="JQJ185" s="82"/>
      <c r="JQK185" s="82"/>
      <c r="JQL185" s="82"/>
      <c r="JQM185" s="82"/>
      <c r="JQN185" s="82"/>
      <c r="JQO185" s="82"/>
      <c r="JQP185" s="82"/>
      <c r="JQQ185" s="82"/>
      <c r="JQR185" s="82"/>
      <c r="JQS185" s="82"/>
      <c r="JQT185" s="82"/>
      <c r="JQU185" s="82"/>
      <c r="JQV185" s="82"/>
      <c r="JQW185" s="82"/>
      <c r="JQX185" s="82"/>
      <c r="JQY185" s="82"/>
      <c r="JQZ185" s="82"/>
      <c r="JRA185" s="82"/>
      <c r="JRB185" s="82"/>
      <c r="JRC185" s="82"/>
      <c r="JRD185" s="82"/>
      <c r="JRE185" s="82"/>
      <c r="JRF185" s="82"/>
      <c r="JRG185" s="82"/>
      <c r="JRH185" s="82"/>
      <c r="JRI185" s="82"/>
      <c r="JRJ185" s="82"/>
      <c r="JRK185" s="82"/>
      <c r="JRL185" s="82"/>
      <c r="JRM185" s="82"/>
      <c r="JRN185" s="82"/>
      <c r="JRO185" s="82"/>
      <c r="JRP185" s="82"/>
      <c r="JRQ185" s="82"/>
      <c r="JRR185" s="82"/>
      <c r="JRS185" s="82"/>
      <c r="JRT185" s="82"/>
      <c r="JRU185" s="82"/>
      <c r="JRV185" s="82"/>
      <c r="JRW185" s="82"/>
      <c r="JRX185" s="82"/>
      <c r="JRY185" s="82"/>
      <c r="JRZ185" s="82"/>
      <c r="JSA185" s="82"/>
      <c r="JSB185" s="82"/>
      <c r="JSC185" s="82"/>
      <c r="JSD185" s="82"/>
      <c r="JSE185" s="82"/>
      <c r="JSF185" s="82"/>
      <c r="JSG185" s="82"/>
      <c r="JSH185" s="82"/>
      <c r="JSI185" s="82"/>
      <c r="JSJ185" s="82"/>
      <c r="JSK185" s="82"/>
      <c r="JSL185" s="82"/>
      <c r="JSM185" s="82"/>
      <c r="JSN185" s="82"/>
      <c r="JSO185" s="82"/>
      <c r="JSP185" s="82"/>
      <c r="JSQ185" s="82"/>
      <c r="JSR185" s="82"/>
      <c r="JSS185" s="82"/>
      <c r="JST185" s="82"/>
      <c r="JSU185" s="82"/>
      <c r="JSV185" s="82"/>
      <c r="JSW185" s="82"/>
      <c r="JSX185" s="82"/>
      <c r="JSY185" s="82"/>
      <c r="JSZ185" s="82"/>
      <c r="JTA185" s="82"/>
      <c r="JTB185" s="82"/>
      <c r="JTC185" s="82"/>
      <c r="JTD185" s="82"/>
      <c r="JTE185" s="82"/>
      <c r="JTF185" s="82"/>
      <c r="JTG185" s="82"/>
      <c r="JTH185" s="82"/>
      <c r="JTI185" s="82"/>
      <c r="JTJ185" s="82"/>
      <c r="JTK185" s="82"/>
      <c r="JTL185" s="82"/>
      <c r="JTM185" s="82"/>
      <c r="JTN185" s="82"/>
      <c r="JTO185" s="82"/>
      <c r="JTP185" s="82"/>
      <c r="JTQ185" s="82"/>
      <c r="JTR185" s="82"/>
      <c r="JTS185" s="82"/>
      <c r="JTT185" s="82"/>
      <c r="JTU185" s="82"/>
      <c r="JTV185" s="82"/>
      <c r="JTW185" s="82"/>
      <c r="JTX185" s="82"/>
      <c r="JTY185" s="82"/>
      <c r="JTZ185" s="82"/>
      <c r="JUA185" s="82"/>
      <c r="JUB185" s="82"/>
      <c r="JUC185" s="82"/>
      <c r="JUD185" s="82"/>
      <c r="JUE185" s="82"/>
      <c r="JUF185" s="82"/>
      <c r="JUG185" s="82"/>
      <c r="JUH185" s="82"/>
      <c r="JUI185" s="82"/>
      <c r="JUJ185" s="82"/>
      <c r="JUK185" s="82"/>
      <c r="JUL185" s="82"/>
      <c r="JUM185" s="82"/>
      <c r="JUN185" s="82"/>
      <c r="JUO185" s="82"/>
      <c r="JUP185" s="82"/>
      <c r="JUQ185" s="82"/>
      <c r="JUR185" s="82"/>
      <c r="JUS185" s="82"/>
      <c r="JUT185" s="82"/>
      <c r="JUU185" s="82"/>
      <c r="JUV185" s="82"/>
      <c r="JUW185" s="82"/>
      <c r="JUX185" s="82"/>
      <c r="JUY185" s="82"/>
      <c r="JUZ185" s="82"/>
      <c r="JVA185" s="82"/>
      <c r="JVB185" s="82"/>
      <c r="JVC185" s="82"/>
      <c r="JVD185" s="82"/>
      <c r="JVE185" s="82"/>
      <c r="JVF185" s="82"/>
      <c r="JVG185" s="82"/>
      <c r="JVH185" s="82"/>
      <c r="JVI185" s="82"/>
      <c r="JVJ185" s="82"/>
      <c r="JVK185" s="82"/>
      <c r="JVL185" s="82"/>
      <c r="JVM185" s="82"/>
      <c r="JVN185" s="82"/>
      <c r="JVO185" s="82"/>
      <c r="JVP185" s="82"/>
      <c r="JVQ185" s="82"/>
      <c r="JVR185" s="82"/>
      <c r="JVS185" s="82"/>
      <c r="JVT185" s="82"/>
      <c r="JVU185" s="82"/>
      <c r="JVV185" s="82"/>
      <c r="JVW185" s="82"/>
      <c r="JVX185" s="82"/>
      <c r="JVY185" s="82"/>
      <c r="JVZ185" s="82"/>
      <c r="JWA185" s="82"/>
      <c r="JWB185" s="82"/>
      <c r="JWC185" s="82"/>
      <c r="JWD185" s="82"/>
      <c r="JWE185" s="82"/>
      <c r="JWF185" s="82"/>
      <c r="JWG185" s="82"/>
      <c r="JWH185" s="82"/>
      <c r="JWI185" s="82"/>
      <c r="JWJ185" s="82"/>
      <c r="JWK185" s="82"/>
      <c r="JWL185" s="82"/>
      <c r="JWM185" s="82"/>
      <c r="JWN185" s="82"/>
      <c r="JWO185" s="82"/>
      <c r="JWP185" s="82"/>
      <c r="JWQ185" s="82"/>
      <c r="JWR185" s="82"/>
      <c r="JWS185" s="82"/>
      <c r="JWT185" s="82"/>
      <c r="JWU185" s="82"/>
      <c r="JWV185" s="82"/>
      <c r="JWW185" s="82"/>
      <c r="JWX185" s="82"/>
      <c r="JWY185" s="82"/>
      <c r="JWZ185" s="82"/>
      <c r="JXA185" s="82"/>
      <c r="JXB185" s="82"/>
      <c r="JXC185" s="82"/>
      <c r="JXD185" s="82"/>
      <c r="JXE185" s="82"/>
      <c r="JXF185" s="82"/>
      <c r="JXG185" s="82"/>
      <c r="JXH185" s="82"/>
      <c r="JXI185" s="82"/>
      <c r="JXJ185" s="82"/>
      <c r="JXK185" s="82"/>
      <c r="JXL185" s="82"/>
      <c r="JXM185" s="82"/>
      <c r="JXN185" s="82"/>
      <c r="JXO185" s="82"/>
      <c r="JXP185" s="82"/>
      <c r="JXQ185" s="82"/>
      <c r="JXR185" s="82"/>
      <c r="JXS185" s="82"/>
      <c r="JXT185" s="82"/>
      <c r="JXU185" s="82"/>
      <c r="JXV185" s="82"/>
      <c r="JXW185" s="82"/>
      <c r="JXX185" s="82"/>
      <c r="JXY185" s="82"/>
      <c r="JXZ185" s="82"/>
      <c r="JYA185" s="82"/>
      <c r="JYB185" s="82"/>
      <c r="JYC185" s="82"/>
      <c r="JYD185" s="82"/>
      <c r="JYE185" s="82"/>
      <c r="JYF185" s="82"/>
      <c r="JYG185" s="82"/>
      <c r="JYH185" s="82"/>
      <c r="JYI185" s="82"/>
      <c r="JYJ185" s="82"/>
      <c r="JYK185" s="82"/>
      <c r="JYL185" s="82"/>
      <c r="JYM185" s="82"/>
      <c r="JYN185" s="82"/>
      <c r="JYO185" s="82"/>
      <c r="JYP185" s="82"/>
      <c r="JYQ185" s="82"/>
      <c r="JYR185" s="82"/>
      <c r="JYS185" s="82"/>
      <c r="JYT185" s="82"/>
      <c r="JYU185" s="82"/>
      <c r="JYV185" s="82"/>
      <c r="JYW185" s="82"/>
      <c r="JYX185" s="82"/>
      <c r="JYY185" s="82"/>
      <c r="JYZ185" s="82"/>
      <c r="JZA185" s="82"/>
      <c r="JZB185" s="82"/>
      <c r="JZC185" s="82"/>
      <c r="JZD185" s="82"/>
      <c r="JZE185" s="82"/>
      <c r="JZF185" s="82"/>
      <c r="JZG185" s="82"/>
      <c r="JZH185" s="82"/>
      <c r="JZI185" s="82"/>
      <c r="JZJ185" s="82"/>
      <c r="JZK185" s="82"/>
      <c r="JZL185" s="82"/>
      <c r="JZM185" s="82"/>
      <c r="JZN185" s="82"/>
      <c r="JZO185" s="82"/>
      <c r="JZP185" s="82"/>
      <c r="JZQ185" s="82"/>
      <c r="JZR185" s="82"/>
      <c r="JZS185" s="82"/>
      <c r="JZT185" s="82"/>
      <c r="JZU185" s="82"/>
      <c r="JZV185" s="82"/>
      <c r="JZW185" s="82"/>
      <c r="JZX185" s="82"/>
      <c r="JZY185" s="82"/>
      <c r="JZZ185" s="82"/>
      <c r="KAA185" s="82"/>
      <c r="KAB185" s="82"/>
      <c r="KAC185" s="82"/>
      <c r="KAD185" s="82"/>
      <c r="KAE185" s="82"/>
      <c r="KAF185" s="82"/>
      <c r="KAG185" s="82"/>
      <c r="KAH185" s="82"/>
      <c r="KAI185" s="82"/>
      <c r="KAJ185" s="82"/>
      <c r="KAK185" s="82"/>
      <c r="KAL185" s="82"/>
      <c r="KAM185" s="82"/>
      <c r="KAN185" s="82"/>
      <c r="KAO185" s="82"/>
      <c r="KAP185" s="82"/>
      <c r="KAQ185" s="82"/>
      <c r="KAR185" s="82"/>
      <c r="KAS185" s="82"/>
      <c r="KAT185" s="82"/>
      <c r="KAU185" s="82"/>
      <c r="KAV185" s="82"/>
      <c r="KAW185" s="82"/>
      <c r="KAX185" s="82"/>
      <c r="KAY185" s="82"/>
      <c r="KAZ185" s="82"/>
      <c r="KBA185" s="82"/>
      <c r="KBB185" s="82"/>
      <c r="KBC185" s="82"/>
      <c r="KBD185" s="82"/>
      <c r="KBE185" s="82"/>
      <c r="KBF185" s="82"/>
      <c r="KBG185" s="82"/>
      <c r="KBH185" s="82"/>
      <c r="KBI185" s="82"/>
      <c r="KBJ185" s="82"/>
      <c r="KBK185" s="82"/>
      <c r="KBL185" s="82"/>
      <c r="KBM185" s="82"/>
      <c r="KBN185" s="82"/>
      <c r="KBO185" s="82"/>
      <c r="KBP185" s="82"/>
      <c r="KBQ185" s="82"/>
      <c r="KBR185" s="82"/>
      <c r="KBS185" s="82"/>
      <c r="KBT185" s="82"/>
      <c r="KBU185" s="82"/>
      <c r="KBV185" s="82"/>
      <c r="KBW185" s="82"/>
      <c r="KBX185" s="82"/>
      <c r="KBY185" s="82"/>
      <c r="KBZ185" s="82"/>
      <c r="KCA185" s="82"/>
      <c r="KCB185" s="82"/>
      <c r="KCC185" s="82"/>
      <c r="KCD185" s="82"/>
      <c r="KCE185" s="82"/>
      <c r="KCF185" s="82"/>
      <c r="KCG185" s="82"/>
      <c r="KCH185" s="82"/>
      <c r="KCI185" s="82"/>
      <c r="KCJ185" s="82"/>
      <c r="KCK185" s="82"/>
      <c r="KCL185" s="82"/>
      <c r="KCM185" s="82"/>
      <c r="KCN185" s="82"/>
      <c r="KCO185" s="82"/>
      <c r="KCP185" s="82"/>
      <c r="KCQ185" s="82"/>
      <c r="KCR185" s="82"/>
      <c r="KCS185" s="82"/>
      <c r="KCT185" s="82"/>
      <c r="KCU185" s="82"/>
      <c r="KCV185" s="82"/>
      <c r="KCW185" s="82"/>
      <c r="KCX185" s="82"/>
      <c r="KCY185" s="82"/>
      <c r="KCZ185" s="82"/>
      <c r="KDA185" s="82"/>
      <c r="KDB185" s="82"/>
      <c r="KDC185" s="82"/>
      <c r="KDD185" s="82"/>
      <c r="KDE185" s="82"/>
      <c r="KDF185" s="82"/>
      <c r="KDG185" s="82"/>
      <c r="KDH185" s="82"/>
      <c r="KDI185" s="82"/>
      <c r="KDJ185" s="82"/>
      <c r="KDK185" s="82"/>
      <c r="KDL185" s="82"/>
      <c r="KDM185" s="82"/>
      <c r="KDN185" s="82"/>
      <c r="KDO185" s="82"/>
      <c r="KDP185" s="82"/>
      <c r="KDQ185" s="82"/>
      <c r="KDR185" s="82"/>
      <c r="KDS185" s="82"/>
      <c r="KDT185" s="82"/>
      <c r="KDU185" s="82"/>
      <c r="KDV185" s="82"/>
      <c r="KDW185" s="82"/>
      <c r="KDX185" s="82"/>
      <c r="KDY185" s="82"/>
      <c r="KDZ185" s="82"/>
      <c r="KEA185" s="82"/>
      <c r="KEB185" s="82"/>
      <c r="KEC185" s="82"/>
      <c r="KED185" s="82"/>
      <c r="KEE185" s="82"/>
      <c r="KEF185" s="82"/>
      <c r="KEG185" s="82"/>
      <c r="KEH185" s="82"/>
      <c r="KEI185" s="82"/>
      <c r="KEJ185" s="82"/>
      <c r="KEK185" s="82"/>
      <c r="KEL185" s="82"/>
      <c r="KEM185" s="82"/>
      <c r="KEN185" s="82"/>
      <c r="KEO185" s="82"/>
      <c r="KEP185" s="82"/>
      <c r="KEQ185" s="82"/>
      <c r="KER185" s="82"/>
      <c r="KES185" s="82"/>
      <c r="KET185" s="82"/>
      <c r="KEU185" s="82"/>
      <c r="KEV185" s="82"/>
      <c r="KEW185" s="82"/>
      <c r="KEX185" s="82"/>
      <c r="KEY185" s="82"/>
      <c r="KEZ185" s="82"/>
      <c r="KFA185" s="82"/>
      <c r="KFB185" s="82"/>
      <c r="KFC185" s="82"/>
      <c r="KFD185" s="82"/>
      <c r="KFE185" s="82"/>
      <c r="KFF185" s="82"/>
      <c r="KFG185" s="82"/>
      <c r="KFH185" s="82"/>
      <c r="KFI185" s="82"/>
      <c r="KFJ185" s="82"/>
      <c r="KFK185" s="82"/>
      <c r="KFL185" s="82"/>
      <c r="KFM185" s="82"/>
      <c r="KFN185" s="82"/>
      <c r="KFO185" s="82"/>
      <c r="KFP185" s="82"/>
      <c r="KFQ185" s="82"/>
      <c r="KFR185" s="82"/>
      <c r="KFS185" s="82"/>
      <c r="KFT185" s="82"/>
      <c r="KFU185" s="82"/>
      <c r="KFV185" s="82"/>
      <c r="KFW185" s="82"/>
      <c r="KFX185" s="82"/>
      <c r="KFY185" s="82"/>
      <c r="KFZ185" s="82"/>
      <c r="KGA185" s="82"/>
      <c r="KGB185" s="82"/>
      <c r="KGC185" s="82"/>
      <c r="KGD185" s="82"/>
      <c r="KGE185" s="82"/>
      <c r="KGF185" s="82"/>
      <c r="KGG185" s="82"/>
      <c r="KGH185" s="82"/>
      <c r="KGI185" s="82"/>
      <c r="KGJ185" s="82"/>
      <c r="KGK185" s="82"/>
      <c r="KGL185" s="82"/>
      <c r="KGM185" s="82"/>
      <c r="KGN185" s="82"/>
      <c r="KGO185" s="82"/>
      <c r="KGP185" s="82"/>
      <c r="KGQ185" s="82"/>
      <c r="KGR185" s="82"/>
      <c r="KGS185" s="82"/>
      <c r="KGT185" s="82"/>
      <c r="KGU185" s="82"/>
      <c r="KGV185" s="82"/>
      <c r="KGW185" s="82"/>
      <c r="KGX185" s="82"/>
      <c r="KGY185" s="82"/>
      <c r="KGZ185" s="82"/>
      <c r="KHA185" s="82"/>
      <c r="KHB185" s="82"/>
      <c r="KHC185" s="82"/>
      <c r="KHD185" s="82"/>
      <c r="KHE185" s="82"/>
      <c r="KHF185" s="82"/>
      <c r="KHG185" s="82"/>
      <c r="KHH185" s="82"/>
      <c r="KHI185" s="82"/>
      <c r="KHJ185" s="82"/>
      <c r="KHK185" s="82"/>
      <c r="KHL185" s="82"/>
      <c r="KHM185" s="82"/>
      <c r="KHN185" s="82"/>
      <c r="KHO185" s="82"/>
      <c r="KHP185" s="82"/>
      <c r="KHQ185" s="82"/>
      <c r="KHR185" s="82"/>
      <c r="KHS185" s="82"/>
      <c r="KHT185" s="82"/>
      <c r="KHU185" s="82"/>
      <c r="KHV185" s="82"/>
      <c r="KHW185" s="82"/>
      <c r="KHX185" s="82"/>
      <c r="KHY185" s="82"/>
      <c r="KHZ185" s="82"/>
      <c r="KIA185" s="82"/>
      <c r="KIB185" s="82"/>
      <c r="KIC185" s="82"/>
      <c r="KID185" s="82"/>
      <c r="KIE185" s="82"/>
      <c r="KIF185" s="82"/>
      <c r="KIG185" s="82"/>
      <c r="KIH185" s="82"/>
      <c r="KII185" s="82"/>
      <c r="KIJ185" s="82"/>
      <c r="KIK185" s="82"/>
      <c r="KIL185" s="82"/>
      <c r="KIM185" s="82"/>
      <c r="KIN185" s="82"/>
      <c r="KIO185" s="82"/>
      <c r="KIP185" s="82"/>
      <c r="KIQ185" s="82"/>
      <c r="KIR185" s="82"/>
      <c r="KIS185" s="82"/>
      <c r="KIT185" s="82"/>
      <c r="KIU185" s="82"/>
      <c r="KIV185" s="82"/>
      <c r="KIW185" s="82"/>
      <c r="KIX185" s="82"/>
      <c r="KIY185" s="82"/>
      <c r="KIZ185" s="82"/>
      <c r="KJA185" s="82"/>
      <c r="KJB185" s="82"/>
      <c r="KJC185" s="82"/>
      <c r="KJD185" s="82"/>
      <c r="KJE185" s="82"/>
      <c r="KJF185" s="82"/>
      <c r="KJG185" s="82"/>
      <c r="KJH185" s="82"/>
      <c r="KJI185" s="82"/>
      <c r="KJJ185" s="82"/>
      <c r="KJK185" s="82"/>
      <c r="KJL185" s="82"/>
      <c r="KJM185" s="82"/>
      <c r="KJN185" s="82"/>
      <c r="KJO185" s="82"/>
      <c r="KJP185" s="82"/>
      <c r="KJQ185" s="82"/>
      <c r="KJR185" s="82"/>
      <c r="KJS185" s="82"/>
      <c r="KJT185" s="82"/>
      <c r="KJU185" s="82"/>
      <c r="KJV185" s="82"/>
      <c r="KJW185" s="82"/>
      <c r="KJX185" s="82"/>
      <c r="KJY185" s="82"/>
      <c r="KJZ185" s="82"/>
      <c r="KKA185" s="82"/>
      <c r="KKB185" s="82"/>
      <c r="KKC185" s="82"/>
      <c r="KKD185" s="82"/>
      <c r="KKE185" s="82"/>
      <c r="KKF185" s="82"/>
      <c r="KKG185" s="82"/>
      <c r="KKH185" s="82"/>
      <c r="KKI185" s="82"/>
      <c r="KKJ185" s="82"/>
      <c r="KKK185" s="82"/>
      <c r="KKL185" s="82"/>
      <c r="KKM185" s="82"/>
      <c r="KKN185" s="82"/>
      <c r="KKO185" s="82"/>
      <c r="KKP185" s="82"/>
      <c r="KKQ185" s="82"/>
      <c r="KKR185" s="82"/>
      <c r="KKS185" s="82"/>
      <c r="KKT185" s="82"/>
      <c r="KKU185" s="82"/>
      <c r="KKV185" s="82"/>
      <c r="KKW185" s="82"/>
      <c r="KKX185" s="82"/>
      <c r="KKY185" s="82"/>
      <c r="KKZ185" s="82"/>
      <c r="KLA185" s="82"/>
      <c r="KLB185" s="82"/>
      <c r="KLC185" s="82"/>
      <c r="KLD185" s="82"/>
      <c r="KLE185" s="82"/>
      <c r="KLF185" s="82"/>
      <c r="KLG185" s="82"/>
      <c r="KLH185" s="82"/>
      <c r="KLI185" s="82"/>
      <c r="KLJ185" s="82"/>
      <c r="KLK185" s="82"/>
      <c r="KLL185" s="82"/>
      <c r="KLM185" s="82"/>
      <c r="KLN185" s="82"/>
      <c r="KLO185" s="82"/>
      <c r="KLP185" s="82"/>
      <c r="KLQ185" s="82"/>
      <c r="KLR185" s="82"/>
      <c r="KLS185" s="82"/>
      <c r="KLT185" s="82"/>
      <c r="KLU185" s="82"/>
      <c r="KLV185" s="82"/>
      <c r="KLW185" s="82"/>
      <c r="KLX185" s="82"/>
      <c r="KLY185" s="82"/>
      <c r="KLZ185" s="82"/>
      <c r="KMA185" s="82"/>
      <c r="KMB185" s="82"/>
      <c r="KMC185" s="82"/>
      <c r="KMD185" s="82"/>
      <c r="KME185" s="82"/>
      <c r="KMF185" s="82"/>
      <c r="KMG185" s="82"/>
      <c r="KMH185" s="82"/>
      <c r="KMI185" s="82"/>
      <c r="KMJ185" s="82"/>
      <c r="KMK185" s="82"/>
      <c r="KML185" s="82"/>
      <c r="KMM185" s="82"/>
      <c r="KMN185" s="82"/>
      <c r="KMO185" s="82"/>
      <c r="KMP185" s="82"/>
      <c r="KMQ185" s="82"/>
      <c r="KMR185" s="82"/>
      <c r="KMS185" s="82"/>
      <c r="KMT185" s="82"/>
      <c r="KMU185" s="82"/>
      <c r="KMV185" s="82"/>
      <c r="KMW185" s="82"/>
      <c r="KMX185" s="82"/>
      <c r="KMY185" s="82"/>
      <c r="KMZ185" s="82"/>
      <c r="KNA185" s="82"/>
      <c r="KNB185" s="82"/>
      <c r="KNC185" s="82"/>
      <c r="KND185" s="82"/>
      <c r="KNE185" s="82"/>
      <c r="KNF185" s="82"/>
      <c r="KNG185" s="82"/>
      <c r="KNH185" s="82"/>
      <c r="KNI185" s="82"/>
      <c r="KNJ185" s="82"/>
      <c r="KNK185" s="82"/>
      <c r="KNL185" s="82"/>
      <c r="KNM185" s="82"/>
      <c r="KNN185" s="82"/>
      <c r="KNO185" s="82"/>
      <c r="KNP185" s="82"/>
      <c r="KNQ185" s="82"/>
      <c r="KNR185" s="82"/>
      <c r="KNS185" s="82"/>
      <c r="KNT185" s="82"/>
      <c r="KNU185" s="82"/>
      <c r="KNV185" s="82"/>
      <c r="KNW185" s="82"/>
      <c r="KNX185" s="82"/>
      <c r="KNY185" s="82"/>
      <c r="KNZ185" s="82"/>
      <c r="KOA185" s="82"/>
      <c r="KOB185" s="82"/>
      <c r="KOC185" s="82"/>
      <c r="KOD185" s="82"/>
      <c r="KOE185" s="82"/>
      <c r="KOF185" s="82"/>
      <c r="KOG185" s="82"/>
      <c r="KOH185" s="82"/>
      <c r="KOI185" s="82"/>
      <c r="KOJ185" s="82"/>
      <c r="KOK185" s="82"/>
      <c r="KOL185" s="82"/>
      <c r="KOM185" s="82"/>
      <c r="KON185" s="82"/>
      <c r="KOO185" s="82"/>
      <c r="KOP185" s="82"/>
      <c r="KOQ185" s="82"/>
      <c r="KOR185" s="82"/>
      <c r="KOS185" s="82"/>
      <c r="KOT185" s="82"/>
      <c r="KOU185" s="82"/>
      <c r="KOV185" s="82"/>
      <c r="KOW185" s="82"/>
      <c r="KOX185" s="82"/>
      <c r="KOY185" s="82"/>
      <c r="KOZ185" s="82"/>
      <c r="KPA185" s="82"/>
      <c r="KPB185" s="82"/>
      <c r="KPC185" s="82"/>
      <c r="KPD185" s="82"/>
      <c r="KPE185" s="82"/>
      <c r="KPF185" s="82"/>
      <c r="KPG185" s="82"/>
      <c r="KPH185" s="82"/>
      <c r="KPI185" s="82"/>
      <c r="KPJ185" s="82"/>
      <c r="KPK185" s="82"/>
      <c r="KPL185" s="82"/>
      <c r="KPM185" s="82"/>
      <c r="KPN185" s="82"/>
      <c r="KPO185" s="82"/>
      <c r="KPP185" s="82"/>
      <c r="KPQ185" s="82"/>
      <c r="KPR185" s="82"/>
      <c r="KPS185" s="82"/>
      <c r="KPT185" s="82"/>
      <c r="KPU185" s="82"/>
      <c r="KPV185" s="82"/>
      <c r="KPW185" s="82"/>
      <c r="KPX185" s="82"/>
      <c r="KPY185" s="82"/>
      <c r="KPZ185" s="82"/>
      <c r="KQA185" s="82"/>
      <c r="KQB185" s="82"/>
      <c r="KQC185" s="82"/>
      <c r="KQD185" s="82"/>
      <c r="KQE185" s="82"/>
      <c r="KQF185" s="82"/>
      <c r="KQG185" s="82"/>
      <c r="KQH185" s="82"/>
      <c r="KQI185" s="82"/>
      <c r="KQJ185" s="82"/>
      <c r="KQK185" s="82"/>
      <c r="KQL185" s="82"/>
      <c r="KQM185" s="82"/>
      <c r="KQN185" s="82"/>
      <c r="KQO185" s="82"/>
      <c r="KQP185" s="82"/>
      <c r="KQQ185" s="82"/>
      <c r="KQR185" s="82"/>
      <c r="KQS185" s="82"/>
      <c r="KQT185" s="82"/>
      <c r="KQU185" s="82"/>
      <c r="KQV185" s="82"/>
      <c r="KQW185" s="82"/>
      <c r="KQX185" s="82"/>
      <c r="KQY185" s="82"/>
      <c r="KQZ185" s="82"/>
      <c r="KRA185" s="82"/>
      <c r="KRB185" s="82"/>
      <c r="KRC185" s="82"/>
      <c r="KRD185" s="82"/>
      <c r="KRE185" s="82"/>
      <c r="KRF185" s="82"/>
      <c r="KRG185" s="82"/>
      <c r="KRH185" s="82"/>
      <c r="KRI185" s="82"/>
      <c r="KRJ185" s="82"/>
      <c r="KRK185" s="82"/>
      <c r="KRL185" s="82"/>
      <c r="KRM185" s="82"/>
      <c r="KRN185" s="82"/>
      <c r="KRO185" s="82"/>
      <c r="KRP185" s="82"/>
      <c r="KRQ185" s="82"/>
      <c r="KRR185" s="82"/>
      <c r="KRS185" s="82"/>
      <c r="KRT185" s="82"/>
      <c r="KRU185" s="82"/>
      <c r="KRV185" s="82"/>
      <c r="KRW185" s="82"/>
      <c r="KRX185" s="82"/>
      <c r="KRY185" s="82"/>
      <c r="KRZ185" s="82"/>
      <c r="KSA185" s="82"/>
      <c r="KSB185" s="82"/>
      <c r="KSC185" s="82"/>
      <c r="KSD185" s="82"/>
      <c r="KSE185" s="82"/>
      <c r="KSF185" s="82"/>
      <c r="KSG185" s="82"/>
      <c r="KSH185" s="82"/>
      <c r="KSI185" s="82"/>
      <c r="KSJ185" s="82"/>
      <c r="KSK185" s="82"/>
      <c r="KSL185" s="82"/>
      <c r="KSM185" s="82"/>
      <c r="KSN185" s="82"/>
      <c r="KSO185" s="82"/>
      <c r="KSP185" s="82"/>
      <c r="KSQ185" s="82"/>
      <c r="KSR185" s="82"/>
      <c r="KSS185" s="82"/>
      <c r="KST185" s="82"/>
      <c r="KSU185" s="82"/>
      <c r="KSV185" s="82"/>
      <c r="KSW185" s="82"/>
      <c r="KSX185" s="82"/>
      <c r="KSY185" s="82"/>
      <c r="KSZ185" s="82"/>
      <c r="KTA185" s="82"/>
      <c r="KTB185" s="82"/>
      <c r="KTC185" s="82"/>
      <c r="KTD185" s="82"/>
      <c r="KTE185" s="82"/>
      <c r="KTF185" s="82"/>
      <c r="KTG185" s="82"/>
      <c r="KTH185" s="82"/>
      <c r="KTI185" s="82"/>
      <c r="KTJ185" s="82"/>
      <c r="KTK185" s="82"/>
      <c r="KTL185" s="82"/>
      <c r="KTM185" s="82"/>
      <c r="KTN185" s="82"/>
      <c r="KTO185" s="82"/>
      <c r="KTP185" s="82"/>
      <c r="KTQ185" s="82"/>
      <c r="KTR185" s="82"/>
      <c r="KTS185" s="82"/>
      <c r="KTT185" s="82"/>
      <c r="KTU185" s="82"/>
      <c r="KTV185" s="82"/>
      <c r="KTW185" s="82"/>
      <c r="KTX185" s="82"/>
      <c r="KTY185" s="82"/>
      <c r="KTZ185" s="82"/>
      <c r="KUA185" s="82"/>
      <c r="KUB185" s="82"/>
      <c r="KUC185" s="82"/>
      <c r="KUD185" s="82"/>
      <c r="KUE185" s="82"/>
      <c r="KUF185" s="82"/>
      <c r="KUG185" s="82"/>
      <c r="KUH185" s="82"/>
      <c r="KUI185" s="82"/>
      <c r="KUJ185" s="82"/>
      <c r="KUK185" s="82"/>
      <c r="KUL185" s="82"/>
      <c r="KUM185" s="82"/>
      <c r="KUN185" s="82"/>
      <c r="KUO185" s="82"/>
      <c r="KUP185" s="82"/>
      <c r="KUQ185" s="82"/>
      <c r="KUR185" s="82"/>
      <c r="KUS185" s="82"/>
      <c r="KUT185" s="82"/>
      <c r="KUU185" s="82"/>
      <c r="KUV185" s="82"/>
      <c r="KUW185" s="82"/>
      <c r="KUX185" s="82"/>
      <c r="KUY185" s="82"/>
      <c r="KUZ185" s="82"/>
      <c r="KVA185" s="82"/>
      <c r="KVB185" s="82"/>
      <c r="KVC185" s="82"/>
      <c r="KVD185" s="82"/>
      <c r="KVE185" s="82"/>
      <c r="KVF185" s="82"/>
      <c r="KVG185" s="82"/>
      <c r="KVH185" s="82"/>
      <c r="KVI185" s="82"/>
      <c r="KVJ185" s="82"/>
      <c r="KVK185" s="82"/>
      <c r="KVL185" s="82"/>
      <c r="KVM185" s="82"/>
      <c r="KVN185" s="82"/>
      <c r="KVO185" s="82"/>
      <c r="KVP185" s="82"/>
      <c r="KVQ185" s="82"/>
      <c r="KVR185" s="82"/>
      <c r="KVS185" s="82"/>
      <c r="KVT185" s="82"/>
      <c r="KVU185" s="82"/>
      <c r="KVV185" s="82"/>
      <c r="KVW185" s="82"/>
      <c r="KVX185" s="82"/>
      <c r="KVY185" s="82"/>
      <c r="KVZ185" s="82"/>
      <c r="KWA185" s="82"/>
      <c r="KWB185" s="82"/>
      <c r="KWC185" s="82"/>
      <c r="KWD185" s="82"/>
      <c r="KWE185" s="82"/>
      <c r="KWF185" s="82"/>
      <c r="KWG185" s="82"/>
      <c r="KWH185" s="82"/>
      <c r="KWI185" s="82"/>
      <c r="KWJ185" s="82"/>
      <c r="KWK185" s="82"/>
      <c r="KWL185" s="82"/>
      <c r="KWM185" s="82"/>
      <c r="KWN185" s="82"/>
      <c r="KWO185" s="82"/>
      <c r="KWP185" s="82"/>
      <c r="KWQ185" s="82"/>
      <c r="KWR185" s="82"/>
      <c r="KWS185" s="82"/>
      <c r="KWT185" s="82"/>
      <c r="KWU185" s="82"/>
      <c r="KWV185" s="82"/>
      <c r="KWW185" s="82"/>
      <c r="KWX185" s="82"/>
      <c r="KWY185" s="82"/>
      <c r="KWZ185" s="82"/>
      <c r="KXA185" s="82"/>
      <c r="KXB185" s="82"/>
      <c r="KXC185" s="82"/>
      <c r="KXD185" s="82"/>
      <c r="KXE185" s="82"/>
      <c r="KXF185" s="82"/>
      <c r="KXG185" s="82"/>
      <c r="KXH185" s="82"/>
      <c r="KXI185" s="82"/>
      <c r="KXJ185" s="82"/>
      <c r="KXK185" s="82"/>
      <c r="KXL185" s="82"/>
      <c r="KXM185" s="82"/>
      <c r="KXN185" s="82"/>
      <c r="KXO185" s="82"/>
      <c r="KXP185" s="82"/>
      <c r="KXQ185" s="82"/>
      <c r="KXR185" s="82"/>
      <c r="KXS185" s="82"/>
      <c r="KXT185" s="82"/>
      <c r="KXU185" s="82"/>
      <c r="KXV185" s="82"/>
      <c r="KXW185" s="82"/>
      <c r="KXX185" s="82"/>
      <c r="KXY185" s="82"/>
      <c r="KXZ185" s="82"/>
      <c r="KYA185" s="82"/>
      <c r="KYB185" s="82"/>
      <c r="KYC185" s="82"/>
      <c r="KYD185" s="82"/>
      <c r="KYE185" s="82"/>
      <c r="KYF185" s="82"/>
      <c r="KYG185" s="82"/>
      <c r="KYH185" s="82"/>
      <c r="KYI185" s="82"/>
      <c r="KYJ185" s="82"/>
      <c r="KYK185" s="82"/>
      <c r="KYL185" s="82"/>
      <c r="KYM185" s="82"/>
      <c r="KYN185" s="82"/>
      <c r="KYO185" s="82"/>
      <c r="KYP185" s="82"/>
      <c r="KYQ185" s="82"/>
      <c r="KYR185" s="82"/>
      <c r="KYS185" s="82"/>
      <c r="KYT185" s="82"/>
      <c r="KYU185" s="82"/>
      <c r="KYV185" s="82"/>
      <c r="KYW185" s="82"/>
      <c r="KYX185" s="82"/>
      <c r="KYY185" s="82"/>
      <c r="KYZ185" s="82"/>
      <c r="KZA185" s="82"/>
      <c r="KZB185" s="82"/>
      <c r="KZC185" s="82"/>
      <c r="KZD185" s="82"/>
      <c r="KZE185" s="82"/>
      <c r="KZF185" s="82"/>
      <c r="KZG185" s="82"/>
      <c r="KZH185" s="82"/>
      <c r="KZI185" s="82"/>
      <c r="KZJ185" s="82"/>
      <c r="KZK185" s="82"/>
      <c r="KZL185" s="82"/>
      <c r="KZM185" s="82"/>
      <c r="KZN185" s="82"/>
      <c r="KZO185" s="82"/>
      <c r="KZP185" s="82"/>
      <c r="KZQ185" s="82"/>
      <c r="KZR185" s="82"/>
      <c r="KZS185" s="82"/>
      <c r="KZT185" s="82"/>
      <c r="KZU185" s="82"/>
      <c r="KZV185" s="82"/>
      <c r="KZW185" s="82"/>
      <c r="KZX185" s="82"/>
      <c r="KZY185" s="82"/>
      <c r="KZZ185" s="82"/>
      <c r="LAA185" s="82"/>
      <c r="LAB185" s="82"/>
      <c r="LAC185" s="82"/>
      <c r="LAD185" s="82"/>
      <c r="LAE185" s="82"/>
      <c r="LAF185" s="82"/>
      <c r="LAG185" s="82"/>
      <c r="LAH185" s="82"/>
      <c r="LAI185" s="82"/>
      <c r="LAJ185" s="82"/>
      <c r="LAK185" s="82"/>
      <c r="LAL185" s="82"/>
      <c r="LAM185" s="82"/>
      <c r="LAN185" s="82"/>
      <c r="LAO185" s="82"/>
      <c r="LAP185" s="82"/>
      <c r="LAQ185" s="82"/>
      <c r="LAR185" s="82"/>
      <c r="LAS185" s="82"/>
      <c r="LAT185" s="82"/>
      <c r="LAU185" s="82"/>
      <c r="LAV185" s="82"/>
      <c r="LAW185" s="82"/>
      <c r="LAX185" s="82"/>
      <c r="LAY185" s="82"/>
      <c r="LAZ185" s="82"/>
      <c r="LBA185" s="82"/>
      <c r="LBB185" s="82"/>
      <c r="LBC185" s="82"/>
      <c r="LBD185" s="82"/>
      <c r="LBE185" s="82"/>
      <c r="LBF185" s="82"/>
      <c r="LBG185" s="82"/>
      <c r="LBH185" s="82"/>
      <c r="LBI185" s="82"/>
      <c r="LBJ185" s="82"/>
      <c r="LBK185" s="82"/>
      <c r="LBL185" s="82"/>
      <c r="LBM185" s="82"/>
      <c r="LBN185" s="82"/>
      <c r="LBO185" s="82"/>
      <c r="LBP185" s="82"/>
      <c r="LBQ185" s="82"/>
      <c r="LBR185" s="82"/>
      <c r="LBS185" s="82"/>
      <c r="LBT185" s="82"/>
      <c r="LBU185" s="82"/>
      <c r="LBV185" s="82"/>
      <c r="LBW185" s="82"/>
      <c r="LBX185" s="82"/>
      <c r="LBY185" s="82"/>
      <c r="LBZ185" s="82"/>
      <c r="LCA185" s="82"/>
      <c r="LCB185" s="82"/>
      <c r="LCC185" s="82"/>
      <c r="LCD185" s="82"/>
      <c r="LCE185" s="82"/>
      <c r="LCF185" s="82"/>
      <c r="LCG185" s="82"/>
      <c r="LCH185" s="82"/>
      <c r="LCI185" s="82"/>
      <c r="LCJ185" s="82"/>
      <c r="LCK185" s="82"/>
      <c r="LCL185" s="82"/>
      <c r="LCM185" s="82"/>
      <c r="LCN185" s="82"/>
      <c r="LCO185" s="82"/>
      <c r="LCP185" s="82"/>
      <c r="LCQ185" s="82"/>
      <c r="LCR185" s="82"/>
      <c r="LCS185" s="82"/>
      <c r="LCT185" s="82"/>
      <c r="LCU185" s="82"/>
      <c r="LCV185" s="82"/>
      <c r="LCW185" s="82"/>
      <c r="LCX185" s="82"/>
      <c r="LCY185" s="82"/>
      <c r="LCZ185" s="82"/>
      <c r="LDA185" s="82"/>
      <c r="LDB185" s="82"/>
      <c r="LDC185" s="82"/>
      <c r="LDD185" s="82"/>
      <c r="LDE185" s="82"/>
      <c r="LDF185" s="82"/>
      <c r="LDG185" s="82"/>
      <c r="LDH185" s="82"/>
      <c r="LDI185" s="82"/>
      <c r="LDJ185" s="82"/>
      <c r="LDK185" s="82"/>
      <c r="LDL185" s="82"/>
      <c r="LDM185" s="82"/>
      <c r="LDN185" s="82"/>
      <c r="LDO185" s="82"/>
      <c r="LDP185" s="82"/>
      <c r="LDQ185" s="82"/>
      <c r="LDR185" s="82"/>
      <c r="LDS185" s="82"/>
      <c r="LDT185" s="82"/>
      <c r="LDU185" s="82"/>
      <c r="LDV185" s="82"/>
      <c r="LDW185" s="82"/>
      <c r="LDX185" s="82"/>
      <c r="LDY185" s="82"/>
      <c r="LDZ185" s="82"/>
      <c r="LEA185" s="82"/>
      <c r="LEB185" s="82"/>
      <c r="LEC185" s="82"/>
      <c r="LED185" s="82"/>
      <c r="LEE185" s="82"/>
      <c r="LEF185" s="82"/>
      <c r="LEG185" s="82"/>
      <c r="LEH185" s="82"/>
      <c r="LEI185" s="82"/>
      <c r="LEJ185" s="82"/>
      <c r="LEK185" s="82"/>
      <c r="LEL185" s="82"/>
      <c r="LEM185" s="82"/>
      <c r="LEN185" s="82"/>
      <c r="LEO185" s="82"/>
      <c r="LEP185" s="82"/>
      <c r="LEQ185" s="82"/>
      <c r="LER185" s="82"/>
      <c r="LES185" s="82"/>
      <c r="LET185" s="82"/>
      <c r="LEU185" s="82"/>
      <c r="LEV185" s="82"/>
      <c r="LEW185" s="82"/>
      <c r="LEX185" s="82"/>
      <c r="LEY185" s="82"/>
      <c r="LEZ185" s="82"/>
      <c r="LFA185" s="82"/>
      <c r="LFB185" s="82"/>
      <c r="LFC185" s="82"/>
      <c r="LFD185" s="82"/>
      <c r="LFE185" s="82"/>
      <c r="LFF185" s="82"/>
      <c r="LFG185" s="82"/>
      <c r="LFH185" s="82"/>
      <c r="LFI185" s="82"/>
      <c r="LFJ185" s="82"/>
      <c r="LFK185" s="82"/>
      <c r="LFL185" s="82"/>
      <c r="LFM185" s="82"/>
      <c r="LFN185" s="82"/>
      <c r="LFO185" s="82"/>
      <c r="LFP185" s="82"/>
      <c r="LFQ185" s="82"/>
      <c r="LFR185" s="82"/>
      <c r="LFS185" s="82"/>
      <c r="LFT185" s="82"/>
      <c r="LFU185" s="82"/>
      <c r="LFV185" s="82"/>
      <c r="LFW185" s="82"/>
      <c r="LFX185" s="82"/>
      <c r="LFY185" s="82"/>
      <c r="LFZ185" s="82"/>
      <c r="LGA185" s="82"/>
      <c r="LGB185" s="82"/>
      <c r="LGC185" s="82"/>
      <c r="LGD185" s="82"/>
      <c r="LGE185" s="82"/>
      <c r="LGF185" s="82"/>
      <c r="LGG185" s="82"/>
      <c r="LGH185" s="82"/>
      <c r="LGI185" s="82"/>
      <c r="LGJ185" s="82"/>
      <c r="LGK185" s="82"/>
      <c r="LGL185" s="82"/>
      <c r="LGM185" s="82"/>
      <c r="LGN185" s="82"/>
      <c r="LGO185" s="82"/>
      <c r="LGP185" s="82"/>
      <c r="LGQ185" s="82"/>
      <c r="LGR185" s="82"/>
      <c r="LGS185" s="82"/>
      <c r="LGT185" s="82"/>
      <c r="LGU185" s="82"/>
      <c r="LGV185" s="82"/>
      <c r="LGW185" s="82"/>
      <c r="LGX185" s="82"/>
      <c r="LGY185" s="82"/>
      <c r="LGZ185" s="82"/>
      <c r="LHA185" s="82"/>
      <c r="LHB185" s="82"/>
      <c r="LHC185" s="82"/>
      <c r="LHD185" s="82"/>
      <c r="LHE185" s="82"/>
      <c r="LHF185" s="82"/>
      <c r="LHG185" s="82"/>
      <c r="LHH185" s="82"/>
      <c r="LHI185" s="82"/>
      <c r="LHJ185" s="82"/>
      <c r="LHK185" s="82"/>
      <c r="LHL185" s="82"/>
      <c r="LHM185" s="82"/>
      <c r="LHN185" s="82"/>
      <c r="LHO185" s="82"/>
      <c r="LHP185" s="82"/>
      <c r="LHQ185" s="82"/>
      <c r="LHR185" s="82"/>
      <c r="LHS185" s="82"/>
      <c r="LHT185" s="82"/>
      <c r="LHU185" s="82"/>
      <c r="LHV185" s="82"/>
      <c r="LHW185" s="82"/>
      <c r="LHX185" s="82"/>
      <c r="LHY185" s="82"/>
      <c r="LHZ185" s="82"/>
      <c r="LIA185" s="82"/>
      <c r="LIB185" s="82"/>
      <c r="LIC185" s="82"/>
      <c r="LID185" s="82"/>
      <c r="LIE185" s="82"/>
      <c r="LIF185" s="82"/>
      <c r="LIG185" s="82"/>
      <c r="LIH185" s="82"/>
      <c r="LII185" s="82"/>
      <c r="LIJ185" s="82"/>
      <c r="LIK185" s="82"/>
      <c r="LIL185" s="82"/>
      <c r="LIM185" s="82"/>
      <c r="LIN185" s="82"/>
      <c r="LIO185" s="82"/>
      <c r="LIP185" s="82"/>
      <c r="LIQ185" s="82"/>
      <c r="LIR185" s="82"/>
      <c r="LIS185" s="82"/>
      <c r="LIT185" s="82"/>
      <c r="LIU185" s="82"/>
      <c r="LIV185" s="82"/>
      <c r="LIW185" s="82"/>
      <c r="LIX185" s="82"/>
      <c r="LIY185" s="82"/>
      <c r="LIZ185" s="82"/>
      <c r="LJA185" s="82"/>
      <c r="LJB185" s="82"/>
      <c r="LJC185" s="82"/>
      <c r="LJD185" s="82"/>
      <c r="LJE185" s="82"/>
      <c r="LJF185" s="82"/>
      <c r="LJG185" s="82"/>
      <c r="LJH185" s="82"/>
      <c r="LJI185" s="82"/>
      <c r="LJJ185" s="82"/>
      <c r="LJK185" s="82"/>
      <c r="LJL185" s="82"/>
      <c r="LJM185" s="82"/>
      <c r="LJN185" s="82"/>
      <c r="LJO185" s="82"/>
      <c r="LJP185" s="82"/>
      <c r="LJQ185" s="82"/>
      <c r="LJR185" s="82"/>
      <c r="LJS185" s="82"/>
      <c r="LJT185" s="82"/>
      <c r="LJU185" s="82"/>
      <c r="LJV185" s="82"/>
      <c r="LJW185" s="82"/>
      <c r="LJX185" s="82"/>
      <c r="LJY185" s="82"/>
      <c r="LJZ185" s="82"/>
      <c r="LKA185" s="82"/>
      <c r="LKB185" s="82"/>
      <c r="LKC185" s="82"/>
      <c r="LKD185" s="82"/>
      <c r="LKE185" s="82"/>
      <c r="LKF185" s="82"/>
      <c r="LKG185" s="82"/>
      <c r="LKH185" s="82"/>
      <c r="LKI185" s="82"/>
      <c r="LKJ185" s="82"/>
      <c r="LKK185" s="82"/>
      <c r="LKL185" s="82"/>
      <c r="LKM185" s="82"/>
      <c r="LKN185" s="82"/>
      <c r="LKO185" s="82"/>
      <c r="LKP185" s="82"/>
      <c r="LKQ185" s="82"/>
      <c r="LKR185" s="82"/>
      <c r="LKS185" s="82"/>
      <c r="LKT185" s="82"/>
      <c r="LKU185" s="82"/>
      <c r="LKV185" s="82"/>
      <c r="LKW185" s="82"/>
      <c r="LKX185" s="82"/>
      <c r="LKY185" s="82"/>
      <c r="LKZ185" s="82"/>
      <c r="LLA185" s="82"/>
      <c r="LLB185" s="82"/>
      <c r="LLC185" s="82"/>
      <c r="LLD185" s="82"/>
      <c r="LLE185" s="82"/>
      <c r="LLF185" s="82"/>
      <c r="LLG185" s="82"/>
      <c r="LLH185" s="82"/>
      <c r="LLI185" s="82"/>
      <c r="LLJ185" s="82"/>
      <c r="LLK185" s="82"/>
      <c r="LLL185" s="82"/>
      <c r="LLM185" s="82"/>
      <c r="LLN185" s="82"/>
      <c r="LLO185" s="82"/>
      <c r="LLP185" s="82"/>
      <c r="LLQ185" s="82"/>
      <c r="LLR185" s="82"/>
      <c r="LLS185" s="82"/>
      <c r="LLT185" s="82"/>
      <c r="LLU185" s="82"/>
      <c r="LLV185" s="82"/>
      <c r="LLW185" s="82"/>
      <c r="LLX185" s="82"/>
      <c r="LLY185" s="82"/>
      <c r="LLZ185" s="82"/>
      <c r="LMA185" s="82"/>
      <c r="LMB185" s="82"/>
      <c r="LMC185" s="82"/>
      <c r="LMD185" s="82"/>
      <c r="LME185" s="82"/>
      <c r="LMF185" s="82"/>
      <c r="LMG185" s="82"/>
      <c r="LMH185" s="82"/>
      <c r="LMI185" s="82"/>
      <c r="LMJ185" s="82"/>
      <c r="LMK185" s="82"/>
      <c r="LML185" s="82"/>
      <c r="LMM185" s="82"/>
      <c r="LMN185" s="82"/>
      <c r="LMO185" s="82"/>
      <c r="LMP185" s="82"/>
      <c r="LMQ185" s="82"/>
      <c r="LMR185" s="82"/>
      <c r="LMS185" s="82"/>
      <c r="LMT185" s="82"/>
      <c r="LMU185" s="82"/>
      <c r="LMV185" s="82"/>
      <c r="LMW185" s="82"/>
      <c r="LMX185" s="82"/>
      <c r="LMY185" s="82"/>
      <c r="LMZ185" s="82"/>
      <c r="LNA185" s="82"/>
      <c r="LNB185" s="82"/>
      <c r="LNC185" s="82"/>
      <c r="LND185" s="82"/>
      <c r="LNE185" s="82"/>
      <c r="LNF185" s="82"/>
      <c r="LNG185" s="82"/>
      <c r="LNH185" s="82"/>
      <c r="LNI185" s="82"/>
      <c r="LNJ185" s="82"/>
      <c r="LNK185" s="82"/>
      <c r="LNL185" s="82"/>
      <c r="LNM185" s="82"/>
      <c r="LNN185" s="82"/>
      <c r="LNO185" s="82"/>
      <c r="LNP185" s="82"/>
      <c r="LNQ185" s="82"/>
      <c r="LNR185" s="82"/>
      <c r="LNS185" s="82"/>
      <c r="LNT185" s="82"/>
      <c r="LNU185" s="82"/>
      <c r="LNV185" s="82"/>
      <c r="LNW185" s="82"/>
      <c r="LNX185" s="82"/>
      <c r="LNY185" s="82"/>
      <c r="LNZ185" s="82"/>
      <c r="LOA185" s="82"/>
      <c r="LOB185" s="82"/>
      <c r="LOC185" s="82"/>
      <c r="LOD185" s="82"/>
      <c r="LOE185" s="82"/>
      <c r="LOF185" s="82"/>
      <c r="LOG185" s="82"/>
      <c r="LOH185" s="82"/>
      <c r="LOI185" s="82"/>
      <c r="LOJ185" s="82"/>
      <c r="LOK185" s="82"/>
      <c r="LOL185" s="82"/>
      <c r="LOM185" s="82"/>
      <c r="LON185" s="82"/>
      <c r="LOO185" s="82"/>
      <c r="LOP185" s="82"/>
      <c r="LOQ185" s="82"/>
      <c r="LOR185" s="82"/>
      <c r="LOS185" s="82"/>
      <c r="LOT185" s="82"/>
      <c r="LOU185" s="82"/>
      <c r="LOV185" s="82"/>
      <c r="LOW185" s="82"/>
      <c r="LOX185" s="82"/>
      <c r="LOY185" s="82"/>
      <c r="LOZ185" s="82"/>
      <c r="LPA185" s="82"/>
      <c r="LPB185" s="82"/>
      <c r="LPC185" s="82"/>
      <c r="LPD185" s="82"/>
      <c r="LPE185" s="82"/>
      <c r="LPF185" s="82"/>
      <c r="LPG185" s="82"/>
      <c r="LPH185" s="82"/>
      <c r="LPI185" s="82"/>
      <c r="LPJ185" s="82"/>
      <c r="LPK185" s="82"/>
      <c r="LPL185" s="82"/>
      <c r="LPM185" s="82"/>
      <c r="LPN185" s="82"/>
      <c r="LPO185" s="82"/>
      <c r="LPP185" s="82"/>
      <c r="LPQ185" s="82"/>
      <c r="LPR185" s="82"/>
      <c r="LPS185" s="82"/>
      <c r="LPT185" s="82"/>
      <c r="LPU185" s="82"/>
      <c r="LPV185" s="82"/>
      <c r="LPW185" s="82"/>
      <c r="LPX185" s="82"/>
      <c r="LPY185" s="82"/>
      <c r="LPZ185" s="82"/>
      <c r="LQA185" s="82"/>
      <c r="LQB185" s="82"/>
      <c r="LQC185" s="82"/>
      <c r="LQD185" s="82"/>
      <c r="LQE185" s="82"/>
      <c r="LQF185" s="82"/>
      <c r="LQG185" s="82"/>
      <c r="LQH185" s="82"/>
      <c r="LQI185" s="82"/>
      <c r="LQJ185" s="82"/>
      <c r="LQK185" s="82"/>
      <c r="LQL185" s="82"/>
      <c r="LQM185" s="82"/>
      <c r="LQN185" s="82"/>
      <c r="LQO185" s="82"/>
      <c r="LQP185" s="82"/>
      <c r="LQQ185" s="82"/>
      <c r="LQR185" s="82"/>
      <c r="LQS185" s="82"/>
      <c r="LQT185" s="82"/>
      <c r="LQU185" s="82"/>
      <c r="LQV185" s="82"/>
      <c r="LQW185" s="82"/>
      <c r="LQX185" s="82"/>
      <c r="LQY185" s="82"/>
      <c r="LQZ185" s="82"/>
      <c r="LRA185" s="82"/>
      <c r="LRB185" s="82"/>
      <c r="LRC185" s="82"/>
      <c r="LRD185" s="82"/>
      <c r="LRE185" s="82"/>
      <c r="LRF185" s="82"/>
      <c r="LRG185" s="82"/>
      <c r="LRH185" s="82"/>
      <c r="LRI185" s="82"/>
      <c r="LRJ185" s="82"/>
      <c r="LRK185" s="82"/>
      <c r="LRL185" s="82"/>
      <c r="LRM185" s="82"/>
      <c r="LRN185" s="82"/>
      <c r="LRO185" s="82"/>
      <c r="LRP185" s="82"/>
      <c r="LRQ185" s="82"/>
      <c r="LRR185" s="82"/>
      <c r="LRS185" s="82"/>
      <c r="LRT185" s="82"/>
      <c r="LRU185" s="82"/>
      <c r="LRV185" s="82"/>
      <c r="LRW185" s="82"/>
      <c r="LRX185" s="82"/>
      <c r="LRY185" s="82"/>
      <c r="LRZ185" s="82"/>
      <c r="LSA185" s="82"/>
      <c r="LSB185" s="82"/>
      <c r="LSC185" s="82"/>
      <c r="LSD185" s="82"/>
      <c r="LSE185" s="82"/>
      <c r="LSF185" s="82"/>
      <c r="LSG185" s="82"/>
      <c r="LSH185" s="82"/>
      <c r="LSI185" s="82"/>
      <c r="LSJ185" s="82"/>
      <c r="LSK185" s="82"/>
      <c r="LSL185" s="82"/>
      <c r="LSM185" s="82"/>
      <c r="LSN185" s="82"/>
      <c r="LSO185" s="82"/>
      <c r="LSP185" s="82"/>
      <c r="LSQ185" s="82"/>
      <c r="LSR185" s="82"/>
      <c r="LSS185" s="82"/>
      <c r="LST185" s="82"/>
      <c r="LSU185" s="82"/>
      <c r="LSV185" s="82"/>
      <c r="LSW185" s="82"/>
      <c r="LSX185" s="82"/>
      <c r="LSY185" s="82"/>
      <c r="LSZ185" s="82"/>
      <c r="LTA185" s="82"/>
      <c r="LTB185" s="82"/>
      <c r="LTC185" s="82"/>
      <c r="LTD185" s="82"/>
      <c r="LTE185" s="82"/>
      <c r="LTF185" s="82"/>
      <c r="LTG185" s="82"/>
      <c r="LTH185" s="82"/>
      <c r="LTI185" s="82"/>
      <c r="LTJ185" s="82"/>
      <c r="LTK185" s="82"/>
      <c r="LTL185" s="82"/>
      <c r="LTM185" s="82"/>
      <c r="LTN185" s="82"/>
      <c r="LTO185" s="82"/>
      <c r="LTP185" s="82"/>
      <c r="LTQ185" s="82"/>
      <c r="LTR185" s="82"/>
      <c r="LTS185" s="82"/>
      <c r="LTT185" s="82"/>
      <c r="LTU185" s="82"/>
      <c r="LTV185" s="82"/>
      <c r="LTW185" s="82"/>
      <c r="LTX185" s="82"/>
      <c r="LTY185" s="82"/>
      <c r="LTZ185" s="82"/>
      <c r="LUA185" s="82"/>
      <c r="LUB185" s="82"/>
      <c r="LUC185" s="82"/>
      <c r="LUD185" s="82"/>
      <c r="LUE185" s="82"/>
      <c r="LUF185" s="82"/>
      <c r="LUG185" s="82"/>
      <c r="LUH185" s="82"/>
      <c r="LUI185" s="82"/>
      <c r="LUJ185" s="82"/>
      <c r="LUK185" s="82"/>
      <c r="LUL185" s="82"/>
      <c r="LUM185" s="82"/>
      <c r="LUN185" s="82"/>
      <c r="LUO185" s="82"/>
      <c r="LUP185" s="82"/>
      <c r="LUQ185" s="82"/>
      <c r="LUR185" s="82"/>
      <c r="LUS185" s="82"/>
      <c r="LUT185" s="82"/>
      <c r="LUU185" s="82"/>
      <c r="LUV185" s="82"/>
      <c r="LUW185" s="82"/>
      <c r="LUX185" s="82"/>
      <c r="LUY185" s="82"/>
      <c r="LUZ185" s="82"/>
      <c r="LVA185" s="82"/>
      <c r="LVB185" s="82"/>
      <c r="LVC185" s="82"/>
      <c r="LVD185" s="82"/>
      <c r="LVE185" s="82"/>
      <c r="LVF185" s="82"/>
      <c r="LVG185" s="82"/>
      <c r="LVH185" s="82"/>
      <c r="LVI185" s="82"/>
      <c r="LVJ185" s="82"/>
      <c r="LVK185" s="82"/>
      <c r="LVL185" s="82"/>
      <c r="LVM185" s="82"/>
      <c r="LVN185" s="82"/>
      <c r="LVO185" s="82"/>
      <c r="LVP185" s="82"/>
      <c r="LVQ185" s="82"/>
      <c r="LVR185" s="82"/>
      <c r="LVS185" s="82"/>
      <c r="LVT185" s="82"/>
      <c r="LVU185" s="82"/>
      <c r="LVV185" s="82"/>
      <c r="LVW185" s="82"/>
      <c r="LVX185" s="82"/>
      <c r="LVY185" s="82"/>
      <c r="LVZ185" s="82"/>
      <c r="LWA185" s="82"/>
      <c r="LWB185" s="82"/>
      <c r="LWC185" s="82"/>
      <c r="LWD185" s="82"/>
      <c r="LWE185" s="82"/>
      <c r="LWF185" s="82"/>
      <c r="LWG185" s="82"/>
      <c r="LWH185" s="82"/>
      <c r="LWI185" s="82"/>
      <c r="LWJ185" s="82"/>
      <c r="LWK185" s="82"/>
      <c r="LWL185" s="82"/>
      <c r="LWM185" s="82"/>
      <c r="LWN185" s="82"/>
      <c r="LWO185" s="82"/>
      <c r="LWP185" s="82"/>
      <c r="LWQ185" s="82"/>
      <c r="LWR185" s="82"/>
      <c r="LWS185" s="82"/>
      <c r="LWT185" s="82"/>
      <c r="LWU185" s="82"/>
      <c r="LWV185" s="82"/>
      <c r="LWW185" s="82"/>
      <c r="LWX185" s="82"/>
      <c r="LWY185" s="82"/>
      <c r="LWZ185" s="82"/>
      <c r="LXA185" s="82"/>
      <c r="LXB185" s="82"/>
      <c r="LXC185" s="82"/>
      <c r="LXD185" s="82"/>
      <c r="LXE185" s="82"/>
      <c r="LXF185" s="82"/>
      <c r="LXG185" s="82"/>
      <c r="LXH185" s="82"/>
      <c r="LXI185" s="82"/>
      <c r="LXJ185" s="82"/>
      <c r="LXK185" s="82"/>
      <c r="LXL185" s="82"/>
      <c r="LXM185" s="82"/>
      <c r="LXN185" s="82"/>
      <c r="LXO185" s="82"/>
      <c r="LXP185" s="82"/>
      <c r="LXQ185" s="82"/>
      <c r="LXR185" s="82"/>
      <c r="LXS185" s="82"/>
      <c r="LXT185" s="82"/>
      <c r="LXU185" s="82"/>
      <c r="LXV185" s="82"/>
      <c r="LXW185" s="82"/>
      <c r="LXX185" s="82"/>
      <c r="LXY185" s="82"/>
      <c r="LXZ185" s="82"/>
      <c r="LYA185" s="82"/>
      <c r="LYB185" s="82"/>
      <c r="LYC185" s="82"/>
      <c r="LYD185" s="82"/>
      <c r="LYE185" s="82"/>
      <c r="LYF185" s="82"/>
      <c r="LYG185" s="82"/>
      <c r="LYH185" s="82"/>
      <c r="LYI185" s="82"/>
      <c r="LYJ185" s="82"/>
      <c r="LYK185" s="82"/>
      <c r="LYL185" s="82"/>
      <c r="LYM185" s="82"/>
      <c r="LYN185" s="82"/>
      <c r="LYO185" s="82"/>
      <c r="LYP185" s="82"/>
      <c r="LYQ185" s="82"/>
      <c r="LYR185" s="82"/>
      <c r="LYS185" s="82"/>
      <c r="LYT185" s="82"/>
      <c r="LYU185" s="82"/>
      <c r="LYV185" s="82"/>
      <c r="LYW185" s="82"/>
      <c r="LYX185" s="82"/>
      <c r="LYY185" s="82"/>
      <c r="LYZ185" s="82"/>
      <c r="LZA185" s="82"/>
      <c r="LZB185" s="82"/>
      <c r="LZC185" s="82"/>
      <c r="LZD185" s="82"/>
      <c r="LZE185" s="82"/>
      <c r="LZF185" s="82"/>
      <c r="LZG185" s="82"/>
      <c r="LZH185" s="82"/>
      <c r="LZI185" s="82"/>
      <c r="LZJ185" s="82"/>
      <c r="LZK185" s="82"/>
      <c r="LZL185" s="82"/>
      <c r="LZM185" s="82"/>
      <c r="LZN185" s="82"/>
      <c r="LZO185" s="82"/>
      <c r="LZP185" s="82"/>
      <c r="LZQ185" s="82"/>
      <c r="LZR185" s="82"/>
      <c r="LZS185" s="82"/>
      <c r="LZT185" s="82"/>
      <c r="LZU185" s="82"/>
      <c r="LZV185" s="82"/>
      <c r="LZW185" s="82"/>
      <c r="LZX185" s="82"/>
      <c r="LZY185" s="82"/>
      <c r="LZZ185" s="82"/>
      <c r="MAA185" s="82"/>
      <c r="MAB185" s="82"/>
      <c r="MAC185" s="82"/>
      <c r="MAD185" s="82"/>
      <c r="MAE185" s="82"/>
      <c r="MAF185" s="82"/>
      <c r="MAG185" s="82"/>
      <c r="MAH185" s="82"/>
      <c r="MAI185" s="82"/>
      <c r="MAJ185" s="82"/>
      <c r="MAK185" s="82"/>
      <c r="MAL185" s="82"/>
      <c r="MAM185" s="82"/>
      <c r="MAN185" s="82"/>
      <c r="MAO185" s="82"/>
      <c r="MAP185" s="82"/>
      <c r="MAQ185" s="82"/>
      <c r="MAR185" s="82"/>
      <c r="MAS185" s="82"/>
      <c r="MAT185" s="82"/>
      <c r="MAU185" s="82"/>
      <c r="MAV185" s="82"/>
      <c r="MAW185" s="82"/>
      <c r="MAX185" s="82"/>
      <c r="MAY185" s="82"/>
      <c r="MAZ185" s="82"/>
      <c r="MBA185" s="82"/>
      <c r="MBB185" s="82"/>
      <c r="MBC185" s="82"/>
      <c r="MBD185" s="82"/>
      <c r="MBE185" s="82"/>
      <c r="MBF185" s="82"/>
      <c r="MBG185" s="82"/>
      <c r="MBH185" s="82"/>
      <c r="MBI185" s="82"/>
      <c r="MBJ185" s="82"/>
      <c r="MBK185" s="82"/>
      <c r="MBL185" s="82"/>
      <c r="MBM185" s="82"/>
      <c r="MBN185" s="82"/>
      <c r="MBO185" s="82"/>
      <c r="MBP185" s="82"/>
      <c r="MBQ185" s="82"/>
      <c r="MBR185" s="82"/>
      <c r="MBS185" s="82"/>
      <c r="MBT185" s="82"/>
      <c r="MBU185" s="82"/>
      <c r="MBV185" s="82"/>
      <c r="MBW185" s="82"/>
      <c r="MBX185" s="82"/>
      <c r="MBY185" s="82"/>
      <c r="MBZ185" s="82"/>
      <c r="MCA185" s="82"/>
      <c r="MCB185" s="82"/>
      <c r="MCC185" s="82"/>
      <c r="MCD185" s="82"/>
      <c r="MCE185" s="82"/>
      <c r="MCF185" s="82"/>
      <c r="MCG185" s="82"/>
      <c r="MCH185" s="82"/>
      <c r="MCI185" s="82"/>
      <c r="MCJ185" s="82"/>
      <c r="MCK185" s="82"/>
      <c r="MCL185" s="82"/>
      <c r="MCM185" s="82"/>
      <c r="MCN185" s="82"/>
      <c r="MCO185" s="82"/>
      <c r="MCP185" s="82"/>
      <c r="MCQ185" s="82"/>
      <c r="MCR185" s="82"/>
      <c r="MCS185" s="82"/>
      <c r="MCT185" s="82"/>
      <c r="MCU185" s="82"/>
      <c r="MCV185" s="82"/>
      <c r="MCW185" s="82"/>
      <c r="MCX185" s="82"/>
      <c r="MCY185" s="82"/>
      <c r="MCZ185" s="82"/>
      <c r="MDA185" s="82"/>
      <c r="MDB185" s="82"/>
      <c r="MDC185" s="82"/>
      <c r="MDD185" s="82"/>
      <c r="MDE185" s="82"/>
      <c r="MDF185" s="82"/>
      <c r="MDG185" s="82"/>
      <c r="MDH185" s="82"/>
      <c r="MDI185" s="82"/>
      <c r="MDJ185" s="82"/>
      <c r="MDK185" s="82"/>
      <c r="MDL185" s="82"/>
      <c r="MDM185" s="82"/>
      <c r="MDN185" s="82"/>
      <c r="MDO185" s="82"/>
      <c r="MDP185" s="82"/>
      <c r="MDQ185" s="82"/>
      <c r="MDR185" s="82"/>
      <c r="MDS185" s="82"/>
      <c r="MDT185" s="82"/>
      <c r="MDU185" s="82"/>
      <c r="MDV185" s="82"/>
      <c r="MDW185" s="82"/>
      <c r="MDX185" s="82"/>
      <c r="MDY185" s="82"/>
      <c r="MDZ185" s="82"/>
      <c r="MEA185" s="82"/>
      <c r="MEB185" s="82"/>
      <c r="MEC185" s="82"/>
      <c r="MED185" s="82"/>
      <c r="MEE185" s="82"/>
      <c r="MEF185" s="82"/>
      <c r="MEG185" s="82"/>
      <c r="MEH185" s="82"/>
      <c r="MEI185" s="82"/>
      <c r="MEJ185" s="82"/>
      <c r="MEK185" s="82"/>
      <c r="MEL185" s="82"/>
      <c r="MEM185" s="82"/>
      <c r="MEN185" s="82"/>
      <c r="MEO185" s="82"/>
      <c r="MEP185" s="82"/>
      <c r="MEQ185" s="82"/>
      <c r="MER185" s="82"/>
      <c r="MES185" s="82"/>
      <c r="MET185" s="82"/>
      <c r="MEU185" s="82"/>
      <c r="MEV185" s="82"/>
      <c r="MEW185" s="82"/>
      <c r="MEX185" s="82"/>
      <c r="MEY185" s="82"/>
      <c r="MEZ185" s="82"/>
      <c r="MFA185" s="82"/>
      <c r="MFB185" s="82"/>
      <c r="MFC185" s="82"/>
      <c r="MFD185" s="82"/>
      <c r="MFE185" s="82"/>
      <c r="MFF185" s="82"/>
      <c r="MFG185" s="82"/>
      <c r="MFH185" s="82"/>
      <c r="MFI185" s="82"/>
      <c r="MFJ185" s="82"/>
      <c r="MFK185" s="82"/>
      <c r="MFL185" s="82"/>
      <c r="MFM185" s="82"/>
      <c r="MFN185" s="82"/>
      <c r="MFO185" s="82"/>
      <c r="MFP185" s="82"/>
      <c r="MFQ185" s="82"/>
      <c r="MFR185" s="82"/>
      <c r="MFS185" s="82"/>
      <c r="MFT185" s="82"/>
      <c r="MFU185" s="82"/>
      <c r="MFV185" s="82"/>
      <c r="MFW185" s="82"/>
      <c r="MFX185" s="82"/>
      <c r="MFY185" s="82"/>
      <c r="MFZ185" s="82"/>
      <c r="MGA185" s="82"/>
      <c r="MGB185" s="82"/>
      <c r="MGC185" s="82"/>
      <c r="MGD185" s="82"/>
      <c r="MGE185" s="82"/>
      <c r="MGF185" s="82"/>
      <c r="MGG185" s="82"/>
      <c r="MGH185" s="82"/>
      <c r="MGI185" s="82"/>
      <c r="MGJ185" s="82"/>
      <c r="MGK185" s="82"/>
      <c r="MGL185" s="82"/>
      <c r="MGM185" s="82"/>
      <c r="MGN185" s="82"/>
      <c r="MGO185" s="82"/>
      <c r="MGP185" s="82"/>
      <c r="MGQ185" s="82"/>
      <c r="MGR185" s="82"/>
      <c r="MGS185" s="82"/>
      <c r="MGT185" s="82"/>
      <c r="MGU185" s="82"/>
      <c r="MGV185" s="82"/>
      <c r="MGW185" s="82"/>
      <c r="MGX185" s="82"/>
      <c r="MGY185" s="82"/>
      <c r="MGZ185" s="82"/>
      <c r="MHA185" s="82"/>
      <c r="MHB185" s="82"/>
      <c r="MHC185" s="82"/>
      <c r="MHD185" s="82"/>
      <c r="MHE185" s="82"/>
      <c r="MHF185" s="82"/>
      <c r="MHG185" s="82"/>
      <c r="MHH185" s="82"/>
      <c r="MHI185" s="82"/>
      <c r="MHJ185" s="82"/>
      <c r="MHK185" s="82"/>
      <c r="MHL185" s="82"/>
      <c r="MHM185" s="82"/>
      <c r="MHN185" s="82"/>
      <c r="MHO185" s="82"/>
      <c r="MHP185" s="82"/>
      <c r="MHQ185" s="82"/>
      <c r="MHR185" s="82"/>
      <c r="MHS185" s="82"/>
      <c r="MHT185" s="82"/>
      <c r="MHU185" s="82"/>
      <c r="MHV185" s="82"/>
      <c r="MHW185" s="82"/>
      <c r="MHX185" s="82"/>
      <c r="MHY185" s="82"/>
      <c r="MHZ185" s="82"/>
      <c r="MIA185" s="82"/>
      <c r="MIB185" s="82"/>
      <c r="MIC185" s="82"/>
      <c r="MID185" s="82"/>
      <c r="MIE185" s="82"/>
      <c r="MIF185" s="82"/>
      <c r="MIG185" s="82"/>
      <c r="MIH185" s="82"/>
      <c r="MII185" s="82"/>
      <c r="MIJ185" s="82"/>
      <c r="MIK185" s="82"/>
      <c r="MIL185" s="82"/>
      <c r="MIM185" s="82"/>
      <c r="MIN185" s="82"/>
      <c r="MIO185" s="82"/>
      <c r="MIP185" s="82"/>
      <c r="MIQ185" s="82"/>
      <c r="MIR185" s="82"/>
      <c r="MIS185" s="82"/>
      <c r="MIT185" s="82"/>
      <c r="MIU185" s="82"/>
      <c r="MIV185" s="82"/>
      <c r="MIW185" s="82"/>
      <c r="MIX185" s="82"/>
      <c r="MIY185" s="82"/>
      <c r="MIZ185" s="82"/>
      <c r="MJA185" s="82"/>
      <c r="MJB185" s="82"/>
      <c r="MJC185" s="82"/>
      <c r="MJD185" s="82"/>
      <c r="MJE185" s="82"/>
      <c r="MJF185" s="82"/>
      <c r="MJG185" s="82"/>
      <c r="MJH185" s="82"/>
      <c r="MJI185" s="82"/>
      <c r="MJJ185" s="82"/>
      <c r="MJK185" s="82"/>
      <c r="MJL185" s="82"/>
      <c r="MJM185" s="82"/>
      <c r="MJN185" s="82"/>
      <c r="MJO185" s="82"/>
      <c r="MJP185" s="82"/>
      <c r="MJQ185" s="82"/>
      <c r="MJR185" s="82"/>
      <c r="MJS185" s="82"/>
      <c r="MJT185" s="82"/>
      <c r="MJU185" s="82"/>
      <c r="MJV185" s="82"/>
      <c r="MJW185" s="82"/>
      <c r="MJX185" s="82"/>
      <c r="MJY185" s="82"/>
      <c r="MJZ185" s="82"/>
      <c r="MKA185" s="82"/>
      <c r="MKB185" s="82"/>
      <c r="MKC185" s="82"/>
      <c r="MKD185" s="82"/>
      <c r="MKE185" s="82"/>
      <c r="MKF185" s="82"/>
      <c r="MKG185" s="82"/>
      <c r="MKH185" s="82"/>
      <c r="MKI185" s="82"/>
      <c r="MKJ185" s="82"/>
      <c r="MKK185" s="82"/>
      <c r="MKL185" s="82"/>
      <c r="MKM185" s="82"/>
      <c r="MKN185" s="82"/>
      <c r="MKO185" s="82"/>
      <c r="MKP185" s="82"/>
      <c r="MKQ185" s="82"/>
      <c r="MKR185" s="82"/>
      <c r="MKS185" s="82"/>
      <c r="MKT185" s="82"/>
      <c r="MKU185" s="82"/>
      <c r="MKV185" s="82"/>
      <c r="MKW185" s="82"/>
      <c r="MKX185" s="82"/>
      <c r="MKY185" s="82"/>
      <c r="MKZ185" s="82"/>
      <c r="MLA185" s="82"/>
      <c r="MLB185" s="82"/>
      <c r="MLC185" s="82"/>
      <c r="MLD185" s="82"/>
      <c r="MLE185" s="82"/>
      <c r="MLF185" s="82"/>
      <c r="MLG185" s="82"/>
      <c r="MLH185" s="82"/>
      <c r="MLI185" s="82"/>
      <c r="MLJ185" s="82"/>
      <c r="MLK185" s="82"/>
      <c r="MLL185" s="82"/>
      <c r="MLM185" s="82"/>
      <c r="MLN185" s="82"/>
      <c r="MLO185" s="82"/>
      <c r="MLP185" s="82"/>
      <c r="MLQ185" s="82"/>
      <c r="MLR185" s="82"/>
      <c r="MLS185" s="82"/>
      <c r="MLT185" s="82"/>
      <c r="MLU185" s="82"/>
      <c r="MLV185" s="82"/>
      <c r="MLW185" s="82"/>
      <c r="MLX185" s="82"/>
      <c r="MLY185" s="82"/>
      <c r="MLZ185" s="82"/>
      <c r="MMA185" s="82"/>
      <c r="MMB185" s="82"/>
      <c r="MMC185" s="82"/>
      <c r="MMD185" s="82"/>
      <c r="MME185" s="82"/>
      <c r="MMF185" s="82"/>
      <c r="MMG185" s="82"/>
      <c r="MMH185" s="82"/>
      <c r="MMI185" s="82"/>
      <c r="MMJ185" s="82"/>
      <c r="MMK185" s="82"/>
      <c r="MML185" s="82"/>
      <c r="MMM185" s="82"/>
      <c r="MMN185" s="82"/>
      <c r="MMO185" s="82"/>
      <c r="MMP185" s="82"/>
      <c r="MMQ185" s="82"/>
      <c r="MMR185" s="82"/>
      <c r="MMS185" s="82"/>
      <c r="MMT185" s="82"/>
      <c r="MMU185" s="82"/>
      <c r="MMV185" s="82"/>
      <c r="MMW185" s="82"/>
      <c r="MMX185" s="82"/>
      <c r="MMY185" s="82"/>
      <c r="MMZ185" s="82"/>
      <c r="MNA185" s="82"/>
      <c r="MNB185" s="82"/>
      <c r="MNC185" s="82"/>
      <c r="MND185" s="82"/>
      <c r="MNE185" s="82"/>
      <c r="MNF185" s="82"/>
      <c r="MNG185" s="82"/>
      <c r="MNH185" s="82"/>
      <c r="MNI185" s="82"/>
      <c r="MNJ185" s="82"/>
      <c r="MNK185" s="82"/>
      <c r="MNL185" s="82"/>
      <c r="MNM185" s="82"/>
      <c r="MNN185" s="82"/>
      <c r="MNO185" s="82"/>
      <c r="MNP185" s="82"/>
      <c r="MNQ185" s="82"/>
      <c r="MNR185" s="82"/>
      <c r="MNS185" s="82"/>
      <c r="MNT185" s="82"/>
      <c r="MNU185" s="82"/>
      <c r="MNV185" s="82"/>
      <c r="MNW185" s="82"/>
      <c r="MNX185" s="82"/>
      <c r="MNY185" s="82"/>
      <c r="MNZ185" s="82"/>
      <c r="MOA185" s="82"/>
      <c r="MOB185" s="82"/>
      <c r="MOC185" s="82"/>
      <c r="MOD185" s="82"/>
      <c r="MOE185" s="82"/>
      <c r="MOF185" s="82"/>
      <c r="MOG185" s="82"/>
      <c r="MOH185" s="82"/>
      <c r="MOI185" s="82"/>
      <c r="MOJ185" s="82"/>
      <c r="MOK185" s="82"/>
      <c r="MOL185" s="82"/>
      <c r="MOM185" s="82"/>
      <c r="MON185" s="82"/>
      <c r="MOO185" s="82"/>
      <c r="MOP185" s="82"/>
      <c r="MOQ185" s="82"/>
      <c r="MOR185" s="82"/>
      <c r="MOS185" s="82"/>
      <c r="MOT185" s="82"/>
      <c r="MOU185" s="82"/>
      <c r="MOV185" s="82"/>
      <c r="MOW185" s="82"/>
      <c r="MOX185" s="82"/>
      <c r="MOY185" s="82"/>
      <c r="MOZ185" s="82"/>
      <c r="MPA185" s="82"/>
      <c r="MPB185" s="82"/>
      <c r="MPC185" s="82"/>
      <c r="MPD185" s="82"/>
      <c r="MPE185" s="82"/>
      <c r="MPF185" s="82"/>
      <c r="MPG185" s="82"/>
      <c r="MPH185" s="82"/>
      <c r="MPI185" s="82"/>
      <c r="MPJ185" s="82"/>
      <c r="MPK185" s="82"/>
      <c r="MPL185" s="82"/>
      <c r="MPM185" s="82"/>
      <c r="MPN185" s="82"/>
      <c r="MPO185" s="82"/>
      <c r="MPP185" s="82"/>
      <c r="MPQ185" s="82"/>
      <c r="MPR185" s="82"/>
      <c r="MPS185" s="82"/>
      <c r="MPT185" s="82"/>
      <c r="MPU185" s="82"/>
      <c r="MPV185" s="82"/>
      <c r="MPW185" s="82"/>
      <c r="MPX185" s="82"/>
      <c r="MPY185" s="82"/>
      <c r="MPZ185" s="82"/>
      <c r="MQA185" s="82"/>
      <c r="MQB185" s="82"/>
      <c r="MQC185" s="82"/>
      <c r="MQD185" s="82"/>
      <c r="MQE185" s="82"/>
      <c r="MQF185" s="82"/>
      <c r="MQG185" s="82"/>
      <c r="MQH185" s="82"/>
      <c r="MQI185" s="82"/>
      <c r="MQJ185" s="82"/>
      <c r="MQK185" s="82"/>
      <c r="MQL185" s="82"/>
      <c r="MQM185" s="82"/>
      <c r="MQN185" s="82"/>
      <c r="MQO185" s="82"/>
      <c r="MQP185" s="82"/>
      <c r="MQQ185" s="82"/>
      <c r="MQR185" s="82"/>
      <c r="MQS185" s="82"/>
      <c r="MQT185" s="82"/>
      <c r="MQU185" s="82"/>
      <c r="MQV185" s="82"/>
      <c r="MQW185" s="82"/>
      <c r="MQX185" s="82"/>
      <c r="MQY185" s="82"/>
      <c r="MQZ185" s="82"/>
      <c r="MRA185" s="82"/>
      <c r="MRB185" s="82"/>
      <c r="MRC185" s="82"/>
      <c r="MRD185" s="82"/>
      <c r="MRE185" s="82"/>
      <c r="MRF185" s="82"/>
      <c r="MRG185" s="82"/>
      <c r="MRH185" s="82"/>
      <c r="MRI185" s="82"/>
      <c r="MRJ185" s="82"/>
      <c r="MRK185" s="82"/>
      <c r="MRL185" s="82"/>
      <c r="MRM185" s="82"/>
      <c r="MRN185" s="82"/>
      <c r="MRO185" s="82"/>
      <c r="MRP185" s="82"/>
      <c r="MRQ185" s="82"/>
      <c r="MRR185" s="82"/>
      <c r="MRS185" s="82"/>
      <c r="MRT185" s="82"/>
      <c r="MRU185" s="82"/>
      <c r="MRV185" s="82"/>
      <c r="MRW185" s="82"/>
      <c r="MRX185" s="82"/>
      <c r="MRY185" s="82"/>
      <c r="MRZ185" s="82"/>
      <c r="MSA185" s="82"/>
      <c r="MSB185" s="82"/>
      <c r="MSC185" s="82"/>
      <c r="MSD185" s="82"/>
      <c r="MSE185" s="82"/>
      <c r="MSF185" s="82"/>
      <c r="MSG185" s="82"/>
      <c r="MSH185" s="82"/>
      <c r="MSI185" s="82"/>
      <c r="MSJ185" s="82"/>
      <c r="MSK185" s="82"/>
      <c r="MSL185" s="82"/>
      <c r="MSM185" s="82"/>
      <c r="MSN185" s="82"/>
      <c r="MSO185" s="82"/>
      <c r="MSP185" s="82"/>
      <c r="MSQ185" s="82"/>
      <c r="MSR185" s="82"/>
      <c r="MSS185" s="82"/>
      <c r="MST185" s="82"/>
      <c r="MSU185" s="82"/>
      <c r="MSV185" s="82"/>
      <c r="MSW185" s="82"/>
      <c r="MSX185" s="82"/>
      <c r="MSY185" s="82"/>
      <c r="MSZ185" s="82"/>
      <c r="MTA185" s="82"/>
      <c r="MTB185" s="82"/>
      <c r="MTC185" s="82"/>
      <c r="MTD185" s="82"/>
      <c r="MTE185" s="82"/>
      <c r="MTF185" s="82"/>
      <c r="MTG185" s="82"/>
      <c r="MTH185" s="82"/>
      <c r="MTI185" s="82"/>
      <c r="MTJ185" s="82"/>
      <c r="MTK185" s="82"/>
      <c r="MTL185" s="82"/>
      <c r="MTM185" s="82"/>
      <c r="MTN185" s="82"/>
      <c r="MTO185" s="82"/>
      <c r="MTP185" s="82"/>
      <c r="MTQ185" s="82"/>
      <c r="MTR185" s="82"/>
      <c r="MTS185" s="82"/>
      <c r="MTT185" s="82"/>
      <c r="MTU185" s="82"/>
      <c r="MTV185" s="82"/>
      <c r="MTW185" s="82"/>
      <c r="MTX185" s="82"/>
      <c r="MTY185" s="82"/>
      <c r="MTZ185" s="82"/>
      <c r="MUA185" s="82"/>
      <c r="MUB185" s="82"/>
      <c r="MUC185" s="82"/>
      <c r="MUD185" s="82"/>
      <c r="MUE185" s="82"/>
      <c r="MUF185" s="82"/>
      <c r="MUG185" s="82"/>
      <c r="MUH185" s="82"/>
      <c r="MUI185" s="82"/>
      <c r="MUJ185" s="82"/>
      <c r="MUK185" s="82"/>
      <c r="MUL185" s="82"/>
      <c r="MUM185" s="82"/>
      <c r="MUN185" s="82"/>
      <c r="MUO185" s="82"/>
      <c r="MUP185" s="82"/>
      <c r="MUQ185" s="82"/>
      <c r="MUR185" s="82"/>
      <c r="MUS185" s="82"/>
      <c r="MUT185" s="82"/>
      <c r="MUU185" s="82"/>
      <c r="MUV185" s="82"/>
      <c r="MUW185" s="82"/>
      <c r="MUX185" s="82"/>
      <c r="MUY185" s="82"/>
      <c r="MUZ185" s="82"/>
      <c r="MVA185" s="82"/>
      <c r="MVB185" s="82"/>
      <c r="MVC185" s="82"/>
      <c r="MVD185" s="82"/>
      <c r="MVE185" s="82"/>
      <c r="MVF185" s="82"/>
      <c r="MVG185" s="82"/>
      <c r="MVH185" s="82"/>
      <c r="MVI185" s="82"/>
      <c r="MVJ185" s="82"/>
      <c r="MVK185" s="82"/>
      <c r="MVL185" s="82"/>
      <c r="MVM185" s="82"/>
      <c r="MVN185" s="82"/>
      <c r="MVO185" s="82"/>
      <c r="MVP185" s="82"/>
      <c r="MVQ185" s="82"/>
      <c r="MVR185" s="82"/>
      <c r="MVS185" s="82"/>
      <c r="MVT185" s="82"/>
      <c r="MVU185" s="82"/>
      <c r="MVV185" s="82"/>
      <c r="MVW185" s="82"/>
      <c r="MVX185" s="82"/>
      <c r="MVY185" s="82"/>
      <c r="MVZ185" s="82"/>
      <c r="MWA185" s="82"/>
      <c r="MWB185" s="82"/>
      <c r="MWC185" s="82"/>
      <c r="MWD185" s="82"/>
      <c r="MWE185" s="82"/>
      <c r="MWF185" s="82"/>
      <c r="MWG185" s="82"/>
      <c r="MWH185" s="82"/>
      <c r="MWI185" s="82"/>
      <c r="MWJ185" s="82"/>
      <c r="MWK185" s="82"/>
      <c r="MWL185" s="82"/>
      <c r="MWM185" s="82"/>
      <c r="MWN185" s="82"/>
      <c r="MWO185" s="82"/>
      <c r="MWP185" s="82"/>
      <c r="MWQ185" s="82"/>
      <c r="MWR185" s="82"/>
      <c r="MWS185" s="82"/>
      <c r="MWT185" s="82"/>
      <c r="MWU185" s="82"/>
      <c r="MWV185" s="82"/>
      <c r="MWW185" s="82"/>
      <c r="MWX185" s="82"/>
      <c r="MWY185" s="82"/>
      <c r="MWZ185" s="82"/>
      <c r="MXA185" s="82"/>
      <c r="MXB185" s="82"/>
      <c r="MXC185" s="82"/>
      <c r="MXD185" s="82"/>
      <c r="MXE185" s="82"/>
      <c r="MXF185" s="82"/>
      <c r="MXG185" s="82"/>
      <c r="MXH185" s="82"/>
      <c r="MXI185" s="82"/>
      <c r="MXJ185" s="82"/>
      <c r="MXK185" s="82"/>
      <c r="MXL185" s="82"/>
      <c r="MXM185" s="82"/>
      <c r="MXN185" s="82"/>
      <c r="MXO185" s="82"/>
      <c r="MXP185" s="82"/>
      <c r="MXQ185" s="82"/>
      <c r="MXR185" s="82"/>
      <c r="MXS185" s="82"/>
      <c r="MXT185" s="82"/>
      <c r="MXU185" s="82"/>
      <c r="MXV185" s="82"/>
      <c r="MXW185" s="82"/>
      <c r="MXX185" s="82"/>
      <c r="MXY185" s="82"/>
      <c r="MXZ185" s="82"/>
      <c r="MYA185" s="82"/>
      <c r="MYB185" s="82"/>
      <c r="MYC185" s="82"/>
      <c r="MYD185" s="82"/>
      <c r="MYE185" s="82"/>
      <c r="MYF185" s="82"/>
      <c r="MYG185" s="82"/>
      <c r="MYH185" s="82"/>
      <c r="MYI185" s="82"/>
      <c r="MYJ185" s="82"/>
      <c r="MYK185" s="82"/>
      <c r="MYL185" s="82"/>
      <c r="MYM185" s="82"/>
      <c r="MYN185" s="82"/>
      <c r="MYO185" s="82"/>
      <c r="MYP185" s="82"/>
      <c r="MYQ185" s="82"/>
      <c r="MYR185" s="82"/>
      <c r="MYS185" s="82"/>
      <c r="MYT185" s="82"/>
      <c r="MYU185" s="82"/>
      <c r="MYV185" s="82"/>
      <c r="MYW185" s="82"/>
      <c r="MYX185" s="82"/>
      <c r="MYY185" s="82"/>
      <c r="MYZ185" s="82"/>
      <c r="MZA185" s="82"/>
      <c r="MZB185" s="82"/>
      <c r="MZC185" s="82"/>
      <c r="MZD185" s="82"/>
      <c r="MZE185" s="82"/>
      <c r="MZF185" s="82"/>
      <c r="MZG185" s="82"/>
      <c r="MZH185" s="82"/>
      <c r="MZI185" s="82"/>
      <c r="MZJ185" s="82"/>
      <c r="MZK185" s="82"/>
      <c r="MZL185" s="82"/>
      <c r="MZM185" s="82"/>
      <c r="MZN185" s="82"/>
      <c r="MZO185" s="82"/>
      <c r="MZP185" s="82"/>
      <c r="MZQ185" s="82"/>
      <c r="MZR185" s="82"/>
      <c r="MZS185" s="82"/>
      <c r="MZT185" s="82"/>
      <c r="MZU185" s="82"/>
      <c r="MZV185" s="82"/>
      <c r="MZW185" s="82"/>
      <c r="MZX185" s="82"/>
      <c r="MZY185" s="82"/>
      <c r="MZZ185" s="82"/>
      <c r="NAA185" s="82"/>
      <c r="NAB185" s="82"/>
      <c r="NAC185" s="82"/>
      <c r="NAD185" s="82"/>
      <c r="NAE185" s="82"/>
      <c r="NAF185" s="82"/>
      <c r="NAG185" s="82"/>
      <c r="NAH185" s="82"/>
      <c r="NAI185" s="82"/>
      <c r="NAJ185" s="82"/>
      <c r="NAK185" s="82"/>
      <c r="NAL185" s="82"/>
      <c r="NAM185" s="82"/>
      <c r="NAN185" s="82"/>
      <c r="NAO185" s="82"/>
      <c r="NAP185" s="82"/>
      <c r="NAQ185" s="82"/>
      <c r="NAR185" s="82"/>
      <c r="NAS185" s="82"/>
      <c r="NAT185" s="82"/>
      <c r="NAU185" s="82"/>
      <c r="NAV185" s="82"/>
      <c r="NAW185" s="82"/>
      <c r="NAX185" s="82"/>
      <c r="NAY185" s="82"/>
      <c r="NAZ185" s="82"/>
      <c r="NBA185" s="82"/>
      <c r="NBB185" s="82"/>
      <c r="NBC185" s="82"/>
      <c r="NBD185" s="82"/>
      <c r="NBE185" s="82"/>
      <c r="NBF185" s="82"/>
      <c r="NBG185" s="82"/>
      <c r="NBH185" s="82"/>
      <c r="NBI185" s="82"/>
      <c r="NBJ185" s="82"/>
      <c r="NBK185" s="82"/>
      <c r="NBL185" s="82"/>
      <c r="NBM185" s="82"/>
      <c r="NBN185" s="82"/>
      <c r="NBO185" s="82"/>
      <c r="NBP185" s="82"/>
      <c r="NBQ185" s="82"/>
      <c r="NBR185" s="82"/>
      <c r="NBS185" s="82"/>
      <c r="NBT185" s="82"/>
      <c r="NBU185" s="82"/>
      <c r="NBV185" s="82"/>
      <c r="NBW185" s="82"/>
      <c r="NBX185" s="82"/>
      <c r="NBY185" s="82"/>
      <c r="NBZ185" s="82"/>
      <c r="NCA185" s="82"/>
      <c r="NCB185" s="82"/>
      <c r="NCC185" s="82"/>
      <c r="NCD185" s="82"/>
      <c r="NCE185" s="82"/>
      <c r="NCF185" s="82"/>
      <c r="NCG185" s="82"/>
      <c r="NCH185" s="82"/>
      <c r="NCI185" s="82"/>
      <c r="NCJ185" s="82"/>
      <c r="NCK185" s="82"/>
      <c r="NCL185" s="82"/>
      <c r="NCM185" s="82"/>
      <c r="NCN185" s="82"/>
      <c r="NCO185" s="82"/>
      <c r="NCP185" s="82"/>
      <c r="NCQ185" s="82"/>
      <c r="NCR185" s="82"/>
      <c r="NCS185" s="82"/>
      <c r="NCT185" s="82"/>
      <c r="NCU185" s="82"/>
      <c r="NCV185" s="82"/>
      <c r="NCW185" s="82"/>
      <c r="NCX185" s="82"/>
      <c r="NCY185" s="82"/>
      <c r="NCZ185" s="82"/>
      <c r="NDA185" s="82"/>
      <c r="NDB185" s="82"/>
      <c r="NDC185" s="82"/>
      <c r="NDD185" s="82"/>
      <c r="NDE185" s="82"/>
      <c r="NDF185" s="82"/>
      <c r="NDG185" s="82"/>
      <c r="NDH185" s="82"/>
      <c r="NDI185" s="82"/>
      <c r="NDJ185" s="82"/>
      <c r="NDK185" s="82"/>
      <c r="NDL185" s="82"/>
      <c r="NDM185" s="82"/>
      <c r="NDN185" s="82"/>
      <c r="NDO185" s="82"/>
      <c r="NDP185" s="82"/>
      <c r="NDQ185" s="82"/>
      <c r="NDR185" s="82"/>
      <c r="NDS185" s="82"/>
      <c r="NDT185" s="82"/>
      <c r="NDU185" s="82"/>
      <c r="NDV185" s="82"/>
      <c r="NDW185" s="82"/>
      <c r="NDX185" s="82"/>
      <c r="NDY185" s="82"/>
      <c r="NDZ185" s="82"/>
      <c r="NEA185" s="82"/>
      <c r="NEB185" s="82"/>
      <c r="NEC185" s="82"/>
      <c r="NED185" s="82"/>
      <c r="NEE185" s="82"/>
      <c r="NEF185" s="82"/>
      <c r="NEG185" s="82"/>
      <c r="NEH185" s="82"/>
      <c r="NEI185" s="82"/>
      <c r="NEJ185" s="82"/>
      <c r="NEK185" s="82"/>
      <c r="NEL185" s="82"/>
      <c r="NEM185" s="82"/>
      <c r="NEN185" s="82"/>
      <c r="NEO185" s="82"/>
      <c r="NEP185" s="82"/>
      <c r="NEQ185" s="82"/>
      <c r="NER185" s="82"/>
      <c r="NES185" s="82"/>
      <c r="NET185" s="82"/>
      <c r="NEU185" s="82"/>
      <c r="NEV185" s="82"/>
      <c r="NEW185" s="82"/>
      <c r="NEX185" s="82"/>
      <c r="NEY185" s="82"/>
      <c r="NEZ185" s="82"/>
      <c r="NFA185" s="82"/>
      <c r="NFB185" s="82"/>
      <c r="NFC185" s="82"/>
      <c r="NFD185" s="82"/>
      <c r="NFE185" s="82"/>
      <c r="NFF185" s="82"/>
      <c r="NFG185" s="82"/>
      <c r="NFH185" s="82"/>
      <c r="NFI185" s="82"/>
      <c r="NFJ185" s="82"/>
      <c r="NFK185" s="82"/>
      <c r="NFL185" s="82"/>
      <c r="NFM185" s="82"/>
      <c r="NFN185" s="82"/>
      <c r="NFO185" s="82"/>
      <c r="NFP185" s="82"/>
      <c r="NFQ185" s="82"/>
      <c r="NFR185" s="82"/>
      <c r="NFS185" s="82"/>
      <c r="NFT185" s="82"/>
      <c r="NFU185" s="82"/>
      <c r="NFV185" s="82"/>
      <c r="NFW185" s="82"/>
      <c r="NFX185" s="82"/>
      <c r="NFY185" s="82"/>
      <c r="NFZ185" s="82"/>
      <c r="NGA185" s="82"/>
      <c r="NGB185" s="82"/>
      <c r="NGC185" s="82"/>
      <c r="NGD185" s="82"/>
      <c r="NGE185" s="82"/>
      <c r="NGF185" s="82"/>
      <c r="NGG185" s="82"/>
      <c r="NGH185" s="82"/>
      <c r="NGI185" s="82"/>
      <c r="NGJ185" s="82"/>
      <c r="NGK185" s="82"/>
      <c r="NGL185" s="82"/>
      <c r="NGM185" s="82"/>
      <c r="NGN185" s="82"/>
      <c r="NGO185" s="82"/>
      <c r="NGP185" s="82"/>
      <c r="NGQ185" s="82"/>
      <c r="NGR185" s="82"/>
      <c r="NGS185" s="82"/>
      <c r="NGT185" s="82"/>
      <c r="NGU185" s="82"/>
      <c r="NGV185" s="82"/>
      <c r="NGW185" s="82"/>
      <c r="NGX185" s="82"/>
      <c r="NGY185" s="82"/>
      <c r="NGZ185" s="82"/>
      <c r="NHA185" s="82"/>
      <c r="NHB185" s="82"/>
      <c r="NHC185" s="82"/>
      <c r="NHD185" s="82"/>
      <c r="NHE185" s="82"/>
      <c r="NHF185" s="82"/>
      <c r="NHG185" s="82"/>
      <c r="NHH185" s="82"/>
      <c r="NHI185" s="82"/>
      <c r="NHJ185" s="82"/>
      <c r="NHK185" s="82"/>
      <c r="NHL185" s="82"/>
      <c r="NHM185" s="82"/>
      <c r="NHN185" s="82"/>
      <c r="NHO185" s="82"/>
      <c r="NHP185" s="82"/>
      <c r="NHQ185" s="82"/>
      <c r="NHR185" s="82"/>
      <c r="NHS185" s="82"/>
      <c r="NHT185" s="82"/>
      <c r="NHU185" s="82"/>
      <c r="NHV185" s="82"/>
      <c r="NHW185" s="82"/>
      <c r="NHX185" s="82"/>
      <c r="NHY185" s="82"/>
      <c r="NHZ185" s="82"/>
      <c r="NIA185" s="82"/>
      <c r="NIB185" s="82"/>
      <c r="NIC185" s="82"/>
      <c r="NID185" s="82"/>
      <c r="NIE185" s="82"/>
      <c r="NIF185" s="82"/>
      <c r="NIG185" s="82"/>
      <c r="NIH185" s="82"/>
      <c r="NII185" s="82"/>
      <c r="NIJ185" s="82"/>
      <c r="NIK185" s="82"/>
      <c r="NIL185" s="82"/>
      <c r="NIM185" s="82"/>
      <c r="NIN185" s="82"/>
      <c r="NIO185" s="82"/>
      <c r="NIP185" s="82"/>
      <c r="NIQ185" s="82"/>
      <c r="NIR185" s="82"/>
      <c r="NIS185" s="82"/>
      <c r="NIT185" s="82"/>
      <c r="NIU185" s="82"/>
      <c r="NIV185" s="82"/>
      <c r="NIW185" s="82"/>
      <c r="NIX185" s="82"/>
      <c r="NIY185" s="82"/>
      <c r="NIZ185" s="82"/>
      <c r="NJA185" s="82"/>
      <c r="NJB185" s="82"/>
      <c r="NJC185" s="82"/>
      <c r="NJD185" s="82"/>
      <c r="NJE185" s="82"/>
      <c r="NJF185" s="82"/>
      <c r="NJG185" s="82"/>
      <c r="NJH185" s="82"/>
      <c r="NJI185" s="82"/>
      <c r="NJJ185" s="82"/>
      <c r="NJK185" s="82"/>
      <c r="NJL185" s="82"/>
      <c r="NJM185" s="82"/>
      <c r="NJN185" s="82"/>
      <c r="NJO185" s="82"/>
      <c r="NJP185" s="82"/>
      <c r="NJQ185" s="82"/>
      <c r="NJR185" s="82"/>
      <c r="NJS185" s="82"/>
      <c r="NJT185" s="82"/>
      <c r="NJU185" s="82"/>
      <c r="NJV185" s="82"/>
      <c r="NJW185" s="82"/>
      <c r="NJX185" s="82"/>
      <c r="NJY185" s="82"/>
      <c r="NJZ185" s="82"/>
      <c r="NKA185" s="82"/>
      <c r="NKB185" s="82"/>
      <c r="NKC185" s="82"/>
      <c r="NKD185" s="82"/>
      <c r="NKE185" s="82"/>
      <c r="NKF185" s="82"/>
      <c r="NKG185" s="82"/>
      <c r="NKH185" s="82"/>
      <c r="NKI185" s="82"/>
      <c r="NKJ185" s="82"/>
      <c r="NKK185" s="82"/>
      <c r="NKL185" s="82"/>
      <c r="NKM185" s="82"/>
      <c r="NKN185" s="82"/>
      <c r="NKO185" s="82"/>
      <c r="NKP185" s="82"/>
      <c r="NKQ185" s="82"/>
      <c r="NKR185" s="82"/>
      <c r="NKS185" s="82"/>
      <c r="NKT185" s="82"/>
      <c r="NKU185" s="82"/>
      <c r="NKV185" s="82"/>
      <c r="NKW185" s="82"/>
      <c r="NKX185" s="82"/>
      <c r="NKY185" s="82"/>
      <c r="NKZ185" s="82"/>
      <c r="NLA185" s="82"/>
      <c r="NLB185" s="82"/>
      <c r="NLC185" s="82"/>
      <c r="NLD185" s="82"/>
      <c r="NLE185" s="82"/>
      <c r="NLF185" s="82"/>
      <c r="NLG185" s="82"/>
      <c r="NLH185" s="82"/>
      <c r="NLI185" s="82"/>
      <c r="NLJ185" s="82"/>
      <c r="NLK185" s="82"/>
      <c r="NLL185" s="82"/>
      <c r="NLM185" s="82"/>
      <c r="NLN185" s="82"/>
      <c r="NLO185" s="82"/>
      <c r="NLP185" s="82"/>
      <c r="NLQ185" s="82"/>
      <c r="NLR185" s="82"/>
      <c r="NLS185" s="82"/>
      <c r="NLT185" s="82"/>
      <c r="NLU185" s="82"/>
      <c r="NLV185" s="82"/>
      <c r="NLW185" s="82"/>
      <c r="NLX185" s="82"/>
      <c r="NLY185" s="82"/>
      <c r="NLZ185" s="82"/>
      <c r="NMA185" s="82"/>
      <c r="NMB185" s="82"/>
      <c r="NMC185" s="82"/>
      <c r="NMD185" s="82"/>
      <c r="NME185" s="82"/>
      <c r="NMF185" s="82"/>
      <c r="NMG185" s="82"/>
      <c r="NMH185" s="82"/>
      <c r="NMI185" s="82"/>
      <c r="NMJ185" s="82"/>
      <c r="NMK185" s="82"/>
      <c r="NML185" s="82"/>
      <c r="NMM185" s="82"/>
      <c r="NMN185" s="82"/>
      <c r="NMO185" s="82"/>
      <c r="NMP185" s="82"/>
      <c r="NMQ185" s="82"/>
      <c r="NMR185" s="82"/>
      <c r="NMS185" s="82"/>
      <c r="NMT185" s="82"/>
      <c r="NMU185" s="82"/>
      <c r="NMV185" s="82"/>
      <c r="NMW185" s="82"/>
      <c r="NMX185" s="82"/>
      <c r="NMY185" s="82"/>
      <c r="NMZ185" s="82"/>
      <c r="NNA185" s="82"/>
      <c r="NNB185" s="82"/>
      <c r="NNC185" s="82"/>
      <c r="NND185" s="82"/>
      <c r="NNE185" s="82"/>
      <c r="NNF185" s="82"/>
      <c r="NNG185" s="82"/>
      <c r="NNH185" s="82"/>
      <c r="NNI185" s="82"/>
      <c r="NNJ185" s="82"/>
      <c r="NNK185" s="82"/>
      <c r="NNL185" s="82"/>
      <c r="NNM185" s="82"/>
      <c r="NNN185" s="82"/>
      <c r="NNO185" s="82"/>
      <c r="NNP185" s="82"/>
      <c r="NNQ185" s="82"/>
      <c r="NNR185" s="82"/>
      <c r="NNS185" s="82"/>
      <c r="NNT185" s="82"/>
      <c r="NNU185" s="82"/>
      <c r="NNV185" s="82"/>
      <c r="NNW185" s="82"/>
      <c r="NNX185" s="82"/>
      <c r="NNY185" s="82"/>
      <c r="NNZ185" s="82"/>
      <c r="NOA185" s="82"/>
      <c r="NOB185" s="82"/>
      <c r="NOC185" s="82"/>
      <c r="NOD185" s="82"/>
      <c r="NOE185" s="82"/>
      <c r="NOF185" s="82"/>
      <c r="NOG185" s="82"/>
      <c r="NOH185" s="82"/>
      <c r="NOI185" s="82"/>
      <c r="NOJ185" s="82"/>
      <c r="NOK185" s="82"/>
      <c r="NOL185" s="82"/>
      <c r="NOM185" s="82"/>
      <c r="NON185" s="82"/>
      <c r="NOO185" s="82"/>
      <c r="NOP185" s="82"/>
      <c r="NOQ185" s="82"/>
      <c r="NOR185" s="82"/>
      <c r="NOS185" s="82"/>
      <c r="NOT185" s="82"/>
      <c r="NOU185" s="82"/>
      <c r="NOV185" s="82"/>
      <c r="NOW185" s="82"/>
      <c r="NOX185" s="82"/>
      <c r="NOY185" s="82"/>
      <c r="NOZ185" s="82"/>
      <c r="NPA185" s="82"/>
      <c r="NPB185" s="82"/>
      <c r="NPC185" s="82"/>
      <c r="NPD185" s="82"/>
      <c r="NPE185" s="82"/>
      <c r="NPF185" s="82"/>
      <c r="NPG185" s="82"/>
      <c r="NPH185" s="82"/>
      <c r="NPI185" s="82"/>
      <c r="NPJ185" s="82"/>
      <c r="NPK185" s="82"/>
      <c r="NPL185" s="82"/>
      <c r="NPM185" s="82"/>
      <c r="NPN185" s="82"/>
      <c r="NPO185" s="82"/>
      <c r="NPP185" s="82"/>
      <c r="NPQ185" s="82"/>
      <c r="NPR185" s="82"/>
      <c r="NPS185" s="82"/>
      <c r="NPT185" s="82"/>
      <c r="NPU185" s="82"/>
      <c r="NPV185" s="82"/>
      <c r="NPW185" s="82"/>
      <c r="NPX185" s="82"/>
      <c r="NPY185" s="82"/>
      <c r="NPZ185" s="82"/>
      <c r="NQA185" s="82"/>
      <c r="NQB185" s="82"/>
      <c r="NQC185" s="82"/>
      <c r="NQD185" s="82"/>
      <c r="NQE185" s="82"/>
      <c r="NQF185" s="82"/>
      <c r="NQG185" s="82"/>
      <c r="NQH185" s="82"/>
      <c r="NQI185" s="82"/>
      <c r="NQJ185" s="82"/>
      <c r="NQK185" s="82"/>
      <c r="NQL185" s="82"/>
      <c r="NQM185" s="82"/>
      <c r="NQN185" s="82"/>
      <c r="NQO185" s="82"/>
      <c r="NQP185" s="82"/>
      <c r="NQQ185" s="82"/>
      <c r="NQR185" s="82"/>
      <c r="NQS185" s="82"/>
      <c r="NQT185" s="82"/>
      <c r="NQU185" s="82"/>
      <c r="NQV185" s="82"/>
      <c r="NQW185" s="82"/>
      <c r="NQX185" s="82"/>
      <c r="NQY185" s="82"/>
      <c r="NQZ185" s="82"/>
      <c r="NRA185" s="82"/>
      <c r="NRB185" s="82"/>
      <c r="NRC185" s="82"/>
      <c r="NRD185" s="82"/>
      <c r="NRE185" s="82"/>
      <c r="NRF185" s="82"/>
      <c r="NRG185" s="82"/>
      <c r="NRH185" s="82"/>
      <c r="NRI185" s="82"/>
      <c r="NRJ185" s="82"/>
      <c r="NRK185" s="82"/>
      <c r="NRL185" s="82"/>
      <c r="NRM185" s="82"/>
      <c r="NRN185" s="82"/>
      <c r="NRO185" s="82"/>
      <c r="NRP185" s="82"/>
      <c r="NRQ185" s="82"/>
      <c r="NRR185" s="82"/>
      <c r="NRS185" s="82"/>
      <c r="NRT185" s="82"/>
      <c r="NRU185" s="82"/>
      <c r="NRV185" s="82"/>
      <c r="NRW185" s="82"/>
      <c r="NRX185" s="82"/>
      <c r="NRY185" s="82"/>
      <c r="NRZ185" s="82"/>
      <c r="NSA185" s="82"/>
      <c r="NSB185" s="82"/>
      <c r="NSC185" s="82"/>
      <c r="NSD185" s="82"/>
      <c r="NSE185" s="82"/>
      <c r="NSF185" s="82"/>
      <c r="NSG185" s="82"/>
      <c r="NSH185" s="82"/>
      <c r="NSI185" s="82"/>
      <c r="NSJ185" s="82"/>
      <c r="NSK185" s="82"/>
      <c r="NSL185" s="82"/>
      <c r="NSM185" s="82"/>
      <c r="NSN185" s="82"/>
      <c r="NSO185" s="82"/>
      <c r="NSP185" s="82"/>
      <c r="NSQ185" s="82"/>
      <c r="NSR185" s="82"/>
      <c r="NSS185" s="82"/>
      <c r="NST185" s="82"/>
      <c r="NSU185" s="82"/>
      <c r="NSV185" s="82"/>
      <c r="NSW185" s="82"/>
      <c r="NSX185" s="82"/>
      <c r="NSY185" s="82"/>
      <c r="NSZ185" s="82"/>
      <c r="NTA185" s="82"/>
      <c r="NTB185" s="82"/>
      <c r="NTC185" s="82"/>
      <c r="NTD185" s="82"/>
      <c r="NTE185" s="82"/>
      <c r="NTF185" s="82"/>
      <c r="NTG185" s="82"/>
      <c r="NTH185" s="82"/>
      <c r="NTI185" s="82"/>
      <c r="NTJ185" s="82"/>
      <c r="NTK185" s="82"/>
      <c r="NTL185" s="82"/>
      <c r="NTM185" s="82"/>
      <c r="NTN185" s="82"/>
      <c r="NTO185" s="82"/>
      <c r="NTP185" s="82"/>
      <c r="NTQ185" s="82"/>
      <c r="NTR185" s="82"/>
      <c r="NTS185" s="82"/>
      <c r="NTT185" s="82"/>
      <c r="NTU185" s="82"/>
      <c r="NTV185" s="82"/>
      <c r="NTW185" s="82"/>
      <c r="NTX185" s="82"/>
      <c r="NTY185" s="82"/>
      <c r="NTZ185" s="82"/>
      <c r="NUA185" s="82"/>
      <c r="NUB185" s="82"/>
      <c r="NUC185" s="82"/>
      <c r="NUD185" s="82"/>
      <c r="NUE185" s="82"/>
      <c r="NUF185" s="82"/>
      <c r="NUG185" s="82"/>
      <c r="NUH185" s="82"/>
      <c r="NUI185" s="82"/>
      <c r="NUJ185" s="82"/>
      <c r="NUK185" s="82"/>
      <c r="NUL185" s="82"/>
      <c r="NUM185" s="82"/>
      <c r="NUN185" s="82"/>
      <c r="NUO185" s="82"/>
      <c r="NUP185" s="82"/>
      <c r="NUQ185" s="82"/>
      <c r="NUR185" s="82"/>
      <c r="NUS185" s="82"/>
      <c r="NUT185" s="82"/>
      <c r="NUU185" s="82"/>
      <c r="NUV185" s="82"/>
      <c r="NUW185" s="82"/>
      <c r="NUX185" s="82"/>
      <c r="NUY185" s="82"/>
      <c r="NUZ185" s="82"/>
      <c r="NVA185" s="82"/>
      <c r="NVB185" s="82"/>
      <c r="NVC185" s="82"/>
      <c r="NVD185" s="82"/>
      <c r="NVE185" s="82"/>
      <c r="NVF185" s="82"/>
      <c r="NVG185" s="82"/>
      <c r="NVH185" s="82"/>
      <c r="NVI185" s="82"/>
      <c r="NVJ185" s="82"/>
      <c r="NVK185" s="82"/>
      <c r="NVL185" s="82"/>
      <c r="NVM185" s="82"/>
      <c r="NVN185" s="82"/>
      <c r="NVO185" s="82"/>
      <c r="NVP185" s="82"/>
      <c r="NVQ185" s="82"/>
      <c r="NVR185" s="82"/>
      <c r="NVS185" s="82"/>
      <c r="NVT185" s="82"/>
      <c r="NVU185" s="82"/>
      <c r="NVV185" s="82"/>
      <c r="NVW185" s="82"/>
      <c r="NVX185" s="82"/>
      <c r="NVY185" s="82"/>
      <c r="NVZ185" s="82"/>
      <c r="NWA185" s="82"/>
      <c r="NWB185" s="82"/>
      <c r="NWC185" s="82"/>
      <c r="NWD185" s="82"/>
      <c r="NWE185" s="82"/>
      <c r="NWF185" s="82"/>
      <c r="NWG185" s="82"/>
      <c r="NWH185" s="82"/>
      <c r="NWI185" s="82"/>
      <c r="NWJ185" s="82"/>
      <c r="NWK185" s="82"/>
      <c r="NWL185" s="82"/>
      <c r="NWM185" s="82"/>
      <c r="NWN185" s="82"/>
      <c r="NWO185" s="82"/>
      <c r="NWP185" s="82"/>
      <c r="NWQ185" s="82"/>
      <c r="NWR185" s="82"/>
      <c r="NWS185" s="82"/>
      <c r="NWT185" s="82"/>
      <c r="NWU185" s="82"/>
      <c r="NWV185" s="82"/>
      <c r="NWW185" s="82"/>
      <c r="NWX185" s="82"/>
      <c r="NWY185" s="82"/>
      <c r="NWZ185" s="82"/>
      <c r="NXA185" s="82"/>
      <c r="NXB185" s="82"/>
      <c r="NXC185" s="82"/>
      <c r="NXD185" s="82"/>
      <c r="NXE185" s="82"/>
      <c r="NXF185" s="82"/>
      <c r="NXG185" s="82"/>
      <c r="NXH185" s="82"/>
      <c r="NXI185" s="82"/>
      <c r="NXJ185" s="82"/>
      <c r="NXK185" s="82"/>
      <c r="NXL185" s="82"/>
      <c r="NXM185" s="82"/>
      <c r="NXN185" s="82"/>
      <c r="NXO185" s="82"/>
      <c r="NXP185" s="82"/>
      <c r="NXQ185" s="82"/>
      <c r="NXR185" s="82"/>
      <c r="NXS185" s="82"/>
      <c r="NXT185" s="82"/>
      <c r="NXU185" s="82"/>
      <c r="NXV185" s="82"/>
      <c r="NXW185" s="82"/>
      <c r="NXX185" s="82"/>
      <c r="NXY185" s="82"/>
      <c r="NXZ185" s="82"/>
      <c r="NYA185" s="82"/>
      <c r="NYB185" s="82"/>
      <c r="NYC185" s="82"/>
      <c r="NYD185" s="82"/>
      <c r="NYE185" s="82"/>
      <c r="NYF185" s="82"/>
      <c r="NYG185" s="82"/>
      <c r="NYH185" s="82"/>
      <c r="NYI185" s="82"/>
      <c r="NYJ185" s="82"/>
      <c r="NYK185" s="82"/>
      <c r="NYL185" s="82"/>
      <c r="NYM185" s="82"/>
      <c r="NYN185" s="82"/>
      <c r="NYO185" s="82"/>
      <c r="NYP185" s="82"/>
      <c r="NYQ185" s="82"/>
      <c r="NYR185" s="82"/>
      <c r="NYS185" s="82"/>
      <c r="NYT185" s="82"/>
      <c r="NYU185" s="82"/>
      <c r="NYV185" s="82"/>
      <c r="NYW185" s="82"/>
      <c r="NYX185" s="82"/>
      <c r="NYY185" s="82"/>
      <c r="NYZ185" s="82"/>
      <c r="NZA185" s="82"/>
      <c r="NZB185" s="82"/>
      <c r="NZC185" s="82"/>
      <c r="NZD185" s="82"/>
      <c r="NZE185" s="82"/>
      <c r="NZF185" s="82"/>
      <c r="NZG185" s="82"/>
      <c r="NZH185" s="82"/>
      <c r="NZI185" s="82"/>
      <c r="NZJ185" s="82"/>
      <c r="NZK185" s="82"/>
      <c r="NZL185" s="82"/>
      <c r="NZM185" s="82"/>
      <c r="NZN185" s="82"/>
      <c r="NZO185" s="82"/>
      <c r="NZP185" s="82"/>
      <c r="NZQ185" s="82"/>
      <c r="NZR185" s="82"/>
      <c r="NZS185" s="82"/>
      <c r="NZT185" s="82"/>
      <c r="NZU185" s="82"/>
      <c r="NZV185" s="82"/>
      <c r="NZW185" s="82"/>
      <c r="NZX185" s="82"/>
      <c r="NZY185" s="82"/>
      <c r="NZZ185" s="82"/>
      <c r="OAA185" s="82"/>
      <c r="OAB185" s="82"/>
      <c r="OAC185" s="82"/>
      <c r="OAD185" s="82"/>
      <c r="OAE185" s="82"/>
      <c r="OAF185" s="82"/>
      <c r="OAG185" s="82"/>
      <c r="OAH185" s="82"/>
      <c r="OAI185" s="82"/>
      <c r="OAJ185" s="82"/>
      <c r="OAK185" s="82"/>
      <c r="OAL185" s="82"/>
      <c r="OAM185" s="82"/>
      <c r="OAN185" s="82"/>
      <c r="OAO185" s="82"/>
      <c r="OAP185" s="82"/>
      <c r="OAQ185" s="82"/>
      <c r="OAR185" s="82"/>
      <c r="OAS185" s="82"/>
      <c r="OAT185" s="82"/>
      <c r="OAU185" s="82"/>
      <c r="OAV185" s="82"/>
      <c r="OAW185" s="82"/>
      <c r="OAX185" s="82"/>
      <c r="OAY185" s="82"/>
      <c r="OAZ185" s="82"/>
      <c r="OBA185" s="82"/>
      <c r="OBB185" s="82"/>
      <c r="OBC185" s="82"/>
      <c r="OBD185" s="82"/>
      <c r="OBE185" s="82"/>
      <c r="OBF185" s="82"/>
      <c r="OBG185" s="82"/>
      <c r="OBH185" s="82"/>
      <c r="OBI185" s="82"/>
      <c r="OBJ185" s="82"/>
      <c r="OBK185" s="82"/>
      <c r="OBL185" s="82"/>
      <c r="OBM185" s="82"/>
      <c r="OBN185" s="82"/>
      <c r="OBO185" s="82"/>
      <c r="OBP185" s="82"/>
      <c r="OBQ185" s="82"/>
      <c r="OBR185" s="82"/>
      <c r="OBS185" s="82"/>
      <c r="OBT185" s="82"/>
      <c r="OBU185" s="82"/>
      <c r="OBV185" s="82"/>
      <c r="OBW185" s="82"/>
      <c r="OBX185" s="82"/>
      <c r="OBY185" s="82"/>
      <c r="OBZ185" s="82"/>
      <c r="OCA185" s="82"/>
      <c r="OCB185" s="82"/>
      <c r="OCC185" s="82"/>
      <c r="OCD185" s="82"/>
      <c r="OCE185" s="82"/>
      <c r="OCF185" s="82"/>
      <c r="OCG185" s="82"/>
      <c r="OCH185" s="82"/>
      <c r="OCI185" s="82"/>
      <c r="OCJ185" s="82"/>
      <c r="OCK185" s="82"/>
      <c r="OCL185" s="82"/>
      <c r="OCM185" s="82"/>
      <c r="OCN185" s="82"/>
      <c r="OCO185" s="82"/>
      <c r="OCP185" s="82"/>
      <c r="OCQ185" s="82"/>
      <c r="OCR185" s="82"/>
      <c r="OCS185" s="82"/>
      <c r="OCT185" s="82"/>
      <c r="OCU185" s="82"/>
      <c r="OCV185" s="82"/>
      <c r="OCW185" s="82"/>
      <c r="OCX185" s="82"/>
      <c r="OCY185" s="82"/>
      <c r="OCZ185" s="82"/>
      <c r="ODA185" s="82"/>
      <c r="ODB185" s="82"/>
      <c r="ODC185" s="82"/>
      <c r="ODD185" s="82"/>
      <c r="ODE185" s="82"/>
      <c r="ODF185" s="82"/>
      <c r="ODG185" s="82"/>
      <c r="ODH185" s="82"/>
      <c r="ODI185" s="82"/>
      <c r="ODJ185" s="82"/>
      <c r="ODK185" s="82"/>
      <c r="ODL185" s="82"/>
      <c r="ODM185" s="82"/>
      <c r="ODN185" s="82"/>
      <c r="ODO185" s="82"/>
      <c r="ODP185" s="82"/>
      <c r="ODQ185" s="82"/>
      <c r="ODR185" s="82"/>
      <c r="ODS185" s="82"/>
      <c r="ODT185" s="82"/>
      <c r="ODU185" s="82"/>
      <c r="ODV185" s="82"/>
      <c r="ODW185" s="82"/>
      <c r="ODX185" s="82"/>
      <c r="ODY185" s="82"/>
      <c r="ODZ185" s="82"/>
      <c r="OEA185" s="82"/>
      <c r="OEB185" s="82"/>
      <c r="OEC185" s="82"/>
      <c r="OED185" s="82"/>
      <c r="OEE185" s="82"/>
      <c r="OEF185" s="82"/>
      <c r="OEG185" s="82"/>
      <c r="OEH185" s="82"/>
      <c r="OEI185" s="82"/>
      <c r="OEJ185" s="82"/>
      <c r="OEK185" s="82"/>
      <c r="OEL185" s="82"/>
      <c r="OEM185" s="82"/>
      <c r="OEN185" s="82"/>
      <c r="OEO185" s="82"/>
      <c r="OEP185" s="82"/>
      <c r="OEQ185" s="82"/>
      <c r="OER185" s="82"/>
      <c r="OES185" s="82"/>
      <c r="OET185" s="82"/>
      <c r="OEU185" s="82"/>
      <c r="OEV185" s="82"/>
      <c r="OEW185" s="82"/>
      <c r="OEX185" s="82"/>
      <c r="OEY185" s="82"/>
      <c r="OEZ185" s="82"/>
      <c r="OFA185" s="82"/>
      <c r="OFB185" s="82"/>
      <c r="OFC185" s="82"/>
      <c r="OFD185" s="82"/>
      <c r="OFE185" s="82"/>
      <c r="OFF185" s="82"/>
      <c r="OFG185" s="82"/>
      <c r="OFH185" s="82"/>
      <c r="OFI185" s="82"/>
      <c r="OFJ185" s="82"/>
      <c r="OFK185" s="82"/>
      <c r="OFL185" s="82"/>
      <c r="OFM185" s="82"/>
      <c r="OFN185" s="82"/>
      <c r="OFO185" s="82"/>
      <c r="OFP185" s="82"/>
      <c r="OFQ185" s="82"/>
      <c r="OFR185" s="82"/>
      <c r="OFS185" s="82"/>
      <c r="OFT185" s="82"/>
      <c r="OFU185" s="82"/>
      <c r="OFV185" s="82"/>
      <c r="OFW185" s="82"/>
      <c r="OFX185" s="82"/>
      <c r="OFY185" s="82"/>
      <c r="OFZ185" s="82"/>
      <c r="OGA185" s="82"/>
      <c r="OGB185" s="82"/>
      <c r="OGC185" s="82"/>
      <c r="OGD185" s="82"/>
      <c r="OGE185" s="82"/>
      <c r="OGF185" s="82"/>
      <c r="OGG185" s="82"/>
      <c r="OGH185" s="82"/>
      <c r="OGI185" s="82"/>
      <c r="OGJ185" s="82"/>
      <c r="OGK185" s="82"/>
      <c r="OGL185" s="82"/>
      <c r="OGM185" s="82"/>
      <c r="OGN185" s="82"/>
      <c r="OGO185" s="82"/>
      <c r="OGP185" s="82"/>
      <c r="OGQ185" s="82"/>
      <c r="OGR185" s="82"/>
      <c r="OGS185" s="82"/>
      <c r="OGT185" s="82"/>
      <c r="OGU185" s="82"/>
      <c r="OGV185" s="82"/>
      <c r="OGW185" s="82"/>
      <c r="OGX185" s="82"/>
      <c r="OGY185" s="82"/>
      <c r="OGZ185" s="82"/>
      <c r="OHA185" s="82"/>
      <c r="OHB185" s="82"/>
      <c r="OHC185" s="82"/>
      <c r="OHD185" s="82"/>
      <c r="OHE185" s="82"/>
      <c r="OHF185" s="82"/>
      <c r="OHG185" s="82"/>
      <c r="OHH185" s="82"/>
      <c r="OHI185" s="82"/>
      <c r="OHJ185" s="82"/>
      <c r="OHK185" s="82"/>
      <c r="OHL185" s="82"/>
      <c r="OHM185" s="82"/>
      <c r="OHN185" s="82"/>
      <c r="OHO185" s="82"/>
      <c r="OHP185" s="82"/>
      <c r="OHQ185" s="82"/>
      <c r="OHR185" s="82"/>
      <c r="OHS185" s="82"/>
      <c r="OHT185" s="82"/>
      <c r="OHU185" s="82"/>
      <c r="OHV185" s="82"/>
      <c r="OHW185" s="82"/>
      <c r="OHX185" s="82"/>
      <c r="OHY185" s="82"/>
      <c r="OHZ185" s="82"/>
      <c r="OIA185" s="82"/>
      <c r="OIB185" s="82"/>
      <c r="OIC185" s="82"/>
      <c r="OID185" s="82"/>
      <c r="OIE185" s="82"/>
      <c r="OIF185" s="82"/>
      <c r="OIG185" s="82"/>
      <c r="OIH185" s="82"/>
      <c r="OII185" s="82"/>
      <c r="OIJ185" s="82"/>
      <c r="OIK185" s="82"/>
      <c r="OIL185" s="82"/>
      <c r="OIM185" s="82"/>
      <c r="OIN185" s="82"/>
      <c r="OIO185" s="82"/>
      <c r="OIP185" s="82"/>
      <c r="OIQ185" s="82"/>
      <c r="OIR185" s="82"/>
      <c r="OIS185" s="82"/>
      <c r="OIT185" s="82"/>
      <c r="OIU185" s="82"/>
      <c r="OIV185" s="82"/>
      <c r="OIW185" s="82"/>
      <c r="OIX185" s="82"/>
      <c r="OIY185" s="82"/>
      <c r="OIZ185" s="82"/>
      <c r="OJA185" s="82"/>
      <c r="OJB185" s="82"/>
      <c r="OJC185" s="82"/>
      <c r="OJD185" s="82"/>
      <c r="OJE185" s="82"/>
      <c r="OJF185" s="82"/>
      <c r="OJG185" s="82"/>
      <c r="OJH185" s="82"/>
      <c r="OJI185" s="82"/>
      <c r="OJJ185" s="82"/>
      <c r="OJK185" s="82"/>
      <c r="OJL185" s="82"/>
      <c r="OJM185" s="82"/>
      <c r="OJN185" s="82"/>
      <c r="OJO185" s="82"/>
      <c r="OJP185" s="82"/>
      <c r="OJQ185" s="82"/>
      <c r="OJR185" s="82"/>
      <c r="OJS185" s="82"/>
      <c r="OJT185" s="82"/>
      <c r="OJU185" s="82"/>
      <c r="OJV185" s="82"/>
      <c r="OJW185" s="82"/>
      <c r="OJX185" s="82"/>
      <c r="OJY185" s="82"/>
      <c r="OJZ185" s="82"/>
      <c r="OKA185" s="82"/>
      <c r="OKB185" s="82"/>
      <c r="OKC185" s="82"/>
      <c r="OKD185" s="82"/>
      <c r="OKE185" s="82"/>
      <c r="OKF185" s="82"/>
      <c r="OKG185" s="82"/>
      <c r="OKH185" s="82"/>
      <c r="OKI185" s="82"/>
      <c r="OKJ185" s="82"/>
      <c r="OKK185" s="82"/>
      <c r="OKL185" s="82"/>
      <c r="OKM185" s="82"/>
      <c r="OKN185" s="82"/>
      <c r="OKO185" s="82"/>
      <c r="OKP185" s="82"/>
      <c r="OKQ185" s="82"/>
      <c r="OKR185" s="82"/>
      <c r="OKS185" s="82"/>
      <c r="OKT185" s="82"/>
      <c r="OKU185" s="82"/>
      <c r="OKV185" s="82"/>
      <c r="OKW185" s="82"/>
      <c r="OKX185" s="82"/>
      <c r="OKY185" s="82"/>
      <c r="OKZ185" s="82"/>
      <c r="OLA185" s="82"/>
      <c r="OLB185" s="82"/>
      <c r="OLC185" s="82"/>
      <c r="OLD185" s="82"/>
      <c r="OLE185" s="82"/>
      <c r="OLF185" s="82"/>
      <c r="OLG185" s="82"/>
      <c r="OLH185" s="82"/>
      <c r="OLI185" s="82"/>
      <c r="OLJ185" s="82"/>
      <c r="OLK185" s="82"/>
      <c r="OLL185" s="82"/>
      <c r="OLM185" s="82"/>
      <c r="OLN185" s="82"/>
      <c r="OLO185" s="82"/>
      <c r="OLP185" s="82"/>
      <c r="OLQ185" s="82"/>
      <c r="OLR185" s="82"/>
      <c r="OLS185" s="82"/>
      <c r="OLT185" s="82"/>
      <c r="OLU185" s="82"/>
      <c r="OLV185" s="82"/>
      <c r="OLW185" s="82"/>
      <c r="OLX185" s="82"/>
      <c r="OLY185" s="82"/>
      <c r="OLZ185" s="82"/>
      <c r="OMA185" s="82"/>
      <c r="OMB185" s="82"/>
      <c r="OMC185" s="82"/>
      <c r="OMD185" s="82"/>
      <c r="OME185" s="82"/>
      <c r="OMF185" s="82"/>
      <c r="OMG185" s="82"/>
      <c r="OMH185" s="82"/>
      <c r="OMI185" s="82"/>
      <c r="OMJ185" s="82"/>
      <c r="OMK185" s="82"/>
      <c r="OML185" s="82"/>
      <c r="OMM185" s="82"/>
      <c r="OMN185" s="82"/>
      <c r="OMO185" s="82"/>
      <c r="OMP185" s="82"/>
      <c r="OMQ185" s="82"/>
      <c r="OMR185" s="82"/>
      <c r="OMS185" s="82"/>
      <c r="OMT185" s="82"/>
      <c r="OMU185" s="82"/>
      <c r="OMV185" s="82"/>
      <c r="OMW185" s="82"/>
      <c r="OMX185" s="82"/>
      <c r="OMY185" s="82"/>
      <c r="OMZ185" s="82"/>
      <c r="ONA185" s="82"/>
      <c r="ONB185" s="82"/>
      <c r="ONC185" s="82"/>
      <c r="OND185" s="82"/>
      <c r="ONE185" s="82"/>
      <c r="ONF185" s="82"/>
      <c r="ONG185" s="82"/>
      <c r="ONH185" s="82"/>
      <c r="ONI185" s="82"/>
      <c r="ONJ185" s="82"/>
      <c r="ONK185" s="82"/>
      <c r="ONL185" s="82"/>
      <c r="ONM185" s="82"/>
      <c r="ONN185" s="82"/>
      <c r="ONO185" s="82"/>
      <c r="ONP185" s="82"/>
      <c r="ONQ185" s="82"/>
      <c r="ONR185" s="82"/>
      <c r="ONS185" s="82"/>
      <c r="ONT185" s="82"/>
      <c r="ONU185" s="82"/>
      <c r="ONV185" s="82"/>
      <c r="ONW185" s="82"/>
      <c r="ONX185" s="82"/>
      <c r="ONY185" s="82"/>
      <c r="ONZ185" s="82"/>
      <c r="OOA185" s="82"/>
      <c r="OOB185" s="82"/>
      <c r="OOC185" s="82"/>
      <c r="OOD185" s="82"/>
      <c r="OOE185" s="82"/>
      <c r="OOF185" s="82"/>
      <c r="OOG185" s="82"/>
      <c r="OOH185" s="82"/>
      <c r="OOI185" s="82"/>
      <c r="OOJ185" s="82"/>
      <c r="OOK185" s="82"/>
      <c r="OOL185" s="82"/>
      <c r="OOM185" s="82"/>
      <c r="OON185" s="82"/>
      <c r="OOO185" s="82"/>
      <c r="OOP185" s="82"/>
      <c r="OOQ185" s="82"/>
      <c r="OOR185" s="82"/>
      <c r="OOS185" s="82"/>
      <c r="OOT185" s="82"/>
      <c r="OOU185" s="82"/>
      <c r="OOV185" s="82"/>
      <c r="OOW185" s="82"/>
      <c r="OOX185" s="82"/>
      <c r="OOY185" s="82"/>
      <c r="OOZ185" s="82"/>
      <c r="OPA185" s="82"/>
      <c r="OPB185" s="82"/>
      <c r="OPC185" s="82"/>
      <c r="OPD185" s="82"/>
      <c r="OPE185" s="82"/>
      <c r="OPF185" s="82"/>
      <c r="OPG185" s="82"/>
      <c r="OPH185" s="82"/>
      <c r="OPI185" s="82"/>
      <c r="OPJ185" s="82"/>
      <c r="OPK185" s="82"/>
      <c r="OPL185" s="82"/>
      <c r="OPM185" s="82"/>
      <c r="OPN185" s="82"/>
      <c r="OPO185" s="82"/>
      <c r="OPP185" s="82"/>
      <c r="OPQ185" s="82"/>
      <c r="OPR185" s="82"/>
      <c r="OPS185" s="82"/>
      <c r="OPT185" s="82"/>
      <c r="OPU185" s="82"/>
      <c r="OPV185" s="82"/>
      <c r="OPW185" s="82"/>
      <c r="OPX185" s="82"/>
      <c r="OPY185" s="82"/>
      <c r="OPZ185" s="82"/>
      <c r="OQA185" s="82"/>
      <c r="OQB185" s="82"/>
      <c r="OQC185" s="82"/>
      <c r="OQD185" s="82"/>
      <c r="OQE185" s="82"/>
      <c r="OQF185" s="82"/>
      <c r="OQG185" s="82"/>
      <c r="OQH185" s="82"/>
      <c r="OQI185" s="82"/>
      <c r="OQJ185" s="82"/>
      <c r="OQK185" s="82"/>
      <c r="OQL185" s="82"/>
      <c r="OQM185" s="82"/>
      <c r="OQN185" s="82"/>
      <c r="OQO185" s="82"/>
      <c r="OQP185" s="82"/>
      <c r="OQQ185" s="82"/>
      <c r="OQR185" s="82"/>
      <c r="OQS185" s="82"/>
      <c r="OQT185" s="82"/>
      <c r="OQU185" s="82"/>
      <c r="OQV185" s="82"/>
      <c r="OQW185" s="82"/>
      <c r="OQX185" s="82"/>
      <c r="OQY185" s="82"/>
      <c r="OQZ185" s="82"/>
      <c r="ORA185" s="82"/>
      <c r="ORB185" s="82"/>
      <c r="ORC185" s="82"/>
      <c r="ORD185" s="82"/>
      <c r="ORE185" s="82"/>
      <c r="ORF185" s="82"/>
      <c r="ORG185" s="82"/>
      <c r="ORH185" s="82"/>
      <c r="ORI185" s="82"/>
      <c r="ORJ185" s="82"/>
      <c r="ORK185" s="82"/>
      <c r="ORL185" s="82"/>
      <c r="ORM185" s="82"/>
      <c r="ORN185" s="82"/>
      <c r="ORO185" s="82"/>
      <c r="ORP185" s="82"/>
      <c r="ORQ185" s="82"/>
      <c r="ORR185" s="82"/>
      <c r="ORS185" s="82"/>
      <c r="ORT185" s="82"/>
      <c r="ORU185" s="82"/>
      <c r="ORV185" s="82"/>
      <c r="ORW185" s="82"/>
      <c r="ORX185" s="82"/>
      <c r="ORY185" s="82"/>
      <c r="ORZ185" s="82"/>
      <c r="OSA185" s="82"/>
      <c r="OSB185" s="82"/>
      <c r="OSC185" s="82"/>
      <c r="OSD185" s="82"/>
      <c r="OSE185" s="82"/>
      <c r="OSF185" s="82"/>
      <c r="OSG185" s="82"/>
      <c r="OSH185" s="82"/>
      <c r="OSI185" s="82"/>
      <c r="OSJ185" s="82"/>
      <c r="OSK185" s="82"/>
      <c r="OSL185" s="82"/>
      <c r="OSM185" s="82"/>
      <c r="OSN185" s="82"/>
      <c r="OSO185" s="82"/>
      <c r="OSP185" s="82"/>
      <c r="OSQ185" s="82"/>
      <c r="OSR185" s="82"/>
      <c r="OSS185" s="82"/>
      <c r="OST185" s="82"/>
      <c r="OSU185" s="82"/>
      <c r="OSV185" s="82"/>
      <c r="OSW185" s="82"/>
      <c r="OSX185" s="82"/>
      <c r="OSY185" s="82"/>
      <c r="OSZ185" s="82"/>
      <c r="OTA185" s="82"/>
      <c r="OTB185" s="82"/>
      <c r="OTC185" s="82"/>
      <c r="OTD185" s="82"/>
      <c r="OTE185" s="82"/>
      <c r="OTF185" s="82"/>
      <c r="OTG185" s="82"/>
      <c r="OTH185" s="82"/>
      <c r="OTI185" s="82"/>
      <c r="OTJ185" s="82"/>
      <c r="OTK185" s="82"/>
      <c r="OTL185" s="82"/>
      <c r="OTM185" s="82"/>
      <c r="OTN185" s="82"/>
      <c r="OTO185" s="82"/>
      <c r="OTP185" s="82"/>
      <c r="OTQ185" s="82"/>
      <c r="OTR185" s="82"/>
      <c r="OTS185" s="82"/>
      <c r="OTT185" s="82"/>
      <c r="OTU185" s="82"/>
      <c r="OTV185" s="82"/>
      <c r="OTW185" s="82"/>
      <c r="OTX185" s="82"/>
      <c r="OTY185" s="82"/>
      <c r="OTZ185" s="82"/>
      <c r="OUA185" s="82"/>
      <c r="OUB185" s="82"/>
      <c r="OUC185" s="82"/>
      <c r="OUD185" s="82"/>
      <c r="OUE185" s="82"/>
      <c r="OUF185" s="82"/>
      <c r="OUG185" s="82"/>
      <c r="OUH185" s="82"/>
      <c r="OUI185" s="82"/>
      <c r="OUJ185" s="82"/>
      <c r="OUK185" s="82"/>
      <c r="OUL185" s="82"/>
      <c r="OUM185" s="82"/>
      <c r="OUN185" s="82"/>
      <c r="OUO185" s="82"/>
      <c r="OUP185" s="82"/>
      <c r="OUQ185" s="82"/>
      <c r="OUR185" s="82"/>
      <c r="OUS185" s="82"/>
      <c r="OUT185" s="82"/>
      <c r="OUU185" s="82"/>
      <c r="OUV185" s="82"/>
      <c r="OUW185" s="82"/>
      <c r="OUX185" s="82"/>
      <c r="OUY185" s="82"/>
      <c r="OUZ185" s="82"/>
      <c r="OVA185" s="82"/>
      <c r="OVB185" s="82"/>
      <c r="OVC185" s="82"/>
      <c r="OVD185" s="82"/>
      <c r="OVE185" s="82"/>
      <c r="OVF185" s="82"/>
      <c r="OVG185" s="82"/>
      <c r="OVH185" s="82"/>
      <c r="OVI185" s="82"/>
      <c r="OVJ185" s="82"/>
      <c r="OVK185" s="82"/>
      <c r="OVL185" s="82"/>
      <c r="OVM185" s="82"/>
      <c r="OVN185" s="82"/>
      <c r="OVO185" s="82"/>
      <c r="OVP185" s="82"/>
      <c r="OVQ185" s="82"/>
      <c r="OVR185" s="82"/>
      <c r="OVS185" s="82"/>
      <c r="OVT185" s="82"/>
      <c r="OVU185" s="82"/>
      <c r="OVV185" s="82"/>
      <c r="OVW185" s="82"/>
      <c r="OVX185" s="82"/>
      <c r="OVY185" s="82"/>
      <c r="OVZ185" s="82"/>
      <c r="OWA185" s="82"/>
      <c r="OWB185" s="82"/>
      <c r="OWC185" s="82"/>
      <c r="OWD185" s="82"/>
      <c r="OWE185" s="82"/>
      <c r="OWF185" s="82"/>
      <c r="OWG185" s="82"/>
      <c r="OWH185" s="82"/>
      <c r="OWI185" s="82"/>
      <c r="OWJ185" s="82"/>
      <c r="OWK185" s="82"/>
      <c r="OWL185" s="82"/>
      <c r="OWM185" s="82"/>
      <c r="OWN185" s="82"/>
      <c r="OWO185" s="82"/>
      <c r="OWP185" s="82"/>
      <c r="OWQ185" s="82"/>
      <c r="OWR185" s="82"/>
      <c r="OWS185" s="82"/>
      <c r="OWT185" s="82"/>
      <c r="OWU185" s="82"/>
      <c r="OWV185" s="82"/>
      <c r="OWW185" s="82"/>
      <c r="OWX185" s="82"/>
      <c r="OWY185" s="82"/>
      <c r="OWZ185" s="82"/>
      <c r="OXA185" s="82"/>
      <c r="OXB185" s="82"/>
      <c r="OXC185" s="82"/>
      <c r="OXD185" s="82"/>
      <c r="OXE185" s="82"/>
      <c r="OXF185" s="82"/>
      <c r="OXG185" s="82"/>
      <c r="OXH185" s="82"/>
      <c r="OXI185" s="82"/>
      <c r="OXJ185" s="82"/>
      <c r="OXK185" s="82"/>
      <c r="OXL185" s="82"/>
      <c r="OXM185" s="82"/>
      <c r="OXN185" s="82"/>
      <c r="OXO185" s="82"/>
      <c r="OXP185" s="82"/>
      <c r="OXQ185" s="82"/>
      <c r="OXR185" s="82"/>
      <c r="OXS185" s="82"/>
      <c r="OXT185" s="82"/>
      <c r="OXU185" s="82"/>
      <c r="OXV185" s="82"/>
      <c r="OXW185" s="82"/>
      <c r="OXX185" s="82"/>
      <c r="OXY185" s="82"/>
      <c r="OXZ185" s="82"/>
      <c r="OYA185" s="82"/>
      <c r="OYB185" s="82"/>
      <c r="OYC185" s="82"/>
      <c r="OYD185" s="82"/>
      <c r="OYE185" s="82"/>
      <c r="OYF185" s="82"/>
      <c r="OYG185" s="82"/>
      <c r="OYH185" s="82"/>
      <c r="OYI185" s="82"/>
      <c r="OYJ185" s="82"/>
      <c r="OYK185" s="82"/>
      <c r="OYL185" s="82"/>
      <c r="OYM185" s="82"/>
      <c r="OYN185" s="82"/>
      <c r="OYO185" s="82"/>
      <c r="OYP185" s="82"/>
      <c r="OYQ185" s="82"/>
      <c r="OYR185" s="82"/>
      <c r="OYS185" s="82"/>
      <c r="OYT185" s="82"/>
      <c r="OYU185" s="82"/>
      <c r="OYV185" s="82"/>
      <c r="OYW185" s="82"/>
      <c r="OYX185" s="82"/>
      <c r="OYY185" s="82"/>
      <c r="OYZ185" s="82"/>
      <c r="OZA185" s="82"/>
      <c r="OZB185" s="82"/>
      <c r="OZC185" s="82"/>
      <c r="OZD185" s="82"/>
      <c r="OZE185" s="82"/>
      <c r="OZF185" s="82"/>
      <c r="OZG185" s="82"/>
      <c r="OZH185" s="82"/>
      <c r="OZI185" s="82"/>
      <c r="OZJ185" s="82"/>
      <c r="OZK185" s="82"/>
      <c r="OZL185" s="82"/>
      <c r="OZM185" s="82"/>
      <c r="OZN185" s="82"/>
      <c r="OZO185" s="82"/>
      <c r="OZP185" s="82"/>
      <c r="OZQ185" s="82"/>
      <c r="OZR185" s="82"/>
      <c r="OZS185" s="82"/>
      <c r="OZT185" s="82"/>
      <c r="OZU185" s="82"/>
      <c r="OZV185" s="82"/>
      <c r="OZW185" s="82"/>
      <c r="OZX185" s="82"/>
      <c r="OZY185" s="82"/>
      <c r="OZZ185" s="82"/>
      <c r="PAA185" s="82"/>
      <c r="PAB185" s="82"/>
      <c r="PAC185" s="82"/>
      <c r="PAD185" s="82"/>
      <c r="PAE185" s="82"/>
      <c r="PAF185" s="82"/>
      <c r="PAG185" s="82"/>
      <c r="PAH185" s="82"/>
      <c r="PAI185" s="82"/>
      <c r="PAJ185" s="82"/>
      <c r="PAK185" s="82"/>
      <c r="PAL185" s="82"/>
      <c r="PAM185" s="82"/>
      <c r="PAN185" s="82"/>
      <c r="PAO185" s="82"/>
      <c r="PAP185" s="82"/>
      <c r="PAQ185" s="82"/>
      <c r="PAR185" s="82"/>
      <c r="PAS185" s="82"/>
      <c r="PAT185" s="82"/>
      <c r="PAU185" s="82"/>
      <c r="PAV185" s="82"/>
      <c r="PAW185" s="82"/>
      <c r="PAX185" s="82"/>
      <c r="PAY185" s="82"/>
      <c r="PAZ185" s="82"/>
      <c r="PBA185" s="82"/>
      <c r="PBB185" s="82"/>
      <c r="PBC185" s="82"/>
      <c r="PBD185" s="82"/>
      <c r="PBE185" s="82"/>
      <c r="PBF185" s="82"/>
      <c r="PBG185" s="82"/>
      <c r="PBH185" s="82"/>
      <c r="PBI185" s="82"/>
      <c r="PBJ185" s="82"/>
      <c r="PBK185" s="82"/>
      <c r="PBL185" s="82"/>
      <c r="PBM185" s="82"/>
      <c r="PBN185" s="82"/>
      <c r="PBO185" s="82"/>
      <c r="PBP185" s="82"/>
      <c r="PBQ185" s="82"/>
      <c r="PBR185" s="82"/>
      <c r="PBS185" s="82"/>
      <c r="PBT185" s="82"/>
      <c r="PBU185" s="82"/>
      <c r="PBV185" s="82"/>
      <c r="PBW185" s="82"/>
      <c r="PBX185" s="82"/>
      <c r="PBY185" s="82"/>
      <c r="PBZ185" s="82"/>
      <c r="PCA185" s="82"/>
      <c r="PCB185" s="82"/>
      <c r="PCC185" s="82"/>
      <c r="PCD185" s="82"/>
      <c r="PCE185" s="82"/>
      <c r="PCF185" s="82"/>
      <c r="PCG185" s="82"/>
      <c r="PCH185" s="82"/>
      <c r="PCI185" s="82"/>
      <c r="PCJ185" s="82"/>
      <c r="PCK185" s="82"/>
      <c r="PCL185" s="82"/>
      <c r="PCM185" s="82"/>
      <c r="PCN185" s="82"/>
      <c r="PCO185" s="82"/>
      <c r="PCP185" s="82"/>
      <c r="PCQ185" s="82"/>
      <c r="PCR185" s="82"/>
      <c r="PCS185" s="82"/>
      <c r="PCT185" s="82"/>
      <c r="PCU185" s="82"/>
      <c r="PCV185" s="82"/>
      <c r="PCW185" s="82"/>
      <c r="PCX185" s="82"/>
      <c r="PCY185" s="82"/>
      <c r="PCZ185" s="82"/>
      <c r="PDA185" s="82"/>
      <c r="PDB185" s="82"/>
      <c r="PDC185" s="82"/>
      <c r="PDD185" s="82"/>
      <c r="PDE185" s="82"/>
      <c r="PDF185" s="82"/>
      <c r="PDG185" s="82"/>
      <c r="PDH185" s="82"/>
      <c r="PDI185" s="82"/>
      <c r="PDJ185" s="82"/>
      <c r="PDK185" s="82"/>
      <c r="PDL185" s="82"/>
      <c r="PDM185" s="82"/>
      <c r="PDN185" s="82"/>
      <c r="PDO185" s="82"/>
      <c r="PDP185" s="82"/>
      <c r="PDQ185" s="82"/>
      <c r="PDR185" s="82"/>
      <c r="PDS185" s="82"/>
      <c r="PDT185" s="82"/>
      <c r="PDU185" s="82"/>
      <c r="PDV185" s="82"/>
      <c r="PDW185" s="82"/>
      <c r="PDX185" s="82"/>
      <c r="PDY185" s="82"/>
      <c r="PDZ185" s="82"/>
      <c r="PEA185" s="82"/>
      <c r="PEB185" s="82"/>
      <c r="PEC185" s="82"/>
      <c r="PED185" s="82"/>
      <c r="PEE185" s="82"/>
      <c r="PEF185" s="82"/>
      <c r="PEG185" s="82"/>
      <c r="PEH185" s="82"/>
      <c r="PEI185" s="82"/>
      <c r="PEJ185" s="82"/>
      <c r="PEK185" s="82"/>
      <c r="PEL185" s="82"/>
      <c r="PEM185" s="82"/>
      <c r="PEN185" s="82"/>
      <c r="PEO185" s="82"/>
      <c r="PEP185" s="82"/>
      <c r="PEQ185" s="82"/>
      <c r="PER185" s="82"/>
      <c r="PES185" s="82"/>
      <c r="PET185" s="82"/>
      <c r="PEU185" s="82"/>
      <c r="PEV185" s="82"/>
      <c r="PEW185" s="82"/>
      <c r="PEX185" s="82"/>
      <c r="PEY185" s="82"/>
      <c r="PEZ185" s="82"/>
      <c r="PFA185" s="82"/>
      <c r="PFB185" s="82"/>
      <c r="PFC185" s="82"/>
      <c r="PFD185" s="82"/>
      <c r="PFE185" s="82"/>
      <c r="PFF185" s="82"/>
      <c r="PFG185" s="82"/>
      <c r="PFH185" s="82"/>
      <c r="PFI185" s="82"/>
      <c r="PFJ185" s="82"/>
      <c r="PFK185" s="82"/>
      <c r="PFL185" s="82"/>
      <c r="PFM185" s="82"/>
      <c r="PFN185" s="82"/>
      <c r="PFO185" s="82"/>
      <c r="PFP185" s="82"/>
      <c r="PFQ185" s="82"/>
      <c r="PFR185" s="82"/>
      <c r="PFS185" s="82"/>
      <c r="PFT185" s="82"/>
      <c r="PFU185" s="82"/>
      <c r="PFV185" s="82"/>
      <c r="PFW185" s="82"/>
      <c r="PFX185" s="82"/>
      <c r="PFY185" s="82"/>
      <c r="PFZ185" s="82"/>
      <c r="PGA185" s="82"/>
      <c r="PGB185" s="82"/>
      <c r="PGC185" s="82"/>
      <c r="PGD185" s="82"/>
      <c r="PGE185" s="82"/>
      <c r="PGF185" s="82"/>
      <c r="PGG185" s="82"/>
      <c r="PGH185" s="82"/>
      <c r="PGI185" s="82"/>
      <c r="PGJ185" s="82"/>
      <c r="PGK185" s="82"/>
      <c r="PGL185" s="82"/>
      <c r="PGM185" s="82"/>
      <c r="PGN185" s="82"/>
      <c r="PGO185" s="82"/>
      <c r="PGP185" s="82"/>
      <c r="PGQ185" s="82"/>
      <c r="PGR185" s="82"/>
      <c r="PGS185" s="82"/>
      <c r="PGT185" s="82"/>
      <c r="PGU185" s="82"/>
      <c r="PGV185" s="82"/>
      <c r="PGW185" s="82"/>
      <c r="PGX185" s="82"/>
      <c r="PGY185" s="82"/>
      <c r="PGZ185" s="82"/>
      <c r="PHA185" s="82"/>
      <c r="PHB185" s="82"/>
      <c r="PHC185" s="82"/>
      <c r="PHD185" s="82"/>
      <c r="PHE185" s="82"/>
      <c r="PHF185" s="82"/>
      <c r="PHG185" s="82"/>
      <c r="PHH185" s="82"/>
      <c r="PHI185" s="82"/>
      <c r="PHJ185" s="82"/>
      <c r="PHK185" s="82"/>
      <c r="PHL185" s="82"/>
      <c r="PHM185" s="82"/>
      <c r="PHN185" s="82"/>
      <c r="PHO185" s="82"/>
      <c r="PHP185" s="82"/>
      <c r="PHQ185" s="82"/>
      <c r="PHR185" s="82"/>
      <c r="PHS185" s="82"/>
      <c r="PHT185" s="82"/>
      <c r="PHU185" s="82"/>
      <c r="PHV185" s="82"/>
      <c r="PHW185" s="82"/>
      <c r="PHX185" s="82"/>
      <c r="PHY185" s="82"/>
      <c r="PHZ185" s="82"/>
      <c r="PIA185" s="82"/>
      <c r="PIB185" s="82"/>
      <c r="PIC185" s="82"/>
      <c r="PID185" s="82"/>
      <c r="PIE185" s="82"/>
      <c r="PIF185" s="82"/>
      <c r="PIG185" s="82"/>
      <c r="PIH185" s="82"/>
      <c r="PII185" s="82"/>
      <c r="PIJ185" s="82"/>
      <c r="PIK185" s="82"/>
      <c r="PIL185" s="82"/>
      <c r="PIM185" s="82"/>
      <c r="PIN185" s="82"/>
      <c r="PIO185" s="82"/>
      <c r="PIP185" s="82"/>
      <c r="PIQ185" s="82"/>
      <c r="PIR185" s="82"/>
      <c r="PIS185" s="82"/>
      <c r="PIT185" s="82"/>
      <c r="PIU185" s="82"/>
      <c r="PIV185" s="82"/>
      <c r="PIW185" s="82"/>
      <c r="PIX185" s="82"/>
      <c r="PIY185" s="82"/>
      <c r="PIZ185" s="82"/>
      <c r="PJA185" s="82"/>
      <c r="PJB185" s="82"/>
      <c r="PJC185" s="82"/>
      <c r="PJD185" s="82"/>
      <c r="PJE185" s="82"/>
      <c r="PJF185" s="82"/>
      <c r="PJG185" s="82"/>
      <c r="PJH185" s="82"/>
      <c r="PJI185" s="82"/>
      <c r="PJJ185" s="82"/>
      <c r="PJK185" s="82"/>
      <c r="PJL185" s="82"/>
      <c r="PJM185" s="82"/>
      <c r="PJN185" s="82"/>
      <c r="PJO185" s="82"/>
      <c r="PJP185" s="82"/>
      <c r="PJQ185" s="82"/>
      <c r="PJR185" s="82"/>
      <c r="PJS185" s="82"/>
      <c r="PJT185" s="82"/>
      <c r="PJU185" s="82"/>
      <c r="PJV185" s="82"/>
      <c r="PJW185" s="82"/>
      <c r="PJX185" s="82"/>
      <c r="PJY185" s="82"/>
      <c r="PJZ185" s="82"/>
      <c r="PKA185" s="82"/>
      <c r="PKB185" s="82"/>
      <c r="PKC185" s="82"/>
      <c r="PKD185" s="82"/>
      <c r="PKE185" s="82"/>
      <c r="PKF185" s="82"/>
      <c r="PKG185" s="82"/>
      <c r="PKH185" s="82"/>
      <c r="PKI185" s="82"/>
      <c r="PKJ185" s="82"/>
      <c r="PKK185" s="82"/>
      <c r="PKL185" s="82"/>
      <c r="PKM185" s="82"/>
      <c r="PKN185" s="82"/>
      <c r="PKO185" s="82"/>
      <c r="PKP185" s="82"/>
      <c r="PKQ185" s="82"/>
      <c r="PKR185" s="82"/>
      <c r="PKS185" s="82"/>
      <c r="PKT185" s="82"/>
      <c r="PKU185" s="82"/>
      <c r="PKV185" s="82"/>
      <c r="PKW185" s="82"/>
      <c r="PKX185" s="82"/>
      <c r="PKY185" s="82"/>
      <c r="PKZ185" s="82"/>
      <c r="PLA185" s="82"/>
      <c r="PLB185" s="82"/>
      <c r="PLC185" s="82"/>
      <c r="PLD185" s="82"/>
      <c r="PLE185" s="82"/>
      <c r="PLF185" s="82"/>
      <c r="PLG185" s="82"/>
      <c r="PLH185" s="82"/>
      <c r="PLI185" s="82"/>
      <c r="PLJ185" s="82"/>
      <c r="PLK185" s="82"/>
      <c r="PLL185" s="82"/>
      <c r="PLM185" s="82"/>
      <c r="PLN185" s="82"/>
      <c r="PLO185" s="82"/>
      <c r="PLP185" s="82"/>
      <c r="PLQ185" s="82"/>
      <c r="PLR185" s="82"/>
      <c r="PLS185" s="82"/>
      <c r="PLT185" s="82"/>
      <c r="PLU185" s="82"/>
      <c r="PLV185" s="82"/>
      <c r="PLW185" s="82"/>
      <c r="PLX185" s="82"/>
      <c r="PLY185" s="82"/>
      <c r="PLZ185" s="82"/>
      <c r="PMA185" s="82"/>
      <c r="PMB185" s="82"/>
      <c r="PMC185" s="82"/>
      <c r="PMD185" s="82"/>
      <c r="PME185" s="82"/>
      <c r="PMF185" s="82"/>
      <c r="PMG185" s="82"/>
      <c r="PMH185" s="82"/>
      <c r="PMI185" s="82"/>
      <c r="PMJ185" s="82"/>
      <c r="PMK185" s="82"/>
      <c r="PML185" s="82"/>
      <c r="PMM185" s="82"/>
      <c r="PMN185" s="82"/>
      <c r="PMO185" s="82"/>
      <c r="PMP185" s="82"/>
      <c r="PMQ185" s="82"/>
      <c r="PMR185" s="82"/>
      <c r="PMS185" s="82"/>
      <c r="PMT185" s="82"/>
      <c r="PMU185" s="82"/>
      <c r="PMV185" s="82"/>
      <c r="PMW185" s="82"/>
      <c r="PMX185" s="82"/>
      <c r="PMY185" s="82"/>
      <c r="PMZ185" s="82"/>
      <c r="PNA185" s="82"/>
      <c r="PNB185" s="82"/>
      <c r="PNC185" s="82"/>
      <c r="PND185" s="82"/>
      <c r="PNE185" s="82"/>
      <c r="PNF185" s="82"/>
      <c r="PNG185" s="82"/>
      <c r="PNH185" s="82"/>
      <c r="PNI185" s="82"/>
      <c r="PNJ185" s="82"/>
      <c r="PNK185" s="82"/>
      <c r="PNL185" s="82"/>
      <c r="PNM185" s="82"/>
      <c r="PNN185" s="82"/>
      <c r="PNO185" s="82"/>
      <c r="PNP185" s="82"/>
      <c r="PNQ185" s="82"/>
      <c r="PNR185" s="82"/>
      <c r="PNS185" s="82"/>
      <c r="PNT185" s="82"/>
      <c r="PNU185" s="82"/>
      <c r="PNV185" s="82"/>
      <c r="PNW185" s="82"/>
      <c r="PNX185" s="82"/>
      <c r="PNY185" s="82"/>
      <c r="PNZ185" s="82"/>
      <c r="POA185" s="82"/>
      <c r="POB185" s="82"/>
      <c r="POC185" s="82"/>
      <c r="POD185" s="82"/>
      <c r="POE185" s="82"/>
      <c r="POF185" s="82"/>
      <c r="POG185" s="82"/>
      <c r="POH185" s="82"/>
      <c r="POI185" s="82"/>
      <c r="POJ185" s="82"/>
      <c r="POK185" s="82"/>
      <c r="POL185" s="82"/>
      <c r="POM185" s="82"/>
      <c r="PON185" s="82"/>
      <c r="POO185" s="82"/>
      <c r="POP185" s="82"/>
      <c r="POQ185" s="82"/>
      <c r="POR185" s="82"/>
      <c r="POS185" s="82"/>
      <c r="POT185" s="82"/>
      <c r="POU185" s="82"/>
      <c r="POV185" s="82"/>
      <c r="POW185" s="82"/>
      <c r="POX185" s="82"/>
      <c r="POY185" s="82"/>
      <c r="POZ185" s="82"/>
      <c r="PPA185" s="82"/>
      <c r="PPB185" s="82"/>
      <c r="PPC185" s="82"/>
      <c r="PPD185" s="82"/>
      <c r="PPE185" s="82"/>
      <c r="PPF185" s="82"/>
      <c r="PPG185" s="82"/>
      <c r="PPH185" s="82"/>
      <c r="PPI185" s="82"/>
      <c r="PPJ185" s="82"/>
      <c r="PPK185" s="82"/>
      <c r="PPL185" s="82"/>
      <c r="PPM185" s="82"/>
      <c r="PPN185" s="82"/>
      <c r="PPO185" s="82"/>
      <c r="PPP185" s="82"/>
      <c r="PPQ185" s="82"/>
      <c r="PPR185" s="82"/>
      <c r="PPS185" s="82"/>
      <c r="PPT185" s="82"/>
      <c r="PPU185" s="82"/>
      <c r="PPV185" s="82"/>
      <c r="PPW185" s="82"/>
      <c r="PPX185" s="82"/>
      <c r="PPY185" s="82"/>
      <c r="PPZ185" s="82"/>
      <c r="PQA185" s="82"/>
      <c r="PQB185" s="82"/>
      <c r="PQC185" s="82"/>
      <c r="PQD185" s="82"/>
      <c r="PQE185" s="82"/>
      <c r="PQF185" s="82"/>
      <c r="PQG185" s="82"/>
      <c r="PQH185" s="82"/>
      <c r="PQI185" s="82"/>
      <c r="PQJ185" s="82"/>
      <c r="PQK185" s="82"/>
      <c r="PQL185" s="82"/>
      <c r="PQM185" s="82"/>
      <c r="PQN185" s="82"/>
      <c r="PQO185" s="82"/>
      <c r="PQP185" s="82"/>
      <c r="PQQ185" s="82"/>
      <c r="PQR185" s="82"/>
      <c r="PQS185" s="82"/>
      <c r="PQT185" s="82"/>
      <c r="PQU185" s="82"/>
      <c r="PQV185" s="82"/>
      <c r="PQW185" s="82"/>
      <c r="PQX185" s="82"/>
      <c r="PQY185" s="82"/>
      <c r="PQZ185" s="82"/>
      <c r="PRA185" s="82"/>
      <c r="PRB185" s="82"/>
      <c r="PRC185" s="82"/>
      <c r="PRD185" s="82"/>
      <c r="PRE185" s="82"/>
      <c r="PRF185" s="82"/>
      <c r="PRG185" s="82"/>
      <c r="PRH185" s="82"/>
      <c r="PRI185" s="82"/>
      <c r="PRJ185" s="82"/>
      <c r="PRK185" s="82"/>
      <c r="PRL185" s="82"/>
      <c r="PRM185" s="82"/>
      <c r="PRN185" s="82"/>
      <c r="PRO185" s="82"/>
      <c r="PRP185" s="82"/>
      <c r="PRQ185" s="82"/>
      <c r="PRR185" s="82"/>
      <c r="PRS185" s="82"/>
      <c r="PRT185" s="82"/>
      <c r="PRU185" s="82"/>
      <c r="PRV185" s="82"/>
      <c r="PRW185" s="82"/>
      <c r="PRX185" s="82"/>
      <c r="PRY185" s="82"/>
      <c r="PRZ185" s="82"/>
      <c r="PSA185" s="82"/>
      <c r="PSB185" s="82"/>
      <c r="PSC185" s="82"/>
      <c r="PSD185" s="82"/>
      <c r="PSE185" s="82"/>
      <c r="PSF185" s="82"/>
      <c r="PSG185" s="82"/>
      <c r="PSH185" s="82"/>
      <c r="PSI185" s="82"/>
      <c r="PSJ185" s="82"/>
      <c r="PSK185" s="82"/>
      <c r="PSL185" s="82"/>
      <c r="PSM185" s="82"/>
      <c r="PSN185" s="82"/>
      <c r="PSO185" s="82"/>
      <c r="PSP185" s="82"/>
      <c r="PSQ185" s="82"/>
      <c r="PSR185" s="82"/>
      <c r="PSS185" s="82"/>
      <c r="PST185" s="82"/>
      <c r="PSU185" s="82"/>
      <c r="PSV185" s="82"/>
      <c r="PSW185" s="82"/>
      <c r="PSX185" s="82"/>
      <c r="PSY185" s="82"/>
      <c r="PSZ185" s="82"/>
      <c r="PTA185" s="82"/>
      <c r="PTB185" s="82"/>
      <c r="PTC185" s="82"/>
      <c r="PTD185" s="82"/>
      <c r="PTE185" s="82"/>
      <c r="PTF185" s="82"/>
      <c r="PTG185" s="82"/>
      <c r="PTH185" s="82"/>
      <c r="PTI185" s="82"/>
      <c r="PTJ185" s="82"/>
      <c r="PTK185" s="82"/>
      <c r="PTL185" s="82"/>
      <c r="PTM185" s="82"/>
      <c r="PTN185" s="82"/>
      <c r="PTO185" s="82"/>
      <c r="PTP185" s="82"/>
      <c r="PTQ185" s="82"/>
      <c r="PTR185" s="82"/>
      <c r="PTS185" s="82"/>
      <c r="PTT185" s="82"/>
      <c r="PTU185" s="82"/>
      <c r="PTV185" s="82"/>
      <c r="PTW185" s="82"/>
      <c r="PTX185" s="82"/>
      <c r="PTY185" s="82"/>
      <c r="PTZ185" s="82"/>
      <c r="PUA185" s="82"/>
      <c r="PUB185" s="82"/>
      <c r="PUC185" s="82"/>
      <c r="PUD185" s="82"/>
      <c r="PUE185" s="82"/>
      <c r="PUF185" s="82"/>
      <c r="PUG185" s="82"/>
      <c r="PUH185" s="82"/>
      <c r="PUI185" s="82"/>
      <c r="PUJ185" s="82"/>
      <c r="PUK185" s="82"/>
      <c r="PUL185" s="82"/>
      <c r="PUM185" s="82"/>
      <c r="PUN185" s="82"/>
      <c r="PUO185" s="82"/>
      <c r="PUP185" s="82"/>
      <c r="PUQ185" s="82"/>
      <c r="PUR185" s="82"/>
      <c r="PUS185" s="82"/>
      <c r="PUT185" s="82"/>
      <c r="PUU185" s="82"/>
      <c r="PUV185" s="82"/>
      <c r="PUW185" s="82"/>
      <c r="PUX185" s="82"/>
      <c r="PUY185" s="82"/>
      <c r="PUZ185" s="82"/>
      <c r="PVA185" s="82"/>
      <c r="PVB185" s="82"/>
      <c r="PVC185" s="82"/>
      <c r="PVD185" s="82"/>
      <c r="PVE185" s="82"/>
      <c r="PVF185" s="82"/>
      <c r="PVG185" s="82"/>
      <c r="PVH185" s="82"/>
      <c r="PVI185" s="82"/>
      <c r="PVJ185" s="82"/>
      <c r="PVK185" s="82"/>
      <c r="PVL185" s="82"/>
      <c r="PVM185" s="82"/>
      <c r="PVN185" s="82"/>
      <c r="PVO185" s="82"/>
      <c r="PVP185" s="82"/>
      <c r="PVQ185" s="82"/>
      <c r="PVR185" s="82"/>
      <c r="PVS185" s="82"/>
      <c r="PVT185" s="82"/>
      <c r="PVU185" s="82"/>
      <c r="PVV185" s="82"/>
      <c r="PVW185" s="82"/>
      <c r="PVX185" s="82"/>
      <c r="PVY185" s="82"/>
      <c r="PVZ185" s="82"/>
      <c r="PWA185" s="82"/>
      <c r="PWB185" s="82"/>
      <c r="PWC185" s="82"/>
      <c r="PWD185" s="82"/>
      <c r="PWE185" s="82"/>
      <c r="PWF185" s="82"/>
      <c r="PWG185" s="82"/>
      <c r="PWH185" s="82"/>
      <c r="PWI185" s="82"/>
      <c r="PWJ185" s="82"/>
      <c r="PWK185" s="82"/>
      <c r="PWL185" s="82"/>
      <c r="PWM185" s="82"/>
      <c r="PWN185" s="82"/>
      <c r="PWO185" s="82"/>
      <c r="PWP185" s="82"/>
      <c r="PWQ185" s="82"/>
      <c r="PWR185" s="82"/>
      <c r="PWS185" s="82"/>
      <c r="PWT185" s="82"/>
      <c r="PWU185" s="82"/>
      <c r="PWV185" s="82"/>
      <c r="PWW185" s="82"/>
      <c r="PWX185" s="82"/>
      <c r="PWY185" s="82"/>
      <c r="PWZ185" s="82"/>
      <c r="PXA185" s="82"/>
      <c r="PXB185" s="82"/>
      <c r="PXC185" s="82"/>
      <c r="PXD185" s="82"/>
      <c r="PXE185" s="82"/>
      <c r="PXF185" s="82"/>
      <c r="PXG185" s="82"/>
      <c r="PXH185" s="82"/>
      <c r="PXI185" s="82"/>
      <c r="PXJ185" s="82"/>
      <c r="PXK185" s="82"/>
      <c r="PXL185" s="82"/>
      <c r="PXM185" s="82"/>
      <c r="PXN185" s="82"/>
      <c r="PXO185" s="82"/>
      <c r="PXP185" s="82"/>
      <c r="PXQ185" s="82"/>
      <c r="PXR185" s="82"/>
      <c r="PXS185" s="82"/>
      <c r="PXT185" s="82"/>
      <c r="PXU185" s="82"/>
      <c r="PXV185" s="82"/>
      <c r="PXW185" s="82"/>
      <c r="PXX185" s="82"/>
      <c r="PXY185" s="82"/>
      <c r="PXZ185" s="82"/>
      <c r="PYA185" s="82"/>
      <c r="PYB185" s="82"/>
      <c r="PYC185" s="82"/>
      <c r="PYD185" s="82"/>
      <c r="PYE185" s="82"/>
      <c r="PYF185" s="82"/>
      <c r="PYG185" s="82"/>
      <c r="PYH185" s="82"/>
      <c r="PYI185" s="82"/>
      <c r="PYJ185" s="82"/>
      <c r="PYK185" s="82"/>
      <c r="PYL185" s="82"/>
      <c r="PYM185" s="82"/>
      <c r="PYN185" s="82"/>
      <c r="PYO185" s="82"/>
      <c r="PYP185" s="82"/>
      <c r="PYQ185" s="82"/>
      <c r="PYR185" s="82"/>
      <c r="PYS185" s="82"/>
      <c r="PYT185" s="82"/>
      <c r="PYU185" s="82"/>
      <c r="PYV185" s="82"/>
      <c r="PYW185" s="82"/>
      <c r="PYX185" s="82"/>
      <c r="PYY185" s="82"/>
      <c r="PYZ185" s="82"/>
      <c r="PZA185" s="82"/>
      <c r="PZB185" s="82"/>
      <c r="PZC185" s="82"/>
      <c r="PZD185" s="82"/>
      <c r="PZE185" s="82"/>
      <c r="PZF185" s="82"/>
      <c r="PZG185" s="82"/>
      <c r="PZH185" s="82"/>
      <c r="PZI185" s="82"/>
      <c r="PZJ185" s="82"/>
      <c r="PZK185" s="82"/>
      <c r="PZL185" s="82"/>
      <c r="PZM185" s="82"/>
      <c r="PZN185" s="82"/>
      <c r="PZO185" s="82"/>
      <c r="PZP185" s="82"/>
      <c r="PZQ185" s="82"/>
      <c r="PZR185" s="82"/>
      <c r="PZS185" s="82"/>
      <c r="PZT185" s="82"/>
      <c r="PZU185" s="82"/>
      <c r="PZV185" s="82"/>
      <c r="PZW185" s="82"/>
      <c r="PZX185" s="82"/>
      <c r="PZY185" s="82"/>
      <c r="PZZ185" s="82"/>
      <c r="QAA185" s="82"/>
      <c r="QAB185" s="82"/>
      <c r="QAC185" s="82"/>
      <c r="QAD185" s="82"/>
      <c r="QAE185" s="82"/>
      <c r="QAF185" s="82"/>
      <c r="QAG185" s="82"/>
      <c r="QAH185" s="82"/>
      <c r="QAI185" s="82"/>
      <c r="QAJ185" s="82"/>
      <c r="QAK185" s="82"/>
      <c r="QAL185" s="82"/>
      <c r="QAM185" s="82"/>
      <c r="QAN185" s="82"/>
      <c r="QAO185" s="82"/>
      <c r="QAP185" s="82"/>
      <c r="QAQ185" s="82"/>
      <c r="QAR185" s="82"/>
      <c r="QAS185" s="82"/>
      <c r="QAT185" s="82"/>
      <c r="QAU185" s="82"/>
      <c r="QAV185" s="82"/>
      <c r="QAW185" s="82"/>
      <c r="QAX185" s="82"/>
      <c r="QAY185" s="82"/>
      <c r="QAZ185" s="82"/>
      <c r="QBA185" s="82"/>
      <c r="QBB185" s="82"/>
      <c r="QBC185" s="82"/>
      <c r="QBD185" s="82"/>
      <c r="QBE185" s="82"/>
      <c r="QBF185" s="82"/>
      <c r="QBG185" s="82"/>
      <c r="QBH185" s="82"/>
      <c r="QBI185" s="82"/>
      <c r="QBJ185" s="82"/>
      <c r="QBK185" s="82"/>
      <c r="QBL185" s="82"/>
      <c r="QBM185" s="82"/>
      <c r="QBN185" s="82"/>
      <c r="QBO185" s="82"/>
      <c r="QBP185" s="82"/>
      <c r="QBQ185" s="82"/>
      <c r="QBR185" s="82"/>
      <c r="QBS185" s="82"/>
      <c r="QBT185" s="82"/>
      <c r="QBU185" s="82"/>
      <c r="QBV185" s="82"/>
      <c r="QBW185" s="82"/>
      <c r="QBX185" s="82"/>
      <c r="QBY185" s="82"/>
      <c r="QBZ185" s="82"/>
      <c r="QCA185" s="82"/>
      <c r="QCB185" s="82"/>
      <c r="QCC185" s="82"/>
      <c r="QCD185" s="82"/>
      <c r="QCE185" s="82"/>
      <c r="QCF185" s="82"/>
      <c r="QCG185" s="82"/>
      <c r="QCH185" s="82"/>
      <c r="QCI185" s="82"/>
      <c r="QCJ185" s="82"/>
      <c r="QCK185" s="82"/>
      <c r="QCL185" s="82"/>
      <c r="QCM185" s="82"/>
      <c r="QCN185" s="82"/>
      <c r="QCO185" s="82"/>
      <c r="QCP185" s="82"/>
      <c r="QCQ185" s="82"/>
      <c r="QCR185" s="82"/>
      <c r="QCS185" s="82"/>
      <c r="QCT185" s="82"/>
      <c r="QCU185" s="82"/>
      <c r="QCV185" s="82"/>
      <c r="QCW185" s="82"/>
      <c r="QCX185" s="82"/>
      <c r="QCY185" s="82"/>
      <c r="QCZ185" s="82"/>
      <c r="QDA185" s="82"/>
      <c r="QDB185" s="82"/>
      <c r="QDC185" s="82"/>
      <c r="QDD185" s="82"/>
      <c r="QDE185" s="82"/>
      <c r="QDF185" s="82"/>
      <c r="QDG185" s="82"/>
      <c r="QDH185" s="82"/>
      <c r="QDI185" s="82"/>
      <c r="QDJ185" s="82"/>
      <c r="QDK185" s="82"/>
      <c r="QDL185" s="82"/>
      <c r="QDM185" s="82"/>
      <c r="QDN185" s="82"/>
      <c r="QDO185" s="82"/>
      <c r="QDP185" s="82"/>
      <c r="QDQ185" s="82"/>
      <c r="QDR185" s="82"/>
      <c r="QDS185" s="82"/>
      <c r="QDT185" s="82"/>
      <c r="QDU185" s="82"/>
      <c r="QDV185" s="82"/>
      <c r="QDW185" s="82"/>
      <c r="QDX185" s="82"/>
      <c r="QDY185" s="82"/>
      <c r="QDZ185" s="82"/>
      <c r="QEA185" s="82"/>
      <c r="QEB185" s="82"/>
      <c r="QEC185" s="82"/>
      <c r="QED185" s="82"/>
      <c r="QEE185" s="82"/>
      <c r="QEF185" s="82"/>
      <c r="QEG185" s="82"/>
      <c r="QEH185" s="82"/>
      <c r="QEI185" s="82"/>
      <c r="QEJ185" s="82"/>
      <c r="QEK185" s="82"/>
      <c r="QEL185" s="82"/>
      <c r="QEM185" s="82"/>
      <c r="QEN185" s="82"/>
      <c r="QEO185" s="82"/>
      <c r="QEP185" s="82"/>
      <c r="QEQ185" s="82"/>
      <c r="QER185" s="82"/>
      <c r="QES185" s="82"/>
      <c r="QET185" s="82"/>
      <c r="QEU185" s="82"/>
      <c r="QEV185" s="82"/>
      <c r="QEW185" s="82"/>
      <c r="QEX185" s="82"/>
      <c r="QEY185" s="82"/>
      <c r="QEZ185" s="82"/>
      <c r="QFA185" s="82"/>
      <c r="QFB185" s="82"/>
      <c r="QFC185" s="82"/>
      <c r="QFD185" s="82"/>
      <c r="QFE185" s="82"/>
      <c r="QFF185" s="82"/>
      <c r="QFG185" s="82"/>
      <c r="QFH185" s="82"/>
      <c r="QFI185" s="82"/>
      <c r="QFJ185" s="82"/>
      <c r="QFK185" s="82"/>
      <c r="QFL185" s="82"/>
      <c r="QFM185" s="82"/>
      <c r="QFN185" s="82"/>
      <c r="QFO185" s="82"/>
      <c r="QFP185" s="82"/>
      <c r="QFQ185" s="82"/>
      <c r="QFR185" s="82"/>
      <c r="QFS185" s="82"/>
      <c r="QFT185" s="82"/>
      <c r="QFU185" s="82"/>
      <c r="QFV185" s="82"/>
      <c r="QFW185" s="82"/>
      <c r="QFX185" s="82"/>
      <c r="QFY185" s="82"/>
      <c r="QFZ185" s="82"/>
      <c r="QGA185" s="82"/>
      <c r="QGB185" s="82"/>
      <c r="QGC185" s="82"/>
      <c r="QGD185" s="82"/>
      <c r="QGE185" s="82"/>
      <c r="QGF185" s="82"/>
      <c r="QGG185" s="82"/>
      <c r="QGH185" s="82"/>
      <c r="QGI185" s="82"/>
      <c r="QGJ185" s="82"/>
      <c r="QGK185" s="82"/>
      <c r="QGL185" s="82"/>
      <c r="QGM185" s="82"/>
      <c r="QGN185" s="82"/>
      <c r="QGO185" s="82"/>
      <c r="QGP185" s="82"/>
      <c r="QGQ185" s="82"/>
      <c r="QGR185" s="82"/>
      <c r="QGS185" s="82"/>
      <c r="QGT185" s="82"/>
      <c r="QGU185" s="82"/>
      <c r="QGV185" s="82"/>
      <c r="QGW185" s="82"/>
      <c r="QGX185" s="82"/>
      <c r="QGY185" s="82"/>
      <c r="QGZ185" s="82"/>
      <c r="QHA185" s="82"/>
      <c r="QHB185" s="82"/>
      <c r="QHC185" s="82"/>
      <c r="QHD185" s="82"/>
      <c r="QHE185" s="82"/>
      <c r="QHF185" s="82"/>
      <c r="QHG185" s="82"/>
      <c r="QHH185" s="82"/>
      <c r="QHI185" s="82"/>
      <c r="QHJ185" s="82"/>
      <c r="QHK185" s="82"/>
      <c r="QHL185" s="82"/>
      <c r="QHM185" s="82"/>
      <c r="QHN185" s="82"/>
      <c r="QHO185" s="82"/>
      <c r="QHP185" s="82"/>
      <c r="QHQ185" s="82"/>
      <c r="QHR185" s="82"/>
      <c r="QHS185" s="82"/>
      <c r="QHT185" s="82"/>
      <c r="QHU185" s="82"/>
      <c r="QHV185" s="82"/>
      <c r="QHW185" s="82"/>
      <c r="QHX185" s="82"/>
      <c r="QHY185" s="82"/>
      <c r="QHZ185" s="82"/>
      <c r="QIA185" s="82"/>
      <c r="QIB185" s="82"/>
      <c r="QIC185" s="82"/>
      <c r="QID185" s="82"/>
      <c r="QIE185" s="82"/>
      <c r="QIF185" s="82"/>
      <c r="QIG185" s="82"/>
      <c r="QIH185" s="82"/>
      <c r="QII185" s="82"/>
      <c r="QIJ185" s="82"/>
      <c r="QIK185" s="82"/>
      <c r="QIL185" s="82"/>
      <c r="QIM185" s="82"/>
      <c r="QIN185" s="82"/>
      <c r="QIO185" s="82"/>
      <c r="QIP185" s="82"/>
      <c r="QIQ185" s="82"/>
      <c r="QIR185" s="82"/>
      <c r="QIS185" s="82"/>
      <c r="QIT185" s="82"/>
      <c r="QIU185" s="82"/>
      <c r="QIV185" s="82"/>
      <c r="QIW185" s="82"/>
      <c r="QIX185" s="82"/>
      <c r="QIY185" s="82"/>
      <c r="QIZ185" s="82"/>
      <c r="QJA185" s="82"/>
      <c r="QJB185" s="82"/>
      <c r="QJC185" s="82"/>
      <c r="QJD185" s="82"/>
      <c r="QJE185" s="82"/>
      <c r="QJF185" s="82"/>
      <c r="QJG185" s="82"/>
      <c r="QJH185" s="82"/>
      <c r="QJI185" s="82"/>
      <c r="QJJ185" s="82"/>
      <c r="QJK185" s="82"/>
      <c r="QJL185" s="82"/>
      <c r="QJM185" s="82"/>
      <c r="QJN185" s="82"/>
      <c r="QJO185" s="82"/>
      <c r="QJP185" s="82"/>
      <c r="QJQ185" s="82"/>
      <c r="QJR185" s="82"/>
      <c r="QJS185" s="82"/>
      <c r="QJT185" s="82"/>
      <c r="QJU185" s="82"/>
      <c r="QJV185" s="82"/>
      <c r="QJW185" s="82"/>
      <c r="QJX185" s="82"/>
      <c r="QJY185" s="82"/>
      <c r="QJZ185" s="82"/>
      <c r="QKA185" s="82"/>
      <c r="QKB185" s="82"/>
      <c r="QKC185" s="82"/>
      <c r="QKD185" s="82"/>
      <c r="QKE185" s="82"/>
      <c r="QKF185" s="82"/>
      <c r="QKG185" s="82"/>
      <c r="QKH185" s="82"/>
      <c r="QKI185" s="82"/>
      <c r="QKJ185" s="82"/>
      <c r="QKK185" s="82"/>
      <c r="QKL185" s="82"/>
      <c r="QKM185" s="82"/>
      <c r="QKN185" s="82"/>
      <c r="QKO185" s="82"/>
      <c r="QKP185" s="82"/>
      <c r="QKQ185" s="82"/>
      <c r="QKR185" s="82"/>
      <c r="QKS185" s="82"/>
      <c r="QKT185" s="82"/>
      <c r="QKU185" s="82"/>
      <c r="QKV185" s="82"/>
      <c r="QKW185" s="82"/>
      <c r="QKX185" s="82"/>
      <c r="QKY185" s="82"/>
      <c r="QKZ185" s="82"/>
      <c r="QLA185" s="82"/>
      <c r="QLB185" s="82"/>
      <c r="QLC185" s="82"/>
      <c r="QLD185" s="82"/>
      <c r="QLE185" s="82"/>
      <c r="QLF185" s="82"/>
      <c r="QLG185" s="82"/>
      <c r="QLH185" s="82"/>
      <c r="QLI185" s="82"/>
      <c r="QLJ185" s="82"/>
      <c r="QLK185" s="82"/>
      <c r="QLL185" s="82"/>
      <c r="QLM185" s="82"/>
      <c r="QLN185" s="82"/>
      <c r="QLO185" s="82"/>
      <c r="QLP185" s="82"/>
      <c r="QLQ185" s="82"/>
      <c r="QLR185" s="82"/>
      <c r="QLS185" s="82"/>
      <c r="QLT185" s="82"/>
      <c r="QLU185" s="82"/>
      <c r="QLV185" s="82"/>
      <c r="QLW185" s="82"/>
      <c r="QLX185" s="82"/>
      <c r="QLY185" s="82"/>
      <c r="QLZ185" s="82"/>
      <c r="QMA185" s="82"/>
      <c r="QMB185" s="82"/>
      <c r="QMC185" s="82"/>
      <c r="QMD185" s="82"/>
      <c r="QME185" s="82"/>
      <c r="QMF185" s="82"/>
      <c r="QMG185" s="82"/>
      <c r="QMH185" s="82"/>
      <c r="QMI185" s="82"/>
      <c r="QMJ185" s="82"/>
      <c r="QMK185" s="82"/>
      <c r="QML185" s="82"/>
      <c r="QMM185" s="82"/>
      <c r="QMN185" s="82"/>
      <c r="QMO185" s="82"/>
      <c r="QMP185" s="82"/>
      <c r="QMQ185" s="82"/>
      <c r="QMR185" s="82"/>
      <c r="QMS185" s="82"/>
      <c r="QMT185" s="82"/>
      <c r="QMU185" s="82"/>
      <c r="QMV185" s="82"/>
      <c r="QMW185" s="82"/>
      <c r="QMX185" s="82"/>
      <c r="QMY185" s="82"/>
      <c r="QMZ185" s="82"/>
      <c r="QNA185" s="82"/>
      <c r="QNB185" s="82"/>
      <c r="QNC185" s="82"/>
      <c r="QND185" s="82"/>
      <c r="QNE185" s="82"/>
      <c r="QNF185" s="82"/>
      <c r="QNG185" s="82"/>
      <c r="QNH185" s="82"/>
      <c r="QNI185" s="82"/>
      <c r="QNJ185" s="82"/>
      <c r="QNK185" s="82"/>
      <c r="QNL185" s="82"/>
      <c r="QNM185" s="82"/>
      <c r="QNN185" s="82"/>
      <c r="QNO185" s="82"/>
      <c r="QNP185" s="82"/>
      <c r="QNQ185" s="82"/>
      <c r="QNR185" s="82"/>
      <c r="QNS185" s="82"/>
      <c r="QNT185" s="82"/>
      <c r="QNU185" s="82"/>
      <c r="QNV185" s="82"/>
      <c r="QNW185" s="82"/>
      <c r="QNX185" s="82"/>
      <c r="QNY185" s="82"/>
      <c r="QNZ185" s="82"/>
      <c r="QOA185" s="82"/>
      <c r="QOB185" s="82"/>
      <c r="QOC185" s="82"/>
      <c r="QOD185" s="82"/>
      <c r="QOE185" s="82"/>
      <c r="QOF185" s="82"/>
      <c r="QOG185" s="82"/>
      <c r="QOH185" s="82"/>
      <c r="QOI185" s="82"/>
      <c r="QOJ185" s="82"/>
      <c r="QOK185" s="82"/>
      <c r="QOL185" s="82"/>
      <c r="QOM185" s="82"/>
      <c r="QON185" s="82"/>
      <c r="QOO185" s="82"/>
      <c r="QOP185" s="82"/>
      <c r="QOQ185" s="82"/>
      <c r="QOR185" s="82"/>
      <c r="QOS185" s="82"/>
      <c r="QOT185" s="82"/>
      <c r="QOU185" s="82"/>
      <c r="QOV185" s="82"/>
      <c r="QOW185" s="82"/>
      <c r="QOX185" s="82"/>
      <c r="QOY185" s="82"/>
      <c r="QOZ185" s="82"/>
      <c r="QPA185" s="82"/>
      <c r="QPB185" s="82"/>
      <c r="QPC185" s="82"/>
      <c r="QPD185" s="82"/>
      <c r="QPE185" s="82"/>
      <c r="QPF185" s="82"/>
      <c r="QPG185" s="82"/>
      <c r="QPH185" s="82"/>
      <c r="QPI185" s="82"/>
      <c r="QPJ185" s="82"/>
      <c r="QPK185" s="82"/>
      <c r="QPL185" s="82"/>
      <c r="QPM185" s="82"/>
      <c r="QPN185" s="82"/>
      <c r="QPO185" s="82"/>
      <c r="QPP185" s="82"/>
      <c r="QPQ185" s="82"/>
      <c r="QPR185" s="82"/>
      <c r="QPS185" s="82"/>
      <c r="QPT185" s="82"/>
      <c r="QPU185" s="82"/>
      <c r="QPV185" s="82"/>
      <c r="QPW185" s="82"/>
      <c r="QPX185" s="82"/>
      <c r="QPY185" s="82"/>
      <c r="QPZ185" s="82"/>
      <c r="QQA185" s="82"/>
      <c r="QQB185" s="82"/>
      <c r="QQC185" s="82"/>
      <c r="QQD185" s="82"/>
      <c r="QQE185" s="82"/>
      <c r="QQF185" s="82"/>
      <c r="QQG185" s="82"/>
      <c r="QQH185" s="82"/>
      <c r="QQI185" s="82"/>
      <c r="QQJ185" s="82"/>
      <c r="QQK185" s="82"/>
      <c r="QQL185" s="82"/>
      <c r="QQM185" s="82"/>
      <c r="QQN185" s="82"/>
      <c r="QQO185" s="82"/>
      <c r="QQP185" s="82"/>
      <c r="QQQ185" s="82"/>
      <c r="QQR185" s="82"/>
      <c r="QQS185" s="82"/>
      <c r="QQT185" s="82"/>
      <c r="QQU185" s="82"/>
      <c r="QQV185" s="82"/>
      <c r="QQW185" s="82"/>
      <c r="QQX185" s="82"/>
      <c r="QQY185" s="82"/>
      <c r="QQZ185" s="82"/>
      <c r="QRA185" s="82"/>
      <c r="QRB185" s="82"/>
      <c r="QRC185" s="82"/>
      <c r="QRD185" s="82"/>
      <c r="QRE185" s="82"/>
      <c r="QRF185" s="82"/>
      <c r="QRG185" s="82"/>
      <c r="QRH185" s="82"/>
      <c r="QRI185" s="82"/>
      <c r="QRJ185" s="82"/>
      <c r="QRK185" s="82"/>
      <c r="QRL185" s="82"/>
      <c r="QRM185" s="82"/>
      <c r="QRN185" s="82"/>
      <c r="QRO185" s="82"/>
      <c r="QRP185" s="82"/>
      <c r="QRQ185" s="82"/>
      <c r="QRR185" s="82"/>
      <c r="QRS185" s="82"/>
      <c r="QRT185" s="82"/>
      <c r="QRU185" s="82"/>
      <c r="QRV185" s="82"/>
      <c r="QRW185" s="82"/>
      <c r="QRX185" s="82"/>
      <c r="QRY185" s="82"/>
      <c r="QRZ185" s="82"/>
      <c r="QSA185" s="82"/>
      <c r="QSB185" s="82"/>
      <c r="QSC185" s="82"/>
      <c r="QSD185" s="82"/>
      <c r="QSE185" s="82"/>
      <c r="QSF185" s="82"/>
      <c r="QSG185" s="82"/>
      <c r="QSH185" s="82"/>
      <c r="QSI185" s="82"/>
      <c r="QSJ185" s="82"/>
      <c r="QSK185" s="82"/>
      <c r="QSL185" s="82"/>
      <c r="QSM185" s="82"/>
      <c r="QSN185" s="82"/>
      <c r="QSO185" s="82"/>
      <c r="QSP185" s="82"/>
      <c r="QSQ185" s="82"/>
      <c r="QSR185" s="82"/>
      <c r="QSS185" s="82"/>
      <c r="QST185" s="82"/>
      <c r="QSU185" s="82"/>
      <c r="QSV185" s="82"/>
      <c r="QSW185" s="82"/>
      <c r="QSX185" s="82"/>
      <c r="QSY185" s="82"/>
      <c r="QSZ185" s="82"/>
      <c r="QTA185" s="82"/>
      <c r="QTB185" s="82"/>
      <c r="QTC185" s="82"/>
      <c r="QTD185" s="82"/>
      <c r="QTE185" s="82"/>
      <c r="QTF185" s="82"/>
      <c r="QTG185" s="82"/>
      <c r="QTH185" s="82"/>
      <c r="QTI185" s="82"/>
      <c r="QTJ185" s="82"/>
      <c r="QTK185" s="82"/>
      <c r="QTL185" s="82"/>
      <c r="QTM185" s="82"/>
      <c r="QTN185" s="82"/>
      <c r="QTO185" s="82"/>
      <c r="QTP185" s="82"/>
      <c r="QTQ185" s="82"/>
      <c r="QTR185" s="82"/>
      <c r="QTS185" s="82"/>
      <c r="QTT185" s="82"/>
      <c r="QTU185" s="82"/>
      <c r="QTV185" s="82"/>
      <c r="QTW185" s="82"/>
      <c r="QTX185" s="82"/>
      <c r="QTY185" s="82"/>
      <c r="QTZ185" s="82"/>
      <c r="QUA185" s="82"/>
      <c r="QUB185" s="82"/>
      <c r="QUC185" s="82"/>
      <c r="QUD185" s="82"/>
      <c r="QUE185" s="82"/>
      <c r="QUF185" s="82"/>
      <c r="QUG185" s="82"/>
      <c r="QUH185" s="82"/>
      <c r="QUI185" s="82"/>
      <c r="QUJ185" s="82"/>
      <c r="QUK185" s="82"/>
      <c r="QUL185" s="82"/>
      <c r="QUM185" s="82"/>
      <c r="QUN185" s="82"/>
      <c r="QUO185" s="82"/>
      <c r="QUP185" s="82"/>
      <c r="QUQ185" s="82"/>
      <c r="QUR185" s="82"/>
      <c r="QUS185" s="82"/>
      <c r="QUT185" s="82"/>
      <c r="QUU185" s="82"/>
      <c r="QUV185" s="82"/>
      <c r="QUW185" s="82"/>
      <c r="QUX185" s="82"/>
      <c r="QUY185" s="82"/>
      <c r="QUZ185" s="82"/>
      <c r="QVA185" s="82"/>
      <c r="QVB185" s="82"/>
      <c r="QVC185" s="82"/>
      <c r="QVD185" s="82"/>
      <c r="QVE185" s="82"/>
      <c r="QVF185" s="82"/>
      <c r="QVG185" s="82"/>
      <c r="QVH185" s="82"/>
      <c r="QVI185" s="82"/>
      <c r="QVJ185" s="82"/>
      <c r="QVK185" s="82"/>
      <c r="QVL185" s="82"/>
      <c r="QVM185" s="82"/>
      <c r="QVN185" s="82"/>
      <c r="QVO185" s="82"/>
      <c r="QVP185" s="82"/>
      <c r="QVQ185" s="82"/>
      <c r="QVR185" s="82"/>
      <c r="QVS185" s="82"/>
      <c r="QVT185" s="82"/>
      <c r="QVU185" s="82"/>
      <c r="QVV185" s="82"/>
      <c r="QVW185" s="82"/>
      <c r="QVX185" s="82"/>
      <c r="QVY185" s="82"/>
      <c r="QVZ185" s="82"/>
      <c r="QWA185" s="82"/>
      <c r="QWB185" s="82"/>
      <c r="QWC185" s="82"/>
      <c r="QWD185" s="82"/>
      <c r="QWE185" s="82"/>
      <c r="QWF185" s="82"/>
      <c r="QWG185" s="82"/>
      <c r="QWH185" s="82"/>
      <c r="QWI185" s="82"/>
      <c r="QWJ185" s="82"/>
      <c r="QWK185" s="82"/>
      <c r="QWL185" s="82"/>
      <c r="QWM185" s="82"/>
      <c r="QWN185" s="82"/>
      <c r="QWO185" s="82"/>
      <c r="QWP185" s="82"/>
      <c r="QWQ185" s="82"/>
      <c r="QWR185" s="82"/>
      <c r="QWS185" s="82"/>
      <c r="QWT185" s="82"/>
      <c r="QWU185" s="82"/>
      <c r="QWV185" s="82"/>
      <c r="QWW185" s="82"/>
      <c r="QWX185" s="82"/>
      <c r="QWY185" s="82"/>
      <c r="QWZ185" s="82"/>
      <c r="QXA185" s="82"/>
      <c r="QXB185" s="82"/>
      <c r="QXC185" s="82"/>
      <c r="QXD185" s="82"/>
      <c r="QXE185" s="82"/>
      <c r="QXF185" s="82"/>
      <c r="QXG185" s="82"/>
      <c r="QXH185" s="82"/>
      <c r="QXI185" s="82"/>
      <c r="QXJ185" s="82"/>
      <c r="QXK185" s="82"/>
      <c r="QXL185" s="82"/>
      <c r="QXM185" s="82"/>
      <c r="QXN185" s="82"/>
      <c r="QXO185" s="82"/>
      <c r="QXP185" s="82"/>
      <c r="QXQ185" s="82"/>
      <c r="QXR185" s="82"/>
      <c r="QXS185" s="82"/>
      <c r="QXT185" s="82"/>
      <c r="QXU185" s="82"/>
      <c r="QXV185" s="82"/>
      <c r="QXW185" s="82"/>
      <c r="QXX185" s="82"/>
      <c r="QXY185" s="82"/>
      <c r="QXZ185" s="82"/>
      <c r="QYA185" s="82"/>
      <c r="QYB185" s="82"/>
      <c r="QYC185" s="82"/>
      <c r="QYD185" s="82"/>
      <c r="QYE185" s="82"/>
      <c r="QYF185" s="82"/>
      <c r="QYG185" s="82"/>
      <c r="QYH185" s="82"/>
      <c r="QYI185" s="82"/>
      <c r="QYJ185" s="82"/>
      <c r="QYK185" s="82"/>
      <c r="QYL185" s="82"/>
      <c r="QYM185" s="82"/>
      <c r="QYN185" s="82"/>
      <c r="QYO185" s="82"/>
      <c r="QYP185" s="82"/>
      <c r="QYQ185" s="82"/>
      <c r="QYR185" s="82"/>
      <c r="QYS185" s="82"/>
      <c r="QYT185" s="82"/>
      <c r="QYU185" s="82"/>
      <c r="QYV185" s="82"/>
      <c r="QYW185" s="82"/>
      <c r="QYX185" s="82"/>
      <c r="QYY185" s="82"/>
      <c r="QYZ185" s="82"/>
      <c r="QZA185" s="82"/>
      <c r="QZB185" s="82"/>
      <c r="QZC185" s="82"/>
      <c r="QZD185" s="82"/>
      <c r="QZE185" s="82"/>
      <c r="QZF185" s="82"/>
      <c r="QZG185" s="82"/>
      <c r="QZH185" s="82"/>
      <c r="QZI185" s="82"/>
      <c r="QZJ185" s="82"/>
      <c r="QZK185" s="82"/>
      <c r="QZL185" s="82"/>
      <c r="QZM185" s="82"/>
      <c r="QZN185" s="82"/>
      <c r="QZO185" s="82"/>
      <c r="QZP185" s="82"/>
      <c r="QZQ185" s="82"/>
      <c r="QZR185" s="82"/>
      <c r="QZS185" s="82"/>
      <c r="QZT185" s="82"/>
      <c r="QZU185" s="82"/>
      <c r="QZV185" s="82"/>
      <c r="QZW185" s="82"/>
      <c r="QZX185" s="82"/>
      <c r="QZY185" s="82"/>
      <c r="QZZ185" s="82"/>
      <c r="RAA185" s="82"/>
      <c r="RAB185" s="82"/>
      <c r="RAC185" s="82"/>
      <c r="RAD185" s="82"/>
      <c r="RAE185" s="82"/>
      <c r="RAF185" s="82"/>
      <c r="RAG185" s="82"/>
      <c r="RAH185" s="82"/>
      <c r="RAI185" s="82"/>
      <c r="RAJ185" s="82"/>
      <c r="RAK185" s="82"/>
      <c r="RAL185" s="82"/>
      <c r="RAM185" s="82"/>
      <c r="RAN185" s="82"/>
      <c r="RAO185" s="82"/>
      <c r="RAP185" s="82"/>
      <c r="RAQ185" s="82"/>
      <c r="RAR185" s="82"/>
      <c r="RAS185" s="82"/>
      <c r="RAT185" s="82"/>
      <c r="RAU185" s="82"/>
      <c r="RAV185" s="82"/>
      <c r="RAW185" s="82"/>
      <c r="RAX185" s="82"/>
      <c r="RAY185" s="82"/>
      <c r="RAZ185" s="82"/>
      <c r="RBA185" s="82"/>
      <c r="RBB185" s="82"/>
      <c r="RBC185" s="82"/>
      <c r="RBD185" s="82"/>
      <c r="RBE185" s="82"/>
      <c r="RBF185" s="82"/>
      <c r="RBG185" s="82"/>
      <c r="RBH185" s="82"/>
      <c r="RBI185" s="82"/>
      <c r="RBJ185" s="82"/>
      <c r="RBK185" s="82"/>
      <c r="RBL185" s="82"/>
      <c r="RBM185" s="82"/>
      <c r="RBN185" s="82"/>
      <c r="RBO185" s="82"/>
      <c r="RBP185" s="82"/>
      <c r="RBQ185" s="82"/>
      <c r="RBR185" s="82"/>
      <c r="RBS185" s="82"/>
      <c r="RBT185" s="82"/>
      <c r="RBU185" s="82"/>
      <c r="RBV185" s="82"/>
      <c r="RBW185" s="82"/>
      <c r="RBX185" s="82"/>
      <c r="RBY185" s="82"/>
      <c r="RBZ185" s="82"/>
      <c r="RCA185" s="82"/>
      <c r="RCB185" s="82"/>
      <c r="RCC185" s="82"/>
      <c r="RCD185" s="82"/>
      <c r="RCE185" s="82"/>
      <c r="RCF185" s="82"/>
      <c r="RCG185" s="82"/>
      <c r="RCH185" s="82"/>
      <c r="RCI185" s="82"/>
      <c r="RCJ185" s="82"/>
      <c r="RCK185" s="82"/>
      <c r="RCL185" s="82"/>
      <c r="RCM185" s="82"/>
      <c r="RCN185" s="82"/>
      <c r="RCO185" s="82"/>
      <c r="RCP185" s="82"/>
      <c r="RCQ185" s="82"/>
      <c r="RCR185" s="82"/>
      <c r="RCS185" s="82"/>
      <c r="RCT185" s="82"/>
      <c r="RCU185" s="82"/>
      <c r="RCV185" s="82"/>
      <c r="RCW185" s="82"/>
      <c r="RCX185" s="82"/>
      <c r="RCY185" s="82"/>
      <c r="RCZ185" s="82"/>
      <c r="RDA185" s="82"/>
      <c r="RDB185" s="82"/>
      <c r="RDC185" s="82"/>
      <c r="RDD185" s="82"/>
      <c r="RDE185" s="82"/>
      <c r="RDF185" s="82"/>
      <c r="RDG185" s="82"/>
      <c r="RDH185" s="82"/>
      <c r="RDI185" s="82"/>
      <c r="RDJ185" s="82"/>
      <c r="RDK185" s="82"/>
      <c r="RDL185" s="82"/>
      <c r="RDM185" s="82"/>
      <c r="RDN185" s="82"/>
      <c r="RDO185" s="82"/>
      <c r="RDP185" s="82"/>
      <c r="RDQ185" s="82"/>
      <c r="RDR185" s="82"/>
      <c r="RDS185" s="82"/>
      <c r="RDT185" s="82"/>
      <c r="RDU185" s="82"/>
      <c r="RDV185" s="82"/>
      <c r="RDW185" s="82"/>
      <c r="RDX185" s="82"/>
      <c r="RDY185" s="82"/>
      <c r="RDZ185" s="82"/>
      <c r="REA185" s="82"/>
      <c r="REB185" s="82"/>
      <c r="REC185" s="82"/>
      <c r="RED185" s="82"/>
      <c r="REE185" s="82"/>
      <c r="REF185" s="82"/>
      <c r="REG185" s="82"/>
      <c r="REH185" s="82"/>
      <c r="REI185" s="82"/>
      <c r="REJ185" s="82"/>
      <c r="REK185" s="82"/>
      <c r="REL185" s="82"/>
      <c r="REM185" s="82"/>
      <c r="REN185" s="82"/>
      <c r="REO185" s="82"/>
      <c r="REP185" s="82"/>
      <c r="REQ185" s="82"/>
      <c r="RER185" s="82"/>
      <c r="RES185" s="82"/>
      <c r="RET185" s="82"/>
      <c r="REU185" s="82"/>
      <c r="REV185" s="82"/>
      <c r="REW185" s="82"/>
      <c r="REX185" s="82"/>
      <c r="REY185" s="82"/>
      <c r="REZ185" s="82"/>
      <c r="RFA185" s="82"/>
      <c r="RFB185" s="82"/>
      <c r="RFC185" s="82"/>
      <c r="RFD185" s="82"/>
      <c r="RFE185" s="82"/>
      <c r="RFF185" s="82"/>
      <c r="RFG185" s="82"/>
      <c r="RFH185" s="82"/>
      <c r="RFI185" s="82"/>
      <c r="RFJ185" s="82"/>
      <c r="RFK185" s="82"/>
      <c r="RFL185" s="82"/>
      <c r="RFM185" s="82"/>
      <c r="RFN185" s="82"/>
      <c r="RFO185" s="82"/>
      <c r="RFP185" s="82"/>
      <c r="RFQ185" s="82"/>
      <c r="RFR185" s="82"/>
      <c r="RFS185" s="82"/>
      <c r="RFT185" s="82"/>
      <c r="RFU185" s="82"/>
      <c r="RFV185" s="82"/>
      <c r="RFW185" s="82"/>
      <c r="RFX185" s="82"/>
      <c r="RFY185" s="82"/>
      <c r="RFZ185" s="82"/>
      <c r="RGA185" s="82"/>
      <c r="RGB185" s="82"/>
      <c r="RGC185" s="82"/>
      <c r="RGD185" s="82"/>
      <c r="RGE185" s="82"/>
      <c r="RGF185" s="82"/>
      <c r="RGG185" s="82"/>
      <c r="RGH185" s="82"/>
      <c r="RGI185" s="82"/>
      <c r="RGJ185" s="82"/>
      <c r="RGK185" s="82"/>
      <c r="RGL185" s="82"/>
      <c r="RGM185" s="82"/>
      <c r="RGN185" s="82"/>
      <c r="RGO185" s="82"/>
      <c r="RGP185" s="82"/>
      <c r="RGQ185" s="82"/>
      <c r="RGR185" s="82"/>
      <c r="RGS185" s="82"/>
      <c r="RGT185" s="82"/>
      <c r="RGU185" s="82"/>
      <c r="RGV185" s="82"/>
      <c r="RGW185" s="82"/>
      <c r="RGX185" s="82"/>
      <c r="RGY185" s="82"/>
      <c r="RGZ185" s="82"/>
      <c r="RHA185" s="82"/>
      <c r="RHB185" s="82"/>
      <c r="RHC185" s="82"/>
      <c r="RHD185" s="82"/>
      <c r="RHE185" s="82"/>
      <c r="RHF185" s="82"/>
      <c r="RHG185" s="82"/>
      <c r="RHH185" s="82"/>
      <c r="RHI185" s="82"/>
      <c r="RHJ185" s="82"/>
      <c r="RHK185" s="82"/>
      <c r="RHL185" s="82"/>
      <c r="RHM185" s="82"/>
      <c r="RHN185" s="82"/>
      <c r="RHO185" s="82"/>
      <c r="RHP185" s="82"/>
      <c r="RHQ185" s="82"/>
      <c r="RHR185" s="82"/>
      <c r="RHS185" s="82"/>
      <c r="RHT185" s="82"/>
      <c r="RHU185" s="82"/>
      <c r="RHV185" s="82"/>
      <c r="RHW185" s="82"/>
      <c r="RHX185" s="82"/>
      <c r="RHY185" s="82"/>
      <c r="RHZ185" s="82"/>
      <c r="RIA185" s="82"/>
      <c r="RIB185" s="82"/>
      <c r="RIC185" s="82"/>
      <c r="RID185" s="82"/>
      <c r="RIE185" s="82"/>
      <c r="RIF185" s="82"/>
      <c r="RIG185" s="82"/>
      <c r="RIH185" s="82"/>
      <c r="RII185" s="82"/>
      <c r="RIJ185" s="82"/>
      <c r="RIK185" s="82"/>
      <c r="RIL185" s="82"/>
      <c r="RIM185" s="82"/>
      <c r="RIN185" s="82"/>
      <c r="RIO185" s="82"/>
      <c r="RIP185" s="82"/>
      <c r="RIQ185" s="82"/>
      <c r="RIR185" s="82"/>
      <c r="RIS185" s="82"/>
      <c r="RIT185" s="82"/>
      <c r="RIU185" s="82"/>
      <c r="RIV185" s="82"/>
      <c r="RIW185" s="82"/>
      <c r="RIX185" s="82"/>
      <c r="RIY185" s="82"/>
      <c r="RIZ185" s="82"/>
      <c r="RJA185" s="82"/>
      <c r="RJB185" s="82"/>
      <c r="RJC185" s="82"/>
      <c r="RJD185" s="82"/>
      <c r="RJE185" s="82"/>
      <c r="RJF185" s="82"/>
      <c r="RJG185" s="82"/>
      <c r="RJH185" s="82"/>
      <c r="RJI185" s="82"/>
      <c r="RJJ185" s="82"/>
      <c r="RJK185" s="82"/>
      <c r="RJL185" s="82"/>
      <c r="RJM185" s="82"/>
      <c r="RJN185" s="82"/>
      <c r="RJO185" s="82"/>
      <c r="RJP185" s="82"/>
      <c r="RJQ185" s="82"/>
      <c r="RJR185" s="82"/>
      <c r="RJS185" s="82"/>
      <c r="RJT185" s="82"/>
      <c r="RJU185" s="82"/>
      <c r="RJV185" s="82"/>
      <c r="RJW185" s="82"/>
      <c r="RJX185" s="82"/>
      <c r="RJY185" s="82"/>
      <c r="RJZ185" s="82"/>
      <c r="RKA185" s="82"/>
      <c r="RKB185" s="82"/>
      <c r="RKC185" s="82"/>
      <c r="RKD185" s="82"/>
      <c r="RKE185" s="82"/>
      <c r="RKF185" s="82"/>
      <c r="RKG185" s="82"/>
      <c r="RKH185" s="82"/>
      <c r="RKI185" s="82"/>
      <c r="RKJ185" s="82"/>
      <c r="RKK185" s="82"/>
      <c r="RKL185" s="82"/>
      <c r="RKM185" s="82"/>
      <c r="RKN185" s="82"/>
      <c r="RKO185" s="82"/>
      <c r="RKP185" s="82"/>
      <c r="RKQ185" s="82"/>
      <c r="RKR185" s="82"/>
      <c r="RKS185" s="82"/>
      <c r="RKT185" s="82"/>
      <c r="RKU185" s="82"/>
      <c r="RKV185" s="82"/>
      <c r="RKW185" s="82"/>
      <c r="RKX185" s="82"/>
      <c r="RKY185" s="82"/>
      <c r="RKZ185" s="82"/>
      <c r="RLA185" s="82"/>
      <c r="RLB185" s="82"/>
      <c r="RLC185" s="82"/>
      <c r="RLD185" s="82"/>
      <c r="RLE185" s="82"/>
      <c r="RLF185" s="82"/>
      <c r="RLG185" s="82"/>
      <c r="RLH185" s="82"/>
      <c r="RLI185" s="82"/>
      <c r="RLJ185" s="82"/>
      <c r="RLK185" s="82"/>
      <c r="RLL185" s="82"/>
      <c r="RLM185" s="82"/>
      <c r="RLN185" s="82"/>
      <c r="RLO185" s="82"/>
      <c r="RLP185" s="82"/>
      <c r="RLQ185" s="82"/>
      <c r="RLR185" s="82"/>
      <c r="RLS185" s="82"/>
      <c r="RLT185" s="82"/>
      <c r="RLU185" s="82"/>
      <c r="RLV185" s="82"/>
      <c r="RLW185" s="82"/>
      <c r="RLX185" s="82"/>
      <c r="RLY185" s="82"/>
      <c r="RLZ185" s="82"/>
      <c r="RMA185" s="82"/>
      <c r="RMB185" s="82"/>
      <c r="RMC185" s="82"/>
      <c r="RMD185" s="82"/>
      <c r="RME185" s="82"/>
      <c r="RMF185" s="82"/>
      <c r="RMG185" s="82"/>
      <c r="RMH185" s="82"/>
      <c r="RMI185" s="82"/>
      <c r="RMJ185" s="82"/>
      <c r="RMK185" s="82"/>
      <c r="RML185" s="82"/>
      <c r="RMM185" s="82"/>
      <c r="RMN185" s="82"/>
      <c r="RMO185" s="82"/>
      <c r="RMP185" s="82"/>
      <c r="RMQ185" s="82"/>
      <c r="RMR185" s="82"/>
      <c r="RMS185" s="82"/>
      <c r="RMT185" s="82"/>
      <c r="RMU185" s="82"/>
      <c r="RMV185" s="82"/>
      <c r="RMW185" s="82"/>
      <c r="RMX185" s="82"/>
      <c r="RMY185" s="82"/>
      <c r="RMZ185" s="82"/>
      <c r="RNA185" s="82"/>
      <c r="RNB185" s="82"/>
      <c r="RNC185" s="82"/>
      <c r="RND185" s="82"/>
      <c r="RNE185" s="82"/>
      <c r="RNF185" s="82"/>
      <c r="RNG185" s="82"/>
      <c r="RNH185" s="82"/>
      <c r="RNI185" s="82"/>
      <c r="RNJ185" s="82"/>
      <c r="RNK185" s="82"/>
      <c r="RNL185" s="82"/>
      <c r="RNM185" s="82"/>
      <c r="RNN185" s="82"/>
      <c r="RNO185" s="82"/>
      <c r="RNP185" s="82"/>
      <c r="RNQ185" s="82"/>
      <c r="RNR185" s="82"/>
      <c r="RNS185" s="82"/>
      <c r="RNT185" s="82"/>
      <c r="RNU185" s="82"/>
      <c r="RNV185" s="82"/>
      <c r="RNW185" s="82"/>
      <c r="RNX185" s="82"/>
      <c r="RNY185" s="82"/>
      <c r="RNZ185" s="82"/>
      <c r="ROA185" s="82"/>
      <c r="ROB185" s="82"/>
      <c r="ROC185" s="82"/>
      <c r="ROD185" s="82"/>
      <c r="ROE185" s="82"/>
      <c r="ROF185" s="82"/>
      <c r="ROG185" s="82"/>
      <c r="ROH185" s="82"/>
      <c r="ROI185" s="82"/>
      <c r="ROJ185" s="82"/>
      <c r="ROK185" s="82"/>
      <c r="ROL185" s="82"/>
      <c r="ROM185" s="82"/>
      <c r="RON185" s="82"/>
      <c r="ROO185" s="82"/>
      <c r="ROP185" s="82"/>
      <c r="ROQ185" s="82"/>
      <c r="ROR185" s="82"/>
      <c r="ROS185" s="82"/>
      <c r="ROT185" s="82"/>
      <c r="ROU185" s="82"/>
      <c r="ROV185" s="82"/>
      <c r="ROW185" s="82"/>
      <c r="ROX185" s="82"/>
      <c r="ROY185" s="82"/>
      <c r="ROZ185" s="82"/>
      <c r="RPA185" s="82"/>
      <c r="RPB185" s="82"/>
      <c r="RPC185" s="82"/>
      <c r="RPD185" s="82"/>
      <c r="RPE185" s="82"/>
      <c r="RPF185" s="82"/>
      <c r="RPG185" s="82"/>
      <c r="RPH185" s="82"/>
      <c r="RPI185" s="82"/>
      <c r="RPJ185" s="82"/>
      <c r="RPK185" s="82"/>
      <c r="RPL185" s="82"/>
      <c r="RPM185" s="82"/>
      <c r="RPN185" s="82"/>
      <c r="RPO185" s="82"/>
      <c r="RPP185" s="82"/>
      <c r="RPQ185" s="82"/>
      <c r="RPR185" s="82"/>
      <c r="RPS185" s="82"/>
      <c r="RPT185" s="82"/>
      <c r="RPU185" s="82"/>
      <c r="RPV185" s="82"/>
      <c r="RPW185" s="82"/>
      <c r="RPX185" s="82"/>
      <c r="RPY185" s="82"/>
      <c r="RPZ185" s="82"/>
      <c r="RQA185" s="82"/>
      <c r="RQB185" s="82"/>
      <c r="RQC185" s="82"/>
      <c r="RQD185" s="82"/>
      <c r="RQE185" s="82"/>
      <c r="RQF185" s="82"/>
      <c r="RQG185" s="82"/>
      <c r="RQH185" s="82"/>
      <c r="RQI185" s="82"/>
      <c r="RQJ185" s="82"/>
      <c r="RQK185" s="82"/>
      <c r="RQL185" s="82"/>
      <c r="RQM185" s="82"/>
      <c r="RQN185" s="82"/>
      <c r="RQO185" s="82"/>
      <c r="RQP185" s="82"/>
      <c r="RQQ185" s="82"/>
      <c r="RQR185" s="82"/>
      <c r="RQS185" s="82"/>
      <c r="RQT185" s="82"/>
      <c r="RQU185" s="82"/>
      <c r="RQV185" s="82"/>
      <c r="RQW185" s="82"/>
      <c r="RQX185" s="82"/>
      <c r="RQY185" s="82"/>
      <c r="RQZ185" s="82"/>
      <c r="RRA185" s="82"/>
      <c r="RRB185" s="82"/>
      <c r="RRC185" s="82"/>
      <c r="RRD185" s="82"/>
      <c r="RRE185" s="82"/>
      <c r="RRF185" s="82"/>
      <c r="RRG185" s="82"/>
      <c r="RRH185" s="82"/>
      <c r="RRI185" s="82"/>
      <c r="RRJ185" s="82"/>
      <c r="RRK185" s="82"/>
      <c r="RRL185" s="82"/>
      <c r="RRM185" s="82"/>
      <c r="RRN185" s="82"/>
      <c r="RRO185" s="82"/>
      <c r="RRP185" s="82"/>
      <c r="RRQ185" s="82"/>
      <c r="RRR185" s="82"/>
      <c r="RRS185" s="82"/>
      <c r="RRT185" s="82"/>
      <c r="RRU185" s="82"/>
      <c r="RRV185" s="82"/>
      <c r="RRW185" s="82"/>
      <c r="RRX185" s="82"/>
      <c r="RRY185" s="82"/>
      <c r="RRZ185" s="82"/>
      <c r="RSA185" s="82"/>
      <c r="RSB185" s="82"/>
      <c r="RSC185" s="82"/>
      <c r="RSD185" s="82"/>
      <c r="RSE185" s="82"/>
      <c r="RSF185" s="82"/>
      <c r="RSG185" s="82"/>
      <c r="RSH185" s="82"/>
      <c r="RSI185" s="82"/>
      <c r="RSJ185" s="82"/>
      <c r="RSK185" s="82"/>
      <c r="RSL185" s="82"/>
      <c r="RSM185" s="82"/>
      <c r="RSN185" s="82"/>
      <c r="RSO185" s="82"/>
      <c r="RSP185" s="82"/>
      <c r="RSQ185" s="82"/>
      <c r="RSR185" s="82"/>
      <c r="RSS185" s="82"/>
      <c r="RST185" s="82"/>
      <c r="RSU185" s="82"/>
      <c r="RSV185" s="82"/>
      <c r="RSW185" s="82"/>
      <c r="RSX185" s="82"/>
      <c r="RSY185" s="82"/>
      <c r="RSZ185" s="82"/>
      <c r="RTA185" s="82"/>
      <c r="RTB185" s="82"/>
      <c r="RTC185" s="82"/>
      <c r="RTD185" s="82"/>
      <c r="RTE185" s="82"/>
      <c r="RTF185" s="82"/>
      <c r="RTG185" s="82"/>
      <c r="RTH185" s="82"/>
      <c r="RTI185" s="82"/>
      <c r="RTJ185" s="82"/>
      <c r="RTK185" s="82"/>
      <c r="RTL185" s="82"/>
      <c r="RTM185" s="82"/>
      <c r="RTN185" s="82"/>
      <c r="RTO185" s="82"/>
      <c r="RTP185" s="82"/>
      <c r="RTQ185" s="82"/>
      <c r="RTR185" s="82"/>
      <c r="RTS185" s="82"/>
      <c r="RTT185" s="82"/>
      <c r="RTU185" s="82"/>
      <c r="RTV185" s="82"/>
      <c r="RTW185" s="82"/>
      <c r="RTX185" s="82"/>
      <c r="RTY185" s="82"/>
      <c r="RTZ185" s="82"/>
      <c r="RUA185" s="82"/>
      <c r="RUB185" s="82"/>
      <c r="RUC185" s="82"/>
      <c r="RUD185" s="82"/>
      <c r="RUE185" s="82"/>
      <c r="RUF185" s="82"/>
      <c r="RUG185" s="82"/>
      <c r="RUH185" s="82"/>
      <c r="RUI185" s="82"/>
      <c r="RUJ185" s="82"/>
      <c r="RUK185" s="82"/>
      <c r="RUL185" s="82"/>
      <c r="RUM185" s="82"/>
      <c r="RUN185" s="82"/>
      <c r="RUO185" s="82"/>
      <c r="RUP185" s="82"/>
      <c r="RUQ185" s="82"/>
      <c r="RUR185" s="82"/>
      <c r="RUS185" s="82"/>
      <c r="RUT185" s="82"/>
      <c r="RUU185" s="82"/>
      <c r="RUV185" s="82"/>
      <c r="RUW185" s="82"/>
      <c r="RUX185" s="82"/>
      <c r="RUY185" s="82"/>
      <c r="RUZ185" s="82"/>
      <c r="RVA185" s="82"/>
      <c r="RVB185" s="82"/>
      <c r="RVC185" s="82"/>
      <c r="RVD185" s="82"/>
      <c r="RVE185" s="82"/>
      <c r="RVF185" s="82"/>
      <c r="RVG185" s="82"/>
      <c r="RVH185" s="82"/>
      <c r="RVI185" s="82"/>
      <c r="RVJ185" s="82"/>
      <c r="RVK185" s="82"/>
      <c r="RVL185" s="82"/>
      <c r="RVM185" s="82"/>
      <c r="RVN185" s="82"/>
      <c r="RVO185" s="82"/>
      <c r="RVP185" s="82"/>
      <c r="RVQ185" s="82"/>
      <c r="RVR185" s="82"/>
      <c r="RVS185" s="82"/>
      <c r="RVT185" s="82"/>
      <c r="RVU185" s="82"/>
      <c r="RVV185" s="82"/>
      <c r="RVW185" s="82"/>
      <c r="RVX185" s="82"/>
      <c r="RVY185" s="82"/>
      <c r="RVZ185" s="82"/>
      <c r="RWA185" s="82"/>
      <c r="RWB185" s="82"/>
      <c r="RWC185" s="82"/>
      <c r="RWD185" s="82"/>
      <c r="RWE185" s="82"/>
      <c r="RWF185" s="82"/>
      <c r="RWG185" s="82"/>
      <c r="RWH185" s="82"/>
      <c r="RWI185" s="82"/>
      <c r="RWJ185" s="82"/>
      <c r="RWK185" s="82"/>
      <c r="RWL185" s="82"/>
      <c r="RWM185" s="82"/>
      <c r="RWN185" s="82"/>
      <c r="RWO185" s="82"/>
      <c r="RWP185" s="82"/>
      <c r="RWQ185" s="82"/>
      <c r="RWR185" s="82"/>
      <c r="RWS185" s="82"/>
      <c r="RWT185" s="82"/>
      <c r="RWU185" s="82"/>
      <c r="RWV185" s="82"/>
      <c r="RWW185" s="82"/>
      <c r="RWX185" s="82"/>
      <c r="RWY185" s="82"/>
      <c r="RWZ185" s="82"/>
      <c r="RXA185" s="82"/>
      <c r="RXB185" s="82"/>
      <c r="RXC185" s="82"/>
      <c r="RXD185" s="82"/>
      <c r="RXE185" s="82"/>
      <c r="RXF185" s="82"/>
      <c r="RXG185" s="82"/>
      <c r="RXH185" s="82"/>
      <c r="RXI185" s="82"/>
      <c r="RXJ185" s="82"/>
      <c r="RXK185" s="82"/>
      <c r="RXL185" s="82"/>
      <c r="RXM185" s="82"/>
      <c r="RXN185" s="82"/>
      <c r="RXO185" s="82"/>
      <c r="RXP185" s="82"/>
      <c r="RXQ185" s="82"/>
      <c r="RXR185" s="82"/>
      <c r="RXS185" s="82"/>
      <c r="RXT185" s="82"/>
      <c r="RXU185" s="82"/>
      <c r="RXV185" s="82"/>
      <c r="RXW185" s="82"/>
      <c r="RXX185" s="82"/>
      <c r="RXY185" s="82"/>
      <c r="RXZ185" s="82"/>
      <c r="RYA185" s="82"/>
      <c r="RYB185" s="82"/>
      <c r="RYC185" s="82"/>
      <c r="RYD185" s="82"/>
      <c r="RYE185" s="82"/>
      <c r="RYF185" s="82"/>
      <c r="RYG185" s="82"/>
      <c r="RYH185" s="82"/>
      <c r="RYI185" s="82"/>
      <c r="RYJ185" s="82"/>
      <c r="RYK185" s="82"/>
      <c r="RYL185" s="82"/>
      <c r="RYM185" s="82"/>
      <c r="RYN185" s="82"/>
      <c r="RYO185" s="82"/>
      <c r="RYP185" s="82"/>
      <c r="RYQ185" s="82"/>
      <c r="RYR185" s="82"/>
      <c r="RYS185" s="82"/>
      <c r="RYT185" s="82"/>
      <c r="RYU185" s="82"/>
      <c r="RYV185" s="82"/>
      <c r="RYW185" s="82"/>
      <c r="RYX185" s="82"/>
      <c r="RYY185" s="82"/>
      <c r="RYZ185" s="82"/>
      <c r="RZA185" s="82"/>
      <c r="RZB185" s="82"/>
      <c r="RZC185" s="82"/>
      <c r="RZD185" s="82"/>
      <c r="RZE185" s="82"/>
      <c r="RZF185" s="82"/>
      <c r="RZG185" s="82"/>
      <c r="RZH185" s="82"/>
      <c r="RZI185" s="82"/>
      <c r="RZJ185" s="82"/>
      <c r="RZK185" s="82"/>
      <c r="RZL185" s="82"/>
      <c r="RZM185" s="82"/>
      <c r="RZN185" s="82"/>
      <c r="RZO185" s="82"/>
      <c r="RZP185" s="82"/>
      <c r="RZQ185" s="82"/>
      <c r="RZR185" s="82"/>
      <c r="RZS185" s="82"/>
      <c r="RZT185" s="82"/>
      <c r="RZU185" s="82"/>
      <c r="RZV185" s="82"/>
      <c r="RZW185" s="82"/>
      <c r="RZX185" s="82"/>
      <c r="RZY185" s="82"/>
      <c r="RZZ185" s="82"/>
      <c r="SAA185" s="82"/>
      <c r="SAB185" s="82"/>
      <c r="SAC185" s="82"/>
      <c r="SAD185" s="82"/>
      <c r="SAE185" s="82"/>
      <c r="SAF185" s="82"/>
      <c r="SAG185" s="82"/>
      <c r="SAH185" s="82"/>
      <c r="SAI185" s="82"/>
      <c r="SAJ185" s="82"/>
      <c r="SAK185" s="82"/>
      <c r="SAL185" s="82"/>
      <c r="SAM185" s="82"/>
      <c r="SAN185" s="82"/>
      <c r="SAO185" s="82"/>
      <c r="SAP185" s="82"/>
      <c r="SAQ185" s="82"/>
      <c r="SAR185" s="82"/>
      <c r="SAS185" s="82"/>
      <c r="SAT185" s="82"/>
      <c r="SAU185" s="82"/>
      <c r="SAV185" s="82"/>
      <c r="SAW185" s="82"/>
      <c r="SAX185" s="82"/>
      <c r="SAY185" s="82"/>
      <c r="SAZ185" s="82"/>
      <c r="SBA185" s="82"/>
      <c r="SBB185" s="82"/>
      <c r="SBC185" s="82"/>
      <c r="SBD185" s="82"/>
      <c r="SBE185" s="82"/>
      <c r="SBF185" s="82"/>
      <c r="SBG185" s="82"/>
      <c r="SBH185" s="82"/>
      <c r="SBI185" s="82"/>
      <c r="SBJ185" s="82"/>
      <c r="SBK185" s="82"/>
      <c r="SBL185" s="82"/>
      <c r="SBM185" s="82"/>
      <c r="SBN185" s="82"/>
      <c r="SBO185" s="82"/>
      <c r="SBP185" s="82"/>
      <c r="SBQ185" s="82"/>
      <c r="SBR185" s="82"/>
      <c r="SBS185" s="82"/>
      <c r="SBT185" s="82"/>
      <c r="SBU185" s="82"/>
      <c r="SBV185" s="82"/>
      <c r="SBW185" s="82"/>
      <c r="SBX185" s="82"/>
      <c r="SBY185" s="82"/>
      <c r="SBZ185" s="82"/>
      <c r="SCA185" s="82"/>
      <c r="SCB185" s="82"/>
      <c r="SCC185" s="82"/>
      <c r="SCD185" s="82"/>
      <c r="SCE185" s="82"/>
      <c r="SCF185" s="82"/>
      <c r="SCG185" s="82"/>
      <c r="SCH185" s="82"/>
      <c r="SCI185" s="82"/>
      <c r="SCJ185" s="82"/>
      <c r="SCK185" s="82"/>
      <c r="SCL185" s="82"/>
      <c r="SCM185" s="82"/>
      <c r="SCN185" s="82"/>
      <c r="SCO185" s="82"/>
      <c r="SCP185" s="82"/>
      <c r="SCQ185" s="82"/>
      <c r="SCR185" s="82"/>
      <c r="SCS185" s="82"/>
      <c r="SCT185" s="82"/>
      <c r="SCU185" s="82"/>
      <c r="SCV185" s="82"/>
      <c r="SCW185" s="82"/>
      <c r="SCX185" s="82"/>
      <c r="SCY185" s="82"/>
      <c r="SCZ185" s="82"/>
      <c r="SDA185" s="82"/>
      <c r="SDB185" s="82"/>
      <c r="SDC185" s="82"/>
      <c r="SDD185" s="82"/>
      <c r="SDE185" s="82"/>
      <c r="SDF185" s="82"/>
      <c r="SDG185" s="82"/>
      <c r="SDH185" s="82"/>
      <c r="SDI185" s="82"/>
      <c r="SDJ185" s="82"/>
      <c r="SDK185" s="82"/>
      <c r="SDL185" s="82"/>
      <c r="SDM185" s="82"/>
      <c r="SDN185" s="82"/>
      <c r="SDO185" s="82"/>
      <c r="SDP185" s="82"/>
      <c r="SDQ185" s="82"/>
      <c r="SDR185" s="82"/>
      <c r="SDS185" s="82"/>
      <c r="SDT185" s="82"/>
      <c r="SDU185" s="82"/>
      <c r="SDV185" s="82"/>
      <c r="SDW185" s="82"/>
      <c r="SDX185" s="82"/>
      <c r="SDY185" s="82"/>
      <c r="SDZ185" s="82"/>
      <c r="SEA185" s="82"/>
      <c r="SEB185" s="82"/>
      <c r="SEC185" s="82"/>
      <c r="SED185" s="82"/>
      <c r="SEE185" s="82"/>
      <c r="SEF185" s="82"/>
      <c r="SEG185" s="82"/>
      <c r="SEH185" s="82"/>
      <c r="SEI185" s="82"/>
      <c r="SEJ185" s="82"/>
      <c r="SEK185" s="82"/>
      <c r="SEL185" s="82"/>
      <c r="SEM185" s="82"/>
      <c r="SEN185" s="82"/>
      <c r="SEO185" s="82"/>
      <c r="SEP185" s="82"/>
      <c r="SEQ185" s="82"/>
      <c r="SER185" s="82"/>
      <c r="SES185" s="82"/>
      <c r="SET185" s="82"/>
      <c r="SEU185" s="82"/>
      <c r="SEV185" s="82"/>
      <c r="SEW185" s="82"/>
      <c r="SEX185" s="82"/>
      <c r="SEY185" s="82"/>
      <c r="SEZ185" s="82"/>
      <c r="SFA185" s="82"/>
      <c r="SFB185" s="82"/>
      <c r="SFC185" s="82"/>
      <c r="SFD185" s="82"/>
      <c r="SFE185" s="82"/>
      <c r="SFF185" s="82"/>
      <c r="SFG185" s="82"/>
      <c r="SFH185" s="82"/>
      <c r="SFI185" s="82"/>
      <c r="SFJ185" s="82"/>
      <c r="SFK185" s="82"/>
      <c r="SFL185" s="82"/>
      <c r="SFM185" s="82"/>
      <c r="SFN185" s="82"/>
      <c r="SFO185" s="82"/>
      <c r="SFP185" s="82"/>
      <c r="SFQ185" s="82"/>
      <c r="SFR185" s="82"/>
      <c r="SFS185" s="82"/>
      <c r="SFT185" s="82"/>
      <c r="SFU185" s="82"/>
      <c r="SFV185" s="82"/>
      <c r="SFW185" s="82"/>
      <c r="SFX185" s="82"/>
      <c r="SFY185" s="82"/>
      <c r="SFZ185" s="82"/>
      <c r="SGA185" s="82"/>
      <c r="SGB185" s="82"/>
      <c r="SGC185" s="82"/>
      <c r="SGD185" s="82"/>
      <c r="SGE185" s="82"/>
      <c r="SGF185" s="82"/>
      <c r="SGG185" s="82"/>
      <c r="SGH185" s="82"/>
      <c r="SGI185" s="82"/>
      <c r="SGJ185" s="82"/>
      <c r="SGK185" s="82"/>
      <c r="SGL185" s="82"/>
      <c r="SGM185" s="82"/>
      <c r="SGN185" s="82"/>
      <c r="SGO185" s="82"/>
      <c r="SGP185" s="82"/>
      <c r="SGQ185" s="82"/>
      <c r="SGR185" s="82"/>
      <c r="SGS185" s="82"/>
      <c r="SGT185" s="82"/>
      <c r="SGU185" s="82"/>
      <c r="SGV185" s="82"/>
      <c r="SGW185" s="82"/>
      <c r="SGX185" s="82"/>
      <c r="SGY185" s="82"/>
      <c r="SGZ185" s="82"/>
      <c r="SHA185" s="82"/>
      <c r="SHB185" s="82"/>
      <c r="SHC185" s="82"/>
      <c r="SHD185" s="82"/>
      <c r="SHE185" s="82"/>
      <c r="SHF185" s="82"/>
      <c r="SHG185" s="82"/>
      <c r="SHH185" s="82"/>
      <c r="SHI185" s="82"/>
      <c r="SHJ185" s="82"/>
      <c r="SHK185" s="82"/>
      <c r="SHL185" s="82"/>
      <c r="SHM185" s="82"/>
      <c r="SHN185" s="82"/>
      <c r="SHO185" s="82"/>
      <c r="SHP185" s="82"/>
      <c r="SHQ185" s="82"/>
      <c r="SHR185" s="82"/>
      <c r="SHS185" s="82"/>
      <c r="SHT185" s="82"/>
      <c r="SHU185" s="82"/>
      <c r="SHV185" s="82"/>
      <c r="SHW185" s="82"/>
      <c r="SHX185" s="82"/>
      <c r="SHY185" s="82"/>
      <c r="SHZ185" s="82"/>
      <c r="SIA185" s="82"/>
      <c r="SIB185" s="82"/>
      <c r="SIC185" s="82"/>
      <c r="SID185" s="82"/>
      <c r="SIE185" s="82"/>
      <c r="SIF185" s="82"/>
      <c r="SIG185" s="82"/>
      <c r="SIH185" s="82"/>
      <c r="SII185" s="82"/>
      <c r="SIJ185" s="82"/>
      <c r="SIK185" s="82"/>
      <c r="SIL185" s="82"/>
      <c r="SIM185" s="82"/>
      <c r="SIN185" s="82"/>
      <c r="SIO185" s="82"/>
      <c r="SIP185" s="82"/>
      <c r="SIQ185" s="82"/>
      <c r="SIR185" s="82"/>
      <c r="SIS185" s="82"/>
      <c r="SIT185" s="82"/>
      <c r="SIU185" s="82"/>
      <c r="SIV185" s="82"/>
      <c r="SIW185" s="82"/>
      <c r="SIX185" s="82"/>
      <c r="SIY185" s="82"/>
      <c r="SIZ185" s="82"/>
      <c r="SJA185" s="82"/>
      <c r="SJB185" s="82"/>
      <c r="SJC185" s="82"/>
      <c r="SJD185" s="82"/>
      <c r="SJE185" s="82"/>
      <c r="SJF185" s="82"/>
      <c r="SJG185" s="82"/>
      <c r="SJH185" s="82"/>
      <c r="SJI185" s="82"/>
      <c r="SJJ185" s="82"/>
      <c r="SJK185" s="82"/>
      <c r="SJL185" s="82"/>
      <c r="SJM185" s="82"/>
      <c r="SJN185" s="82"/>
      <c r="SJO185" s="82"/>
      <c r="SJP185" s="82"/>
      <c r="SJQ185" s="82"/>
      <c r="SJR185" s="82"/>
      <c r="SJS185" s="82"/>
      <c r="SJT185" s="82"/>
      <c r="SJU185" s="82"/>
      <c r="SJV185" s="82"/>
      <c r="SJW185" s="82"/>
      <c r="SJX185" s="82"/>
      <c r="SJY185" s="82"/>
      <c r="SJZ185" s="82"/>
      <c r="SKA185" s="82"/>
      <c r="SKB185" s="82"/>
      <c r="SKC185" s="82"/>
      <c r="SKD185" s="82"/>
      <c r="SKE185" s="82"/>
      <c r="SKF185" s="82"/>
      <c r="SKG185" s="82"/>
      <c r="SKH185" s="82"/>
      <c r="SKI185" s="82"/>
      <c r="SKJ185" s="82"/>
      <c r="SKK185" s="82"/>
      <c r="SKL185" s="82"/>
      <c r="SKM185" s="82"/>
      <c r="SKN185" s="82"/>
      <c r="SKO185" s="82"/>
      <c r="SKP185" s="82"/>
      <c r="SKQ185" s="82"/>
      <c r="SKR185" s="82"/>
      <c r="SKS185" s="82"/>
      <c r="SKT185" s="82"/>
      <c r="SKU185" s="82"/>
      <c r="SKV185" s="82"/>
      <c r="SKW185" s="82"/>
      <c r="SKX185" s="82"/>
      <c r="SKY185" s="82"/>
      <c r="SKZ185" s="82"/>
      <c r="SLA185" s="82"/>
      <c r="SLB185" s="82"/>
      <c r="SLC185" s="82"/>
      <c r="SLD185" s="82"/>
      <c r="SLE185" s="82"/>
      <c r="SLF185" s="82"/>
      <c r="SLG185" s="82"/>
      <c r="SLH185" s="82"/>
      <c r="SLI185" s="82"/>
      <c r="SLJ185" s="82"/>
      <c r="SLK185" s="82"/>
      <c r="SLL185" s="82"/>
      <c r="SLM185" s="82"/>
      <c r="SLN185" s="82"/>
      <c r="SLO185" s="82"/>
      <c r="SLP185" s="82"/>
      <c r="SLQ185" s="82"/>
      <c r="SLR185" s="82"/>
      <c r="SLS185" s="82"/>
      <c r="SLT185" s="82"/>
      <c r="SLU185" s="82"/>
      <c r="SLV185" s="82"/>
      <c r="SLW185" s="82"/>
      <c r="SLX185" s="82"/>
      <c r="SLY185" s="82"/>
      <c r="SLZ185" s="82"/>
      <c r="SMA185" s="82"/>
      <c r="SMB185" s="82"/>
      <c r="SMC185" s="82"/>
      <c r="SMD185" s="82"/>
      <c r="SME185" s="82"/>
      <c r="SMF185" s="82"/>
      <c r="SMG185" s="82"/>
      <c r="SMH185" s="82"/>
      <c r="SMI185" s="82"/>
      <c r="SMJ185" s="82"/>
      <c r="SMK185" s="82"/>
      <c r="SML185" s="82"/>
      <c r="SMM185" s="82"/>
      <c r="SMN185" s="82"/>
      <c r="SMO185" s="82"/>
      <c r="SMP185" s="82"/>
      <c r="SMQ185" s="82"/>
      <c r="SMR185" s="82"/>
      <c r="SMS185" s="82"/>
      <c r="SMT185" s="82"/>
      <c r="SMU185" s="82"/>
      <c r="SMV185" s="82"/>
      <c r="SMW185" s="82"/>
      <c r="SMX185" s="82"/>
      <c r="SMY185" s="82"/>
      <c r="SMZ185" s="82"/>
      <c r="SNA185" s="82"/>
      <c r="SNB185" s="82"/>
      <c r="SNC185" s="82"/>
      <c r="SND185" s="82"/>
      <c r="SNE185" s="82"/>
      <c r="SNF185" s="82"/>
      <c r="SNG185" s="82"/>
      <c r="SNH185" s="82"/>
      <c r="SNI185" s="82"/>
      <c r="SNJ185" s="82"/>
      <c r="SNK185" s="82"/>
      <c r="SNL185" s="82"/>
      <c r="SNM185" s="82"/>
      <c r="SNN185" s="82"/>
      <c r="SNO185" s="82"/>
      <c r="SNP185" s="82"/>
      <c r="SNQ185" s="82"/>
      <c r="SNR185" s="82"/>
      <c r="SNS185" s="82"/>
      <c r="SNT185" s="82"/>
      <c r="SNU185" s="82"/>
      <c r="SNV185" s="82"/>
      <c r="SNW185" s="82"/>
      <c r="SNX185" s="82"/>
      <c r="SNY185" s="82"/>
      <c r="SNZ185" s="82"/>
      <c r="SOA185" s="82"/>
      <c r="SOB185" s="82"/>
      <c r="SOC185" s="82"/>
      <c r="SOD185" s="82"/>
      <c r="SOE185" s="82"/>
      <c r="SOF185" s="82"/>
      <c r="SOG185" s="82"/>
      <c r="SOH185" s="82"/>
      <c r="SOI185" s="82"/>
      <c r="SOJ185" s="82"/>
      <c r="SOK185" s="82"/>
      <c r="SOL185" s="82"/>
      <c r="SOM185" s="82"/>
      <c r="SON185" s="82"/>
      <c r="SOO185" s="82"/>
      <c r="SOP185" s="82"/>
      <c r="SOQ185" s="82"/>
      <c r="SOR185" s="82"/>
      <c r="SOS185" s="82"/>
      <c r="SOT185" s="82"/>
      <c r="SOU185" s="82"/>
      <c r="SOV185" s="82"/>
      <c r="SOW185" s="82"/>
      <c r="SOX185" s="82"/>
      <c r="SOY185" s="82"/>
      <c r="SOZ185" s="82"/>
      <c r="SPA185" s="82"/>
      <c r="SPB185" s="82"/>
      <c r="SPC185" s="82"/>
      <c r="SPD185" s="82"/>
      <c r="SPE185" s="82"/>
      <c r="SPF185" s="82"/>
      <c r="SPG185" s="82"/>
      <c r="SPH185" s="82"/>
      <c r="SPI185" s="82"/>
      <c r="SPJ185" s="82"/>
      <c r="SPK185" s="82"/>
      <c r="SPL185" s="82"/>
      <c r="SPM185" s="82"/>
      <c r="SPN185" s="82"/>
      <c r="SPO185" s="82"/>
      <c r="SPP185" s="82"/>
      <c r="SPQ185" s="82"/>
      <c r="SPR185" s="82"/>
      <c r="SPS185" s="82"/>
      <c r="SPT185" s="82"/>
      <c r="SPU185" s="82"/>
      <c r="SPV185" s="82"/>
      <c r="SPW185" s="82"/>
      <c r="SPX185" s="82"/>
      <c r="SPY185" s="82"/>
      <c r="SPZ185" s="82"/>
      <c r="SQA185" s="82"/>
      <c r="SQB185" s="82"/>
      <c r="SQC185" s="82"/>
      <c r="SQD185" s="82"/>
      <c r="SQE185" s="82"/>
      <c r="SQF185" s="82"/>
      <c r="SQG185" s="82"/>
      <c r="SQH185" s="82"/>
      <c r="SQI185" s="82"/>
      <c r="SQJ185" s="82"/>
      <c r="SQK185" s="82"/>
      <c r="SQL185" s="82"/>
      <c r="SQM185" s="82"/>
      <c r="SQN185" s="82"/>
      <c r="SQO185" s="82"/>
      <c r="SQP185" s="82"/>
      <c r="SQQ185" s="82"/>
      <c r="SQR185" s="82"/>
      <c r="SQS185" s="82"/>
      <c r="SQT185" s="82"/>
      <c r="SQU185" s="82"/>
      <c r="SQV185" s="82"/>
      <c r="SQW185" s="82"/>
      <c r="SQX185" s="82"/>
      <c r="SQY185" s="82"/>
      <c r="SQZ185" s="82"/>
      <c r="SRA185" s="82"/>
      <c r="SRB185" s="82"/>
      <c r="SRC185" s="82"/>
      <c r="SRD185" s="82"/>
      <c r="SRE185" s="82"/>
      <c r="SRF185" s="82"/>
      <c r="SRG185" s="82"/>
      <c r="SRH185" s="82"/>
      <c r="SRI185" s="82"/>
      <c r="SRJ185" s="82"/>
      <c r="SRK185" s="82"/>
      <c r="SRL185" s="82"/>
      <c r="SRM185" s="82"/>
      <c r="SRN185" s="82"/>
      <c r="SRO185" s="82"/>
      <c r="SRP185" s="82"/>
      <c r="SRQ185" s="82"/>
      <c r="SRR185" s="82"/>
      <c r="SRS185" s="82"/>
      <c r="SRT185" s="82"/>
      <c r="SRU185" s="82"/>
      <c r="SRV185" s="82"/>
      <c r="SRW185" s="82"/>
      <c r="SRX185" s="82"/>
      <c r="SRY185" s="82"/>
      <c r="SRZ185" s="82"/>
      <c r="SSA185" s="82"/>
      <c r="SSB185" s="82"/>
      <c r="SSC185" s="82"/>
      <c r="SSD185" s="82"/>
      <c r="SSE185" s="82"/>
      <c r="SSF185" s="82"/>
      <c r="SSG185" s="82"/>
      <c r="SSH185" s="82"/>
      <c r="SSI185" s="82"/>
      <c r="SSJ185" s="82"/>
      <c r="SSK185" s="82"/>
      <c r="SSL185" s="82"/>
      <c r="SSM185" s="82"/>
      <c r="SSN185" s="82"/>
      <c r="SSO185" s="82"/>
      <c r="SSP185" s="82"/>
      <c r="SSQ185" s="82"/>
      <c r="SSR185" s="82"/>
      <c r="SSS185" s="82"/>
      <c r="SST185" s="82"/>
      <c r="SSU185" s="82"/>
      <c r="SSV185" s="82"/>
      <c r="SSW185" s="82"/>
      <c r="SSX185" s="82"/>
      <c r="SSY185" s="82"/>
      <c r="SSZ185" s="82"/>
      <c r="STA185" s="82"/>
      <c r="STB185" s="82"/>
      <c r="STC185" s="82"/>
      <c r="STD185" s="82"/>
      <c r="STE185" s="82"/>
      <c r="STF185" s="82"/>
      <c r="STG185" s="82"/>
      <c r="STH185" s="82"/>
      <c r="STI185" s="82"/>
      <c r="STJ185" s="82"/>
      <c r="STK185" s="82"/>
      <c r="STL185" s="82"/>
      <c r="STM185" s="82"/>
      <c r="STN185" s="82"/>
      <c r="STO185" s="82"/>
      <c r="STP185" s="82"/>
      <c r="STQ185" s="82"/>
      <c r="STR185" s="82"/>
      <c r="STS185" s="82"/>
      <c r="STT185" s="82"/>
      <c r="STU185" s="82"/>
      <c r="STV185" s="82"/>
      <c r="STW185" s="82"/>
      <c r="STX185" s="82"/>
      <c r="STY185" s="82"/>
      <c r="STZ185" s="82"/>
      <c r="SUA185" s="82"/>
      <c r="SUB185" s="82"/>
      <c r="SUC185" s="82"/>
      <c r="SUD185" s="82"/>
      <c r="SUE185" s="82"/>
      <c r="SUF185" s="82"/>
      <c r="SUG185" s="82"/>
      <c r="SUH185" s="82"/>
      <c r="SUI185" s="82"/>
      <c r="SUJ185" s="82"/>
      <c r="SUK185" s="82"/>
      <c r="SUL185" s="82"/>
      <c r="SUM185" s="82"/>
      <c r="SUN185" s="82"/>
      <c r="SUO185" s="82"/>
      <c r="SUP185" s="82"/>
      <c r="SUQ185" s="82"/>
      <c r="SUR185" s="82"/>
      <c r="SUS185" s="82"/>
      <c r="SUT185" s="82"/>
      <c r="SUU185" s="82"/>
      <c r="SUV185" s="82"/>
      <c r="SUW185" s="82"/>
      <c r="SUX185" s="82"/>
      <c r="SUY185" s="82"/>
      <c r="SUZ185" s="82"/>
      <c r="SVA185" s="82"/>
      <c r="SVB185" s="82"/>
      <c r="SVC185" s="82"/>
      <c r="SVD185" s="82"/>
      <c r="SVE185" s="82"/>
      <c r="SVF185" s="82"/>
      <c r="SVG185" s="82"/>
      <c r="SVH185" s="82"/>
      <c r="SVI185" s="82"/>
      <c r="SVJ185" s="82"/>
      <c r="SVK185" s="82"/>
      <c r="SVL185" s="82"/>
      <c r="SVM185" s="82"/>
      <c r="SVN185" s="82"/>
      <c r="SVO185" s="82"/>
      <c r="SVP185" s="82"/>
      <c r="SVQ185" s="82"/>
      <c r="SVR185" s="82"/>
      <c r="SVS185" s="82"/>
      <c r="SVT185" s="82"/>
      <c r="SVU185" s="82"/>
      <c r="SVV185" s="82"/>
      <c r="SVW185" s="82"/>
      <c r="SVX185" s="82"/>
      <c r="SVY185" s="82"/>
      <c r="SVZ185" s="82"/>
      <c r="SWA185" s="82"/>
      <c r="SWB185" s="82"/>
      <c r="SWC185" s="82"/>
      <c r="SWD185" s="82"/>
      <c r="SWE185" s="82"/>
      <c r="SWF185" s="82"/>
      <c r="SWG185" s="82"/>
      <c r="SWH185" s="82"/>
      <c r="SWI185" s="82"/>
      <c r="SWJ185" s="82"/>
      <c r="SWK185" s="82"/>
      <c r="SWL185" s="82"/>
      <c r="SWM185" s="82"/>
      <c r="SWN185" s="82"/>
      <c r="SWO185" s="82"/>
      <c r="SWP185" s="82"/>
      <c r="SWQ185" s="82"/>
      <c r="SWR185" s="82"/>
      <c r="SWS185" s="82"/>
      <c r="SWT185" s="82"/>
      <c r="SWU185" s="82"/>
      <c r="SWV185" s="82"/>
      <c r="SWW185" s="82"/>
      <c r="SWX185" s="82"/>
      <c r="SWY185" s="82"/>
      <c r="SWZ185" s="82"/>
      <c r="SXA185" s="82"/>
      <c r="SXB185" s="82"/>
      <c r="SXC185" s="82"/>
      <c r="SXD185" s="82"/>
      <c r="SXE185" s="82"/>
      <c r="SXF185" s="82"/>
      <c r="SXG185" s="82"/>
      <c r="SXH185" s="82"/>
      <c r="SXI185" s="82"/>
      <c r="SXJ185" s="82"/>
      <c r="SXK185" s="82"/>
      <c r="SXL185" s="82"/>
      <c r="SXM185" s="82"/>
      <c r="SXN185" s="82"/>
      <c r="SXO185" s="82"/>
      <c r="SXP185" s="82"/>
      <c r="SXQ185" s="82"/>
      <c r="SXR185" s="82"/>
      <c r="SXS185" s="82"/>
      <c r="SXT185" s="82"/>
      <c r="SXU185" s="82"/>
      <c r="SXV185" s="82"/>
      <c r="SXW185" s="82"/>
      <c r="SXX185" s="82"/>
      <c r="SXY185" s="82"/>
      <c r="SXZ185" s="82"/>
      <c r="SYA185" s="82"/>
      <c r="SYB185" s="82"/>
      <c r="SYC185" s="82"/>
      <c r="SYD185" s="82"/>
      <c r="SYE185" s="82"/>
      <c r="SYF185" s="82"/>
      <c r="SYG185" s="82"/>
      <c r="SYH185" s="82"/>
      <c r="SYI185" s="82"/>
      <c r="SYJ185" s="82"/>
      <c r="SYK185" s="82"/>
      <c r="SYL185" s="82"/>
      <c r="SYM185" s="82"/>
      <c r="SYN185" s="82"/>
      <c r="SYO185" s="82"/>
      <c r="SYP185" s="82"/>
      <c r="SYQ185" s="82"/>
      <c r="SYR185" s="82"/>
      <c r="SYS185" s="82"/>
      <c r="SYT185" s="82"/>
      <c r="SYU185" s="82"/>
      <c r="SYV185" s="82"/>
      <c r="SYW185" s="82"/>
      <c r="SYX185" s="82"/>
      <c r="SYY185" s="82"/>
      <c r="SYZ185" s="82"/>
      <c r="SZA185" s="82"/>
      <c r="SZB185" s="82"/>
      <c r="SZC185" s="82"/>
      <c r="SZD185" s="82"/>
      <c r="SZE185" s="82"/>
      <c r="SZF185" s="82"/>
      <c r="SZG185" s="82"/>
      <c r="SZH185" s="82"/>
      <c r="SZI185" s="82"/>
      <c r="SZJ185" s="82"/>
      <c r="SZK185" s="82"/>
      <c r="SZL185" s="82"/>
      <c r="SZM185" s="82"/>
      <c r="SZN185" s="82"/>
      <c r="SZO185" s="82"/>
      <c r="SZP185" s="82"/>
      <c r="SZQ185" s="82"/>
      <c r="SZR185" s="82"/>
      <c r="SZS185" s="82"/>
      <c r="SZT185" s="82"/>
      <c r="SZU185" s="82"/>
      <c r="SZV185" s="82"/>
      <c r="SZW185" s="82"/>
      <c r="SZX185" s="82"/>
      <c r="SZY185" s="82"/>
      <c r="SZZ185" s="82"/>
      <c r="TAA185" s="82"/>
      <c r="TAB185" s="82"/>
      <c r="TAC185" s="82"/>
      <c r="TAD185" s="82"/>
      <c r="TAE185" s="82"/>
      <c r="TAF185" s="82"/>
      <c r="TAG185" s="82"/>
      <c r="TAH185" s="82"/>
      <c r="TAI185" s="82"/>
      <c r="TAJ185" s="82"/>
      <c r="TAK185" s="82"/>
      <c r="TAL185" s="82"/>
      <c r="TAM185" s="82"/>
      <c r="TAN185" s="82"/>
      <c r="TAO185" s="82"/>
      <c r="TAP185" s="82"/>
      <c r="TAQ185" s="82"/>
      <c r="TAR185" s="82"/>
      <c r="TAS185" s="82"/>
      <c r="TAT185" s="82"/>
      <c r="TAU185" s="82"/>
      <c r="TAV185" s="82"/>
      <c r="TAW185" s="82"/>
      <c r="TAX185" s="82"/>
      <c r="TAY185" s="82"/>
      <c r="TAZ185" s="82"/>
      <c r="TBA185" s="82"/>
      <c r="TBB185" s="82"/>
      <c r="TBC185" s="82"/>
      <c r="TBD185" s="82"/>
      <c r="TBE185" s="82"/>
      <c r="TBF185" s="82"/>
      <c r="TBG185" s="82"/>
      <c r="TBH185" s="82"/>
      <c r="TBI185" s="82"/>
      <c r="TBJ185" s="82"/>
      <c r="TBK185" s="82"/>
      <c r="TBL185" s="82"/>
      <c r="TBM185" s="82"/>
      <c r="TBN185" s="82"/>
      <c r="TBO185" s="82"/>
      <c r="TBP185" s="82"/>
      <c r="TBQ185" s="82"/>
      <c r="TBR185" s="82"/>
      <c r="TBS185" s="82"/>
      <c r="TBT185" s="82"/>
      <c r="TBU185" s="82"/>
      <c r="TBV185" s="82"/>
      <c r="TBW185" s="82"/>
      <c r="TBX185" s="82"/>
      <c r="TBY185" s="82"/>
      <c r="TBZ185" s="82"/>
      <c r="TCA185" s="82"/>
      <c r="TCB185" s="82"/>
      <c r="TCC185" s="82"/>
      <c r="TCD185" s="82"/>
      <c r="TCE185" s="82"/>
      <c r="TCF185" s="82"/>
      <c r="TCG185" s="82"/>
      <c r="TCH185" s="82"/>
      <c r="TCI185" s="82"/>
      <c r="TCJ185" s="82"/>
      <c r="TCK185" s="82"/>
      <c r="TCL185" s="82"/>
      <c r="TCM185" s="82"/>
      <c r="TCN185" s="82"/>
      <c r="TCO185" s="82"/>
      <c r="TCP185" s="82"/>
      <c r="TCQ185" s="82"/>
      <c r="TCR185" s="82"/>
      <c r="TCS185" s="82"/>
      <c r="TCT185" s="82"/>
      <c r="TCU185" s="82"/>
      <c r="TCV185" s="82"/>
      <c r="TCW185" s="82"/>
      <c r="TCX185" s="82"/>
      <c r="TCY185" s="82"/>
      <c r="TCZ185" s="82"/>
      <c r="TDA185" s="82"/>
      <c r="TDB185" s="82"/>
      <c r="TDC185" s="82"/>
      <c r="TDD185" s="82"/>
      <c r="TDE185" s="82"/>
      <c r="TDF185" s="82"/>
      <c r="TDG185" s="82"/>
      <c r="TDH185" s="82"/>
      <c r="TDI185" s="82"/>
      <c r="TDJ185" s="82"/>
      <c r="TDK185" s="82"/>
      <c r="TDL185" s="82"/>
      <c r="TDM185" s="82"/>
      <c r="TDN185" s="82"/>
      <c r="TDO185" s="82"/>
      <c r="TDP185" s="82"/>
      <c r="TDQ185" s="82"/>
      <c r="TDR185" s="82"/>
      <c r="TDS185" s="82"/>
      <c r="TDT185" s="82"/>
      <c r="TDU185" s="82"/>
      <c r="TDV185" s="82"/>
      <c r="TDW185" s="82"/>
      <c r="TDX185" s="82"/>
      <c r="TDY185" s="82"/>
      <c r="TDZ185" s="82"/>
      <c r="TEA185" s="82"/>
      <c r="TEB185" s="82"/>
      <c r="TEC185" s="82"/>
      <c r="TED185" s="82"/>
      <c r="TEE185" s="82"/>
      <c r="TEF185" s="82"/>
      <c r="TEG185" s="82"/>
      <c r="TEH185" s="82"/>
      <c r="TEI185" s="82"/>
      <c r="TEJ185" s="82"/>
      <c r="TEK185" s="82"/>
      <c r="TEL185" s="82"/>
      <c r="TEM185" s="82"/>
      <c r="TEN185" s="82"/>
      <c r="TEO185" s="82"/>
      <c r="TEP185" s="82"/>
      <c r="TEQ185" s="82"/>
      <c r="TER185" s="82"/>
      <c r="TES185" s="82"/>
      <c r="TET185" s="82"/>
      <c r="TEU185" s="82"/>
      <c r="TEV185" s="82"/>
      <c r="TEW185" s="82"/>
      <c r="TEX185" s="82"/>
      <c r="TEY185" s="82"/>
      <c r="TEZ185" s="82"/>
      <c r="TFA185" s="82"/>
      <c r="TFB185" s="82"/>
      <c r="TFC185" s="82"/>
      <c r="TFD185" s="82"/>
      <c r="TFE185" s="82"/>
      <c r="TFF185" s="82"/>
      <c r="TFG185" s="82"/>
      <c r="TFH185" s="82"/>
      <c r="TFI185" s="82"/>
      <c r="TFJ185" s="82"/>
      <c r="TFK185" s="82"/>
      <c r="TFL185" s="82"/>
      <c r="TFM185" s="82"/>
      <c r="TFN185" s="82"/>
      <c r="TFO185" s="82"/>
      <c r="TFP185" s="82"/>
      <c r="TFQ185" s="82"/>
      <c r="TFR185" s="82"/>
      <c r="TFS185" s="82"/>
      <c r="TFT185" s="82"/>
      <c r="TFU185" s="82"/>
      <c r="TFV185" s="82"/>
      <c r="TFW185" s="82"/>
      <c r="TFX185" s="82"/>
      <c r="TFY185" s="82"/>
      <c r="TFZ185" s="82"/>
      <c r="TGA185" s="82"/>
      <c r="TGB185" s="82"/>
      <c r="TGC185" s="82"/>
      <c r="TGD185" s="82"/>
      <c r="TGE185" s="82"/>
      <c r="TGF185" s="82"/>
      <c r="TGG185" s="82"/>
      <c r="TGH185" s="82"/>
      <c r="TGI185" s="82"/>
      <c r="TGJ185" s="82"/>
      <c r="TGK185" s="82"/>
      <c r="TGL185" s="82"/>
      <c r="TGM185" s="82"/>
      <c r="TGN185" s="82"/>
      <c r="TGO185" s="82"/>
      <c r="TGP185" s="82"/>
      <c r="TGQ185" s="82"/>
      <c r="TGR185" s="82"/>
      <c r="TGS185" s="82"/>
      <c r="TGT185" s="82"/>
      <c r="TGU185" s="82"/>
      <c r="TGV185" s="82"/>
      <c r="TGW185" s="82"/>
      <c r="TGX185" s="82"/>
      <c r="TGY185" s="82"/>
      <c r="TGZ185" s="82"/>
      <c r="THA185" s="82"/>
      <c r="THB185" s="82"/>
      <c r="THC185" s="82"/>
      <c r="THD185" s="82"/>
      <c r="THE185" s="82"/>
      <c r="THF185" s="82"/>
      <c r="THG185" s="82"/>
      <c r="THH185" s="82"/>
      <c r="THI185" s="82"/>
      <c r="THJ185" s="82"/>
      <c r="THK185" s="82"/>
      <c r="THL185" s="82"/>
      <c r="THM185" s="82"/>
      <c r="THN185" s="82"/>
      <c r="THO185" s="82"/>
      <c r="THP185" s="82"/>
      <c r="THQ185" s="82"/>
      <c r="THR185" s="82"/>
      <c r="THS185" s="82"/>
      <c r="THT185" s="82"/>
      <c r="THU185" s="82"/>
      <c r="THV185" s="82"/>
      <c r="THW185" s="82"/>
      <c r="THX185" s="82"/>
      <c r="THY185" s="82"/>
      <c r="THZ185" s="82"/>
      <c r="TIA185" s="82"/>
      <c r="TIB185" s="82"/>
      <c r="TIC185" s="82"/>
      <c r="TID185" s="82"/>
      <c r="TIE185" s="82"/>
      <c r="TIF185" s="82"/>
      <c r="TIG185" s="82"/>
      <c r="TIH185" s="82"/>
      <c r="TII185" s="82"/>
      <c r="TIJ185" s="82"/>
      <c r="TIK185" s="82"/>
      <c r="TIL185" s="82"/>
      <c r="TIM185" s="82"/>
      <c r="TIN185" s="82"/>
      <c r="TIO185" s="82"/>
      <c r="TIP185" s="82"/>
      <c r="TIQ185" s="82"/>
      <c r="TIR185" s="82"/>
      <c r="TIS185" s="82"/>
      <c r="TIT185" s="82"/>
      <c r="TIU185" s="82"/>
      <c r="TIV185" s="82"/>
      <c r="TIW185" s="82"/>
      <c r="TIX185" s="82"/>
      <c r="TIY185" s="82"/>
      <c r="TIZ185" s="82"/>
      <c r="TJA185" s="82"/>
      <c r="TJB185" s="82"/>
      <c r="TJC185" s="82"/>
      <c r="TJD185" s="82"/>
      <c r="TJE185" s="82"/>
      <c r="TJF185" s="82"/>
      <c r="TJG185" s="82"/>
      <c r="TJH185" s="82"/>
      <c r="TJI185" s="82"/>
      <c r="TJJ185" s="82"/>
      <c r="TJK185" s="82"/>
      <c r="TJL185" s="82"/>
      <c r="TJM185" s="82"/>
      <c r="TJN185" s="82"/>
      <c r="TJO185" s="82"/>
      <c r="TJP185" s="82"/>
      <c r="TJQ185" s="82"/>
      <c r="TJR185" s="82"/>
      <c r="TJS185" s="82"/>
      <c r="TJT185" s="82"/>
      <c r="TJU185" s="82"/>
      <c r="TJV185" s="82"/>
      <c r="TJW185" s="82"/>
      <c r="TJX185" s="82"/>
      <c r="TJY185" s="82"/>
      <c r="TJZ185" s="82"/>
      <c r="TKA185" s="82"/>
      <c r="TKB185" s="82"/>
      <c r="TKC185" s="82"/>
      <c r="TKD185" s="82"/>
      <c r="TKE185" s="82"/>
      <c r="TKF185" s="82"/>
      <c r="TKG185" s="82"/>
      <c r="TKH185" s="82"/>
      <c r="TKI185" s="82"/>
      <c r="TKJ185" s="82"/>
      <c r="TKK185" s="82"/>
      <c r="TKL185" s="82"/>
      <c r="TKM185" s="82"/>
      <c r="TKN185" s="82"/>
      <c r="TKO185" s="82"/>
      <c r="TKP185" s="82"/>
      <c r="TKQ185" s="82"/>
      <c r="TKR185" s="82"/>
      <c r="TKS185" s="82"/>
      <c r="TKT185" s="82"/>
      <c r="TKU185" s="82"/>
      <c r="TKV185" s="82"/>
      <c r="TKW185" s="82"/>
      <c r="TKX185" s="82"/>
      <c r="TKY185" s="82"/>
      <c r="TKZ185" s="82"/>
      <c r="TLA185" s="82"/>
      <c r="TLB185" s="82"/>
      <c r="TLC185" s="82"/>
      <c r="TLD185" s="82"/>
      <c r="TLE185" s="82"/>
      <c r="TLF185" s="82"/>
      <c r="TLG185" s="82"/>
      <c r="TLH185" s="82"/>
      <c r="TLI185" s="82"/>
      <c r="TLJ185" s="82"/>
      <c r="TLK185" s="82"/>
      <c r="TLL185" s="82"/>
      <c r="TLM185" s="82"/>
      <c r="TLN185" s="82"/>
      <c r="TLO185" s="82"/>
      <c r="TLP185" s="82"/>
      <c r="TLQ185" s="82"/>
      <c r="TLR185" s="82"/>
      <c r="TLS185" s="82"/>
      <c r="TLT185" s="82"/>
      <c r="TLU185" s="82"/>
      <c r="TLV185" s="82"/>
      <c r="TLW185" s="82"/>
      <c r="TLX185" s="82"/>
      <c r="TLY185" s="82"/>
      <c r="TLZ185" s="82"/>
      <c r="TMA185" s="82"/>
      <c r="TMB185" s="82"/>
      <c r="TMC185" s="82"/>
      <c r="TMD185" s="82"/>
      <c r="TME185" s="82"/>
      <c r="TMF185" s="82"/>
      <c r="TMG185" s="82"/>
      <c r="TMH185" s="82"/>
      <c r="TMI185" s="82"/>
      <c r="TMJ185" s="82"/>
      <c r="TMK185" s="82"/>
      <c r="TML185" s="82"/>
      <c r="TMM185" s="82"/>
      <c r="TMN185" s="82"/>
      <c r="TMO185" s="82"/>
      <c r="TMP185" s="82"/>
      <c r="TMQ185" s="82"/>
      <c r="TMR185" s="82"/>
      <c r="TMS185" s="82"/>
      <c r="TMT185" s="82"/>
      <c r="TMU185" s="82"/>
      <c r="TMV185" s="82"/>
      <c r="TMW185" s="82"/>
      <c r="TMX185" s="82"/>
      <c r="TMY185" s="82"/>
      <c r="TMZ185" s="82"/>
      <c r="TNA185" s="82"/>
      <c r="TNB185" s="82"/>
      <c r="TNC185" s="82"/>
      <c r="TND185" s="82"/>
      <c r="TNE185" s="82"/>
      <c r="TNF185" s="82"/>
      <c r="TNG185" s="82"/>
      <c r="TNH185" s="82"/>
      <c r="TNI185" s="82"/>
      <c r="TNJ185" s="82"/>
      <c r="TNK185" s="82"/>
      <c r="TNL185" s="82"/>
      <c r="TNM185" s="82"/>
      <c r="TNN185" s="82"/>
      <c r="TNO185" s="82"/>
      <c r="TNP185" s="82"/>
      <c r="TNQ185" s="82"/>
      <c r="TNR185" s="82"/>
      <c r="TNS185" s="82"/>
      <c r="TNT185" s="82"/>
      <c r="TNU185" s="82"/>
      <c r="TNV185" s="82"/>
      <c r="TNW185" s="82"/>
      <c r="TNX185" s="82"/>
      <c r="TNY185" s="82"/>
      <c r="TNZ185" s="82"/>
      <c r="TOA185" s="82"/>
      <c r="TOB185" s="82"/>
      <c r="TOC185" s="82"/>
      <c r="TOD185" s="82"/>
      <c r="TOE185" s="82"/>
      <c r="TOF185" s="82"/>
      <c r="TOG185" s="82"/>
      <c r="TOH185" s="82"/>
      <c r="TOI185" s="82"/>
      <c r="TOJ185" s="82"/>
      <c r="TOK185" s="82"/>
      <c r="TOL185" s="82"/>
      <c r="TOM185" s="82"/>
      <c r="TON185" s="82"/>
      <c r="TOO185" s="82"/>
      <c r="TOP185" s="82"/>
      <c r="TOQ185" s="82"/>
      <c r="TOR185" s="82"/>
      <c r="TOS185" s="82"/>
      <c r="TOT185" s="82"/>
      <c r="TOU185" s="82"/>
      <c r="TOV185" s="82"/>
      <c r="TOW185" s="82"/>
      <c r="TOX185" s="82"/>
      <c r="TOY185" s="82"/>
      <c r="TOZ185" s="82"/>
      <c r="TPA185" s="82"/>
      <c r="TPB185" s="82"/>
      <c r="TPC185" s="82"/>
      <c r="TPD185" s="82"/>
      <c r="TPE185" s="82"/>
      <c r="TPF185" s="82"/>
      <c r="TPG185" s="82"/>
      <c r="TPH185" s="82"/>
      <c r="TPI185" s="82"/>
      <c r="TPJ185" s="82"/>
      <c r="TPK185" s="82"/>
      <c r="TPL185" s="82"/>
      <c r="TPM185" s="82"/>
      <c r="TPN185" s="82"/>
      <c r="TPO185" s="82"/>
      <c r="TPP185" s="82"/>
      <c r="TPQ185" s="82"/>
      <c r="TPR185" s="82"/>
      <c r="TPS185" s="82"/>
      <c r="TPT185" s="82"/>
      <c r="TPU185" s="82"/>
      <c r="TPV185" s="82"/>
      <c r="TPW185" s="82"/>
      <c r="TPX185" s="82"/>
      <c r="TPY185" s="82"/>
      <c r="TPZ185" s="82"/>
      <c r="TQA185" s="82"/>
      <c r="TQB185" s="82"/>
      <c r="TQC185" s="82"/>
      <c r="TQD185" s="82"/>
      <c r="TQE185" s="82"/>
      <c r="TQF185" s="82"/>
      <c r="TQG185" s="82"/>
      <c r="TQH185" s="82"/>
      <c r="TQI185" s="82"/>
      <c r="TQJ185" s="82"/>
      <c r="TQK185" s="82"/>
      <c r="TQL185" s="82"/>
      <c r="TQM185" s="82"/>
      <c r="TQN185" s="82"/>
      <c r="TQO185" s="82"/>
      <c r="TQP185" s="82"/>
      <c r="TQQ185" s="82"/>
      <c r="TQR185" s="82"/>
      <c r="TQS185" s="82"/>
      <c r="TQT185" s="82"/>
      <c r="TQU185" s="82"/>
      <c r="TQV185" s="82"/>
      <c r="TQW185" s="82"/>
      <c r="TQX185" s="82"/>
      <c r="TQY185" s="82"/>
      <c r="TQZ185" s="82"/>
      <c r="TRA185" s="82"/>
      <c r="TRB185" s="82"/>
      <c r="TRC185" s="82"/>
      <c r="TRD185" s="82"/>
      <c r="TRE185" s="82"/>
      <c r="TRF185" s="82"/>
      <c r="TRG185" s="82"/>
      <c r="TRH185" s="82"/>
      <c r="TRI185" s="82"/>
      <c r="TRJ185" s="82"/>
      <c r="TRK185" s="82"/>
      <c r="TRL185" s="82"/>
      <c r="TRM185" s="82"/>
      <c r="TRN185" s="82"/>
      <c r="TRO185" s="82"/>
      <c r="TRP185" s="82"/>
      <c r="TRQ185" s="82"/>
      <c r="TRR185" s="82"/>
      <c r="TRS185" s="82"/>
      <c r="TRT185" s="82"/>
      <c r="TRU185" s="82"/>
      <c r="TRV185" s="82"/>
      <c r="TRW185" s="82"/>
      <c r="TRX185" s="82"/>
      <c r="TRY185" s="82"/>
      <c r="TRZ185" s="82"/>
      <c r="TSA185" s="82"/>
      <c r="TSB185" s="82"/>
      <c r="TSC185" s="82"/>
      <c r="TSD185" s="82"/>
      <c r="TSE185" s="82"/>
      <c r="TSF185" s="82"/>
      <c r="TSG185" s="82"/>
      <c r="TSH185" s="82"/>
      <c r="TSI185" s="82"/>
      <c r="TSJ185" s="82"/>
      <c r="TSK185" s="82"/>
      <c r="TSL185" s="82"/>
      <c r="TSM185" s="82"/>
      <c r="TSN185" s="82"/>
      <c r="TSO185" s="82"/>
      <c r="TSP185" s="82"/>
      <c r="TSQ185" s="82"/>
      <c r="TSR185" s="82"/>
      <c r="TSS185" s="82"/>
      <c r="TST185" s="82"/>
      <c r="TSU185" s="82"/>
      <c r="TSV185" s="82"/>
      <c r="TSW185" s="82"/>
      <c r="TSX185" s="82"/>
      <c r="TSY185" s="82"/>
      <c r="TSZ185" s="82"/>
      <c r="TTA185" s="82"/>
      <c r="TTB185" s="82"/>
      <c r="TTC185" s="82"/>
      <c r="TTD185" s="82"/>
      <c r="TTE185" s="82"/>
      <c r="TTF185" s="82"/>
      <c r="TTG185" s="82"/>
      <c r="TTH185" s="82"/>
      <c r="TTI185" s="82"/>
      <c r="TTJ185" s="82"/>
      <c r="TTK185" s="82"/>
      <c r="TTL185" s="82"/>
      <c r="TTM185" s="82"/>
      <c r="TTN185" s="82"/>
      <c r="TTO185" s="82"/>
      <c r="TTP185" s="82"/>
      <c r="TTQ185" s="82"/>
      <c r="TTR185" s="82"/>
      <c r="TTS185" s="82"/>
      <c r="TTT185" s="82"/>
      <c r="TTU185" s="82"/>
      <c r="TTV185" s="82"/>
      <c r="TTW185" s="82"/>
      <c r="TTX185" s="82"/>
      <c r="TTY185" s="82"/>
      <c r="TTZ185" s="82"/>
      <c r="TUA185" s="82"/>
      <c r="TUB185" s="82"/>
      <c r="TUC185" s="82"/>
      <c r="TUD185" s="82"/>
      <c r="TUE185" s="82"/>
      <c r="TUF185" s="82"/>
      <c r="TUG185" s="82"/>
      <c r="TUH185" s="82"/>
      <c r="TUI185" s="82"/>
      <c r="TUJ185" s="82"/>
      <c r="TUK185" s="82"/>
      <c r="TUL185" s="82"/>
      <c r="TUM185" s="82"/>
      <c r="TUN185" s="82"/>
      <c r="TUO185" s="82"/>
      <c r="TUP185" s="82"/>
      <c r="TUQ185" s="82"/>
      <c r="TUR185" s="82"/>
      <c r="TUS185" s="82"/>
      <c r="TUT185" s="82"/>
      <c r="TUU185" s="82"/>
      <c r="TUV185" s="82"/>
      <c r="TUW185" s="82"/>
      <c r="TUX185" s="82"/>
      <c r="TUY185" s="82"/>
      <c r="TUZ185" s="82"/>
      <c r="TVA185" s="82"/>
      <c r="TVB185" s="82"/>
      <c r="TVC185" s="82"/>
      <c r="TVD185" s="82"/>
      <c r="TVE185" s="82"/>
      <c r="TVF185" s="82"/>
      <c r="TVG185" s="82"/>
      <c r="TVH185" s="82"/>
      <c r="TVI185" s="82"/>
      <c r="TVJ185" s="82"/>
      <c r="TVK185" s="82"/>
      <c r="TVL185" s="82"/>
      <c r="TVM185" s="82"/>
      <c r="TVN185" s="82"/>
      <c r="TVO185" s="82"/>
      <c r="TVP185" s="82"/>
      <c r="TVQ185" s="82"/>
      <c r="TVR185" s="82"/>
      <c r="TVS185" s="82"/>
      <c r="TVT185" s="82"/>
      <c r="TVU185" s="82"/>
      <c r="TVV185" s="82"/>
      <c r="TVW185" s="82"/>
      <c r="TVX185" s="82"/>
      <c r="TVY185" s="82"/>
      <c r="TVZ185" s="82"/>
      <c r="TWA185" s="82"/>
      <c r="TWB185" s="82"/>
      <c r="TWC185" s="82"/>
      <c r="TWD185" s="82"/>
      <c r="TWE185" s="82"/>
      <c r="TWF185" s="82"/>
      <c r="TWG185" s="82"/>
      <c r="TWH185" s="82"/>
      <c r="TWI185" s="82"/>
      <c r="TWJ185" s="82"/>
      <c r="TWK185" s="82"/>
      <c r="TWL185" s="82"/>
      <c r="TWM185" s="82"/>
      <c r="TWN185" s="82"/>
      <c r="TWO185" s="82"/>
      <c r="TWP185" s="82"/>
      <c r="TWQ185" s="82"/>
      <c r="TWR185" s="82"/>
      <c r="TWS185" s="82"/>
      <c r="TWT185" s="82"/>
      <c r="TWU185" s="82"/>
      <c r="TWV185" s="82"/>
      <c r="TWW185" s="82"/>
      <c r="TWX185" s="82"/>
      <c r="TWY185" s="82"/>
      <c r="TWZ185" s="82"/>
      <c r="TXA185" s="82"/>
      <c r="TXB185" s="82"/>
      <c r="TXC185" s="82"/>
      <c r="TXD185" s="82"/>
      <c r="TXE185" s="82"/>
      <c r="TXF185" s="82"/>
      <c r="TXG185" s="82"/>
      <c r="TXH185" s="82"/>
      <c r="TXI185" s="82"/>
      <c r="TXJ185" s="82"/>
      <c r="TXK185" s="82"/>
      <c r="TXL185" s="82"/>
      <c r="TXM185" s="82"/>
      <c r="TXN185" s="82"/>
      <c r="TXO185" s="82"/>
      <c r="TXP185" s="82"/>
      <c r="TXQ185" s="82"/>
      <c r="TXR185" s="82"/>
      <c r="TXS185" s="82"/>
      <c r="TXT185" s="82"/>
      <c r="TXU185" s="82"/>
      <c r="TXV185" s="82"/>
      <c r="TXW185" s="82"/>
      <c r="TXX185" s="82"/>
      <c r="TXY185" s="82"/>
      <c r="TXZ185" s="82"/>
      <c r="TYA185" s="82"/>
      <c r="TYB185" s="82"/>
      <c r="TYC185" s="82"/>
      <c r="TYD185" s="82"/>
      <c r="TYE185" s="82"/>
      <c r="TYF185" s="82"/>
      <c r="TYG185" s="82"/>
      <c r="TYH185" s="82"/>
      <c r="TYI185" s="82"/>
      <c r="TYJ185" s="82"/>
      <c r="TYK185" s="82"/>
      <c r="TYL185" s="82"/>
      <c r="TYM185" s="82"/>
      <c r="TYN185" s="82"/>
      <c r="TYO185" s="82"/>
      <c r="TYP185" s="82"/>
      <c r="TYQ185" s="82"/>
      <c r="TYR185" s="82"/>
      <c r="TYS185" s="82"/>
      <c r="TYT185" s="82"/>
      <c r="TYU185" s="82"/>
      <c r="TYV185" s="82"/>
      <c r="TYW185" s="82"/>
      <c r="TYX185" s="82"/>
      <c r="TYY185" s="82"/>
      <c r="TYZ185" s="82"/>
      <c r="TZA185" s="82"/>
      <c r="TZB185" s="82"/>
      <c r="TZC185" s="82"/>
      <c r="TZD185" s="82"/>
      <c r="TZE185" s="82"/>
      <c r="TZF185" s="82"/>
      <c r="TZG185" s="82"/>
      <c r="TZH185" s="82"/>
      <c r="TZI185" s="82"/>
      <c r="TZJ185" s="82"/>
      <c r="TZK185" s="82"/>
      <c r="TZL185" s="82"/>
      <c r="TZM185" s="82"/>
      <c r="TZN185" s="82"/>
      <c r="TZO185" s="82"/>
      <c r="TZP185" s="82"/>
      <c r="TZQ185" s="82"/>
      <c r="TZR185" s="82"/>
      <c r="TZS185" s="82"/>
      <c r="TZT185" s="82"/>
      <c r="TZU185" s="82"/>
      <c r="TZV185" s="82"/>
      <c r="TZW185" s="82"/>
      <c r="TZX185" s="82"/>
      <c r="TZY185" s="82"/>
      <c r="TZZ185" s="82"/>
      <c r="UAA185" s="82"/>
      <c r="UAB185" s="82"/>
      <c r="UAC185" s="82"/>
      <c r="UAD185" s="82"/>
      <c r="UAE185" s="82"/>
      <c r="UAF185" s="82"/>
      <c r="UAG185" s="82"/>
      <c r="UAH185" s="82"/>
      <c r="UAI185" s="82"/>
      <c r="UAJ185" s="82"/>
      <c r="UAK185" s="82"/>
      <c r="UAL185" s="82"/>
      <c r="UAM185" s="82"/>
      <c r="UAN185" s="82"/>
      <c r="UAO185" s="82"/>
      <c r="UAP185" s="82"/>
      <c r="UAQ185" s="82"/>
      <c r="UAR185" s="82"/>
      <c r="UAS185" s="82"/>
      <c r="UAT185" s="82"/>
      <c r="UAU185" s="82"/>
      <c r="UAV185" s="82"/>
      <c r="UAW185" s="82"/>
      <c r="UAX185" s="82"/>
      <c r="UAY185" s="82"/>
      <c r="UAZ185" s="82"/>
      <c r="UBA185" s="82"/>
      <c r="UBB185" s="82"/>
      <c r="UBC185" s="82"/>
      <c r="UBD185" s="82"/>
      <c r="UBE185" s="82"/>
      <c r="UBF185" s="82"/>
      <c r="UBG185" s="82"/>
      <c r="UBH185" s="82"/>
      <c r="UBI185" s="82"/>
      <c r="UBJ185" s="82"/>
      <c r="UBK185" s="82"/>
      <c r="UBL185" s="82"/>
      <c r="UBM185" s="82"/>
      <c r="UBN185" s="82"/>
      <c r="UBO185" s="82"/>
      <c r="UBP185" s="82"/>
      <c r="UBQ185" s="82"/>
      <c r="UBR185" s="82"/>
      <c r="UBS185" s="82"/>
      <c r="UBT185" s="82"/>
      <c r="UBU185" s="82"/>
      <c r="UBV185" s="82"/>
      <c r="UBW185" s="82"/>
      <c r="UBX185" s="82"/>
      <c r="UBY185" s="82"/>
      <c r="UBZ185" s="82"/>
      <c r="UCA185" s="82"/>
      <c r="UCB185" s="82"/>
      <c r="UCC185" s="82"/>
      <c r="UCD185" s="82"/>
      <c r="UCE185" s="82"/>
      <c r="UCF185" s="82"/>
      <c r="UCG185" s="82"/>
      <c r="UCH185" s="82"/>
      <c r="UCI185" s="82"/>
      <c r="UCJ185" s="82"/>
      <c r="UCK185" s="82"/>
      <c r="UCL185" s="82"/>
      <c r="UCM185" s="82"/>
      <c r="UCN185" s="82"/>
      <c r="UCO185" s="82"/>
      <c r="UCP185" s="82"/>
      <c r="UCQ185" s="82"/>
      <c r="UCR185" s="82"/>
      <c r="UCS185" s="82"/>
      <c r="UCT185" s="82"/>
      <c r="UCU185" s="82"/>
      <c r="UCV185" s="82"/>
      <c r="UCW185" s="82"/>
      <c r="UCX185" s="82"/>
      <c r="UCY185" s="82"/>
      <c r="UCZ185" s="82"/>
      <c r="UDA185" s="82"/>
      <c r="UDB185" s="82"/>
      <c r="UDC185" s="82"/>
      <c r="UDD185" s="82"/>
      <c r="UDE185" s="82"/>
      <c r="UDF185" s="82"/>
      <c r="UDG185" s="82"/>
      <c r="UDH185" s="82"/>
      <c r="UDI185" s="82"/>
      <c r="UDJ185" s="82"/>
      <c r="UDK185" s="82"/>
      <c r="UDL185" s="82"/>
      <c r="UDM185" s="82"/>
      <c r="UDN185" s="82"/>
      <c r="UDO185" s="82"/>
      <c r="UDP185" s="82"/>
      <c r="UDQ185" s="82"/>
      <c r="UDR185" s="82"/>
      <c r="UDS185" s="82"/>
      <c r="UDT185" s="82"/>
      <c r="UDU185" s="82"/>
      <c r="UDV185" s="82"/>
      <c r="UDW185" s="82"/>
      <c r="UDX185" s="82"/>
      <c r="UDY185" s="82"/>
      <c r="UDZ185" s="82"/>
      <c r="UEA185" s="82"/>
      <c r="UEB185" s="82"/>
      <c r="UEC185" s="82"/>
      <c r="UED185" s="82"/>
      <c r="UEE185" s="82"/>
      <c r="UEF185" s="82"/>
      <c r="UEG185" s="82"/>
      <c r="UEH185" s="82"/>
      <c r="UEI185" s="82"/>
      <c r="UEJ185" s="82"/>
      <c r="UEK185" s="82"/>
      <c r="UEL185" s="82"/>
      <c r="UEM185" s="82"/>
      <c r="UEN185" s="82"/>
      <c r="UEO185" s="82"/>
      <c r="UEP185" s="82"/>
      <c r="UEQ185" s="82"/>
      <c r="UER185" s="82"/>
      <c r="UES185" s="82"/>
      <c r="UET185" s="82"/>
      <c r="UEU185" s="82"/>
      <c r="UEV185" s="82"/>
      <c r="UEW185" s="82"/>
      <c r="UEX185" s="82"/>
      <c r="UEY185" s="82"/>
      <c r="UEZ185" s="82"/>
      <c r="UFA185" s="82"/>
      <c r="UFB185" s="82"/>
      <c r="UFC185" s="82"/>
      <c r="UFD185" s="82"/>
      <c r="UFE185" s="82"/>
      <c r="UFF185" s="82"/>
      <c r="UFG185" s="82"/>
      <c r="UFH185" s="82"/>
      <c r="UFI185" s="82"/>
      <c r="UFJ185" s="82"/>
      <c r="UFK185" s="82"/>
      <c r="UFL185" s="82"/>
      <c r="UFM185" s="82"/>
      <c r="UFN185" s="82"/>
      <c r="UFO185" s="82"/>
      <c r="UFP185" s="82"/>
      <c r="UFQ185" s="82"/>
      <c r="UFR185" s="82"/>
      <c r="UFS185" s="82"/>
      <c r="UFT185" s="82"/>
      <c r="UFU185" s="82"/>
      <c r="UFV185" s="82"/>
      <c r="UFW185" s="82"/>
      <c r="UFX185" s="82"/>
      <c r="UFY185" s="82"/>
      <c r="UFZ185" s="82"/>
      <c r="UGA185" s="82"/>
      <c r="UGB185" s="82"/>
      <c r="UGC185" s="82"/>
      <c r="UGD185" s="82"/>
      <c r="UGE185" s="82"/>
      <c r="UGF185" s="82"/>
      <c r="UGG185" s="82"/>
      <c r="UGH185" s="82"/>
      <c r="UGI185" s="82"/>
      <c r="UGJ185" s="82"/>
      <c r="UGK185" s="82"/>
      <c r="UGL185" s="82"/>
      <c r="UGM185" s="82"/>
      <c r="UGN185" s="82"/>
      <c r="UGO185" s="82"/>
      <c r="UGP185" s="82"/>
      <c r="UGQ185" s="82"/>
      <c r="UGR185" s="82"/>
      <c r="UGS185" s="82"/>
      <c r="UGT185" s="82"/>
      <c r="UGU185" s="82"/>
      <c r="UGV185" s="82"/>
      <c r="UGW185" s="82"/>
      <c r="UGX185" s="82"/>
      <c r="UGY185" s="82"/>
      <c r="UGZ185" s="82"/>
      <c r="UHA185" s="82"/>
      <c r="UHB185" s="82"/>
      <c r="UHC185" s="82"/>
      <c r="UHD185" s="82"/>
      <c r="UHE185" s="82"/>
      <c r="UHF185" s="82"/>
      <c r="UHG185" s="82"/>
      <c r="UHH185" s="82"/>
      <c r="UHI185" s="82"/>
      <c r="UHJ185" s="82"/>
      <c r="UHK185" s="82"/>
      <c r="UHL185" s="82"/>
      <c r="UHM185" s="82"/>
      <c r="UHN185" s="82"/>
      <c r="UHO185" s="82"/>
      <c r="UHP185" s="82"/>
      <c r="UHQ185" s="82"/>
      <c r="UHR185" s="82"/>
      <c r="UHS185" s="82"/>
      <c r="UHT185" s="82"/>
      <c r="UHU185" s="82"/>
      <c r="UHV185" s="82"/>
      <c r="UHW185" s="82"/>
      <c r="UHX185" s="82"/>
      <c r="UHY185" s="82"/>
      <c r="UHZ185" s="82"/>
      <c r="UIA185" s="82"/>
      <c r="UIB185" s="82"/>
      <c r="UIC185" s="82"/>
      <c r="UID185" s="82"/>
      <c r="UIE185" s="82"/>
      <c r="UIF185" s="82"/>
      <c r="UIG185" s="82"/>
      <c r="UIH185" s="82"/>
      <c r="UII185" s="82"/>
      <c r="UIJ185" s="82"/>
      <c r="UIK185" s="82"/>
      <c r="UIL185" s="82"/>
      <c r="UIM185" s="82"/>
      <c r="UIN185" s="82"/>
      <c r="UIO185" s="82"/>
      <c r="UIP185" s="82"/>
      <c r="UIQ185" s="82"/>
      <c r="UIR185" s="82"/>
      <c r="UIS185" s="82"/>
      <c r="UIT185" s="82"/>
      <c r="UIU185" s="82"/>
      <c r="UIV185" s="82"/>
      <c r="UIW185" s="82"/>
      <c r="UIX185" s="82"/>
      <c r="UIY185" s="82"/>
      <c r="UIZ185" s="82"/>
      <c r="UJA185" s="82"/>
      <c r="UJB185" s="82"/>
      <c r="UJC185" s="82"/>
      <c r="UJD185" s="82"/>
      <c r="UJE185" s="82"/>
      <c r="UJF185" s="82"/>
      <c r="UJG185" s="82"/>
      <c r="UJH185" s="82"/>
      <c r="UJI185" s="82"/>
      <c r="UJJ185" s="82"/>
      <c r="UJK185" s="82"/>
      <c r="UJL185" s="82"/>
      <c r="UJM185" s="82"/>
      <c r="UJN185" s="82"/>
      <c r="UJO185" s="82"/>
      <c r="UJP185" s="82"/>
      <c r="UJQ185" s="82"/>
      <c r="UJR185" s="82"/>
      <c r="UJS185" s="82"/>
      <c r="UJT185" s="82"/>
      <c r="UJU185" s="82"/>
      <c r="UJV185" s="82"/>
      <c r="UJW185" s="82"/>
      <c r="UJX185" s="82"/>
      <c r="UJY185" s="82"/>
      <c r="UJZ185" s="82"/>
      <c r="UKA185" s="82"/>
      <c r="UKB185" s="82"/>
      <c r="UKC185" s="82"/>
      <c r="UKD185" s="82"/>
      <c r="UKE185" s="82"/>
      <c r="UKF185" s="82"/>
      <c r="UKG185" s="82"/>
      <c r="UKH185" s="82"/>
      <c r="UKI185" s="82"/>
      <c r="UKJ185" s="82"/>
      <c r="UKK185" s="82"/>
      <c r="UKL185" s="82"/>
      <c r="UKM185" s="82"/>
      <c r="UKN185" s="82"/>
      <c r="UKO185" s="82"/>
      <c r="UKP185" s="82"/>
      <c r="UKQ185" s="82"/>
      <c r="UKR185" s="82"/>
      <c r="UKS185" s="82"/>
      <c r="UKT185" s="82"/>
      <c r="UKU185" s="82"/>
      <c r="UKV185" s="82"/>
      <c r="UKW185" s="82"/>
      <c r="UKX185" s="82"/>
      <c r="UKY185" s="82"/>
      <c r="UKZ185" s="82"/>
      <c r="ULA185" s="82"/>
      <c r="ULB185" s="82"/>
      <c r="ULC185" s="82"/>
      <c r="ULD185" s="82"/>
      <c r="ULE185" s="82"/>
      <c r="ULF185" s="82"/>
      <c r="ULG185" s="82"/>
      <c r="ULH185" s="82"/>
      <c r="ULI185" s="82"/>
      <c r="ULJ185" s="82"/>
      <c r="ULK185" s="82"/>
      <c r="ULL185" s="82"/>
      <c r="ULM185" s="82"/>
      <c r="ULN185" s="82"/>
      <c r="ULO185" s="82"/>
      <c r="ULP185" s="82"/>
      <c r="ULQ185" s="82"/>
      <c r="ULR185" s="82"/>
      <c r="ULS185" s="82"/>
      <c r="ULT185" s="82"/>
      <c r="ULU185" s="82"/>
      <c r="ULV185" s="82"/>
      <c r="ULW185" s="82"/>
      <c r="ULX185" s="82"/>
      <c r="ULY185" s="82"/>
      <c r="ULZ185" s="82"/>
      <c r="UMA185" s="82"/>
      <c r="UMB185" s="82"/>
      <c r="UMC185" s="82"/>
      <c r="UMD185" s="82"/>
      <c r="UME185" s="82"/>
      <c r="UMF185" s="82"/>
      <c r="UMG185" s="82"/>
      <c r="UMH185" s="82"/>
      <c r="UMI185" s="82"/>
      <c r="UMJ185" s="82"/>
      <c r="UMK185" s="82"/>
      <c r="UML185" s="82"/>
      <c r="UMM185" s="82"/>
      <c r="UMN185" s="82"/>
      <c r="UMO185" s="82"/>
      <c r="UMP185" s="82"/>
      <c r="UMQ185" s="82"/>
      <c r="UMR185" s="82"/>
      <c r="UMS185" s="82"/>
      <c r="UMT185" s="82"/>
      <c r="UMU185" s="82"/>
      <c r="UMV185" s="82"/>
      <c r="UMW185" s="82"/>
      <c r="UMX185" s="82"/>
      <c r="UMY185" s="82"/>
      <c r="UMZ185" s="82"/>
      <c r="UNA185" s="82"/>
      <c r="UNB185" s="82"/>
      <c r="UNC185" s="82"/>
      <c r="UND185" s="82"/>
      <c r="UNE185" s="82"/>
      <c r="UNF185" s="82"/>
      <c r="UNG185" s="82"/>
      <c r="UNH185" s="82"/>
      <c r="UNI185" s="82"/>
      <c r="UNJ185" s="82"/>
      <c r="UNK185" s="82"/>
      <c r="UNL185" s="82"/>
      <c r="UNM185" s="82"/>
      <c r="UNN185" s="82"/>
      <c r="UNO185" s="82"/>
      <c r="UNP185" s="82"/>
      <c r="UNQ185" s="82"/>
      <c r="UNR185" s="82"/>
      <c r="UNS185" s="82"/>
      <c r="UNT185" s="82"/>
      <c r="UNU185" s="82"/>
      <c r="UNV185" s="82"/>
      <c r="UNW185" s="82"/>
      <c r="UNX185" s="82"/>
      <c r="UNY185" s="82"/>
      <c r="UNZ185" s="82"/>
      <c r="UOA185" s="82"/>
      <c r="UOB185" s="82"/>
      <c r="UOC185" s="82"/>
      <c r="UOD185" s="82"/>
      <c r="UOE185" s="82"/>
      <c r="UOF185" s="82"/>
      <c r="UOG185" s="82"/>
      <c r="UOH185" s="82"/>
      <c r="UOI185" s="82"/>
      <c r="UOJ185" s="82"/>
      <c r="UOK185" s="82"/>
      <c r="UOL185" s="82"/>
      <c r="UOM185" s="82"/>
      <c r="UON185" s="82"/>
      <c r="UOO185" s="82"/>
      <c r="UOP185" s="82"/>
      <c r="UOQ185" s="82"/>
      <c r="UOR185" s="82"/>
      <c r="UOS185" s="82"/>
      <c r="UOT185" s="82"/>
      <c r="UOU185" s="82"/>
      <c r="UOV185" s="82"/>
      <c r="UOW185" s="82"/>
      <c r="UOX185" s="82"/>
      <c r="UOY185" s="82"/>
      <c r="UOZ185" s="82"/>
      <c r="UPA185" s="82"/>
      <c r="UPB185" s="82"/>
      <c r="UPC185" s="82"/>
      <c r="UPD185" s="82"/>
      <c r="UPE185" s="82"/>
      <c r="UPF185" s="82"/>
      <c r="UPG185" s="82"/>
      <c r="UPH185" s="82"/>
      <c r="UPI185" s="82"/>
      <c r="UPJ185" s="82"/>
      <c r="UPK185" s="82"/>
      <c r="UPL185" s="82"/>
      <c r="UPM185" s="82"/>
      <c r="UPN185" s="82"/>
      <c r="UPO185" s="82"/>
      <c r="UPP185" s="82"/>
      <c r="UPQ185" s="82"/>
      <c r="UPR185" s="82"/>
      <c r="UPS185" s="82"/>
      <c r="UPT185" s="82"/>
      <c r="UPU185" s="82"/>
      <c r="UPV185" s="82"/>
      <c r="UPW185" s="82"/>
      <c r="UPX185" s="82"/>
      <c r="UPY185" s="82"/>
      <c r="UPZ185" s="82"/>
      <c r="UQA185" s="82"/>
      <c r="UQB185" s="82"/>
      <c r="UQC185" s="82"/>
      <c r="UQD185" s="82"/>
      <c r="UQE185" s="82"/>
      <c r="UQF185" s="82"/>
      <c r="UQG185" s="82"/>
      <c r="UQH185" s="82"/>
      <c r="UQI185" s="82"/>
      <c r="UQJ185" s="82"/>
      <c r="UQK185" s="82"/>
      <c r="UQL185" s="82"/>
      <c r="UQM185" s="82"/>
      <c r="UQN185" s="82"/>
      <c r="UQO185" s="82"/>
      <c r="UQP185" s="82"/>
      <c r="UQQ185" s="82"/>
      <c r="UQR185" s="82"/>
      <c r="UQS185" s="82"/>
      <c r="UQT185" s="82"/>
      <c r="UQU185" s="82"/>
      <c r="UQV185" s="82"/>
      <c r="UQW185" s="82"/>
      <c r="UQX185" s="82"/>
      <c r="UQY185" s="82"/>
      <c r="UQZ185" s="82"/>
      <c r="URA185" s="82"/>
      <c r="URB185" s="82"/>
      <c r="URC185" s="82"/>
      <c r="URD185" s="82"/>
      <c r="URE185" s="82"/>
      <c r="URF185" s="82"/>
      <c r="URG185" s="82"/>
      <c r="URH185" s="82"/>
      <c r="URI185" s="82"/>
      <c r="URJ185" s="82"/>
      <c r="URK185" s="82"/>
      <c r="URL185" s="82"/>
      <c r="URM185" s="82"/>
      <c r="URN185" s="82"/>
      <c r="URO185" s="82"/>
      <c r="URP185" s="82"/>
      <c r="URQ185" s="82"/>
      <c r="URR185" s="82"/>
      <c r="URS185" s="82"/>
      <c r="URT185" s="82"/>
      <c r="URU185" s="82"/>
      <c r="URV185" s="82"/>
      <c r="URW185" s="82"/>
      <c r="URX185" s="82"/>
      <c r="URY185" s="82"/>
      <c r="URZ185" s="82"/>
      <c r="USA185" s="82"/>
      <c r="USB185" s="82"/>
      <c r="USC185" s="82"/>
      <c r="USD185" s="82"/>
      <c r="USE185" s="82"/>
      <c r="USF185" s="82"/>
      <c r="USG185" s="82"/>
      <c r="USH185" s="82"/>
      <c r="USI185" s="82"/>
      <c r="USJ185" s="82"/>
      <c r="USK185" s="82"/>
      <c r="USL185" s="82"/>
      <c r="USM185" s="82"/>
      <c r="USN185" s="82"/>
      <c r="USO185" s="82"/>
      <c r="USP185" s="82"/>
      <c r="USQ185" s="82"/>
      <c r="USR185" s="82"/>
      <c r="USS185" s="82"/>
      <c r="UST185" s="82"/>
      <c r="USU185" s="82"/>
      <c r="USV185" s="82"/>
      <c r="USW185" s="82"/>
      <c r="USX185" s="82"/>
      <c r="USY185" s="82"/>
      <c r="USZ185" s="82"/>
      <c r="UTA185" s="82"/>
      <c r="UTB185" s="82"/>
      <c r="UTC185" s="82"/>
      <c r="UTD185" s="82"/>
      <c r="UTE185" s="82"/>
      <c r="UTF185" s="82"/>
      <c r="UTG185" s="82"/>
      <c r="UTH185" s="82"/>
      <c r="UTI185" s="82"/>
      <c r="UTJ185" s="82"/>
      <c r="UTK185" s="82"/>
      <c r="UTL185" s="82"/>
      <c r="UTM185" s="82"/>
      <c r="UTN185" s="82"/>
      <c r="UTO185" s="82"/>
      <c r="UTP185" s="82"/>
      <c r="UTQ185" s="82"/>
      <c r="UTR185" s="82"/>
      <c r="UTS185" s="82"/>
      <c r="UTT185" s="82"/>
      <c r="UTU185" s="82"/>
      <c r="UTV185" s="82"/>
      <c r="UTW185" s="82"/>
      <c r="UTX185" s="82"/>
      <c r="UTY185" s="82"/>
      <c r="UTZ185" s="82"/>
      <c r="UUA185" s="82"/>
      <c r="UUB185" s="82"/>
      <c r="UUC185" s="82"/>
      <c r="UUD185" s="82"/>
      <c r="UUE185" s="82"/>
      <c r="UUF185" s="82"/>
      <c r="UUG185" s="82"/>
      <c r="UUH185" s="82"/>
      <c r="UUI185" s="82"/>
      <c r="UUJ185" s="82"/>
      <c r="UUK185" s="82"/>
      <c r="UUL185" s="82"/>
      <c r="UUM185" s="82"/>
      <c r="UUN185" s="82"/>
      <c r="UUO185" s="82"/>
      <c r="UUP185" s="82"/>
      <c r="UUQ185" s="82"/>
      <c r="UUR185" s="82"/>
      <c r="UUS185" s="82"/>
      <c r="UUT185" s="82"/>
      <c r="UUU185" s="82"/>
      <c r="UUV185" s="82"/>
      <c r="UUW185" s="82"/>
      <c r="UUX185" s="82"/>
      <c r="UUY185" s="82"/>
      <c r="UUZ185" s="82"/>
      <c r="UVA185" s="82"/>
      <c r="UVB185" s="82"/>
      <c r="UVC185" s="82"/>
      <c r="UVD185" s="82"/>
      <c r="UVE185" s="82"/>
      <c r="UVF185" s="82"/>
      <c r="UVG185" s="82"/>
      <c r="UVH185" s="82"/>
      <c r="UVI185" s="82"/>
      <c r="UVJ185" s="82"/>
      <c r="UVK185" s="82"/>
      <c r="UVL185" s="82"/>
      <c r="UVM185" s="82"/>
      <c r="UVN185" s="82"/>
      <c r="UVO185" s="82"/>
      <c r="UVP185" s="82"/>
      <c r="UVQ185" s="82"/>
      <c r="UVR185" s="82"/>
      <c r="UVS185" s="82"/>
      <c r="UVT185" s="82"/>
      <c r="UVU185" s="82"/>
      <c r="UVV185" s="82"/>
      <c r="UVW185" s="82"/>
      <c r="UVX185" s="82"/>
      <c r="UVY185" s="82"/>
      <c r="UVZ185" s="82"/>
      <c r="UWA185" s="82"/>
      <c r="UWB185" s="82"/>
      <c r="UWC185" s="82"/>
      <c r="UWD185" s="82"/>
      <c r="UWE185" s="82"/>
      <c r="UWF185" s="82"/>
      <c r="UWG185" s="82"/>
      <c r="UWH185" s="82"/>
      <c r="UWI185" s="82"/>
      <c r="UWJ185" s="82"/>
      <c r="UWK185" s="82"/>
      <c r="UWL185" s="82"/>
      <c r="UWM185" s="82"/>
      <c r="UWN185" s="82"/>
      <c r="UWO185" s="82"/>
      <c r="UWP185" s="82"/>
      <c r="UWQ185" s="82"/>
      <c r="UWR185" s="82"/>
      <c r="UWS185" s="82"/>
      <c r="UWT185" s="82"/>
      <c r="UWU185" s="82"/>
      <c r="UWV185" s="82"/>
      <c r="UWW185" s="82"/>
      <c r="UWX185" s="82"/>
      <c r="UWY185" s="82"/>
      <c r="UWZ185" s="82"/>
      <c r="UXA185" s="82"/>
      <c r="UXB185" s="82"/>
      <c r="UXC185" s="82"/>
      <c r="UXD185" s="82"/>
      <c r="UXE185" s="82"/>
      <c r="UXF185" s="82"/>
      <c r="UXG185" s="82"/>
      <c r="UXH185" s="82"/>
      <c r="UXI185" s="82"/>
      <c r="UXJ185" s="82"/>
      <c r="UXK185" s="82"/>
      <c r="UXL185" s="82"/>
      <c r="UXM185" s="82"/>
      <c r="UXN185" s="82"/>
      <c r="UXO185" s="82"/>
      <c r="UXP185" s="82"/>
      <c r="UXQ185" s="82"/>
      <c r="UXR185" s="82"/>
      <c r="UXS185" s="82"/>
      <c r="UXT185" s="82"/>
      <c r="UXU185" s="82"/>
      <c r="UXV185" s="82"/>
      <c r="UXW185" s="82"/>
      <c r="UXX185" s="82"/>
      <c r="UXY185" s="82"/>
      <c r="UXZ185" s="82"/>
      <c r="UYA185" s="82"/>
      <c r="UYB185" s="82"/>
      <c r="UYC185" s="82"/>
      <c r="UYD185" s="82"/>
      <c r="UYE185" s="82"/>
      <c r="UYF185" s="82"/>
      <c r="UYG185" s="82"/>
      <c r="UYH185" s="82"/>
      <c r="UYI185" s="82"/>
      <c r="UYJ185" s="82"/>
      <c r="UYK185" s="82"/>
      <c r="UYL185" s="82"/>
      <c r="UYM185" s="82"/>
      <c r="UYN185" s="82"/>
      <c r="UYO185" s="82"/>
      <c r="UYP185" s="82"/>
      <c r="UYQ185" s="82"/>
      <c r="UYR185" s="82"/>
      <c r="UYS185" s="82"/>
      <c r="UYT185" s="82"/>
      <c r="UYU185" s="82"/>
      <c r="UYV185" s="82"/>
      <c r="UYW185" s="82"/>
      <c r="UYX185" s="82"/>
      <c r="UYY185" s="82"/>
      <c r="UYZ185" s="82"/>
      <c r="UZA185" s="82"/>
      <c r="UZB185" s="82"/>
      <c r="UZC185" s="82"/>
      <c r="UZD185" s="82"/>
      <c r="UZE185" s="82"/>
      <c r="UZF185" s="82"/>
      <c r="UZG185" s="82"/>
      <c r="UZH185" s="82"/>
      <c r="UZI185" s="82"/>
      <c r="UZJ185" s="82"/>
      <c r="UZK185" s="82"/>
      <c r="UZL185" s="82"/>
      <c r="UZM185" s="82"/>
      <c r="UZN185" s="82"/>
      <c r="UZO185" s="82"/>
      <c r="UZP185" s="82"/>
      <c r="UZQ185" s="82"/>
      <c r="UZR185" s="82"/>
      <c r="UZS185" s="82"/>
      <c r="UZT185" s="82"/>
      <c r="UZU185" s="82"/>
      <c r="UZV185" s="82"/>
      <c r="UZW185" s="82"/>
      <c r="UZX185" s="82"/>
      <c r="UZY185" s="82"/>
      <c r="UZZ185" s="82"/>
      <c r="VAA185" s="82"/>
      <c r="VAB185" s="82"/>
      <c r="VAC185" s="82"/>
      <c r="VAD185" s="82"/>
      <c r="VAE185" s="82"/>
      <c r="VAF185" s="82"/>
      <c r="VAG185" s="82"/>
      <c r="VAH185" s="82"/>
      <c r="VAI185" s="82"/>
      <c r="VAJ185" s="82"/>
      <c r="VAK185" s="82"/>
      <c r="VAL185" s="82"/>
      <c r="VAM185" s="82"/>
      <c r="VAN185" s="82"/>
      <c r="VAO185" s="82"/>
      <c r="VAP185" s="82"/>
      <c r="VAQ185" s="82"/>
      <c r="VAR185" s="82"/>
      <c r="VAS185" s="82"/>
      <c r="VAT185" s="82"/>
      <c r="VAU185" s="82"/>
      <c r="VAV185" s="82"/>
      <c r="VAW185" s="82"/>
      <c r="VAX185" s="82"/>
      <c r="VAY185" s="82"/>
      <c r="VAZ185" s="82"/>
      <c r="VBA185" s="82"/>
      <c r="VBB185" s="82"/>
      <c r="VBC185" s="82"/>
      <c r="VBD185" s="82"/>
      <c r="VBE185" s="82"/>
      <c r="VBF185" s="82"/>
      <c r="VBG185" s="82"/>
      <c r="VBH185" s="82"/>
      <c r="VBI185" s="82"/>
      <c r="VBJ185" s="82"/>
      <c r="VBK185" s="82"/>
      <c r="VBL185" s="82"/>
      <c r="VBM185" s="82"/>
      <c r="VBN185" s="82"/>
      <c r="VBO185" s="82"/>
      <c r="VBP185" s="82"/>
      <c r="VBQ185" s="82"/>
      <c r="VBR185" s="82"/>
      <c r="VBS185" s="82"/>
      <c r="VBT185" s="82"/>
      <c r="VBU185" s="82"/>
      <c r="VBV185" s="82"/>
      <c r="VBW185" s="82"/>
      <c r="VBX185" s="82"/>
      <c r="VBY185" s="82"/>
      <c r="VBZ185" s="82"/>
      <c r="VCA185" s="82"/>
      <c r="VCB185" s="82"/>
      <c r="VCC185" s="82"/>
      <c r="VCD185" s="82"/>
      <c r="VCE185" s="82"/>
      <c r="VCF185" s="82"/>
      <c r="VCG185" s="82"/>
      <c r="VCH185" s="82"/>
      <c r="VCI185" s="82"/>
      <c r="VCJ185" s="82"/>
      <c r="VCK185" s="82"/>
      <c r="VCL185" s="82"/>
      <c r="VCM185" s="82"/>
      <c r="VCN185" s="82"/>
      <c r="VCO185" s="82"/>
      <c r="VCP185" s="82"/>
      <c r="VCQ185" s="82"/>
      <c r="VCR185" s="82"/>
      <c r="VCS185" s="82"/>
      <c r="VCT185" s="82"/>
      <c r="VCU185" s="82"/>
      <c r="VCV185" s="82"/>
      <c r="VCW185" s="82"/>
      <c r="VCX185" s="82"/>
      <c r="VCY185" s="82"/>
      <c r="VCZ185" s="82"/>
      <c r="VDA185" s="82"/>
      <c r="VDB185" s="82"/>
      <c r="VDC185" s="82"/>
      <c r="VDD185" s="82"/>
      <c r="VDE185" s="82"/>
      <c r="VDF185" s="82"/>
      <c r="VDG185" s="82"/>
      <c r="VDH185" s="82"/>
      <c r="VDI185" s="82"/>
      <c r="VDJ185" s="82"/>
      <c r="VDK185" s="82"/>
      <c r="VDL185" s="82"/>
      <c r="VDM185" s="82"/>
      <c r="VDN185" s="82"/>
      <c r="VDO185" s="82"/>
      <c r="VDP185" s="82"/>
      <c r="VDQ185" s="82"/>
      <c r="VDR185" s="82"/>
      <c r="VDS185" s="82"/>
      <c r="VDT185" s="82"/>
      <c r="VDU185" s="82"/>
      <c r="VDV185" s="82"/>
      <c r="VDW185" s="82"/>
      <c r="VDX185" s="82"/>
      <c r="VDY185" s="82"/>
      <c r="VDZ185" s="82"/>
      <c r="VEA185" s="82"/>
      <c r="VEB185" s="82"/>
      <c r="VEC185" s="82"/>
      <c r="VED185" s="82"/>
      <c r="VEE185" s="82"/>
      <c r="VEF185" s="82"/>
      <c r="VEG185" s="82"/>
      <c r="VEH185" s="82"/>
      <c r="VEI185" s="82"/>
      <c r="VEJ185" s="82"/>
      <c r="VEK185" s="82"/>
      <c r="VEL185" s="82"/>
      <c r="VEM185" s="82"/>
      <c r="VEN185" s="82"/>
      <c r="VEO185" s="82"/>
      <c r="VEP185" s="82"/>
      <c r="VEQ185" s="82"/>
      <c r="VER185" s="82"/>
      <c r="VES185" s="82"/>
      <c r="VET185" s="82"/>
      <c r="VEU185" s="82"/>
      <c r="VEV185" s="82"/>
      <c r="VEW185" s="82"/>
      <c r="VEX185" s="82"/>
      <c r="VEY185" s="82"/>
      <c r="VEZ185" s="82"/>
      <c r="VFA185" s="82"/>
      <c r="VFB185" s="82"/>
      <c r="VFC185" s="82"/>
      <c r="VFD185" s="82"/>
      <c r="VFE185" s="82"/>
      <c r="VFF185" s="82"/>
      <c r="VFG185" s="82"/>
      <c r="VFH185" s="82"/>
      <c r="VFI185" s="82"/>
      <c r="VFJ185" s="82"/>
      <c r="VFK185" s="82"/>
      <c r="VFL185" s="82"/>
      <c r="VFM185" s="82"/>
      <c r="VFN185" s="82"/>
      <c r="VFO185" s="82"/>
      <c r="VFP185" s="82"/>
      <c r="VFQ185" s="82"/>
      <c r="VFR185" s="82"/>
      <c r="VFS185" s="82"/>
      <c r="VFT185" s="82"/>
      <c r="VFU185" s="82"/>
      <c r="VFV185" s="82"/>
      <c r="VFW185" s="82"/>
      <c r="VFX185" s="82"/>
      <c r="VFY185" s="82"/>
      <c r="VFZ185" s="82"/>
      <c r="VGA185" s="82"/>
      <c r="VGB185" s="82"/>
      <c r="VGC185" s="82"/>
      <c r="VGD185" s="82"/>
      <c r="VGE185" s="82"/>
      <c r="VGF185" s="82"/>
      <c r="VGG185" s="82"/>
      <c r="VGH185" s="82"/>
      <c r="VGI185" s="82"/>
      <c r="VGJ185" s="82"/>
      <c r="VGK185" s="82"/>
      <c r="VGL185" s="82"/>
      <c r="VGM185" s="82"/>
      <c r="VGN185" s="82"/>
      <c r="VGO185" s="82"/>
      <c r="VGP185" s="82"/>
      <c r="VGQ185" s="82"/>
      <c r="VGR185" s="82"/>
      <c r="VGS185" s="82"/>
      <c r="VGT185" s="82"/>
      <c r="VGU185" s="82"/>
      <c r="VGV185" s="82"/>
      <c r="VGW185" s="82"/>
      <c r="VGX185" s="82"/>
      <c r="VGY185" s="82"/>
      <c r="VGZ185" s="82"/>
      <c r="VHA185" s="82"/>
      <c r="VHB185" s="82"/>
      <c r="VHC185" s="82"/>
      <c r="VHD185" s="82"/>
      <c r="VHE185" s="82"/>
      <c r="VHF185" s="82"/>
      <c r="VHG185" s="82"/>
      <c r="VHH185" s="82"/>
      <c r="VHI185" s="82"/>
      <c r="VHJ185" s="82"/>
      <c r="VHK185" s="82"/>
      <c r="VHL185" s="82"/>
      <c r="VHM185" s="82"/>
      <c r="VHN185" s="82"/>
      <c r="VHO185" s="82"/>
      <c r="VHP185" s="82"/>
      <c r="VHQ185" s="82"/>
      <c r="VHR185" s="82"/>
      <c r="VHS185" s="82"/>
      <c r="VHT185" s="82"/>
      <c r="VHU185" s="82"/>
      <c r="VHV185" s="82"/>
      <c r="VHW185" s="82"/>
      <c r="VHX185" s="82"/>
      <c r="VHY185" s="82"/>
      <c r="VHZ185" s="82"/>
      <c r="VIA185" s="82"/>
      <c r="VIB185" s="82"/>
      <c r="VIC185" s="82"/>
      <c r="VID185" s="82"/>
      <c r="VIE185" s="82"/>
      <c r="VIF185" s="82"/>
      <c r="VIG185" s="82"/>
      <c r="VIH185" s="82"/>
      <c r="VII185" s="82"/>
      <c r="VIJ185" s="82"/>
      <c r="VIK185" s="82"/>
      <c r="VIL185" s="82"/>
      <c r="VIM185" s="82"/>
      <c r="VIN185" s="82"/>
      <c r="VIO185" s="82"/>
      <c r="VIP185" s="82"/>
      <c r="VIQ185" s="82"/>
      <c r="VIR185" s="82"/>
      <c r="VIS185" s="82"/>
      <c r="VIT185" s="82"/>
      <c r="VIU185" s="82"/>
      <c r="VIV185" s="82"/>
      <c r="VIW185" s="82"/>
      <c r="VIX185" s="82"/>
      <c r="VIY185" s="82"/>
      <c r="VIZ185" s="82"/>
      <c r="VJA185" s="82"/>
      <c r="VJB185" s="82"/>
      <c r="VJC185" s="82"/>
      <c r="VJD185" s="82"/>
      <c r="VJE185" s="82"/>
      <c r="VJF185" s="82"/>
      <c r="VJG185" s="82"/>
      <c r="VJH185" s="82"/>
      <c r="VJI185" s="82"/>
      <c r="VJJ185" s="82"/>
      <c r="VJK185" s="82"/>
      <c r="VJL185" s="82"/>
      <c r="VJM185" s="82"/>
      <c r="VJN185" s="82"/>
      <c r="VJO185" s="82"/>
      <c r="VJP185" s="82"/>
      <c r="VJQ185" s="82"/>
      <c r="VJR185" s="82"/>
      <c r="VJS185" s="82"/>
      <c r="VJT185" s="82"/>
      <c r="VJU185" s="82"/>
      <c r="VJV185" s="82"/>
      <c r="VJW185" s="82"/>
      <c r="VJX185" s="82"/>
      <c r="VJY185" s="82"/>
      <c r="VJZ185" s="82"/>
      <c r="VKA185" s="82"/>
      <c r="VKB185" s="82"/>
      <c r="VKC185" s="82"/>
      <c r="VKD185" s="82"/>
      <c r="VKE185" s="82"/>
      <c r="VKF185" s="82"/>
      <c r="VKG185" s="82"/>
      <c r="VKH185" s="82"/>
      <c r="VKI185" s="82"/>
      <c r="VKJ185" s="82"/>
      <c r="VKK185" s="82"/>
      <c r="VKL185" s="82"/>
      <c r="VKM185" s="82"/>
      <c r="VKN185" s="82"/>
      <c r="VKO185" s="82"/>
      <c r="VKP185" s="82"/>
      <c r="VKQ185" s="82"/>
      <c r="VKR185" s="82"/>
      <c r="VKS185" s="82"/>
      <c r="VKT185" s="82"/>
      <c r="VKU185" s="82"/>
      <c r="VKV185" s="82"/>
      <c r="VKW185" s="82"/>
      <c r="VKX185" s="82"/>
      <c r="VKY185" s="82"/>
      <c r="VKZ185" s="82"/>
      <c r="VLA185" s="82"/>
      <c r="VLB185" s="82"/>
      <c r="VLC185" s="82"/>
      <c r="VLD185" s="82"/>
      <c r="VLE185" s="82"/>
      <c r="VLF185" s="82"/>
      <c r="VLG185" s="82"/>
      <c r="VLH185" s="82"/>
      <c r="VLI185" s="82"/>
      <c r="VLJ185" s="82"/>
      <c r="VLK185" s="82"/>
      <c r="VLL185" s="82"/>
      <c r="VLM185" s="82"/>
      <c r="VLN185" s="82"/>
      <c r="VLO185" s="82"/>
      <c r="VLP185" s="82"/>
      <c r="VLQ185" s="82"/>
      <c r="VLR185" s="82"/>
      <c r="VLS185" s="82"/>
      <c r="VLT185" s="82"/>
      <c r="VLU185" s="82"/>
      <c r="VLV185" s="82"/>
      <c r="VLW185" s="82"/>
      <c r="VLX185" s="82"/>
      <c r="VLY185" s="82"/>
      <c r="VLZ185" s="82"/>
      <c r="VMA185" s="82"/>
      <c r="VMB185" s="82"/>
      <c r="VMC185" s="82"/>
      <c r="VMD185" s="82"/>
      <c r="VME185" s="82"/>
      <c r="VMF185" s="82"/>
      <c r="VMG185" s="82"/>
      <c r="VMH185" s="82"/>
      <c r="VMI185" s="82"/>
      <c r="VMJ185" s="82"/>
      <c r="VMK185" s="82"/>
      <c r="VML185" s="82"/>
      <c r="VMM185" s="82"/>
      <c r="VMN185" s="82"/>
      <c r="VMO185" s="82"/>
      <c r="VMP185" s="82"/>
      <c r="VMQ185" s="82"/>
      <c r="VMR185" s="82"/>
      <c r="VMS185" s="82"/>
      <c r="VMT185" s="82"/>
      <c r="VMU185" s="82"/>
      <c r="VMV185" s="82"/>
      <c r="VMW185" s="82"/>
      <c r="VMX185" s="82"/>
      <c r="VMY185" s="82"/>
      <c r="VMZ185" s="82"/>
      <c r="VNA185" s="82"/>
      <c r="VNB185" s="82"/>
      <c r="VNC185" s="82"/>
      <c r="VND185" s="82"/>
      <c r="VNE185" s="82"/>
      <c r="VNF185" s="82"/>
      <c r="VNG185" s="82"/>
      <c r="VNH185" s="82"/>
      <c r="VNI185" s="82"/>
      <c r="VNJ185" s="82"/>
      <c r="VNK185" s="82"/>
      <c r="VNL185" s="82"/>
      <c r="VNM185" s="82"/>
      <c r="VNN185" s="82"/>
      <c r="VNO185" s="82"/>
      <c r="VNP185" s="82"/>
      <c r="VNQ185" s="82"/>
      <c r="VNR185" s="82"/>
      <c r="VNS185" s="82"/>
      <c r="VNT185" s="82"/>
      <c r="VNU185" s="82"/>
      <c r="VNV185" s="82"/>
      <c r="VNW185" s="82"/>
      <c r="VNX185" s="82"/>
      <c r="VNY185" s="82"/>
      <c r="VNZ185" s="82"/>
      <c r="VOA185" s="82"/>
      <c r="VOB185" s="82"/>
      <c r="VOC185" s="82"/>
      <c r="VOD185" s="82"/>
      <c r="VOE185" s="82"/>
      <c r="VOF185" s="82"/>
      <c r="VOG185" s="82"/>
      <c r="VOH185" s="82"/>
      <c r="VOI185" s="82"/>
      <c r="VOJ185" s="82"/>
      <c r="VOK185" s="82"/>
      <c r="VOL185" s="82"/>
      <c r="VOM185" s="82"/>
      <c r="VON185" s="82"/>
      <c r="VOO185" s="82"/>
      <c r="VOP185" s="82"/>
      <c r="VOQ185" s="82"/>
      <c r="VOR185" s="82"/>
      <c r="VOS185" s="82"/>
      <c r="VOT185" s="82"/>
      <c r="VOU185" s="82"/>
      <c r="VOV185" s="82"/>
      <c r="VOW185" s="82"/>
      <c r="VOX185" s="82"/>
      <c r="VOY185" s="82"/>
      <c r="VOZ185" s="82"/>
      <c r="VPA185" s="82"/>
      <c r="VPB185" s="82"/>
      <c r="VPC185" s="82"/>
      <c r="VPD185" s="82"/>
      <c r="VPE185" s="82"/>
      <c r="VPF185" s="82"/>
      <c r="VPG185" s="82"/>
      <c r="VPH185" s="82"/>
      <c r="VPI185" s="82"/>
      <c r="VPJ185" s="82"/>
      <c r="VPK185" s="82"/>
      <c r="VPL185" s="82"/>
      <c r="VPM185" s="82"/>
      <c r="VPN185" s="82"/>
      <c r="VPO185" s="82"/>
      <c r="VPP185" s="82"/>
      <c r="VPQ185" s="82"/>
      <c r="VPR185" s="82"/>
      <c r="VPS185" s="82"/>
      <c r="VPT185" s="82"/>
      <c r="VPU185" s="82"/>
      <c r="VPV185" s="82"/>
      <c r="VPW185" s="82"/>
      <c r="VPX185" s="82"/>
      <c r="VPY185" s="82"/>
      <c r="VPZ185" s="82"/>
      <c r="VQA185" s="82"/>
      <c r="VQB185" s="82"/>
      <c r="VQC185" s="82"/>
      <c r="VQD185" s="82"/>
      <c r="VQE185" s="82"/>
      <c r="VQF185" s="82"/>
      <c r="VQG185" s="82"/>
      <c r="VQH185" s="82"/>
      <c r="VQI185" s="82"/>
      <c r="VQJ185" s="82"/>
      <c r="VQK185" s="82"/>
      <c r="VQL185" s="82"/>
      <c r="VQM185" s="82"/>
      <c r="VQN185" s="82"/>
      <c r="VQO185" s="82"/>
      <c r="VQP185" s="82"/>
      <c r="VQQ185" s="82"/>
      <c r="VQR185" s="82"/>
      <c r="VQS185" s="82"/>
      <c r="VQT185" s="82"/>
      <c r="VQU185" s="82"/>
      <c r="VQV185" s="82"/>
      <c r="VQW185" s="82"/>
      <c r="VQX185" s="82"/>
      <c r="VQY185" s="82"/>
      <c r="VQZ185" s="82"/>
      <c r="VRA185" s="82"/>
      <c r="VRB185" s="82"/>
      <c r="VRC185" s="82"/>
      <c r="VRD185" s="82"/>
      <c r="VRE185" s="82"/>
      <c r="VRF185" s="82"/>
      <c r="VRG185" s="82"/>
      <c r="VRH185" s="82"/>
      <c r="VRI185" s="82"/>
      <c r="VRJ185" s="82"/>
      <c r="VRK185" s="82"/>
      <c r="VRL185" s="82"/>
      <c r="VRM185" s="82"/>
      <c r="VRN185" s="82"/>
      <c r="VRO185" s="82"/>
      <c r="VRP185" s="82"/>
      <c r="VRQ185" s="82"/>
      <c r="VRR185" s="82"/>
      <c r="VRS185" s="82"/>
      <c r="VRT185" s="82"/>
      <c r="VRU185" s="82"/>
      <c r="VRV185" s="82"/>
      <c r="VRW185" s="82"/>
      <c r="VRX185" s="82"/>
      <c r="VRY185" s="82"/>
      <c r="VRZ185" s="82"/>
      <c r="VSA185" s="82"/>
      <c r="VSB185" s="82"/>
      <c r="VSC185" s="82"/>
      <c r="VSD185" s="82"/>
      <c r="VSE185" s="82"/>
      <c r="VSF185" s="82"/>
      <c r="VSG185" s="82"/>
      <c r="VSH185" s="82"/>
      <c r="VSI185" s="82"/>
      <c r="VSJ185" s="82"/>
      <c r="VSK185" s="82"/>
      <c r="VSL185" s="82"/>
      <c r="VSM185" s="82"/>
      <c r="VSN185" s="82"/>
      <c r="VSO185" s="82"/>
      <c r="VSP185" s="82"/>
      <c r="VSQ185" s="82"/>
      <c r="VSR185" s="82"/>
      <c r="VSS185" s="82"/>
      <c r="VST185" s="82"/>
      <c r="VSU185" s="82"/>
      <c r="VSV185" s="82"/>
      <c r="VSW185" s="82"/>
      <c r="VSX185" s="82"/>
      <c r="VSY185" s="82"/>
      <c r="VSZ185" s="82"/>
      <c r="VTA185" s="82"/>
      <c r="VTB185" s="82"/>
      <c r="VTC185" s="82"/>
      <c r="VTD185" s="82"/>
      <c r="VTE185" s="82"/>
      <c r="VTF185" s="82"/>
      <c r="VTG185" s="82"/>
      <c r="VTH185" s="82"/>
      <c r="VTI185" s="82"/>
      <c r="VTJ185" s="82"/>
      <c r="VTK185" s="82"/>
      <c r="VTL185" s="82"/>
      <c r="VTM185" s="82"/>
      <c r="VTN185" s="82"/>
      <c r="VTO185" s="82"/>
      <c r="VTP185" s="82"/>
      <c r="VTQ185" s="82"/>
      <c r="VTR185" s="82"/>
      <c r="VTS185" s="82"/>
      <c r="VTT185" s="82"/>
      <c r="VTU185" s="82"/>
      <c r="VTV185" s="82"/>
      <c r="VTW185" s="82"/>
      <c r="VTX185" s="82"/>
      <c r="VTY185" s="82"/>
      <c r="VTZ185" s="82"/>
      <c r="VUA185" s="82"/>
      <c r="VUB185" s="82"/>
      <c r="VUC185" s="82"/>
      <c r="VUD185" s="82"/>
      <c r="VUE185" s="82"/>
      <c r="VUF185" s="82"/>
      <c r="VUG185" s="82"/>
      <c r="VUH185" s="82"/>
      <c r="VUI185" s="82"/>
      <c r="VUJ185" s="82"/>
      <c r="VUK185" s="82"/>
      <c r="VUL185" s="82"/>
      <c r="VUM185" s="82"/>
      <c r="VUN185" s="82"/>
      <c r="VUO185" s="82"/>
      <c r="VUP185" s="82"/>
      <c r="VUQ185" s="82"/>
      <c r="VUR185" s="82"/>
      <c r="VUS185" s="82"/>
      <c r="VUT185" s="82"/>
      <c r="VUU185" s="82"/>
      <c r="VUV185" s="82"/>
      <c r="VUW185" s="82"/>
      <c r="VUX185" s="82"/>
      <c r="VUY185" s="82"/>
      <c r="VUZ185" s="82"/>
      <c r="VVA185" s="82"/>
      <c r="VVB185" s="82"/>
      <c r="VVC185" s="82"/>
      <c r="VVD185" s="82"/>
      <c r="VVE185" s="82"/>
      <c r="VVF185" s="82"/>
      <c r="VVG185" s="82"/>
      <c r="VVH185" s="82"/>
      <c r="VVI185" s="82"/>
      <c r="VVJ185" s="82"/>
      <c r="VVK185" s="82"/>
      <c r="VVL185" s="82"/>
      <c r="VVM185" s="82"/>
      <c r="VVN185" s="82"/>
      <c r="VVO185" s="82"/>
      <c r="VVP185" s="82"/>
      <c r="VVQ185" s="82"/>
      <c r="VVR185" s="82"/>
      <c r="VVS185" s="82"/>
      <c r="VVT185" s="82"/>
      <c r="VVU185" s="82"/>
      <c r="VVV185" s="82"/>
      <c r="VVW185" s="82"/>
      <c r="VVX185" s="82"/>
      <c r="VVY185" s="82"/>
      <c r="VVZ185" s="82"/>
      <c r="VWA185" s="82"/>
      <c r="VWB185" s="82"/>
      <c r="VWC185" s="82"/>
      <c r="VWD185" s="82"/>
      <c r="VWE185" s="82"/>
      <c r="VWF185" s="82"/>
      <c r="VWG185" s="82"/>
      <c r="VWH185" s="82"/>
      <c r="VWI185" s="82"/>
      <c r="VWJ185" s="82"/>
      <c r="VWK185" s="82"/>
      <c r="VWL185" s="82"/>
      <c r="VWM185" s="82"/>
      <c r="VWN185" s="82"/>
      <c r="VWO185" s="82"/>
      <c r="VWP185" s="82"/>
      <c r="VWQ185" s="82"/>
      <c r="VWR185" s="82"/>
      <c r="VWS185" s="82"/>
      <c r="VWT185" s="82"/>
      <c r="VWU185" s="82"/>
      <c r="VWV185" s="82"/>
      <c r="VWW185" s="82"/>
      <c r="VWX185" s="82"/>
      <c r="VWY185" s="82"/>
      <c r="VWZ185" s="82"/>
      <c r="VXA185" s="82"/>
      <c r="VXB185" s="82"/>
      <c r="VXC185" s="82"/>
      <c r="VXD185" s="82"/>
      <c r="VXE185" s="82"/>
      <c r="VXF185" s="82"/>
      <c r="VXG185" s="82"/>
      <c r="VXH185" s="82"/>
      <c r="VXI185" s="82"/>
      <c r="VXJ185" s="82"/>
      <c r="VXK185" s="82"/>
      <c r="VXL185" s="82"/>
      <c r="VXM185" s="82"/>
      <c r="VXN185" s="82"/>
      <c r="VXO185" s="82"/>
      <c r="VXP185" s="82"/>
      <c r="VXQ185" s="82"/>
      <c r="VXR185" s="82"/>
      <c r="VXS185" s="82"/>
      <c r="VXT185" s="82"/>
      <c r="VXU185" s="82"/>
      <c r="VXV185" s="82"/>
      <c r="VXW185" s="82"/>
      <c r="VXX185" s="82"/>
      <c r="VXY185" s="82"/>
      <c r="VXZ185" s="82"/>
      <c r="VYA185" s="82"/>
      <c r="VYB185" s="82"/>
      <c r="VYC185" s="82"/>
      <c r="VYD185" s="82"/>
      <c r="VYE185" s="82"/>
      <c r="VYF185" s="82"/>
      <c r="VYG185" s="82"/>
      <c r="VYH185" s="82"/>
      <c r="VYI185" s="82"/>
      <c r="VYJ185" s="82"/>
      <c r="VYK185" s="82"/>
      <c r="VYL185" s="82"/>
      <c r="VYM185" s="82"/>
      <c r="VYN185" s="82"/>
      <c r="VYO185" s="82"/>
      <c r="VYP185" s="82"/>
      <c r="VYQ185" s="82"/>
      <c r="VYR185" s="82"/>
      <c r="VYS185" s="82"/>
      <c r="VYT185" s="82"/>
      <c r="VYU185" s="82"/>
      <c r="VYV185" s="82"/>
      <c r="VYW185" s="82"/>
      <c r="VYX185" s="82"/>
      <c r="VYY185" s="82"/>
      <c r="VYZ185" s="82"/>
      <c r="VZA185" s="82"/>
      <c r="VZB185" s="82"/>
      <c r="VZC185" s="82"/>
      <c r="VZD185" s="82"/>
      <c r="VZE185" s="82"/>
      <c r="VZF185" s="82"/>
      <c r="VZG185" s="82"/>
      <c r="VZH185" s="82"/>
      <c r="VZI185" s="82"/>
      <c r="VZJ185" s="82"/>
      <c r="VZK185" s="82"/>
      <c r="VZL185" s="82"/>
      <c r="VZM185" s="82"/>
      <c r="VZN185" s="82"/>
      <c r="VZO185" s="82"/>
      <c r="VZP185" s="82"/>
      <c r="VZQ185" s="82"/>
      <c r="VZR185" s="82"/>
      <c r="VZS185" s="82"/>
      <c r="VZT185" s="82"/>
      <c r="VZU185" s="82"/>
      <c r="VZV185" s="82"/>
      <c r="VZW185" s="82"/>
      <c r="VZX185" s="82"/>
      <c r="VZY185" s="82"/>
      <c r="VZZ185" s="82"/>
      <c r="WAA185" s="82"/>
      <c r="WAB185" s="82"/>
      <c r="WAC185" s="82"/>
      <c r="WAD185" s="82"/>
      <c r="WAE185" s="82"/>
      <c r="WAF185" s="82"/>
      <c r="WAG185" s="82"/>
      <c r="WAH185" s="82"/>
      <c r="WAI185" s="82"/>
      <c r="WAJ185" s="82"/>
      <c r="WAK185" s="82"/>
      <c r="WAL185" s="82"/>
      <c r="WAM185" s="82"/>
      <c r="WAN185" s="82"/>
      <c r="WAO185" s="82"/>
      <c r="WAP185" s="82"/>
      <c r="WAQ185" s="82"/>
      <c r="WAR185" s="82"/>
      <c r="WAS185" s="82"/>
      <c r="WAT185" s="82"/>
      <c r="WAU185" s="82"/>
      <c r="WAV185" s="82"/>
      <c r="WAW185" s="82"/>
      <c r="WAX185" s="82"/>
      <c r="WAY185" s="82"/>
      <c r="WAZ185" s="82"/>
      <c r="WBA185" s="82"/>
      <c r="WBB185" s="82"/>
      <c r="WBC185" s="82"/>
      <c r="WBD185" s="82"/>
      <c r="WBE185" s="82"/>
      <c r="WBF185" s="82"/>
      <c r="WBG185" s="82"/>
      <c r="WBH185" s="82"/>
      <c r="WBI185" s="82"/>
      <c r="WBJ185" s="82"/>
      <c r="WBK185" s="82"/>
      <c r="WBL185" s="82"/>
      <c r="WBM185" s="82"/>
      <c r="WBN185" s="82"/>
      <c r="WBO185" s="82"/>
      <c r="WBP185" s="82"/>
      <c r="WBQ185" s="82"/>
      <c r="WBR185" s="82"/>
      <c r="WBS185" s="82"/>
      <c r="WBT185" s="82"/>
      <c r="WBU185" s="82"/>
      <c r="WBV185" s="82"/>
      <c r="WBW185" s="82"/>
      <c r="WBX185" s="82"/>
      <c r="WBY185" s="82"/>
      <c r="WBZ185" s="82"/>
      <c r="WCA185" s="82"/>
      <c r="WCB185" s="82"/>
      <c r="WCC185" s="82"/>
      <c r="WCD185" s="82"/>
      <c r="WCE185" s="82"/>
      <c r="WCF185" s="82"/>
      <c r="WCG185" s="82"/>
      <c r="WCH185" s="82"/>
      <c r="WCI185" s="82"/>
      <c r="WCJ185" s="82"/>
      <c r="WCK185" s="82"/>
      <c r="WCL185" s="82"/>
      <c r="WCM185" s="82"/>
      <c r="WCN185" s="82"/>
      <c r="WCO185" s="82"/>
      <c r="WCP185" s="82"/>
      <c r="WCQ185" s="82"/>
      <c r="WCR185" s="82"/>
      <c r="WCS185" s="82"/>
      <c r="WCT185" s="82"/>
      <c r="WCU185" s="82"/>
      <c r="WCV185" s="82"/>
      <c r="WCW185" s="82"/>
      <c r="WCX185" s="82"/>
      <c r="WCY185" s="82"/>
      <c r="WCZ185" s="82"/>
      <c r="WDA185" s="82"/>
      <c r="WDB185" s="82"/>
      <c r="WDC185" s="82"/>
      <c r="WDD185" s="82"/>
      <c r="WDE185" s="82"/>
      <c r="WDF185" s="82"/>
      <c r="WDG185" s="82"/>
      <c r="WDH185" s="82"/>
      <c r="WDI185" s="82"/>
      <c r="WDJ185" s="82"/>
      <c r="WDK185" s="82"/>
      <c r="WDL185" s="82"/>
      <c r="WDM185" s="82"/>
      <c r="WDN185" s="82"/>
      <c r="WDO185" s="82"/>
      <c r="WDP185" s="82"/>
      <c r="WDQ185" s="82"/>
      <c r="WDR185" s="82"/>
      <c r="WDS185" s="82"/>
      <c r="WDT185" s="82"/>
      <c r="WDU185" s="82"/>
      <c r="WDV185" s="82"/>
      <c r="WDW185" s="82"/>
      <c r="WDX185" s="82"/>
      <c r="WDY185" s="82"/>
      <c r="WDZ185" s="82"/>
      <c r="WEA185" s="82"/>
      <c r="WEB185" s="82"/>
      <c r="WEC185" s="82"/>
      <c r="WED185" s="82"/>
      <c r="WEE185" s="82"/>
      <c r="WEF185" s="82"/>
      <c r="WEG185" s="82"/>
      <c r="WEH185" s="82"/>
      <c r="WEI185" s="82"/>
      <c r="WEJ185" s="82"/>
      <c r="WEK185" s="82"/>
      <c r="WEL185" s="82"/>
      <c r="WEM185" s="82"/>
      <c r="WEN185" s="82"/>
      <c r="WEO185" s="82"/>
      <c r="WEP185" s="82"/>
      <c r="WEQ185" s="82"/>
      <c r="WER185" s="82"/>
      <c r="WES185" s="82"/>
      <c r="WET185" s="82"/>
      <c r="WEU185" s="82"/>
      <c r="WEV185" s="82"/>
      <c r="WEW185" s="82"/>
      <c r="WEX185" s="82"/>
      <c r="WEY185" s="82"/>
      <c r="WEZ185" s="82"/>
      <c r="WFA185" s="82"/>
      <c r="WFB185" s="82"/>
      <c r="WFC185" s="82"/>
      <c r="WFD185" s="82"/>
      <c r="WFE185" s="82"/>
      <c r="WFF185" s="82"/>
      <c r="WFG185" s="82"/>
      <c r="WFH185" s="82"/>
      <c r="WFI185" s="82"/>
      <c r="WFJ185" s="82"/>
      <c r="WFK185" s="82"/>
      <c r="WFL185" s="82"/>
      <c r="WFM185" s="82"/>
      <c r="WFN185" s="82"/>
      <c r="WFO185" s="82"/>
      <c r="WFP185" s="82"/>
      <c r="WFQ185" s="82"/>
      <c r="WFR185" s="82"/>
      <c r="WFS185" s="82"/>
      <c r="WFT185" s="82"/>
      <c r="WFU185" s="82"/>
      <c r="WFV185" s="82"/>
      <c r="WFW185" s="82"/>
      <c r="WFX185" s="82"/>
      <c r="WFY185" s="82"/>
      <c r="WFZ185" s="82"/>
      <c r="WGA185" s="82"/>
      <c r="WGB185" s="82"/>
      <c r="WGC185" s="82"/>
      <c r="WGD185" s="82"/>
      <c r="WGE185" s="82"/>
      <c r="WGF185" s="82"/>
      <c r="WGG185" s="82"/>
      <c r="WGH185" s="82"/>
      <c r="WGI185" s="82"/>
      <c r="WGJ185" s="82"/>
      <c r="WGK185" s="82"/>
      <c r="WGL185" s="82"/>
      <c r="WGM185" s="82"/>
      <c r="WGN185" s="82"/>
      <c r="WGO185" s="82"/>
      <c r="WGP185" s="82"/>
      <c r="WGQ185" s="82"/>
      <c r="WGR185" s="82"/>
      <c r="WGS185" s="82"/>
      <c r="WGT185" s="82"/>
      <c r="WGU185" s="82"/>
      <c r="WGV185" s="82"/>
      <c r="WGW185" s="82"/>
      <c r="WGX185" s="82"/>
      <c r="WGY185" s="82"/>
      <c r="WGZ185" s="82"/>
      <c r="WHA185" s="82"/>
      <c r="WHB185" s="82"/>
      <c r="WHC185" s="82"/>
      <c r="WHD185" s="82"/>
      <c r="WHE185" s="82"/>
      <c r="WHF185" s="82"/>
      <c r="WHG185" s="82"/>
      <c r="WHH185" s="82"/>
      <c r="WHI185" s="82"/>
      <c r="WHJ185" s="82"/>
      <c r="WHK185" s="82"/>
      <c r="WHL185" s="82"/>
      <c r="WHM185" s="82"/>
      <c r="WHN185" s="82"/>
      <c r="WHO185" s="82"/>
      <c r="WHP185" s="82"/>
      <c r="WHQ185" s="82"/>
      <c r="WHR185" s="82"/>
      <c r="WHS185" s="82"/>
      <c r="WHT185" s="82"/>
      <c r="WHU185" s="82"/>
      <c r="WHV185" s="82"/>
      <c r="WHW185" s="82"/>
      <c r="WHX185" s="82"/>
      <c r="WHY185" s="82"/>
      <c r="WHZ185" s="82"/>
      <c r="WIA185" s="82"/>
      <c r="WIB185" s="82"/>
      <c r="WIC185" s="82"/>
      <c r="WID185" s="82"/>
      <c r="WIE185" s="82"/>
      <c r="WIF185" s="82"/>
      <c r="WIG185" s="82"/>
      <c r="WIH185" s="82"/>
      <c r="WII185" s="82"/>
      <c r="WIJ185" s="82"/>
      <c r="WIK185" s="82"/>
      <c r="WIL185" s="82"/>
      <c r="WIM185" s="82"/>
      <c r="WIN185" s="82"/>
      <c r="WIO185" s="82"/>
      <c r="WIP185" s="82"/>
      <c r="WIQ185" s="82"/>
      <c r="WIR185" s="82"/>
      <c r="WIS185" s="82"/>
      <c r="WIT185" s="82"/>
      <c r="WIU185" s="82"/>
      <c r="WIV185" s="82"/>
      <c r="WIW185" s="82"/>
      <c r="WIX185" s="82"/>
      <c r="WIY185" s="82"/>
      <c r="WIZ185" s="82"/>
      <c r="WJA185" s="82"/>
      <c r="WJB185" s="82"/>
      <c r="WJC185" s="82"/>
      <c r="WJD185" s="82"/>
      <c r="WJE185" s="82"/>
      <c r="WJF185" s="82"/>
      <c r="WJG185" s="82"/>
      <c r="WJH185" s="82"/>
      <c r="WJI185" s="82"/>
      <c r="WJJ185" s="82"/>
      <c r="WJK185" s="82"/>
      <c r="WJL185" s="82"/>
      <c r="WJM185" s="82"/>
      <c r="WJN185" s="82"/>
      <c r="WJO185" s="82"/>
      <c r="WJP185" s="82"/>
      <c r="WJQ185" s="82"/>
      <c r="WJR185" s="82"/>
      <c r="WJS185" s="82"/>
      <c r="WJT185" s="82"/>
      <c r="WJU185" s="82"/>
      <c r="WJV185" s="82"/>
      <c r="WJW185" s="82"/>
      <c r="WJX185" s="82"/>
      <c r="WJY185" s="82"/>
      <c r="WJZ185" s="82"/>
      <c r="WKA185" s="82"/>
      <c r="WKB185" s="82"/>
      <c r="WKC185" s="82"/>
      <c r="WKD185" s="82"/>
      <c r="WKE185" s="82"/>
      <c r="WKF185" s="82"/>
      <c r="WKG185" s="82"/>
      <c r="WKH185" s="82"/>
      <c r="WKI185" s="82"/>
      <c r="WKJ185" s="82"/>
      <c r="WKK185" s="82"/>
      <c r="WKL185" s="82"/>
      <c r="WKM185" s="82"/>
      <c r="WKN185" s="82"/>
      <c r="WKO185" s="82"/>
      <c r="WKP185" s="82"/>
      <c r="WKQ185" s="82"/>
      <c r="WKR185" s="82"/>
      <c r="WKS185" s="82"/>
      <c r="WKT185" s="82"/>
      <c r="WKU185" s="82"/>
      <c r="WKV185" s="82"/>
      <c r="WKW185" s="82"/>
      <c r="WKX185" s="82"/>
      <c r="WKY185" s="82"/>
      <c r="WKZ185" s="82"/>
      <c r="WLA185" s="82"/>
      <c r="WLB185" s="82"/>
      <c r="WLC185" s="82"/>
      <c r="WLD185" s="82"/>
      <c r="WLE185" s="82"/>
      <c r="WLF185" s="82"/>
      <c r="WLG185" s="82"/>
      <c r="WLH185" s="82"/>
      <c r="WLI185" s="82"/>
      <c r="WLJ185" s="82"/>
      <c r="WLK185" s="82"/>
      <c r="WLL185" s="82"/>
      <c r="WLM185" s="82"/>
      <c r="WLN185" s="82"/>
      <c r="WLO185" s="82"/>
      <c r="WLP185" s="82"/>
      <c r="WLQ185" s="82"/>
      <c r="WLR185" s="82"/>
      <c r="WLS185" s="82"/>
      <c r="WLT185" s="82"/>
      <c r="WLU185" s="82"/>
      <c r="WLV185" s="82"/>
      <c r="WLW185" s="82"/>
      <c r="WLX185" s="82"/>
      <c r="WLY185" s="82"/>
      <c r="WLZ185" s="82"/>
      <c r="WMA185" s="82"/>
      <c r="WMB185" s="82"/>
      <c r="WMC185" s="82"/>
      <c r="WMD185" s="82"/>
      <c r="WME185" s="82"/>
      <c r="WMF185" s="82"/>
      <c r="WMG185" s="82"/>
      <c r="WMH185" s="82"/>
      <c r="WMI185" s="82"/>
      <c r="WMJ185" s="82"/>
      <c r="WMK185" s="82"/>
      <c r="WML185" s="82"/>
      <c r="WMM185" s="82"/>
      <c r="WMN185" s="82"/>
      <c r="WMO185" s="82"/>
      <c r="WMP185" s="82"/>
      <c r="WMQ185" s="82"/>
      <c r="WMR185" s="82"/>
      <c r="WMS185" s="82"/>
      <c r="WMT185" s="82"/>
      <c r="WMU185" s="82"/>
      <c r="WMV185" s="82"/>
      <c r="WMW185" s="82"/>
      <c r="WMX185" s="82"/>
      <c r="WMY185" s="82"/>
      <c r="WMZ185" s="82"/>
      <c r="WNA185" s="82"/>
      <c r="WNB185" s="82"/>
      <c r="WNC185" s="82"/>
      <c r="WND185" s="82"/>
      <c r="WNE185" s="82"/>
      <c r="WNF185" s="82"/>
      <c r="WNG185" s="82"/>
      <c r="WNH185" s="82"/>
      <c r="WNI185" s="82"/>
      <c r="WNJ185" s="82"/>
      <c r="WNK185" s="82"/>
      <c r="WNL185" s="82"/>
      <c r="WNM185" s="82"/>
      <c r="WNN185" s="82"/>
      <c r="WNO185" s="82"/>
      <c r="WNP185" s="82"/>
      <c r="WNQ185" s="82"/>
      <c r="WNR185" s="82"/>
      <c r="WNS185" s="82"/>
      <c r="WNT185" s="82"/>
      <c r="WNU185" s="82"/>
      <c r="WNV185" s="82"/>
      <c r="WNW185" s="82"/>
      <c r="WNX185" s="82"/>
      <c r="WNY185" s="82"/>
      <c r="WNZ185" s="82"/>
      <c r="WOA185" s="82"/>
      <c r="WOB185" s="82"/>
      <c r="WOC185" s="82"/>
      <c r="WOD185" s="82"/>
      <c r="WOE185" s="82"/>
      <c r="WOF185" s="82"/>
      <c r="WOG185" s="82"/>
      <c r="WOH185" s="82"/>
      <c r="WOI185" s="82"/>
      <c r="WOJ185" s="82"/>
      <c r="WOK185" s="82"/>
      <c r="WOL185" s="82"/>
      <c r="WOM185" s="82"/>
      <c r="WON185" s="82"/>
      <c r="WOO185" s="82"/>
      <c r="WOP185" s="82"/>
      <c r="WOQ185" s="82"/>
      <c r="WOR185" s="82"/>
      <c r="WOS185" s="82"/>
      <c r="WOT185" s="82"/>
      <c r="WOU185" s="82"/>
      <c r="WOV185" s="82"/>
      <c r="WOW185" s="82"/>
      <c r="WOX185" s="82"/>
      <c r="WOY185" s="82"/>
      <c r="WOZ185" s="82"/>
      <c r="WPA185" s="82"/>
      <c r="WPB185" s="82"/>
      <c r="WPC185" s="82"/>
      <c r="WPD185" s="82"/>
      <c r="WPE185" s="82"/>
      <c r="WPF185" s="82"/>
      <c r="WPG185" s="82"/>
      <c r="WPH185" s="82"/>
      <c r="WPI185" s="82"/>
      <c r="WPJ185" s="82"/>
      <c r="WPK185" s="82"/>
      <c r="WPL185" s="82"/>
      <c r="WPM185" s="82"/>
      <c r="WPN185" s="82"/>
      <c r="WPO185" s="82"/>
      <c r="WPP185" s="82"/>
      <c r="WPQ185" s="82"/>
      <c r="WPR185" s="82"/>
      <c r="WPS185" s="82"/>
      <c r="WPT185" s="82"/>
      <c r="WPU185" s="82"/>
      <c r="WPV185" s="82"/>
      <c r="WPW185" s="82"/>
      <c r="WPX185" s="82"/>
      <c r="WPY185" s="82"/>
      <c r="WPZ185" s="82"/>
      <c r="WQA185" s="82"/>
      <c r="WQB185" s="82"/>
      <c r="WQC185" s="82"/>
      <c r="WQD185" s="82"/>
      <c r="WQE185" s="82"/>
      <c r="WQF185" s="82"/>
      <c r="WQG185" s="82"/>
      <c r="WQH185" s="82"/>
      <c r="WQI185" s="82"/>
      <c r="WQJ185" s="82"/>
      <c r="WQK185" s="82"/>
      <c r="WQL185" s="82"/>
      <c r="WQM185" s="82"/>
      <c r="WQN185" s="82"/>
      <c r="WQO185" s="82"/>
      <c r="WQP185" s="82"/>
      <c r="WQQ185" s="82"/>
      <c r="WQR185" s="82"/>
      <c r="WQS185" s="82"/>
      <c r="WQT185" s="82"/>
      <c r="WQU185" s="82"/>
      <c r="WQV185" s="82"/>
      <c r="WQW185" s="82"/>
      <c r="WQX185" s="82"/>
      <c r="WQY185" s="82"/>
      <c r="WQZ185" s="82"/>
      <c r="WRA185" s="82"/>
      <c r="WRB185" s="82"/>
      <c r="WRC185" s="82"/>
      <c r="WRD185" s="82"/>
      <c r="WRE185" s="82"/>
      <c r="WRF185" s="82"/>
      <c r="WRG185" s="82"/>
      <c r="WRH185" s="82"/>
      <c r="WRI185" s="82"/>
      <c r="WRJ185" s="82"/>
      <c r="WRK185" s="82"/>
      <c r="WRL185" s="82"/>
      <c r="WRM185" s="82"/>
      <c r="WRN185" s="82"/>
      <c r="WRO185" s="82"/>
      <c r="WRP185" s="82"/>
      <c r="WRQ185" s="82"/>
      <c r="WRR185" s="82"/>
      <c r="WRS185" s="82"/>
      <c r="WRT185" s="82"/>
      <c r="WRU185" s="82"/>
      <c r="WRV185" s="82"/>
      <c r="WRW185" s="82"/>
      <c r="WRX185" s="82"/>
      <c r="WRY185" s="82"/>
      <c r="WRZ185" s="82"/>
      <c r="WSA185" s="82"/>
      <c r="WSB185" s="82"/>
      <c r="WSC185" s="82"/>
      <c r="WSD185" s="82"/>
      <c r="WSE185" s="82"/>
      <c r="WSF185" s="82"/>
      <c r="WSG185" s="82"/>
      <c r="WSH185" s="82"/>
      <c r="WSI185" s="82"/>
      <c r="WSJ185" s="82"/>
      <c r="WSK185" s="82"/>
      <c r="WSL185" s="82"/>
      <c r="WSM185" s="82"/>
      <c r="WSN185" s="82"/>
      <c r="WSO185" s="82"/>
      <c r="WSP185" s="82"/>
      <c r="WSQ185" s="82"/>
      <c r="WSR185" s="82"/>
      <c r="WSS185" s="82"/>
      <c r="WST185" s="82"/>
      <c r="WSU185" s="82"/>
      <c r="WSV185" s="82"/>
      <c r="WSW185" s="82"/>
      <c r="WSX185" s="82"/>
      <c r="WSY185" s="82"/>
      <c r="WSZ185" s="82"/>
      <c r="WTA185" s="82"/>
      <c r="WTB185" s="82"/>
      <c r="WTC185" s="82"/>
      <c r="WTD185" s="82"/>
      <c r="WTE185" s="82"/>
      <c r="WTF185" s="82"/>
      <c r="WTG185" s="82"/>
      <c r="WTH185" s="82"/>
      <c r="WTI185" s="82"/>
      <c r="WTJ185" s="82"/>
      <c r="WTK185" s="82"/>
      <c r="WTL185" s="82"/>
      <c r="WTM185" s="82"/>
      <c r="WTN185" s="82"/>
      <c r="WTO185" s="82"/>
      <c r="WTP185" s="82"/>
      <c r="WTQ185" s="82"/>
      <c r="WTR185" s="82"/>
      <c r="WTS185" s="82"/>
      <c r="WTT185" s="82"/>
      <c r="WTU185" s="82"/>
      <c r="WTV185" s="82"/>
      <c r="WTW185" s="82"/>
      <c r="WTX185" s="82"/>
      <c r="WTY185" s="82"/>
      <c r="WTZ185" s="82"/>
      <c r="WUA185" s="82"/>
      <c r="WUB185" s="82"/>
      <c r="WUC185" s="82"/>
      <c r="WUD185" s="82"/>
      <c r="WUE185" s="82"/>
      <c r="WUF185" s="82"/>
      <c r="WUG185" s="82"/>
      <c r="WUH185" s="82"/>
      <c r="WUI185" s="82"/>
      <c r="WUJ185" s="82"/>
      <c r="WUK185" s="82"/>
      <c r="WUL185" s="82"/>
      <c r="WUM185" s="82"/>
      <c r="WUN185" s="82"/>
      <c r="WUO185" s="82"/>
      <c r="WUP185" s="82"/>
      <c r="WUQ185" s="82"/>
      <c r="WUR185" s="82"/>
      <c r="WUS185" s="82"/>
      <c r="WUT185" s="82"/>
      <c r="WUU185" s="82"/>
      <c r="WUV185" s="82"/>
      <c r="WUW185" s="82"/>
      <c r="WUX185" s="82"/>
      <c r="WUY185" s="82"/>
      <c r="WUZ185" s="82"/>
      <c r="WVA185" s="82"/>
      <c r="WVB185" s="82"/>
      <c r="WVC185" s="82"/>
      <c r="WVD185" s="82"/>
      <c r="WVE185" s="82"/>
      <c r="WVF185" s="82"/>
      <c r="WVG185" s="82"/>
      <c r="WVH185" s="82"/>
      <c r="WVI185" s="82"/>
      <c r="WVJ185" s="82"/>
      <c r="WVK185" s="82"/>
      <c r="WVL185" s="82"/>
      <c r="WVM185" s="82"/>
      <c r="WVN185" s="82"/>
      <c r="WVO185" s="82"/>
      <c r="WVP185" s="82"/>
      <c r="WVQ185" s="82"/>
      <c r="WVR185" s="82"/>
      <c r="WVS185" s="82"/>
      <c r="WVT185" s="82"/>
      <c r="WVU185" s="82"/>
      <c r="WVV185" s="82"/>
      <c r="WVW185" s="82"/>
      <c r="WVX185" s="82"/>
      <c r="WVY185" s="82"/>
      <c r="WVZ185" s="82"/>
      <c r="WWA185" s="82"/>
      <c r="WWB185" s="82"/>
      <c r="WWC185" s="82"/>
      <c r="WWD185" s="82"/>
      <c r="WWE185" s="82"/>
      <c r="WWF185" s="82"/>
      <c r="WWG185" s="82"/>
      <c r="WWH185" s="82"/>
      <c r="WWI185" s="82"/>
      <c r="WWJ185" s="82"/>
      <c r="WWK185" s="82"/>
      <c r="WWL185" s="82"/>
      <c r="WWM185" s="82"/>
      <c r="WWN185" s="82"/>
      <c r="WWO185" s="82"/>
      <c r="WWP185" s="82"/>
      <c r="WWQ185" s="82"/>
      <c r="WWR185" s="82"/>
      <c r="WWS185" s="82"/>
      <c r="WWT185" s="82"/>
      <c r="WWU185" s="82"/>
      <c r="WWV185" s="82"/>
      <c r="WWW185" s="82"/>
      <c r="WWX185" s="82"/>
      <c r="WWY185" s="82"/>
      <c r="WWZ185" s="82"/>
      <c r="WXA185" s="82"/>
      <c r="WXB185" s="82"/>
      <c r="WXC185" s="82"/>
      <c r="WXD185" s="82"/>
      <c r="WXE185" s="82"/>
      <c r="WXF185" s="82"/>
      <c r="WXG185" s="82"/>
      <c r="WXH185" s="82"/>
      <c r="WXI185" s="82"/>
      <c r="WXJ185" s="82"/>
      <c r="WXK185" s="82"/>
      <c r="WXL185" s="82"/>
      <c r="WXM185" s="82"/>
      <c r="WXN185" s="82"/>
      <c r="WXO185" s="82"/>
      <c r="WXP185" s="82"/>
      <c r="WXQ185" s="82"/>
      <c r="WXR185" s="82"/>
      <c r="WXS185" s="82"/>
      <c r="WXT185" s="82"/>
      <c r="WXU185" s="82"/>
      <c r="WXV185" s="82"/>
      <c r="WXW185" s="82"/>
      <c r="WXX185" s="82"/>
      <c r="WXY185" s="82"/>
      <c r="WXZ185" s="82"/>
      <c r="WYA185" s="82"/>
      <c r="WYB185" s="82"/>
      <c r="WYC185" s="82"/>
      <c r="WYD185" s="82"/>
      <c r="WYE185" s="82"/>
      <c r="WYF185" s="82"/>
      <c r="WYG185" s="82"/>
      <c r="WYH185" s="82"/>
      <c r="WYI185" s="82"/>
      <c r="WYJ185" s="82"/>
      <c r="WYK185" s="82"/>
      <c r="WYL185" s="82"/>
      <c r="WYM185" s="82"/>
      <c r="WYN185" s="82"/>
      <c r="WYO185" s="82"/>
      <c r="WYP185" s="82"/>
      <c r="WYQ185" s="82"/>
      <c r="WYR185" s="82"/>
      <c r="WYS185" s="82"/>
      <c r="WYT185" s="82"/>
      <c r="WYU185" s="82"/>
      <c r="WYV185" s="82"/>
      <c r="WYW185" s="82"/>
      <c r="WYX185" s="82"/>
      <c r="WYY185" s="82"/>
      <c r="WYZ185" s="82"/>
      <c r="WZA185" s="82"/>
      <c r="WZB185" s="82"/>
      <c r="WZC185" s="82"/>
      <c r="WZD185" s="82"/>
      <c r="WZE185" s="82"/>
      <c r="WZF185" s="82"/>
      <c r="WZG185" s="82"/>
      <c r="WZH185" s="82"/>
      <c r="WZI185" s="82"/>
      <c r="WZJ185" s="82"/>
      <c r="WZK185" s="82"/>
      <c r="WZL185" s="82"/>
      <c r="WZM185" s="82"/>
      <c r="WZN185" s="82"/>
      <c r="WZO185" s="82"/>
      <c r="WZP185" s="82"/>
      <c r="WZQ185" s="82"/>
      <c r="WZR185" s="82"/>
      <c r="WZS185" s="82"/>
      <c r="WZT185" s="82"/>
      <c r="WZU185" s="82"/>
      <c r="WZV185" s="82"/>
      <c r="WZW185" s="82"/>
      <c r="WZX185" s="82"/>
      <c r="WZY185" s="82"/>
      <c r="WZZ185" s="82"/>
      <c r="XAA185" s="82"/>
      <c r="XAB185" s="82"/>
      <c r="XAC185" s="82"/>
      <c r="XAD185" s="82"/>
      <c r="XAE185" s="82"/>
      <c r="XAF185" s="82"/>
      <c r="XAG185" s="82"/>
      <c r="XAH185" s="82"/>
      <c r="XAI185" s="82"/>
      <c r="XAJ185" s="82"/>
      <c r="XAK185" s="82"/>
      <c r="XAL185" s="82"/>
      <c r="XAM185" s="82"/>
      <c r="XAN185" s="82"/>
      <c r="XAO185" s="82"/>
      <c r="XAP185" s="82"/>
      <c r="XAQ185" s="82"/>
      <c r="XAR185" s="82"/>
      <c r="XAS185" s="82"/>
      <c r="XAT185" s="82"/>
      <c r="XAU185" s="82"/>
      <c r="XAV185" s="82"/>
      <c r="XAW185" s="82"/>
      <c r="XAX185" s="82"/>
      <c r="XAY185" s="82"/>
      <c r="XAZ185" s="82"/>
      <c r="XBA185" s="82"/>
      <c r="XBB185" s="82"/>
      <c r="XBC185" s="82"/>
      <c r="XBD185" s="82"/>
      <c r="XBE185" s="82"/>
      <c r="XBF185" s="82"/>
      <c r="XBG185" s="82"/>
      <c r="XBH185" s="82"/>
      <c r="XBI185" s="82"/>
      <c r="XBJ185" s="82"/>
      <c r="XBK185" s="82"/>
      <c r="XBL185" s="82"/>
      <c r="XBM185" s="82"/>
      <c r="XBN185" s="82"/>
      <c r="XBO185" s="82"/>
      <c r="XBP185" s="82"/>
      <c r="XBQ185" s="82"/>
      <c r="XBR185" s="82"/>
      <c r="XBS185" s="82"/>
      <c r="XBT185" s="82"/>
      <c r="XBU185" s="82"/>
      <c r="XBV185" s="82"/>
      <c r="XBW185" s="82"/>
      <c r="XBX185" s="82"/>
      <c r="XBY185" s="82"/>
      <c r="XBZ185" s="82"/>
      <c r="XCA185" s="82"/>
      <c r="XCB185" s="82"/>
      <c r="XCC185" s="82"/>
      <c r="XCD185" s="82"/>
      <c r="XCE185" s="82"/>
      <c r="XCF185" s="82"/>
      <c r="XCG185" s="82"/>
      <c r="XCH185" s="82"/>
      <c r="XCI185" s="82"/>
      <c r="XCJ185" s="82"/>
      <c r="XCK185" s="82"/>
      <c r="XCL185" s="82"/>
      <c r="XCM185" s="82"/>
      <c r="XCN185" s="82"/>
      <c r="XCO185" s="82"/>
      <c r="XCP185" s="82"/>
      <c r="XCQ185" s="82"/>
      <c r="XCR185" s="82"/>
      <c r="XCS185" s="82"/>
      <c r="XCT185" s="82"/>
      <c r="XCU185" s="82"/>
      <c r="XCV185" s="82"/>
      <c r="XCW185" s="82"/>
      <c r="XCX185" s="82"/>
      <c r="XCY185" s="82"/>
      <c r="XCZ185" s="82"/>
      <c r="XDA185" s="82"/>
      <c r="XDB185" s="82"/>
      <c r="XDC185" s="82"/>
      <c r="XDD185" s="82"/>
      <c r="XDE185" s="82"/>
      <c r="XDF185" s="82"/>
      <c r="XDG185" s="82"/>
      <c r="XDH185" s="82"/>
      <c r="XDI185" s="82"/>
      <c r="XDJ185" s="82"/>
      <c r="XDK185" s="82"/>
      <c r="XDL185" s="82"/>
      <c r="XDM185" s="82"/>
      <c r="XDN185" s="82"/>
      <c r="XDO185" s="82"/>
      <c r="XDP185" s="82"/>
      <c r="XDQ185" s="82"/>
      <c r="XDR185" s="82"/>
      <c r="XDS185" s="82"/>
      <c r="XDT185" s="82"/>
      <c r="XDU185" s="82"/>
      <c r="XDV185" s="82"/>
      <c r="XDW185" s="82"/>
      <c r="XDX185" s="82"/>
      <c r="XDY185" s="82"/>
      <c r="XDZ185" s="82"/>
      <c r="XEA185" s="82"/>
      <c r="XEB185" s="82"/>
      <c r="XEC185" s="82"/>
      <c r="XED185" s="82"/>
      <c r="XEE185" s="82"/>
      <c r="XEF185" s="82"/>
      <c r="XEG185" s="82"/>
      <c r="XEH185" s="82"/>
      <c r="XEI185" s="82"/>
      <c r="XEJ185" s="82"/>
      <c r="XEK185" s="82"/>
      <c r="XEL185" s="82"/>
      <c r="XEM185" s="82"/>
      <c r="XEN185" s="82"/>
      <c r="XEO185" s="82"/>
      <c r="XEP185" s="82"/>
      <c r="XEQ185" s="82"/>
      <c r="XER185" s="82"/>
      <c r="XES185" s="82"/>
      <c r="XET185" s="82"/>
      <c r="XEU185" s="82"/>
      <c r="XEV185" s="82"/>
      <c r="XEW185" s="82"/>
      <c r="XEX185" s="82"/>
      <c r="XEY185" s="82"/>
      <c r="XEZ185" s="82"/>
      <c r="XFA185" s="82"/>
      <c r="XFB185" s="82"/>
      <c r="XFC185" s="82"/>
      <c r="XFD185" s="82"/>
    </row>
    <row r="186" spans="2:16384" ht="15" customHeight="1">
      <c r="B186" s="83"/>
      <c r="C186" s="83"/>
      <c r="D186" s="83"/>
      <c r="E186" s="323" t="str">
        <f>C178</f>
        <v>CO 3</v>
      </c>
      <c r="F186" s="324"/>
      <c r="G186" s="325">
        <f>IFERROR(SUM(D178:AB178)/COUNTIF(D178:AB178,"&gt;=0"),0)</f>
        <v>60.116461417831282</v>
      </c>
      <c r="H186" s="326"/>
      <c r="I186" s="322">
        <f t="shared" si="33"/>
        <v>3</v>
      </c>
      <c r="J186" s="322"/>
      <c r="L186" s="217">
        <f>IF($C$3=H219,   IF($H$3=I219,(J219*External!$I$186*0.01+K219*'2'!$O$186*0.01+L219*AssgQuiz!$H$174*0.01+M219*AssgQuiz!$H$175*0.01),   IF($H$3=I220,(J220*External!$I$186*0.01+K220*'2'!$O$186*0.01+L220*AssgQuiz!$H$174*0.01+M220*AssgQuiz!$H$175*0.01),   IF($H$3=I221,(J221*External!$I$186*0.01+K221*'2'!$O$186*0.01+L221*AssgQuiz!$H$174*0.01+M221*AssgQuiz!$H$175*0.01),   IF($H$3=I222,(J222*External!$I$186*0.01+K222*'2'!$O$186*0.01+L222*AssgQuiz!$H$174*0.01+M222*AssgQuiz!$H$175*0.01),0)))), IF($C$3=H226,   IF($H$3=I226,(J226*External!$I$186*0.01+K226*'2'!$O$186*0.01+L226*AssgQuiz!$H$174*0.01+M226*AssgQuiz!$H$175*0.01),   IF($H$3=I227,(J227*External!$I$186*0.01+K227*'2'!$O$186*0.01+L227*AssgQuiz!$H$174*0.01+M227*AssgQuiz!$H$175*0.01),   IF($H$3=I228,(J228*External!$I$186*0.01+K228*'2'!$O$186*0.01+L228*AssgQuiz!$H$174*0.01+M228*AssgQuiz!$H$175*0.01),   IF($H$3=I229,(J229*External!$I$186*0.01+K229*'2'!$O$186*0.01+L229*AssgQuiz!$H$174*0.01+M229*AssgQuiz!$H$175*0.01),0)))), IF($C$3=H233,   IF($H$3=I233,(J233*External!$I$186*0.01+K233*'2'!$O$186*0.01+L233*AssgQuiz!$H$174*0.01+M233*AssgQuiz!$H$175*0.01),   IF($H$3=I234,(J234*External!$I$186*0.01+K234*'2'!$O$186*0.01+L234*AssgQuiz!$H$174*0.01+M234*AssgQuiz!$H$175*0.01),   IF($H$3=I235,(J235*External!$I$186*0.01+K235*'2'!$O$186*0.01+L235*AssgQuiz!$H$174*0.01+M235*AssgQuiz!$H$175*0.01),   IF($H$3=I236,(J236*External!$I$186*0.01+K236*'2'!$O$186*0.01+L236*AssgQuiz!$H$174*0.01+M236*AssgQuiz!$H$175*0.01),0)))), IF($C$3=H240,   IF($H$3=I240,(J240*External!$I$186*0.01+K240*'2'!$O$186*0.01+L240*AssgQuiz!$H$174*0.01+M240*AssgQuiz!$H$175*0.01),   IF($H$3=I241,(J241*External!$I$186*0.01+K241*'2'!$O$186*0.01+L241*AssgQuiz!$H$174*0.01+M241*AssgQuiz!$H$175*0.01),   IF($H$3=I242,(J242*External!$I$186*0.01+K242*'2'!$O$186*0.01+L242*AssgQuiz!$H$174*0.01+M242*AssgQuiz!$H$175*0.01),   IF($H$3=I243,(J243*External!$I$186*0.01+K243*'2'!$O$186*0.01+L243*AssgQuiz!$H$174*0.01+M243*AssgQuiz!$H$175*0.01),0))))))))</f>
        <v>3</v>
      </c>
      <c r="M186" s="82"/>
      <c r="N186" s="82"/>
      <c r="O186" s="82"/>
      <c r="P186" s="82"/>
      <c r="Q186" s="82"/>
      <c r="W186" s="82"/>
      <c r="X186" s="82"/>
      <c r="Y186" s="82"/>
      <c r="Z186" s="82"/>
      <c r="AA186" s="82"/>
      <c r="AB186" s="82"/>
      <c r="AC186" s="82"/>
      <c r="AD186" s="7"/>
      <c r="AE186" s="7"/>
      <c r="AF186" s="7"/>
      <c r="AG186" s="223"/>
    </row>
    <row r="187" spans="2:16384" ht="15" customHeight="1">
      <c r="B187" s="83"/>
      <c r="C187" s="83"/>
      <c r="D187" s="83"/>
      <c r="E187" s="323" t="str">
        <f>C179</f>
        <v>CO 4</v>
      </c>
      <c r="F187" s="324"/>
      <c r="G187" s="325">
        <f>IFERROR(SUM(D179:AB179)/COUNTIF(D179:AB179,"&gt;=0"),0)</f>
        <v>55.895360884079651</v>
      </c>
      <c r="H187" s="326"/>
      <c r="I187" s="322">
        <f t="shared" si="33"/>
        <v>2</v>
      </c>
      <c r="J187" s="322"/>
      <c r="L187" s="217">
        <f>IF($C$3=H219,   IF($H$3=I219,(J219*External!$I$187*0.01+K219*'2'!$O$187*0.01+L219*AssgQuiz!$H$174*0.01+M219*AssgQuiz!$H$175*0.01),   IF($H$3=I220,(J220*External!$I$187*0.01+K220*'2'!$O$187*0.01+L220*AssgQuiz!$H$174*0.01+M220*AssgQuiz!$H$175*0.01),   IF($H$3=I221,(J221*External!$I$187*0.01+K221*'2'!$O$187*0.01+L221*AssgQuiz!$H$174*0.01+M221*AssgQuiz!$H$175*0.01),   IF($H$3=I222,(J222*External!$I$187*0.01+K222*'2'!$O$187*0.01+L222*AssgQuiz!$H$174*0.01+M222*AssgQuiz!$H$175*0.01),0)))), IF($C$3=H226,   IF($H$3=I226,(J226*External!$I$187*0.01+K226*'2'!$O$187*0.01+L226*AssgQuiz!$H$174*0.01+M226*AssgQuiz!$H$175*0.01),   IF($H$3=I227,(J227*External!$I$187*0.01+K227*'2'!$O$187*0.01+L227*AssgQuiz!$H$174*0.01+M227*AssgQuiz!$H$175*0.01),   IF($H$3=I228,(J228*External!$I$187*0.01+K228*'2'!$O$187*0.01+L228*AssgQuiz!$H$174*0.01+M228*AssgQuiz!$H$175*0.01),   IF($H$3=I229,(J229*External!$I$187*0.01+K229*'2'!$O$187*0.01+L229*AssgQuiz!$H$174*0.01+M229*AssgQuiz!$H$175*0.01),0)))), IF($C$3=H233,   IF($H$3=I233,(J233*External!$I$187*0.01+K233*'2'!$O$187*0.01+L233*AssgQuiz!$H$174*0.01+M233*AssgQuiz!$H$175*0.01),   IF($H$3=I234,(J234*External!$I$187*0.01+K234*'2'!$O$187*0.01+L234*AssgQuiz!$H$174*0.01+M234*AssgQuiz!$H$175*0.01),   IF($H$3=I235,(J235*External!$I$187*0.01+K235*'2'!$O$187*0.01+L235*AssgQuiz!$H$174*0.01+M235*AssgQuiz!$H$175*0.01),   IF($H$3=I236,(J236*External!$I$187*0.01+K236*'2'!$O$187*0.01+L236*AssgQuiz!$H$174*0.01+M236*AssgQuiz!$H$175*0.01),0)))), IF($C$3=H240,   IF($H$3=I240,(J240*External!$I$187*0.01+K240*'2'!$O$187*0.01+L240*AssgQuiz!$H$174*0.01+M240*AssgQuiz!$H$175*0.01),   IF($H$3=I241,(J241*External!$I$187*0.01+K241*'2'!$O$187*0.01+L241*AssgQuiz!$H$174*0.01+M241*AssgQuiz!$H$175*0.01),   IF($H$3=I242,(J242*External!$I$187*0.01+K242*'2'!$O$187*0.01+L242*AssgQuiz!$H$174*0.01+M242*AssgQuiz!$H$175*0.01),   IF($H$3=I243,(J243*External!$I$187*0.01+K243*'2'!$O$187*0.01+L243*AssgQuiz!$H$174*0.01+M243*AssgQuiz!$H$175*0.01),0))))))))</f>
        <v>2.2999999999999998</v>
      </c>
      <c r="M187" s="82"/>
      <c r="N187" s="82"/>
      <c r="O187" s="82"/>
      <c r="P187" s="82"/>
      <c r="Q187" s="82"/>
      <c r="W187" s="82"/>
      <c r="X187" s="82"/>
      <c r="Y187" s="82"/>
      <c r="Z187" s="82"/>
      <c r="AA187" s="82"/>
      <c r="AB187" s="82"/>
      <c r="AC187" s="82"/>
      <c r="AD187" s="7"/>
      <c r="AE187" s="7"/>
      <c r="AF187" s="7"/>
      <c r="AG187" s="223"/>
    </row>
    <row r="188" spans="2:16384" ht="15" customHeight="1">
      <c r="B188" s="83"/>
      <c r="C188" s="83"/>
      <c r="D188" s="83"/>
      <c r="E188" s="323" t="str">
        <f>C180</f>
        <v>CO 5</v>
      </c>
      <c r="F188" s="324"/>
      <c r="G188" s="325">
        <f>IFERROR(SUM(D180:AB180)/COUNTIF(D180:AB180,"&gt;=0"),0)</f>
        <v>67.879690291840376</v>
      </c>
      <c r="H188" s="326"/>
      <c r="I188" s="322">
        <f t="shared" si="33"/>
        <v>3</v>
      </c>
      <c r="J188" s="322"/>
      <c r="L188" s="217">
        <f>IF($C$3=H219,   IF($H$3=I219,(J219*External!$I$188*0.01+K219*'2'!$O$188*0.01+L219*AssgQuiz!$H$174*0.01+M219*AssgQuiz!$H$175*0.01),   IF($H$3=I220,(J220*External!$I$188*0.01+K220*'2'!$O$188*0.01+L220*AssgQuiz!$H$174*0.01+M220*AssgQuiz!$H$175*0.01),   IF($H$3=I221,(J221*External!$I$188*0.01+K221*'2'!$O$188*0.01+L221*AssgQuiz!$H$174*0.01+M221*AssgQuiz!$H$175*0.01),   IF($H$3=I222,(J222*External!$I$188*0.01+K222*'2'!$O$188*0.01+L222*AssgQuiz!$H$174*0.01+M222*AssgQuiz!$H$175*0.01),0)))), IF($C$3=H226,   IF($H$3=I226,(J226*External!$I$188*0.01+K226*'2'!$O$188*0.01+L226*AssgQuiz!$H$174*0.01+M226*AssgQuiz!$H$175*0.01),   IF($H$3=I227,(J227*External!$I$188*0.01+K227*'2'!$O$188*0.01+L227*AssgQuiz!$H$174*0.01+M227*AssgQuiz!$H$175*0.01),   IF($H$3=I228,(J228*External!$I$188*0.01+K228*'2'!$O$188*0.01+L228*AssgQuiz!$H$174*0.01+M228*AssgQuiz!$H$175*0.01),   IF($H$3=I229,(J229*External!$I$188*0.01+K229*'2'!$O$188*0.01+L229*AssgQuiz!$H$174*0.01+M229*AssgQuiz!$H$175*0.01),0)))), IF($C$3=H233,   IF($H$3=I233,(J233*External!$I$188*0.01+K233*'2'!$O$188*0.01+L233*AssgQuiz!$H$174*0.01+M233*AssgQuiz!$H$175*0.01),   IF($H$3=I234,(J234*External!$I$188*0.01+K234*'2'!$O$188*0.01+L234*AssgQuiz!$H$174*0.01+M234*AssgQuiz!$H$175*0.01),   IF($H$3=I235,(J235*External!$I$188*0.01+K235*'2'!$O$188*0.01+L235*AssgQuiz!$H$174*0.01+M235*AssgQuiz!$H$175*0.01),   IF($H$3=I236,(J236*External!$I$188*0.01+K236*'2'!$O$188*0.01+L236*AssgQuiz!$H$174*0.01+M236*AssgQuiz!$H$175*0.01),0)))), IF($C$3=H240,   IF($H$3=I240,(J240*External!$I$188*0.01+K240*'2'!$O$188*0.01+L240*AssgQuiz!$H$174*0.01+M240*AssgQuiz!$H$175*0.01),   IF($H$3=I241,(J241*External!$I$188*0.01+K241*'2'!$O$188*0.01+L241*AssgQuiz!$H$174*0.01+M241*AssgQuiz!$H$175*0.01),   IF($H$3=I242,(J242*External!$I$188*0.01+K242*'2'!$O$188*0.01+L242*AssgQuiz!$H$174*0.01+M242*AssgQuiz!$H$175*0.01),   IF($H$3=I243,(J243*External!$I$188*0.01+K243*'2'!$O$188*0.01+L243*AssgQuiz!$H$174*0.01+M243*AssgQuiz!$H$175*0.01),0))))))))</f>
        <v>3</v>
      </c>
      <c r="M188" s="82"/>
      <c r="N188" s="82"/>
      <c r="O188" s="82"/>
      <c r="P188" s="82"/>
      <c r="Q188" s="82"/>
      <c r="W188" s="82"/>
      <c r="X188" s="82"/>
      <c r="Y188" s="82"/>
      <c r="Z188" s="82"/>
      <c r="AA188" s="82"/>
      <c r="AB188" s="82"/>
      <c r="AC188" s="82"/>
      <c r="AD188" s="7"/>
      <c r="AE188" s="7"/>
      <c r="AF188" s="7"/>
      <c r="AG188" s="223"/>
    </row>
    <row r="189" spans="2:16384" ht="15" customHeight="1">
      <c r="E189" s="323" t="str">
        <f>IF(NOT(ISBLANK(INPUT!I11)),"CO 6","")</f>
        <v/>
      </c>
      <c r="F189" s="324"/>
      <c r="G189" s="325" t="str">
        <f>IF(NOT(ISBLANK(INPUT!I11)),(IFERROR(SUM(D181:AB181)/COUNTIF(D181:AB181,"&gt;=0"),0)),"")</f>
        <v/>
      </c>
      <c r="H189" s="326"/>
      <c r="I189" s="322" t="str">
        <f>IF(G189="","",IF(G189&gt;=$E$9,$D$9,IF(AND(G189&gt;=$E$10,G189&lt;$E$9),$D$10,IF(AND(G189&gt;=$E$11,G189&lt;$E$10),$D$11,IF(AND(G189&gt;=$E$12,G189&lt;$E$11),$D$12,IF(AND(G189&gt;=$E$13,G189&lt;$E$12),$D$13,0))))))</f>
        <v/>
      </c>
      <c r="J189" s="322"/>
      <c r="L189" s="217" t="str">
        <f>IFERROR(IF(L190&lt;0.31,0,L190),"")</f>
        <v/>
      </c>
      <c r="N189" s="154"/>
      <c r="AD189" s="7"/>
      <c r="AE189" s="7"/>
      <c r="AF189" s="7"/>
      <c r="AG189" s="223"/>
    </row>
    <row r="190" spans="2:16384" ht="15" hidden="1" customHeight="1">
      <c r="L190" s="154" t="e">
        <f>IF($C$3=H219,IF($H$3=I219,(J219*External!$I$189*0.01+K219*'2'!$O$189*0.01+L219*AssgQuiz!$H$174*0.01+M219*AssgQuiz!$H$175*0.01),IF($H$3=I220,(J220*External!$I$189*0.01+K220*'2'!$O$189*0.01+L220*AssgQuiz!$H$174*0.01+M220*AssgQuiz!$H$175*0.01),IF($H$3=I221,(J221*External!$I$189*0.01+K221*'2'!$O$189*0.01+L221*AssgQuiz!$H$174*0.01+M221*AssgQuiz!$H$175*0.01),IF($H$3=I222,(J222*External!$I$189*0.01+K222*'2'!$O$189*0.01+L222*AssgQuiz!$H$174*0.01+M222*AssgQuiz!$H$175*0.01),0)))),IF($C$3=H226,IF($H$3=I226,(J226*External!$I$189*0.01+K226*'2'!$O$189*0.01+L226*AssgQuiz!$H$174*0.01+M226*AssgQuiz!$H$175*0.01),IF($H$3=I227,(J227*External!$I$189*0.01+K227*'2'!$O$189*0.01+L227*AssgQuiz!$H$174*0.01+M227*AssgQuiz!$H$175*0.01),IF($H$3=I228,(J228*External!$I$189*0.01+K228*'2'!$O$189*0.01+L228*AssgQuiz!$H$174*0.01+M228*AssgQuiz!$H$175*0.01),IF($H$3=I229,(J229*External!$I$189*0.01+K229*'2'!$O$189*0.01+L229*AssgQuiz!$H$174*0.01+M229*AssgQuiz!$H$175*0.01),0)))),IF($C$3=H233,IF($H$3=I233,(J233*External!$I$189*0.01+K233*'2'!$O$189*0.01+L233*AssgQuiz!$H$174*0.01+M233*AssgQuiz!$H$175*0.01),IF($H$3=I234,(J234*External!$I$189*0.01+K234*'2'!$O$189*0.01+L234*AssgQuiz!$H$174*0.01+M234*AssgQuiz!$H$175*0.01),IF($H$3=I235,(J235*External!$I$189*0.01+K235*'2'!$O$189*0.01+L235*AssgQuiz!$H$174*0.01+M235*AssgQuiz!$H$175*0.01),IF($H$3=I236,(J236*External!$I$189*0.01+K236*'2'!$O$189*0.01+L236*AssgQuiz!$H$174*0.01+M236*AssgQuiz!$H$175*0.01),0)))),IF($C$3=H240,IF($H$3=I240,(J240*External!$I$189*0.01+K240*'2'!$O$189*0.01+L240*AssgQuiz!$H$174*0.01+M240*AssgQuiz!$H$175*0.01),IF($H$3=I241,(J241*External!$I$189*0.01+K241*'2'!$O$189*0.01+L241*AssgQuiz!$H$174*0.01+M241*AssgQuiz!$H$175*0.01),IF($H$3=I242,(J242*External!$I$189*0.01+K242*'2'!$O$189*0.01+L242*AssgQuiz!$H$174*0.01+M242*AssgQuiz!$H$175*0.01),IF($H$3=I243,(J243*External!$I$189*0.01+K243*'2'!$O$189*0.01+L243*AssgQuiz!$H$174*0.01+M243*AssgQuiz!$H$175*0.01),0))))))))</f>
        <v>#VALUE!</v>
      </c>
    </row>
    <row r="191" spans="2:16384" ht="15" hidden="1" customHeight="1">
      <c r="D191" s="308" t="s">
        <v>275</v>
      </c>
      <c r="E191" s="308"/>
      <c r="F191" s="308" t="s">
        <v>261</v>
      </c>
      <c r="G191" s="308"/>
      <c r="H191" s="308"/>
      <c r="I191" s="308"/>
      <c r="J191" s="308" t="s">
        <v>298</v>
      </c>
      <c r="K191" s="308"/>
      <c r="L191" s="308"/>
      <c r="M191" s="308"/>
      <c r="N191" s="308" t="s">
        <v>254</v>
      </c>
      <c r="O191" s="308"/>
    </row>
    <row r="192" spans="2:16384" ht="15.75" hidden="1" customHeight="1">
      <c r="D192" s="336" t="s">
        <v>299</v>
      </c>
      <c r="E192" s="336"/>
      <c r="F192" s="336" t="str">
        <f>G182</f>
        <v>% of Students scoring &gt;= 60% marks</v>
      </c>
      <c r="G192" s="336"/>
      <c r="H192" s="336"/>
      <c r="I192" s="336"/>
      <c r="J192" s="335">
        <f>AVERAGE(G184:H188)</f>
        <v>62.13258735912018</v>
      </c>
      <c r="K192" s="335"/>
      <c r="L192" s="335"/>
      <c r="M192" s="335"/>
      <c r="N192" s="341">
        <f>IF(J192&gt;=$E$9,3,IF(AND(J192&gt;=$E$10,J192&lt;$E$9),2.5,IF(AND(J192&gt;=$E$11,J192&lt;$E$10),2,IF(AND(J192&gt;=$E$12,J192&lt;$E$11),1.5,IF(AND(J192&gt;=$E$13,J192&lt;$E$12),1,0)))))</f>
        <v>3</v>
      </c>
      <c r="O192" s="342"/>
    </row>
    <row r="193" spans="4:30" ht="15.75" hidden="1" customHeight="1">
      <c r="D193" s="336" t="s">
        <v>300</v>
      </c>
      <c r="E193" s="336"/>
      <c r="F193" s="336" t="str">
        <f>'2'!K210</f>
        <v>% of Students scoring &gt;= 60% marks</v>
      </c>
      <c r="G193" s="336"/>
      <c r="H193" s="336"/>
      <c r="I193" s="336"/>
      <c r="J193" s="335">
        <f>AVERAGE('1'!M184:N188)</f>
        <v>74.472404341562267</v>
      </c>
      <c r="K193" s="335"/>
      <c r="L193" s="335"/>
      <c r="M193" s="335"/>
      <c r="N193" s="341">
        <f t="shared" ref="N193:N195" si="34">IF(J193&gt;=$E$9,3,IF(AND(J193&gt;=$E$10,J193&lt;$E$9),2.5,IF(AND(J193&gt;=$E$11,J193&lt;$E$10),2,IF(AND(J193&gt;=$E$12,J193&lt;$E$11),1.5,IF(AND(J193&gt;=$E$13,J193&lt;$E$12),1,0)))))</f>
        <v>3</v>
      </c>
      <c r="O193" s="342"/>
      <c r="AD193" s="8" t="s">
        <v>300</v>
      </c>
    </row>
    <row r="194" spans="4:30" ht="15.75" hidden="1" customHeight="1">
      <c r="D194" s="336" t="s">
        <v>276</v>
      </c>
      <c r="E194" s="336"/>
      <c r="F194" s="336" t="str">
        <f>AssgQuiz!D174</f>
        <v>&gt;= 60% marks</v>
      </c>
      <c r="G194" s="336"/>
      <c r="H194" s="336"/>
      <c r="I194" s="336"/>
      <c r="J194" s="335">
        <f>AssgQuiz!G174</f>
        <v>86.301369863013704</v>
      </c>
      <c r="K194" s="335"/>
      <c r="L194" s="335"/>
      <c r="M194" s="335"/>
      <c r="N194" s="341">
        <f t="shared" si="34"/>
        <v>3</v>
      </c>
      <c r="O194" s="342"/>
      <c r="AD194" s="8" t="s">
        <v>301</v>
      </c>
    </row>
    <row r="195" spans="4:30" ht="15.75" hidden="1">
      <c r="D195" s="336" t="s">
        <v>277</v>
      </c>
      <c r="E195" s="336"/>
      <c r="F195" s="336" t="str">
        <f>AssgQuiz!D175</f>
        <v>&gt;=60% marks</v>
      </c>
      <c r="G195" s="336"/>
      <c r="H195" s="336"/>
      <c r="I195" s="336"/>
      <c r="J195" s="335">
        <f>AssgQuiz!G175</f>
        <v>67.123287671232873</v>
      </c>
      <c r="K195" s="335"/>
      <c r="L195" s="335"/>
      <c r="M195" s="335"/>
      <c r="N195" s="341">
        <f t="shared" si="34"/>
        <v>3</v>
      </c>
      <c r="O195" s="342"/>
    </row>
    <row r="196" spans="4:30" hidden="1">
      <c r="P196" s="68"/>
    </row>
    <row r="197" spans="4:30" hidden="1"/>
    <row r="198" spans="4:30" ht="23.25" hidden="1">
      <c r="D198" s="339" t="s">
        <v>302</v>
      </c>
      <c r="E198" s="339"/>
      <c r="F198" s="339"/>
      <c r="G198" s="339"/>
      <c r="H198" s="339"/>
      <c r="I198" s="339"/>
      <c r="J198" s="340">
        <f>IF($C$3=H219,   IF($H$3=I219,(J219*$N$192*0.01+K219*$N$193*0.01+L219*$N$194*0.01+M219*$N$195*0.01),   IF($H$3=I220,(J220*$N$192*0.01+K220*$N$193*0.01+L220*$N$194*0.01+M220*$N$195*0.01),   IF($H$3=I221,(J221*$N$192*0.01+K221*$N$193*0.01+L221*$N$194*0.01+M221*$N$195*0.01),   IF($H$3=I222,(J222*$N$192*0.01+K222*$N$193*0.01+L222*$N$194*0.01+M222*$N$195*0.01),0)))), IF($C$3=H226,   IF($H$3=I226,(J226*$N$192*0.01+K226*$N$193*0.01+L226*$N$194*0.01+M226*$N$195*0.01),   IF($H$3=I227,(J227*$N$192*0.01+K227*$N$193*0.01+L227*$N$194*0.01+M227*$N$195*0.01),   IF($H$3=I228,(J228*$N$192*0.01+K228*$N$193*0.01+L228*$N$194*0.01+M228*$N$195*0.01),   IF($H$3=I229,(J229*$N$192*0.01+K229*$N$193*0.01+L229*$N$194*0.01+M229*$N$195*0.01),0)))), IF($C$3=H233,   IF($H$3=I233,(J233*$N$192*0.01+K233*$N$193*0.01+L233*$N$194*0.01+M233*$N$195*0.01),   IF($H$3=I234,(J234*$N$192*0.01+K234*$N$193*0.01+L234*$N$194*0.01+M234*$N$195*0.01),   IF($H$3=I235,(J235*$N$192*0.01+K235*$N$193*0.01+L235*$N$194*0.01+M235*$N$195*0.01),   IF($H$3=I236,(J236*$N$192*0.01+K236*$N$193*0.01+L236*$N$194*0.01+M236*$N$195*0.01),0)))), IF($C$3=H240,   IF($H$3=I240,(J240*$N$192*0.01+K240*$N$193*0.01+L240*$N$194*0.01+M240*$N$195*0.01),   IF($H$3=I241,(J241*$N$192*0.01+K241*$N$193*0.01+L241*$N$194*0.01+M241*$N$195*0.01),   IF($H$3=I242,(J242*$N$192*0.01+K242*$N$193*0.01+L242*$N$194*0.01+M242*$N$195*0.01),   IF($H$3=I243,(J243*$N$192*0.01+K243*$N$193*0.01+L243*$N$194*0.01+M243*$N$195*0.01),0))))))))</f>
        <v>3</v>
      </c>
      <c r="K198" s="339"/>
      <c r="L198" s="339"/>
      <c r="M198" s="339"/>
      <c r="N198" s="339"/>
      <c r="O198" s="339"/>
    </row>
    <row r="199" spans="4:30" hidden="1"/>
    <row r="200" spans="4:30" hidden="1"/>
    <row r="201" spans="4:30" hidden="1"/>
    <row r="202" spans="4:30" hidden="1">
      <c r="K202" s="8">
        <f>IF($C$3=H219,   IF($H$3=I219,(J219*$N$192*0.01+K219*$N$193*0.01+L219*$N$194*0.01+M219*$N$195*0.01),   IF($H$3=I220,(J220*$N$192*0.01+K220*$N$193*0.01+L220*$N$194*0.01+M220*$N$195*0.01),   IF($H$3=I221,(J221*$N$192*0.01+K221*$N$193*0.01+L221*$N$194*0.01+M221*$N$195*0.01),   IF($H$3=I222,(J222*$N$192*0.01+K222*$N$193*0.01+L222*$N$194*0.01+M222*$N$195*0.01),0)))), IF($C$3=H226,   IF($H$3=I226,(J226*$N$192*0.01+K226*$N$193*0.01+L226*$N$194*0.01+M226*$N$195*0.01),   IF($H$3=I227,(J227*$N$192*0.01+K227*$N$193*0.01+L227*$N$194*0.01+M227*$N$195*0.01),   IF($H$3=I228,(J228*$N$192*0.01+K228*$N$193*0.01+L228*$N$194*0.01+M228*$N$195*0.01),   IF($H$3=I229,(J229*$N$192*0.01+K229*$N$193*0.01+L229*$N$194*0.01+M229*$N$195*0.01),0)))), IF($C$3=H233,   IF($H$3=I233,(J233*$N$192*0.01+K233*$N$193*0.01+L233*$N$194*0.01+M233*$N$195*0.01),   IF($H$3=I234,(J234*$N$192*0.01+K234*$N$193*0.01+L234*$N$194*0.01+M234*$N$195*0.01),   IF($H$3=I235,(J235*$N$192*0.01+K235*$N$193*0.01+L235*$N$194*0.01+M235*$N$195*0.01),   IF($H$3=I236,(J236*$N$192*0.01+K236*$N$193*0.01+L236*$N$194*0.01+M236*$N$195*0.01),0)))), IF($C$3=H240,   IF($H$3=I240,(J240*$N$192*0.01+K240*$N$193*0.01+L240*$N$194*0.01+M240*$N$195*0.01),   IF($H$3=I241,(J241*$N$192*0.01+K241*$N$193*0.01+L241*$N$194*0.01+M241*$N$195*0.01),   IF($H$3=I242,(J242*$N$192*0.01+K242*$N$193*0.01+L242*$N$194*0.01+M242*$N$195*0.01),   IF($H$3=I243,(J243*$N$192*0.01+K243*$N$193*0.01+L243*$N$194*0.01+M243*$N$195*0.01),0))))))))</f>
        <v>3</v>
      </c>
    </row>
    <row r="203" spans="4:30" hidden="1"/>
    <row r="204" spans="4:30" hidden="1"/>
    <row r="205" spans="4:30" hidden="1"/>
    <row r="206" spans="4:30" hidden="1"/>
    <row r="207" spans="4:30" hidden="1"/>
    <row r="208" spans="4:30" hidden="1"/>
    <row r="209" spans="8:13" hidden="1"/>
    <row r="210" spans="8:13" hidden="1"/>
    <row r="211" spans="8:13" hidden="1">
      <c r="J211" s="8" t="s">
        <v>303</v>
      </c>
      <c r="K211" s="8">
        <f>E4</f>
        <v>73</v>
      </c>
    </row>
    <row r="212" spans="8:13" hidden="1"/>
    <row r="213" spans="8:13" hidden="1"/>
    <row r="214" spans="8:13" hidden="1"/>
    <row r="215" spans="8:13" hidden="1"/>
    <row r="216" spans="8:13" hidden="1"/>
    <row r="217" spans="8:13" hidden="1"/>
    <row r="218" spans="8:13" hidden="1">
      <c r="J218" s="8" t="s">
        <v>304</v>
      </c>
      <c r="K218" s="8" t="s">
        <v>305</v>
      </c>
      <c r="L218" s="8" t="s">
        <v>306</v>
      </c>
      <c r="M218" s="8" t="s">
        <v>277</v>
      </c>
    </row>
    <row r="219" spans="8:13" hidden="1">
      <c r="H219" s="8" t="s">
        <v>7</v>
      </c>
      <c r="I219" s="112" t="s">
        <v>23</v>
      </c>
      <c r="J219" s="8">
        <v>70</v>
      </c>
      <c r="K219" s="8">
        <v>20</v>
      </c>
      <c r="L219" s="8">
        <v>5</v>
      </c>
      <c r="M219" s="8">
        <v>5</v>
      </c>
    </row>
    <row r="220" spans="8:13" hidden="1">
      <c r="I220" s="113" t="s">
        <v>30</v>
      </c>
      <c r="J220" s="8">
        <v>70</v>
      </c>
      <c r="K220" s="8">
        <v>20</v>
      </c>
      <c r="L220" s="8">
        <v>5</v>
      </c>
      <c r="M220" s="8">
        <v>5</v>
      </c>
    </row>
    <row r="221" spans="8:13" hidden="1">
      <c r="I221" s="113" t="s">
        <v>19</v>
      </c>
      <c r="J221" s="8">
        <v>70</v>
      </c>
      <c r="K221" s="8">
        <v>20</v>
      </c>
      <c r="L221" s="8">
        <v>5</v>
      </c>
      <c r="M221" s="8">
        <v>5</v>
      </c>
    </row>
    <row r="222" spans="8:13" hidden="1">
      <c r="I222" s="113" t="s">
        <v>44</v>
      </c>
      <c r="J222" s="8">
        <v>75</v>
      </c>
      <c r="K222" s="8">
        <v>20</v>
      </c>
      <c r="L222" s="8">
        <v>5</v>
      </c>
      <c r="M222" s="8">
        <v>0</v>
      </c>
    </row>
    <row r="223" spans="8:13" hidden="1">
      <c r="H223" s="8" t="s">
        <v>307</v>
      </c>
      <c r="I223" s="8" t="s">
        <v>308</v>
      </c>
      <c r="J223" s="8">
        <v>50</v>
      </c>
      <c r="K223" s="8">
        <v>20</v>
      </c>
      <c r="L223" s="8">
        <v>5</v>
      </c>
      <c r="M223" s="8">
        <v>5</v>
      </c>
    </row>
    <row r="224" spans="8:13" hidden="1">
      <c r="I224" s="8" t="s">
        <v>309</v>
      </c>
      <c r="J224" s="8">
        <v>70</v>
      </c>
      <c r="K224" s="8">
        <v>20</v>
      </c>
      <c r="L224" s="8">
        <v>5</v>
      </c>
      <c r="M224" s="8">
        <v>5</v>
      </c>
    </row>
    <row r="225" spans="8:13" hidden="1"/>
    <row r="226" spans="8:13" hidden="1">
      <c r="H226" s="8" t="s">
        <v>8</v>
      </c>
      <c r="I226" s="112" t="s">
        <v>23</v>
      </c>
      <c r="J226" s="8">
        <v>60</v>
      </c>
      <c r="K226" s="8">
        <v>30</v>
      </c>
      <c r="L226" s="8">
        <v>5</v>
      </c>
      <c r="M226" s="8">
        <v>5</v>
      </c>
    </row>
    <row r="227" spans="8:13" hidden="1">
      <c r="I227" s="113" t="s">
        <v>30</v>
      </c>
      <c r="J227" s="8">
        <v>70</v>
      </c>
      <c r="K227" s="8">
        <v>20</v>
      </c>
      <c r="L227" s="8">
        <v>5</v>
      </c>
      <c r="M227" s="8">
        <v>5</v>
      </c>
    </row>
    <row r="228" spans="8:13" hidden="1">
      <c r="I228" s="113" t="s">
        <v>19</v>
      </c>
      <c r="J228" s="8">
        <v>70</v>
      </c>
      <c r="K228" s="8">
        <v>20</v>
      </c>
      <c r="L228" s="8">
        <v>5</v>
      </c>
      <c r="M228" s="8">
        <v>5</v>
      </c>
    </row>
    <row r="229" spans="8:13" hidden="1">
      <c r="I229" s="113" t="s">
        <v>44</v>
      </c>
      <c r="J229" s="8">
        <v>70</v>
      </c>
      <c r="K229" s="8">
        <v>20</v>
      </c>
      <c r="L229" s="8">
        <v>5</v>
      </c>
      <c r="M229" s="8">
        <v>5</v>
      </c>
    </row>
    <row r="230" spans="8:13" hidden="1">
      <c r="H230" s="8" t="s">
        <v>307</v>
      </c>
      <c r="I230" s="8" t="s">
        <v>308</v>
      </c>
      <c r="J230" s="8">
        <v>50</v>
      </c>
      <c r="K230" s="8">
        <v>20</v>
      </c>
      <c r="L230" s="8">
        <v>5</v>
      </c>
      <c r="M230" s="8">
        <v>5</v>
      </c>
    </row>
    <row r="231" spans="8:13" hidden="1">
      <c r="I231" s="8" t="s">
        <v>309</v>
      </c>
      <c r="J231" s="8">
        <v>70</v>
      </c>
      <c r="K231" s="8">
        <v>20</v>
      </c>
      <c r="L231" s="8">
        <v>5</v>
      </c>
      <c r="M231" s="8">
        <v>5</v>
      </c>
    </row>
    <row r="232" spans="8:13" hidden="1"/>
    <row r="233" spans="8:13" hidden="1">
      <c r="H233" s="8" t="s">
        <v>9</v>
      </c>
      <c r="I233" s="112" t="s">
        <v>23</v>
      </c>
      <c r="J233" s="8">
        <v>60</v>
      </c>
      <c r="K233" s="8">
        <v>30</v>
      </c>
      <c r="L233" s="8">
        <v>5</v>
      </c>
      <c r="M233" s="8">
        <v>5</v>
      </c>
    </row>
    <row r="234" spans="8:13" hidden="1">
      <c r="I234" s="113" t="s">
        <v>30</v>
      </c>
      <c r="J234" s="8">
        <v>60</v>
      </c>
      <c r="K234" s="8">
        <v>30</v>
      </c>
      <c r="L234" s="8">
        <v>5</v>
      </c>
      <c r="M234" s="8">
        <v>5</v>
      </c>
    </row>
    <row r="235" spans="8:13" hidden="1">
      <c r="I235" s="113" t="s">
        <v>19</v>
      </c>
      <c r="J235" s="8">
        <v>70</v>
      </c>
      <c r="K235" s="8">
        <v>20</v>
      </c>
      <c r="L235" s="8">
        <v>5</v>
      </c>
      <c r="M235" s="8">
        <v>5</v>
      </c>
    </row>
    <row r="236" spans="8:13" hidden="1">
      <c r="I236" s="113" t="s">
        <v>44</v>
      </c>
      <c r="J236" s="8">
        <v>70</v>
      </c>
      <c r="K236" s="8">
        <v>20</v>
      </c>
      <c r="L236" s="8">
        <v>5</v>
      </c>
      <c r="M236" s="8">
        <v>5</v>
      </c>
    </row>
    <row r="237" spans="8:13" hidden="1">
      <c r="H237" s="8" t="s">
        <v>307</v>
      </c>
      <c r="I237" s="8" t="s">
        <v>308</v>
      </c>
      <c r="J237" s="8">
        <v>50</v>
      </c>
      <c r="K237" s="8">
        <v>20</v>
      </c>
      <c r="L237" s="8">
        <v>5</v>
      </c>
      <c r="M237" s="8">
        <v>5</v>
      </c>
    </row>
    <row r="238" spans="8:13" hidden="1">
      <c r="I238" s="8" t="s">
        <v>309</v>
      </c>
      <c r="J238" s="8">
        <v>70</v>
      </c>
      <c r="K238" s="8">
        <v>20</v>
      </c>
      <c r="L238" s="8">
        <v>5</v>
      </c>
      <c r="M238" s="8">
        <v>5</v>
      </c>
    </row>
    <row r="239" spans="8:13" hidden="1"/>
    <row r="240" spans="8:13" hidden="1">
      <c r="H240" s="8" t="s">
        <v>310</v>
      </c>
      <c r="I240" s="112" t="s">
        <v>23</v>
      </c>
      <c r="J240" s="8">
        <v>60</v>
      </c>
      <c r="K240" s="8">
        <v>30</v>
      </c>
      <c r="L240" s="8">
        <v>5</v>
      </c>
      <c r="M240" s="8">
        <v>5</v>
      </c>
    </row>
    <row r="241" spans="8:13" hidden="1">
      <c r="I241" s="113" t="s">
        <v>30</v>
      </c>
      <c r="J241" s="8">
        <v>60</v>
      </c>
      <c r="K241" s="8">
        <v>30</v>
      </c>
      <c r="L241" s="8">
        <v>5</v>
      </c>
      <c r="M241" s="8">
        <v>5</v>
      </c>
    </row>
    <row r="242" spans="8:13" hidden="1">
      <c r="I242" s="113" t="s">
        <v>19</v>
      </c>
      <c r="J242" s="8">
        <v>60</v>
      </c>
      <c r="K242" s="8">
        <v>30</v>
      </c>
      <c r="L242" s="8">
        <v>5</v>
      </c>
      <c r="M242" s="8">
        <v>5</v>
      </c>
    </row>
    <row r="243" spans="8:13" hidden="1">
      <c r="I243" s="113" t="s">
        <v>44</v>
      </c>
      <c r="J243" s="8">
        <v>70</v>
      </c>
      <c r="K243" s="8">
        <v>20</v>
      </c>
      <c r="L243" s="8">
        <v>5</v>
      </c>
      <c r="M243" s="8">
        <v>5</v>
      </c>
    </row>
    <row r="244" spans="8:13" hidden="1">
      <c r="H244" s="8" t="s">
        <v>307</v>
      </c>
      <c r="I244" s="8" t="s">
        <v>308</v>
      </c>
      <c r="J244" s="8">
        <v>50</v>
      </c>
      <c r="K244" s="8">
        <v>20</v>
      </c>
      <c r="L244" s="8">
        <v>5</v>
      </c>
      <c r="M244" s="8">
        <v>5</v>
      </c>
    </row>
    <row r="245" spans="8:13" hidden="1">
      <c r="I245" s="8" t="s">
        <v>309</v>
      </c>
      <c r="J245" s="8">
        <v>70</v>
      </c>
      <c r="K245" s="8">
        <v>20</v>
      </c>
      <c r="L245" s="8">
        <v>5</v>
      </c>
      <c r="M245" s="8">
        <v>5</v>
      </c>
    </row>
  </sheetData>
  <sheetProtection selectLockedCells="1"/>
  <dataConsolidate/>
  <mergeCells count="63">
    <mergeCell ref="G189:H189"/>
    <mergeCell ref="I189:J189"/>
    <mergeCell ref="B1:AC1"/>
    <mergeCell ref="B2:AC2"/>
    <mergeCell ref="D198:I198"/>
    <mergeCell ref="J198:O198"/>
    <mergeCell ref="N195:O195"/>
    <mergeCell ref="F195:I195"/>
    <mergeCell ref="N4:P4"/>
    <mergeCell ref="N5:P5"/>
    <mergeCell ref="N191:O191"/>
    <mergeCell ref="N192:O192"/>
    <mergeCell ref="N193:O193"/>
    <mergeCell ref="N194:O194"/>
    <mergeCell ref="D194:E194"/>
    <mergeCell ref="D195:E195"/>
    <mergeCell ref="J195:M195"/>
    <mergeCell ref="D191:E191"/>
    <mergeCell ref="D193:E193"/>
    <mergeCell ref="D192:E192"/>
    <mergeCell ref="J191:M191"/>
    <mergeCell ref="F193:I193"/>
    <mergeCell ref="F191:I191"/>
    <mergeCell ref="F194:I194"/>
    <mergeCell ref="F192:I192"/>
    <mergeCell ref="J192:M192"/>
    <mergeCell ref="J193:M193"/>
    <mergeCell ref="J194:M194"/>
    <mergeCell ref="F13:H13"/>
    <mergeCell ref="B4:D4"/>
    <mergeCell ref="L4:M4"/>
    <mergeCell ref="G5:K5"/>
    <mergeCell ref="L5:M5"/>
    <mergeCell ref="B5:D5"/>
    <mergeCell ref="E8:I8"/>
    <mergeCell ref="F9:H9"/>
    <mergeCell ref="F10:H10"/>
    <mergeCell ref="F11:H11"/>
    <mergeCell ref="F12:H12"/>
    <mergeCell ref="B14:AC14"/>
    <mergeCell ref="B172:C172"/>
    <mergeCell ref="I182:J183"/>
    <mergeCell ref="B173:C173"/>
    <mergeCell ref="E182:F183"/>
    <mergeCell ref="G182:H183"/>
    <mergeCell ref="L182:L183"/>
    <mergeCell ref="M182:P183"/>
    <mergeCell ref="I184:J184"/>
    <mergeCell ref="I185:J185"/>
    <mergeCell ref="E189:F189"/>
    <mergeCell ref="E184:F184"/>
    <mergeCell ref="E186:F186"/>
    <mergeCell ref="E188:F188"/>
    <mergeCell ref="G184:H184"/>
    <mergeCell ref="E185:F185"/>
    <mergeCell ref="G185:H185"/>
    <mergeCell ref="G188:H188"/>
    <mergeCell ref="I188:J188"/>
    <mergeCell ref="G186:H186"/>
    <mergeCell ref="I186:J186"/>
    <mergeCell ref="E187:F187"/>
    <mergeCell ref="G187:H187"/>
    <mergeCell ref="I187:J187"/>
  </mergeCells>
  <conditionalFormatting sqref="AC16">
    <cfRule type="expression" dxfId="12152" priority="16826">
      <formula>"AND(OR(AA12=0,ISBLANK(J12)),NOT(ISBLANK(B12)))"</formula>
    </cfRule>
  </conditionalFormatting>
  <conditionalFormatting sqref="D16">
    <cfRule type="expression" dxfId="12151" priority="16825">
      <formula>"if($S$8&lt;&gt;27)"</formula>
    </cfRule>
  </conditionalFormatting>
  <conditionalFormatting sqref="P16">
    <cfRule type="expression" dxfId="12150" priority="16824">
      <formula>SUM(P16:Q16)&lt;&gt;10</formula>
    </cfRule>
  </conditionalFormatting>
  <conditionalFormatting sqref="F19">
    <cfRule type="cellIs" dxfId="12149" priority="16822" operator="notBetween">
      <formula>0</formula>
      <formula>2</formula>
    </cfRule>
    <cfRule type="expression" dxfId="12148" priority="16823">
      <formula>AND(A19=B19,ISBLANK(F19))</formula>
    </cfRule>
  </conditionalFormatting>
  <conditionalFormatting sqref="E19">
    <cfRule type="cellIs" dxfId="12147" priority="16820" operator="notBetween">
      <formula>0</formula>
      <formula>2</formula>
    </cfRule>
    <cfRule type="expression" dxfId="12146" priority="16821">
      <formula>AND(A19=B19,ISBLANK(E19))</formula>
    </cfRule>
  </conditionalFormatting>
  <conditionalFormatting sqref="J19">
    <cfRule type="cellIs" dxfId="12145" priority="16818" operator="notBetween">
      <formula>0</formula>
      <formula>2</formula>
    </cfRule>
    <cfRule type="expression" dxfId="12144" priority="16819">
      <formula>AND(A19=B19,ISBLANK(J19))</formula>
    </cfRule>
  </conditionalFormatting>
  <conditionalFormatting sqref="K19">
    <cfRule type="cellIs" dxfId="12143" priority="16816" operator="notBetween">
      <formula>0</formula>
      <formula>2</formula>
    </cfRule>
    <cfRule type="expression" dxfId="12142" priority="16817">
      <formula>AND(A19=B19,ISBLANK(K19))</formula>
    </cfRule>
  </conditionalFormatting>
  <conditionalFormatting sqref="L19">
    <cfRule type="cellIs" dxfId="12141" priority="16814" operator="notBetween">
      <formula>0</formula>
      <formula>2</formula>
    </cfRule>
    <cfRule type="expression" dxfId="12140" priority="16815">
      <formula>AND(A19=B19,ISBLANK(L19))</formula>
    </cfRule>
  </conditionalFormatting>
  <conditionalFormatting sqref="M19">
    <cfRule type="expression" dxfId="12139" priority="16812">
      <formula>AND(A19=B19,ISBLANK(M19))</formula>
    </cfRule>
    <cfRule type="cellIs" dxfId="12138" priority="16813" operator="notBetween">
      <formula>0</formula>
      <formula>2</formula>
    </cfRule>
  </conditionalFormatting>
  <conditionalFormatting sqref="O19">
    <cfRule type="expression" priority="16735" stopIfTrue="1">
      <formula>"ISBLANK($K$185)"</formula>
    </cfRule>
    <cfRule type="expression" dxfId="12137" priority="16802">
      <formula>AND(OR(AW19=0,ISBLANK(O19)),B19&lt;&gt;"")</formula>
    </cfRule>
    <cfRule type="expression" dxfId="12136" priority="16803">
      <formula>AND(O19="NA",NOT(ISTEXT(N19)))</formula>
    </cfRule>
    <cfRule type="expression" dxfId="12135" priority="16804">
      <formula>AND(AW19&gt;5,O19="NA")</formula>
    </cfRule>
    <cfRule type="expression" dxfId="12134" priority="16805">
      <formula>AND(AW19&lt;5,O19="NA")</formula>
    </cfRule>
    <cfRule type="expression" dxfId="12133" priority="16806">
      <formula>AND(O19&lt;&gt;"NA",O19&gt;$O$16)</formula>
    </cfRule>
  </conditionalFormatting>
  <conditionalFormatting sqref="P19">
    <cfRule type="expression" priority="16734" stopIfTrue="1">
      <formula>"ISBLANK($K$185)"</formula>
    </cfRule>
    <cfRule type="expression" dxfId="12132" priority="16797">
      <formula>AND(OR(AW19=0,ISBLANK(P19)),B19&lt;&gt;"")</formula>
    </cfRule>
    <cfRule type="expression" dxfId="12131" priority="16798">
      <formula>AND(P19="NA",NOT(ISTEXT(Q19)))</formula>
    </cfRule>
    <cfRule type="expression" dxfId="12130" priority="16799">
      <formula>AND(AW19&gt;5,P19="NA")</formula>
    </cfRule>
    <cfRule type="expression" dxfId="12129" priority="16800">
      <formula>AND(AW19&lt;5,P19="NA")</formula>
    </cfRule>
    <cfRule type="expression" dxfId="12128" priority="16801">
      <formula>AND(P19&lt;&gt;"NA",P19&gt;$P$16)</formula>
    </cfRule>
  </conditionalFormatting>
  <conditionalFormatting sqref="Q19">
    <cfRule type="expression" priority="16733" stopIfTrue="1">
      <formula>"ISBLANK($K$185)"</formula>
    </cfRule>
    <cfRule type="expression" dxfId="12127" priority="16792">
      <formula>AND(OR(AW19=0,ISBLANK(Q19)),B19&lt;&gt;"")</formula>
    </cfRule>
    <cfRule type="expression" dxfId="12126" priority="16793">
      <formula>AND(Q19="NA",NOT(ISTEXT(P19)))</formula>
    </cfRule>
    <cfRule type="expression" dxfId="12125" priority="16794">
      <formula>AND(AW19&gt;5,Q19="NA")</formula>
    </cfRule>
    <cfRule type="expression" dxfId="12124" priority="16795">
      <formula>AND(AW19&lt;5,Q19="NA")</formula>
    </cfRule>
    <cfRule type="expression" dxfId="12123" priority="16796">
      <formula>AND(Q19&lt;&gt;"NA",Q19&gt;$Q$16)</formula>
    </cfRule>
  </conditionalFormatting>
  <conditionalFormatting sqref="R19">
    <cfRule type="expression" priority="16732" stopIfTrue="1">
      <formula>"ISBLANK($K$185)"</formula>
    </cfRule>
    <cfRule type="expression" dxfId="12122" priority="16787">
      <formula>AND(OR(AW19=0,ISBLANK(R19)),B19&lt;&gt;"")</formula>
    </cfRule>
    <cfRule type="expression" dxfId="12121" priority="16788">
      <formula>AND(R19="NA",NOT(ISTEXT(S19)))</formula>
    </cfRule>
    <cfRule type="expression" dxfId="12120" priority="16789">
      <formula>AND(AW19&gt;5,R19="NA")</formula>
    </cfRule>
    <cfRule type="expression" dxfId="12119" priority="16790">
      <formula>AND(AW19&lt;5,R19="NA")</formula>
    </cfRule>
    <cfRule type="expression" dxfId="12118" priority="16791">
      <formula>AND(R19&lt;&gt;"NA",R19&gt;$R$16)</formula>
    </cfRule>
  </conditionalFormatting>
  <conditionalFormatting sqref="S19">
    <cfRule type="expression" priority="16731" stopIfTrue="1">
      <formula>"ISBLANK($K$185)"</formula>
    </cfRule>
    <cfRule type="expression" dxfId="12117" priority="16782">
      <formula>AND(OR(AW19=0,ISBLANK(S19)),B19&lt;&gt;"")</formula>
    </cfRule>
    <cfRule type="expression" dxfId="12116" priority="16783">
      <formula>AND(S19="NA",NOT(ISTEXT(R19)))</formula>
    </cfRule>
    <cfRule type="expression" dxfId="12115" priority="16784">
      <formula>AND(AW19&gt;5,S19="NA")</formula>
    </cfRule>
    <cfRule type="expression" dxfId="12114" priority="16785">
      <formula>AND(AW19&lt;5,S19="NA")</formula>
    </cfRule>
    <cfRule type="expression" dxfId="12113" priority="16786">
      <formula>AND(S19&lt;&gt;"NA",S19&gt;$S$16)</formula>
    </cfRule>
  </conditionalFormatting>
  <conditionalFormatting sqref="T19">
    <cfRule type="expression" priority="16730" stopIfTrue="1">
      <formula>"ISBLANK($K$185)"</formula>
    </cfRule>
    <cfRule type="expression" dxfId="12112" priority="16777">
      <formula>AND(OR(AW19=0,ISBLANK(T19)),B19&lt;&gt;"")</formula>
    </cfRule>
    <cfRule type="expression" dxfId="12111" priority="16778">
      <formula>AND(T19="NA",NOT(ISTEXT(U19)))</formula>
    </cfRule>
    <cfRule type="expression" dxfId="12110" priority="16779">
      <formula>AND(AW19&gt;5,T19="NA")</formula>
    </cfRule>
    <cfRule type="expression" dxfId="12109" priority="16780">
      <formula>AND(AW19&lt;5,T19="NA")</formula>
    </cfRule>
    <cfRule type="expression" dxfId="12108" priority="16781">
      <formula>AND(T19&lt;&gt;"NA",T19&gt;$T$16)</formula>
    </cfRule>
  </conditionalFormatting>
  <conditionalFormatting sqref="U19">
    <cfRule type="expression" priority="16729" stopIfTrue="1">
      <formula>"ISBLANK($K$185)"</formula>
    </cfRule>
    <cfRule type="expression" dxfId="12107" priority="16772">
      <formula>AND(OR(AW19=0,ISBLANK(U19)),B19&lt;&gt;"")</formula>
    </cfRule>
    <cfRule type="expression" dxfId="12106" priority="16773">
      <formula>AND(U19="NA",NOT(ISTEXT(T19)))</formula>
    </cfRule>
    <cfRule type="expression" dxfId="12105" priority="16774">
      <formula>AND(AW19&gt;5,U19="NA")</formula>
    </cfRule>
    <cfRule type="expression" dxfId="12104" priority="16775">
      <formula>AND(AW19&lt;5,U19="NA")</formula>
    </cfRule>
    <cfRule type="expression" dxfId="12103" priority="16776">
      <formula>AND(U19&lt;&gt;"NA",U19&gt;$U$16)</formula>
    </cfRule>
  </conditionalFormatting>
  <conditionalFormatting sqref="V19">
    <cfRule type="expression" priority="16728" stopIfTrue="1">
      <formula>"ISBLANK($K$185)"</formula>
    </cfRule>
    <cfRule type="expression" dxfId="12102" priority="16767">
      <formula>AND(OR(AW19=0,ISBLANK(V19)),B19&lt;&gt;"")</formula>
    </cfRule>
    <cfRule type="expression" dxfId="12101" priority="16768">
      <formula>AND(V19="NA",NOT(ISTEXT(W19)))</formula>
    </cfRule>
    <cfRule type="expression" dxfId="12100" priority="16769">
      <formula>AND(AW19&gt;5,V19="NA")</formula>
    </cfRule>
    <cfRule type="expression" dxfId="12099" priority="16770">
      <formula>AND(AW19&lt;5,V19="NA")</formula>
    </cfRule>
    <cfRule type="expression" dxfId="12098" priority="16771">
      <formula>AND(V19&lt;&gt;"NA",V19&gt;$V$16)</formula>
    </cfRule>
  </conditionalFormatting>
  <conditionalFormatting sqref="W19">
    <cfRule type="expression" priority="16727" stopIfTrue="1">
      <formula>"ISBLANK($K$185)"</formula>
    </cfRule>
    <cfRule type="expression" dxfId="12097" priority="16762">
      <formula>AND(OR(AW19=0,ISBLANK(W19)),B19&lt;&gt;"")</formula>
    </cfRule>
    <cfRule type="expression" dxfId="12096" priority="16763">
      <formula>AND(W19="NA",NOT(ISTEXT(V19)))</formula>
    </cfRule>
    <cfRule type="expression" dxfId="12095" priority="16764">
      <formula>AND(AW19&gt;5,W19="NA")</formula>
    </cfRule>
    <cfRule type="expression" dxfId="12094" priority="16765">
      <formula>AND(AW19&lt;5,W19="NA")</formula>
    </cfRule>
    <cfRule type="expression" dxfId="12093" priority="16766">
      <formula>AND(W19&lt;&gt;"NA",W19&gt;$W$16)</formula>
    </cfRule>
  </conditionalFormatting>
  <conditionalFormatting sqref="X19">
    <cfRule type="expression" priority="16726" stopIfTrue="1">
      <formula>"ISBLANK($K$185)"</formula>
    </cfRule>
    <cfRule type="expression" dxfId="12092" priority="16757">
      <formula>AND(OR(AW19=0,ISBLANK(X19)),B19&lt;&gt;"")</formula>
    </cfRule>
    <cfRule type="expression" dxfId="12091" priority="16758">
      <formula>AND(X19="NA",NOT(ISTEXT(Y19)))</formula>
    </cfRule>
    <cfRule type="expression" dxfId="12090" priority="16759">
      <formula>AND(AW19&gt;5,X19="NA")</formula>
    </cfRule>
    <cfRule type="expression" dxfId="12089" priority="16760">
      <formula>AND(AW19&lt;5,X19="NA")</formula>
    </cfRule>
    <cfRule type="expression" dxfId="12088" priority="16761">
      <formula>AND(X19&lt;&gt;"NA",X19&gt;$Y$16)</formula>
    </cfRule>
  </conditionalFormatting>
  <conditionalFormatting sqref="Y19">
    <cfRule type="expression" priority="16725" stopIfTrue="1">
      <formula>"ISBLANK($K$185)"</formula>
    </cfRule>
    <cfRule type="expression" dxfId="12087" priority="16752">
      <formula>AND(OR(AW19=0,ISBLANK(Y19)),B19&lt;&gt;"")</formula>
    </cfRule>
    <cfRule type="expression" dxfId="12086" priority="16753">
      <formula>AND(Y19="NA",NOT(ISTEXT(X19)))</formula>
    </cfRule>
    <cfRule type="expression" dxfId="12085" priority="16754">
      <formula>AND(AW19&gt;5,Y19="NA")</formula>
    </cfRule>
    <cfRule type="expression" dxfId="12084" priority="16755">
      <formula>AND(AW19&lt;5,Y19="NA")</formula>
    </cfRule>
    <cfRule type="expression" dxfId="12083" priority="16756">
      <formula>AND(Y19&lt;&gt;"NA",Y19&gt;$Y$16)</formula>
    </cfRule>
  </conditionalFormatting>
  <conditionalFormatting sqref="Z19">
    <cfRule type="expression" priority="167" stopIfTrue="1">
      <formula>"ISBLANK($K$185)"</formula>
    </cfRule>
    <cfRule type="expression" dxfId="12082" priority="16721">
      <formula>AND(OR(AW19=0,ISBLANK(Z19)),B19&lt;&gt;"")</formula>
    </cfRule>
    <cfRule type="expression" dxfId="12081" priority="16747">
      <formula>AND(AW19&gt;5,Z19="NA")</formula>
    </cfRule>
    <cfRule type="expression" dxfId="12080" priority="16748">
      <formula>AND(AW19&lt;5,Z19="NA")</formula>
    </cfRule>
    <cfRule type="expression" dxfId="12079" priority="16750">
      <formula>AND(Z19="NA",AA19="NA",AB19="NA",AW19=5)</formula>
    </cfRule>
    <cfRule type="expression" dxfId="12078" priority="16751">
      <formula>AND(Z19&lt;&gt;"NA",Z19&gt;$Z$16)</formula>
    </cfRule>
  </conditionalFormatting>
  <conditionalFormatting sqref="AA19">
    <cfRule type="expression" priority="166" stopIfTrue="1">
      <formula>"ISBLANK($K$185)"</formula>
    </cfRule>
    <cfRule type="expression" dxfId="12077" priority="16723">
      <formula>AND(OR(AW19=0,ISBLANK(AA19)),B19&lt;&gt;"")</formula>
    </cfRule>
    <cfRule type="expression" dxfId="12076" priority="16743">
      <formula>AND(AW19&gt;5,AA19="NA")</formula>
    </cfRule>
    <cfRule type="expression" dxfId="12075" priority="16744">
      <formula>AND(AW19&lt;5,AA19="NA")</formula>
    </cfRule>
    <cfRule type="expression" priority="16745">
      <formula>AND(AW19=5,Z19="NA",AA19="NA",AB19="NA")</formula>
    </cfRule>
    <cfRule type="expression" dxfId="12074" priority="16746">
      <formula>AND(AA19&lt;&gt;"NA",AA19&gt;$AA$16)</formula>
    </cfRule>
  </conditionalFormatting>
  <conditionalFormatting sqref="AB19">
    <cfRule type="expression" priority="165" stopIfTrue="1">
      <formula>"ISBLANK($K$185)"</formula>
    </cfRule>
    <cfRule type="expression" dxfId="12073" priority="16722">
      <formula>AND(OR(AW19=0,ISBLANK(AB19)),B19&lt;&gt;"")</formula>
    </cfRule>
    <cfRule type="expression" dxfId="12072" priority="16738">
      <formula>AND(AW19&gt;5,AB19="NA")</formula>
    </cfRule>
    <cfRule type="expression" dxfId="12071" priority="16739">
      <formula>AND(AW19&lt;5,AB19="NA")</formula>
    </cfRule>
    <cfRule type="expression" dxfId="12070" priority="16740">
      <formula>AND(AB19&lt;&gt;"NA",AB19&gt;$AB$16)</formula>
    </cfRule>
    <cfRule type="expression" priority="16741">
      <formula>AND(AW19=5,Z19="NA",AA19="NA",AB19="NA")</formula>
    </cfRule>
  </conditionalFormatting>
  <conditionalFormatting sqref="N19">
    <cfRule type="expression" priority="16736" stopIfTrue="1">
      <formula>"ISBLANK($K$185)"</formula>
    </cfRule>
    <cfRule type="expression" dxfId="12069" priority="16807">
      <formula>AND(OR(AW19=0,ISBLANK(N19)),B19&lt;&gt;"")</formula>
    </cfRule>
    <cfRule type="expression" dxfId="12068" priority="16808">
      <formula>AND(N19="NA",NOT(ISTEXT(O19)))</formula>
    </cfRule>
    <cfRule type="expression" dxfId="12067" priority="16809">
      <formula>AND(AW19&gt;5,N19="NA")</formula>
    </cfRule>
    <cfRule type="expression" dxfId="12066" priority="16810">
      <formula>AND(AW19&lt;5,N19="NA")</formula>
    </cfRule>
    <cfRule type="expression" dxfId="12065" priority="16811">
      <formula>AND(N19&lt;&gt;"NA",N19&gt;$N$16)</formula>
    </cfRule>
  </conditionalFormatting>
  <conditionalFormatting sqref="G19">
    <cfRule type="expression" dxfId="12064" priority="16719">
      <formula>AND(A19=B19,ISBLANK(G19))</formula>
    </cfRule>
    <cfRule type="cellIs" dxfId="12063" priority="16720" operator="notBetween">
      <formula>0</formula>
      <formula>2</formula>
    </cfRule>
  </conditionalFormatting>
  <conditionalFormatting sqref="H19">
    <cfRule type="expression" dxfId="12062" priority="16717">
      <formula>AND(A19=B19,ISBLANK(H19))</formula>
    </cfRule>
    <cfRule type="cellIs" dxfId="12061" priority="16718" operator="notBetween">
      <formula>0</formula>
      <formula>2</formula>
    </cfRule>
  </conditionalFormatting>
  <conditionalFormatting sqref="I19">
    <cfRule type="expression" dxfId="12060" priority="16715">
      <formula>AND(A19=B19,ISBLANK(I19))</formula>
    </cfRule>
    <cfRule type="cellIs" dxfId="12059" priority="16716" operator="notBetween">
      <formula>0</formula>
      <formula>2</formula>
    </cfRule>
  </conditionalFormatting>
  <conditionalFormatting sqref="D20">
    <cfRule type="expression" dxfId="12058" priority="16713">
      <formula>AND(A20=B20,ISBLANK(D20))</formula>
    </cfRule>
    <cfRule type="cellIs" dxfId="12057" priority="16714" operator="notBetween">
      <formula>0</formula>
      <formula>2</formula>
    </cfRule>
  </conditionalFormatting>
  <conditionalFormatting sqref="F20">
    <cfRule type="cellIs" dxfId="12056" priority="16711" operator="notBetween">
      <formula>0</formula>
      <formula>2</formula>
    </cfRule>
    <cfRule type="expression" dxfId="12055" priority="16712">
      <formula>AND(A20=B20,ISBLANK(F20))</formula>
    </cfRule>
  </conditionalFormatting>
  <conditionalFormatting sqref="E20">
    <cfRule type="cellIs" dxfId="12054" priority="16709" operator="notBetween">
      <formula>0</formula>
      <formula>2</formula>
    </cfRule>
    <cfRule type="expression" dxfId="12053" priority="16710">
      <formula>AND(A20=B20,ISBLANK(E20))</formula>
    </cfRule>
  </conditionalFormatting>
  <conditionalFormatting sqref="J20">
    <cfRule type="cellIs" dxfId="12052" priority="16707" operator="notBetween">
      <formula>0</formula>
      <formula>2</formula>
    </cfRule>
    <cfRule type="expression" dxfId="12051" priority="16708">
      <formula>AND(A20=B20,ISBLANK(J20))</formula>
    </cfRule>
  </conditionalFormatting>
  <conditionalFormatting sqref="K20">
    <cfRule type="cellIs" dxfId="12050" priority="16705" operator="notBetween">
      <formula>0</formula>
      <formula>2</formula>
    </cfRule>
    <cfRule type="expression" dxfId="12049" priority="16706">
      <formula>AND(A20=B20,ISBLANK(K20))</formula>
    </cfRule>
  </conditionalFormatting>
  <conditionalFormatting sqref="L20">
    <cfRule type="cellIs" dxfId="12048" priority="16703" operator="notBetween">
      <formula>0</formula>
      <formula>2</formula>
    </cfRule>
    <cfRule type="expression" dxfId="12047" priority="16704">
      <formula>AND(A20=B20,ISBLANK(L20))</formula>
    </cfRule>
  </conditionalFormatting>
  <conditionalFormatting sqref="M20">
    <cfRule type="expression" dxfId="12046" priority="16701">
      <formula>AND(A20=B20,ISBLANK(M20))</formula>
    </cfRule>
    <cfRule type="cellIs" dxfId="12045" priority="16702" operator="notBetween">
      <formula>0</formula>
      <formula>2</formula>
    </cfRule>
  </conditionalFormatting>
  <conditionalFormatting sqref="G20">
    <cfRule type="expression" dxfId="12044" priority="16699">
      <formula>AND(A20=B20,ISBLANK(G20))</formula>
    </cfRule>
    <cfRule type="cellIs" dxfId="12043" priority="16700" operator="notBetween">
      <formula>0</formula>
      <formula>2</formula>
    </cfRule>
  </conditionalFormatting>
  <conditionalFormatting sqref="H20">
    <cfRule type="expression" dxfId="12042" priority="16697">
      <formula>AND(A20=B20,ISBLANK(H20))</formula>
    </cfRule>
    <cfRule type="cellIs" dxfId="12041" priority="16698" operator="notBetween">
      <formula>0</formula>
      <formula>2</formula>
    </cfRule>
  </conditionalFormatting>
  <conditionalFormatting sqref="I20">
    <cfRule type="expression" dxfId="12040" priority="16695">
      <formula>AND(A20=B20,ISBLANK(I20))</formula>
    </cfRule>
    <cfRule type="cellIs" dxfId="12039" priority="16696" operator="notBetween">
      <formula>0</formula>
      <formula>2</formula>
    </cfRule>
  </conditionalFormatting>
  <conditionalFormatting sqref="D22">
    <cfRule type="expression" dxfId="12038" priority="16693">
      <formula>AND(A22=B22,ISBLANK(D22))</formula>
    </cfRule>
    <cfRule type="cellIs" dxfId="12037" priority="16694" operator="notBetween">
      <formula>0</formula>
      <formula>2</formula>
    </cfRule>
  </conditionalFormatting>
  <conditionalFormatting sqref="F22">
    <cfRule type="cellIs" dxfId="12036" priority="16691" operator="notBetween">
      <formula>0</formula>
      <formula>2</formula>
    </cfRule>
    <cfRule type="expression" dxfId="12035" priority="16692">
      <formula>AND(A22=B22,ISBLANK(F22))</formula>
    </cfRule>
  </conditionalFormatting>
  <conditionalFormatting sqref="E22">
    <cfRule type="cellIs" dxfId="12034" priority="16689" operator="notBetween">
      <formula>0</formula>
      <formula>2</formula>
    </cfRule>
    <cfRule type="expression" dxfId="12033" priority="16690">
      <formula>AND(A22=B22,ISBLANK(E22))</formula>
    </cfRule>
  </conditionalFormatting>
  <conditionalFormatting sqref="J22">
    <cfRule type="cellIs" dxfId="12032" priority="16687" operator="notBetween">
      <formula>0</formula>
      <formula>2</formula>
    </cfRule>
    <cfRule type="expression" dxfId="12031" priority="16688">
      <formula>AND(A22=B22,ISBLANK(J22))</formula>
    </cfRule>
  </conditionalFormatting>
  <conditionalFormatting sqref="K22">
    <cfRule type="cellIs" dxfId="12030" priority="16685" operator="notBetween">
      <formula>0</formula>
      <formula>2</formula>
    </cfRule>
    <cfRule type="expression" dxfId="12029" priority="16686">
      <formula>AND(A22=B22,ISBLANK(K22))</formula>
    </cfRule>
  </conditionalFormatting>
  <conditionalFormatting sqref="L22">
    <cfRule type="cellIs" dxfId="12028" priority="16683" operator="notBetween">
      <formula>0</formula>
      <formula>2</formula>
    </cfRule>
    <cfRule type="expression" dxfId="12027" priority="16684">
      <formula>AND(A22=B22,ISBLANK(L22))</formula>
    </cfRule>
  </conditionalFormatting>
  <conditionalFormatting sqref="M22">
    <cfRule type="expression" dxfId="12026" priority="16681">
      <formula>AND(A22=B22,ISBLANK(M22))</formula>
    </cfRule>
    <cfRule type="cellIs" dxfId="12025" priority="16682" operator="notBetween">
      <formula>0</formula>
      <formula>2</formula>
    </cfRule>
  </conditionalFormatting>
  <conditionalFormatting sqref="G22">
    <cfRule type="expression" dxfId="12024" priority="16679">
      <formula>AND(A22=B22,ISBLANK(G22))</formula>
    </cfRule>
    <cfRule type="cellIs" dxfId="12023" priority="16680" operator="notBetween">
      <formula>0</formula>
      <formula>2</formula>
    </cfRule>
  </conditionalFormatting>
  <conditionalFormatting sqref="H22">
    <cfRule type="expression" dxfId="12022" priority="16677">
      <formula>AND(A22=B22,ISBLANK(H22))</formula>
    </cfRule>
    <cfRule type="cellIs" dxfId="12021" priority="16678" operator="notBetween">
      <formula>0</formula>
      <formula>2</formula>
    </cfRule>
  </conditionalFormatting>
  <conditionalFormatting sqref="I22">
    <cfRule type="expression" dxfId="12020" priority="16675">
      <formula>AND(A22=B22,ISBLANK(I22))</formula>
    </cfRule>
    <cfRule type="cellIs" dxfId="12019" priority="16676" operator="notBetween">
      <formula>0</formula>
      <formula>2</formula>
    </cfRule>
  </conditionalFormatting>
  <conditionalFormatting sqref="D23">
    <cfRule type="expression" dxfId="12018" priority="16673">
      <formula>AND(A23=B23,ISBLANK(D23))</formula>
    </cfRule>
    <cfRule type="cellIs" dxfId="12017" priority="16674" operator="notBetween">
      <formula>0</formula>
      <formula>2</formula>
    </cfRule>
  </conditionalFormatting>
  <conditionalFormatting sqref="F23">
    <cfRule type="cellIs" dxfId="12016" priority="16671" operator="notBetween">
      <formula>0</formula>
      <formula>2</formula>
    </cfRule>
    <cfRule type="expression" dxfId="12015" priority="16672">
      <formula>AND(A23=B23,ISBLANK(F23))</formula>
    </cfRule>
  </conditionalFormatting>
  <conditionalFormatting sqref="E23">
    <cfRule type="cellIs" dxfId="12014" priority="16669" operator="notBetween">
      <formula>0</formula>
      <formula>2</formula>
    </cfRule>
    <cfRule type="expression" dxfId="12013" priority="16670">
      <formula>AND(A23=B23,ISBLANK(E23))</formula>
    </cfRule>
  </conditionalFormatting>
  <conditionalFormatting sqref="J23">
    <cfRule type="cellIs" dxfId="12012" priority="16667" operator="notBetween">
      <formula>0</formula>
      <formula>2</formula>
    </cfRule>
    <cfRule type="expression" dxfId="12011" priority="16668">
      <formula>AND(A23=B23,ISBLANK(J23))</formula>
    </cfRule>
  </conditionalFormatting>
  <conditionalFormatting sqref="K23">
    <cfRule type="cellIs" dxfId="12010" priority="16665" operator="notBetween">
      <formula>0</formula>
      <formula>2</formula>
    </cfRule>
    <cfRule type="expression" dxfId="12009" priority="16666">
      <formula>AND(A23=B23,ISBLANK(K23))</formula>
    </cfRule>
  </conditionalFormatting>
  <conditionalFormatting sqref="L23">
    <cfRule type="cellIs" dxfId="12008" priority="16663" operator="notBetween">
      <formula>0</formula>
      <formula>2</formula>
    </cfRule>
    <cfRule type="expression" dxfId="12007" priority="16664">
      <formula>AND(A23=B23,ISBLANK(L23))</formula>
    </cfRule>
  </conditionalFormatting>
  <conditionalFormatting sqref="M23">
    <cfRule type="expression" dxfId="12006" priority="16661">
      <formula>AND(A23=B23,ISBLANK(M23))</formula>
    </cfRule>
    <cfRule type="cellIs" dxfId="12005" priority="16662" operator="notBetween">
      <formula>0</formula>
      <formula>2</formula>
    </cfRule>
  </conditionalFormatting>
  <conditionalFormatting sqref="G23">
    <cfRule type="expression" dxfId="12004" priority="16659">
      <formula>AND(A23=B23,ISBLANK(G23))</formula>
    </cfRule>
    <cfRule type="cellIs" dxfId="12003" priority="16660" operator="notBetween">
      <formula>0</formula>
      <formula>2</formula>
    </cfRule>
  </conditionalFormatting>
  <conditionalFormatting sqref="H23">
    <cfRule type="expression" dxfId="12002" priority="16657">
      <formula>AND(A23=B23,ISBLANK(H23))</formula>
    </cfRule>
    <cfRule type="cellIs" dxfId="12001" priority="16658" operator="notBetween">
      <formula>0</formula>
      <formula>2</formula>
    </cfRule>
  </conditionalFormatting>
  <conditionalFormatting sqref="I23">
    <cfRule type="expression" dxfId="12000" priority="16655">
      <formula>AND(A23=B23,ISBLANK(I23))</formula>
    </cfRule>
    <cfRule type="cellIs" dxfId="11999" priority="16656" operator="notBetween">
      <formula>0</formula>
      <formula>2</formula>
    </cfRule>
  </conditionalFormatting>
  <conditionalFormatting sqref="D24">
    <cfRule type="expression" dxfId="11998" priority="16653">
      <formula>AND(A24=B24,ISBLANK(D24))</formula>
    </cfRule>
    <cfRule type="cellIs" dxfId="11997" priority="16654" operator="notBetween">
      <formula>0</formula>
      <formula>2</formula>
    </cfRule>
  </conditionalFormatting>
  <conditionalFormatting sqref="F24">
    <cfRule type="cellIs" dxfId="11996" priority="16651" operator="notBetween">
      <formula>0</formula>
      <formula>2</formula>
    </cfRule>
    <cfRule type="expression" dxfId="11995" priority="16652">
      <formula>AND(A24=B24,ISBLANK(F24))</formula>
    </cfRule>
  </conditionalFormatting>
  <conditionalFormatting sqref="E24">
    <cfRule type="cellIs" dxfId="11994" priority="16649" operator="notBetween">
      <formula>0</formula>
      <formula>2</formula>
    </cfRule>
    <cfRule type="expression" dxfId="11993" priority="16650">
      <formula>AND(A24=B24,ISBLANK(E24))</formula>
    </cfRule>
  </conditionalFormatting>
  <conditionalFormatting sqref="J24">
    <cfRule type="cellIs" dxfId="11992" priority="16647" operator="notBetween">
      <formula>0</formula>
      <formula>2</formula>
    </cfRule>
    <cfRule type="expression" dxfId="11991" priority="16648">
      <formula>AND(A24=B24,ISBLANK(J24))</formula>
    </cfRule>
  </conditionalFormatting>
  <conditionalFormatting sqref="K24">
    <cfRule type="cellIs" dxfId="11990" priority="16645" operator="notBetween">
      <formula>0</formula>
      <formula>2</formula>
    </cfRule>
    <cfRule type="expression" dxfId="11989" priority="16646">
      <formula>AND(A24=B24,ISBLANK(K24))</formula>
    </cfRule>
  </conditionalFormatting>
  <conditionalFormatting sqref="L24">
    <cfRule type="cellIs" dxfId="11988" priority="16643" operator="notBetween">
      <formula>0</formula>
      <formula>2</formula>
    </cfRule>
    <cfRule type="expression" dxfId="11987" priority="16644">
      <formula>AND(A24=B24,ISBLANK(L24))</formula>
    </cfRule>
  </conditionalFormatting>
  <conditionalFormatting sqref="M24">
    <cfRule type="expression" dxfId="11986" priority="16641">
      <formula>AND(A24=B24,ISBLANK(M24))</formula>
    </cfRule>
    <cfRule type="cellIs" dxfId="11985" priority="16642" operator="notBetween">
      <formula>0</formula>
      <formula>2</formula>
    </cfRule>
  </conditionalFormatting>
  <conditionalFormatting sqref="G24">
    <cfRule type="expression" dxfId="11984" priority="16639">
      <formula>AND(A24=B24,ISBLANK(G24))</formula>
    </cfRule>
    <cfRule type="cellIs" dxfId="11983" priority="16640" operator="notBetween">
      <formula>0</formula>
      <formula>2</formula>
    </cfRule>
  </conditionalFormatting>
  <conditionalFormatting sqref="H24">
    <cfRule type="expression" dxfId="11982" priority="16637">
      <formula>AND(A24=B24,ISBLANK(H24))</formula>
    </cfRule>
    <cfRule type="cellIs" dxfId="11981" priority="16638" operator="notBetween">
      <formula>0</formula>
      <formula>2</formula>
    </cfRule>
  </conditionalFormatting>
  <conditionalFormatting sqref="I24">
    <cfRule type="expression" dxfId="11980" priority="16635">
      <formula>AND(A24=B24,ISBLANK(I24))</formula>
    </cfRule>
    <cfRule type="cellIs" dxfId="11979" priority="16636" operator="notBetween">
      <formula>0</formula>
      <formula>2</formula>
    </cfRule>
  </conditionalFormatting>
  <conditionalFormatting sqref="D25">
    <cfRule type="expression" dxfId="11978" priority="16633">
      <formula>AND(A25=B25,ISBLANK(D25))</formula>
    </cfRule>
    <cfRule type="cellIs" dxfId="11977" priority="16634" operator="notBetween">
      <formula>0</formula>
      <formula>2</formula>
    </cfRule>
  </conditionalFormatting>
  <conditionalFormatting sqref="F25">
    <cfRule type="cellIs" dxfId="11976" priority="16631" operator="notBetween">
      <formula>0</formula>
      <formula>2</formula>
    </cfRule>
    <cfRule type="expression" dxfId="11975" priority="16632">
      <formula>AND(A25=B25,ISBLANK(F25))</formula>
    </cfRule>
  </conditionalFormatting>
  <conditionalFormatting sqref="E25">
    <cfRule type="cellIs" dxfId="11974" priority="16629" operator="notBetween">
      <formula>0</formula>
      <formula>2</formula>
    </cfRule>
    <cfRule type="expression" dxfId="11973" priority="16630">
      <formula>AND(A25=B25,ISBLANK(E25))</formula>
    </cfRule>
  </conditionalFormatting>
  <conditionalFormatting sqref="J25">
    <cfRule type="cellIs" dxfId="11972" priority="16627" operator="notBetween">
      <formula>0</formula>
      <formula>2</formula>
    </cfRule>
    <cfRule type="expression" dxfId="11971" priority="16628">
      <formula>AND(A25=B25,ISBLANK(J25))</formula>
    </cfRule>
  </conditionalFormatting>
  <conditionalFormatting sqref="K25">
    <cfRule type="cellIs" dxfId="11970" priority="16625" operator="notBetween">
      <formula>0</formula>
      <formula>2</formula>
    </cfRule>
    <cfRule type="expression" dxfId="11969" priority="16626">
      <formula>AND(A25=B25,ISBLANK(K25))</formula>
    </cfRule>
  </conditionalFormatting>
  <conditionalFormatting sqref="L25">
    <cfRule type="cellIs" dxfId="11968" priority="16623" operator="notBetween">
      <formula>0</formula>
      <formula>2</formula>
    </cfRule>
    <cfRule type="expression" dxfId="11967" priority="16624">
      <formula>AND(A25=B25,ISBLANK(L25))</formula>
    </cfRule>
  </conditionalFormatting>
  <conditionalFormatting sqref="M25">
    <cfRule type="expression" dxfId="11966" priority="16621">
      <formula>AND(A25=B25,ISBLANK(M25))</formula>
    </cfRule>
    <cfRule type="cellIs" dxfId="11965" priority="16622" operator="notBetween">
      <formula>0</formula>
      <formula>2</formula>
    </cfRule>
  </conditionalFormatting>
  <conditionalFormatting sqref="G25">
    <cfRule type="expression" dxfId="11964" priority="16619">
      <formula>AND(A25=B25,ISBLANK(G25))</formula>
    </cfRule>
    <cfRule type="cellIs" dxfId="11963" priority="16620" operator="notBetween">
      <formula>0</formula>
      <formula>2</formula>
    </cfRule>
  </conditionalFormatting>
  <conditionalFormatting sqref="H25">
    <cfRule type="expression" dxfId="11962" priority="16617">
      <formula>AND(A25=B25,ISBLANK(H25))</formula>
    </cfRule>
    <cfRule type="cellIs" dxfId="11961" priority="16618" operator="notBetween">
      <formula>0</formula>
      <formula>2</formula>
    </cfRule>
  </conditionalFormatting>
  <conditionalFormatting sqref="I25">
    <cfRule type="expression" dxfId="11960" priority="16615">
      <formula>AND(A25=B25,ISBLANK(I25))</formula>
    </cfRule>
    <cfRule type="cellIs" dxfId="11959" priority="16616" operator="notBetween">
      <formula>0</formula>
      <formula>2</formula>
    </cfRule>
  </conditionalFormatting>
  <conditionalFormatting sqref="D26">
    <cfRule type="expression" dxfId="11958" priority="16613">
      <formula>AND(A26=B26,ISBLANK(D26))</formula>
    </cfRule>
    <cfRule type="cellIs" dxfId="11957" priority="16614" operator="notBetween">
      <formula>0</formula>
      <formula>2</formula>
    </cfRule>
  </conditionalFormatting>
  <conditionalFormatting sqref="F26">
    <cfRule type="cellIs" dxfId="11956" priority="16611" operator="notBetween">
      <formula>0</formula>
      <formula>2</formula>
    </cfRule>
    <cfRule type="expression" dxfId="11955" priority="16612">
      <formula>AND(A26=B26,ISBLANK(F26))</formula>
    </cfRule>
  </conditionalFormatting>
  <conditionalFormatting sqref="E26">
    <cfRule type="cellIs" dxfId="11954" priority="16609" operator="notBetween">
      <formula>0</formula>
      <formula>2</formula>
    </cfRule>
    <cfRule type="expression" dxfId="11953" priority="16610">
      <formula>AND(A26=B26,ISBLANK(E26))</formula>
    </cfRule>
  </conditionalFormatting>
  <conditionalFormatting sqref="J26">
    <cfRule type="cellIs" dxfId="11952" priority="16607" operator="notBetween">
      <formula>0</formula>
      <formula>2</formula>
    </cfRule>
    <cfRule type="expression" dxfId="11951" priority="16608">
      <formula>AND(A26=B26,ISBLANK(J26))</formula>
    </cfRule>
  </conditionalFormatting>
  <conditionalFormatting sqref="K26">
    <cfRule type="cellIs" dxfId="11950" priority="16605" operator="notBetween">
      <formula>0</formula>
      <formula>2</formula>
    </cfRule>
    <cfRule type="expression" dxfId="11949" priority="16606">
      <formula>AND(A26=B26,ISBLANK(K26))</formula>
    </cfRule>
  </conditionalFormatting>
  <conditionalFormatting sqref="L26">
    <cfRule type="cellIs" dxfId="11948" priority="16603" operator="notBetween">
      <formula>0</formula>
      <formula>2</formula>
    </cfRule>
    <cfRule type="expression" dxfId="11947" priority="16604">
      <formula>AND(A26=B26,ISBLANK(L26))</formula>
    </cfRule>
  </conditionalFormatting>
  <conditionalFormatting sqref="M26">
    <cfRule type="expression" dxfId="11946" priority="16601">
      <formula>AND(A26=B26,ISBLANK(M26))</formula>
    </cfRule>
    <cfRule type="cellIs" dxfId="11945" priority="16602" operator="notBetween">
      <formula>0</formula>
      <formula>2</formula>
    </cfRule>
  </conditionalFormatting>
  <conditionalFormatting sqref="G26">
    <cfRule type="expression" dxfId="11944" priority="16599">
      <formula>AND(A26=B26,ISBLANK(G26))</formula>
    </cfRule>
    <cfRule type="cellIs" dxfId="11943" priority="16600" operator="notBetween">
      <formula>0</formula>
      <formula>2</formula>
    </cfRule>
  </conditionalFormatting>
  <conditionalFormatting sqref="H26">
    <cfRule type="expression" dxfId="11942" priority="16597">
      <formula>AND(A26=B26,ISBLANK(H26))</formula>
    </cfRule>
    <cfRule type="cellIs" dxfId="11941" priority="16598" operator="notBetween">
      <formula>0</formula>
      <formula>2</formula>
    </cfRule>
  </conditionalFormatting>
  <conditionalFormatting sqref="I26">
    <cfRule type="expression" dxfId="11940" priority="16595">
      <formula>AND(A26=B26,ISBLANK(I26))</formula>
    </cfRule>
    <cfRule type="cellIs" dxfId="11939" priority="16596" operator="notBetween">
      <formula>0</formula>
      <formula>2</formula>
    </cfRule>
  </conditionalFormatting>
  <conditionalFormatting sqref="F21">
    <cfRule type="cellIs" dxfId="11938" priority="16593" operator="notBetween">
      <formula>0</formula>
      <formula>2</formula>
    </cfRule>
    <cfRule type="expression" dxfId="11937" priority="16594">
      <formula>AND(A21=B21,ISBLANK(F21))</formula>
    </cfRule>
  </conditionalFormatting>
  <conditionalFormatting sqref="E21">
    <cfRule type="cellIs" dxfId="11936" priority="16591" operator="notBetween">
      <formula>0</formula>
      <formula>2</formula>
    </cfRule>
    <cfRule type="expression" dxfId="11935" priority="16592">
      <formula>AND(A21=B21,ISBLANK(E21))</formula>
    </cfRule>
  </conditionalFormatting>
  <conditionalFormatting sqref="J21">
    <cfRule type="cellIs" dxfId="11934" priority="16589" operator="notBetween">
      <formula>0</formula>
      <formula>2</formula>
    </cfRule>
    <cfRule type="expression" dxfId="11933" priority="16590">
      <formula>AND(A21=B21,ISBLANK(J21))</formula>
    </cfRule>
  </conditionalFormatting>
  <conditionalFormatting sqref="K21">
    <cfRule type="cellIs" dxfId="11932" priority="16587" operator="notBetween">
      <formula>0</formula>
      <formula>2</formula>
    </cfRule>
    <cfRule type="expression" dxfId="11931" priority="16588">
      <formula>AND(A21=B21,ISBLANK(K21))</formula>
    </cfRule>
  </conditionalFormatting>
  <conditionalFormatting sqref="L21">
    <cfRule type="cellIs" dxfId="11930" priority="16585" operator="notBetween">
      <formula>0</formula>
      <formula>2</formula>
    </cfRule>
    <cfRule type="expression" dxfId="11929" priority="16586">
      <formula>AND(A21=B21,ISBLANK(L21))</formula>
    </cfRule>
  </conditionalFormatting>
  <conditionalFormatting sqref="M21">
    <cfRule type="expression" dxfId="11928" priority="16583">
      <formula>AND(A21=B21,ISBLANK(M21))</formula>
    </cfRule>
    <cfRule type="cellIs" dxfId="11927" priority="16584" operator="notBetween">
      <formula>0</formula>
      <formula>2</formula>
    </cfRule>
  </conditionalFormatting>
  <conditionalFormatting sqref="G21">
    <cfRule type="expression" dxfId="11926" priority="16581">
      <formula>AND(A21=B21,ISBLANK(G21))</formula>
    </cfRule>
    <cfRule type="cellIs" dxfId="11925" priority="16582" operator="notBetween">
      <formula>0</formula>
      <formula>2</formula>
    </cfRule>
  </conditionalFormatting>
  <conditionalFormatting sqref="H21">
    <cfRule type="expression" dxfId="11924" priority="16579">
      <formula>AND(A21=B21,ISBLANK(H21))</formula>
    </cfRule>
    <cfRule type="cellIs" dxfId="11923" priority="16580" operator="notBetween">
      <formula>0</formula>
      <formula>2</formula>
    </cfRule>
  </conditionalFormatting>
  <conditionalFormatting sqref="I21">
    <cfRule type="expression" dxfId="11922" priority="16577">
      <formula>AND(A21=B21,ISBLANK(I21))</formula>
    </cfRule>
    <cfRule type="cellIs" dxfId="11921" priority="16578" operator="notBetween">
      <formula>0</formula>
      <formula>2</formula>
    </cfRule>
  </conditionalFormatting>
  <conditionalFormatting sqref="D27">
    <cfRule type="expression" dxfId="11920" priority="16575">
      <formula>AND(A27=B27,ISBLANK(D27))</formula>
    </cfRule>
    <cfRule type="cellIs" dxfId="11919" priority="16576" operator="notBetween">
      <formula>0</formula>
      <formula>2</formula>
    </cfRule>
  </conditionalFormatting>
  <conditionalFormatting sqref="F27">
    <cfRule type="cellIs" dxfId="11918" priority="16573" operator="notBetween">
      <formula>0</formula>
      <formula>2</formula>
    </cfRule>
    <cfRule type="expression" dxfId="11917" priority="16574">
      <formula>AND(A27=B27,ISBLANK(F27))</formula>
    </cfRule>
  </conditionalFormatting>
  <conditionalFormatting sqref="E27">
    <cfRule type="cellIs" dxfId="11916" priority="16571" operator="notBetween">
      <formula>0</formula>
      <formula>2</formula>
    </cfRule>
    <cfRule type="expression" dxfId="11915" priority="16572">
      <formula>AND(A27=B27,ISBLANK(E27))</formula>
    </cfRule>
  </conditionalFormatting>
  <conditionalFormatting sqref="J27">
    <cfRule type="cellIs" dxfId="11914" priority="16569" operator="notBetween">
      <formula>0</formula>
      <formula>2</formula>
    </cfRule>
    <cfRule type="expression" dxfId="11913" priority="16570">
      <formula>AND(A27=B27,ISBLANK(J27))</formula>
    </cfRule>
  </conditionalFormatting>
  <conditionalFormatting sqref="K27">
    <cfRule type="cellIs" dxfId="11912" priority="16567" operator="notBetween">
      <formula>0</formula>
      <formula>2</formula>
    </cfRule>
    <cfRule type="expression" dxfId="11911" priority="16568">
      <formula>AND(A27=B27,ISBLANK(K27))</formula>
    </cfRule>
  </conditionalFormatting>
  <conditionalFormatting sqref="L27">
    <cfRule type="cellIs" dxfId="11910" priority="16565" operator="notBetween">
      <formula>0</formula>
      <formula>2</formula>
    </cfRule>
    <cfRule type="expression" dxfId="11909" priority="16566">
      <formula>AND(A27=B27,ISBLANK(L27))</formula>
    </cfRule>
  </conditionalFormatting>
  <conditionalFormatting sqref="M27">
    <cfRule type="expression" dxfId="11908" priority="16563">
      <formula>AND(A27=B27,ISBLANK(M27))</formula>
    </cfRule>
    <cfRule type="cellIs" dxfId="11907" priority="16564" operator="notBetween">
      <formula>0</formula>
      <formula>2</formula>
    </cfRule>
  </conditionalFormatting>
  <conditionalFormatting sqref="G27">
    <cfRule type="expression" dxfId="11906" priority="16561">
      <formula>AND(A27=B27,ISBLANK(G27))</formula>
    </cfRule>
    <cfRule type="cellIs" dxfId="11905" priority="16562" operator="notBetween">
      <formula>0</formula>
      <formula>2</formula>
    </cfRule>
  </conditionalFormatting>
  <conditionalFormatting sqref="H27">
    <cfRule type="expression" dxfId="11904" priority="16559">
      <formula>AND(A27=B27,ISBLANK(H27))</formula>
    </cfRule>
    <cfRule type="cellIs" dxfId="11903" priority="16560" operator="notBetween">
      <formula>0</formula>
      <formula>2</formula>
    </cfRule>
  </conditionalFormatting>
  <conditionalFormatting sqref="I27">
    <cfRule type="expression" dxfId="11902" priority="16557">
      <formula>AND(A27=B27,ISBLANK(I27))</formula>
    </cfRule>
    <cfRule type="cellIs" dxfId="11901" priority="16558" operator="notBetween">
      <formula>0</formula>
      <formula>2</formula>
    </cfRule>
  </conditionalFormatting>
  <conditionalFormatting sqref="D28">
    <cfRule type="expression" dxfId="11900" priority="16555">
      <formula>AND(A28=B28,ISBLANK(D28))</formula>
    </cfRule>
    <cfRule type="cellIs" dxfId="11899" priority="16556" operator="notBetween">
      <formula>0</formula>
      <formula>2</formula>
    </cfRule>
  </conditionalFormatting>
  <conditionalFormatting sqref="F28">
    <cfRule type="cellIs" dxfId="11898" priority="16553" operator="notBetween">
      <formula>0</formula>
      <formula>2</formula>
    </cfRule>
    <cfRule type="expression" dxfId="11897" priority="16554">
      <formula>AND(A28=B28,ISBLANK(F28))</formula>
    </cfRule>
  </conditionalFormatting>
  <conditionalFormatting sqref="E28">
    <cfRule type="cellIs" dxfId="11896" priority="16551" operator="notBetween">
      <formula>0</formula>
      <formula>2</formula>
    </cfRule>
    <cfRule type="expression" dxfId="11895" priority="16552">
      <formula>AND(A28=B28,ISBLANK(E28))</formula>
    </cfRule>
  </conditionalFormatting>
  <conditionalFormatting sqref="J28">
    <cfRule type="cellIs" dxfId="11894" priority="16549" operator="notBetween">
      <formula>0</formula>
      <formula>2</formula>
    </cfRule>
    <cfRule type="expression" dxfId="11893" priority="16550">
      <formula>AND(A28=B28,ISBLANK(J28))</formula>
    </cfRule>
  </conditionalFormatting>
  <conditionalFormatting sqref="K28">
    <cfRule type="cellIs" dxfId="11892" priority="16547" operator="notBetween">
      <formula>0</formula>
      <formula>2</formula>
    </cfRule>
    <cfRule type="expression" dxfId="11891" priority="16548">
      <formula>AND(A28=B28,ISBLANK(K28))</formula>
    </cfRule>
  </conditionalFormatting>
  <conditionalFormatting sqref="L28">
    <cfRule type="cellIs" dxfId="11890" priority="16545" operator="notBetween">
      <formula>0</formula>
      <formula>2</formula>
    </cfRule>
    <cfRule type="expression" dxfId="11889" priority="16546">
      <formula>AND(A28=B28,ISBLANK(L28))</formula>
    </cfRule>
  </conditionalFormatting>
  <conditionalFormatting sqref="M28">
    <cfRule type="expression" dxfId="11888" priority="16543">
      <formula>AND(A28=B28,ISBLANK(M28))</formula>
    </cfRule>
    <cfRule type="cellIs" dxfId="11887" priority="16544" operator="notBetween">
      <formula>0</formula>
      <formula>2</formula>
    </cfRule>
  </conditionalFormatting>
  <conditionalFormatting sqref="G28">
    <cfRule type="expression" dxfId="11886" priority="16541">
      <formula>AND(A28=B28,ISBLANK(G28))</formula>
    </cfRule>
    <cfRule type="cellIs" dxfId="11885" priority="16542" operator="notBetween">
      <formula>0</formula>
      <formula>2</formula>
    </cfRule>
  </conditionalFormatting>
  <conditionalFormatting sqref="H28">
    <cfRule type="expression" dxfId="11884" priority="16539">
      <formula>AND(A28=B28,ISBLANK(H28))</formula>
    </cfRule>
    <cfRule type="cellIs" dxfId="11883" priority="16540" operator="notBetween">
      <formula>0</formula>
      <formula>2</formula>
    </cfRule>
  </conditionalFormatting>
  <conditionalFormatting sqref="I28">
    <cfRule type="expression" dxfId="11882" priority="16537">
      <formula>AND(A28=B28,ISBLANK(I28))</formula>
    </cfRule>
    <cfRule type="cellIs" dxfId="11881" priority="16538" operator="notBetween">
      <formula>0</formula>
      <formula>2</formula>
    </cfRule>
  </conditionalFormatting>
  <conditionalFormatting sqref="D29">
    <cfRule type="expression" dxfId="11880" priority="16535">
      <formula>AND(A29=B29,ISBLANK(D29))</formula>
    </cfRule>
    <cfRule type="cellIs" dxfId="11879" priority="16536" operator="notBetween">
      <formula>0</formula>
      <formula>2</formula>
    </cfRule>
  </conditionalFormatting>
  <conditionalFormatting sqref="F29">
    <cfRule type="cellIs" dxfId="11878" priority="16533" operator="notBetween">
      <formula>0</formula>
      <formula>2</formula>
    </cfRule>
    <cfRule type="expression" dxfId="11877" priority="16534">
      <formula>AND(A29=B29,ISBLANK(F29))</formula>
    </cfRule>
  </conditionalFormatting>
  <conditionalFormatting sqref="E29">
    <cfRule type="cellIs" dxfId="11876" priority="16531" operator="notBetween">
      <formula>0</formula>
      <formula>2</formula>
    </cfRule>
    <cfRule type="expression" dxfId="11875" priority="16532">
      <formula>AND(A29=B29,ISBLANK(E29))</formula>
    </cfRule>
  </conditionalFormatting>
  <conditionalFormatting sqref="J29">
    <cfRule type="cellIs" dxfId="11874" priority="16529" operator="notBetween">
      <formula>0</formula>
      <formula>2</formula>
    </cfRule>
    <cfRule type="expression" dxfId="11873" priority="16530">
      <formula>AND(A29=B29,ISBLANK(J29))</formula>
    </cfRule>
  </conditionalFormatting>
  <conditionalFormatting sqref="K29">
    <cfRule type="cellIs" dxfId="11872" priority="16527" operator="notBetween">
      <formula>0</formula>
      <formula>2</formula>
    </cfRule>
    <cfRule type="expression" dxfId="11871" priority="16528">
      <formula>AND(A29=B29,ISBLANK(K29))</formula>
    </cfRule>
  </conditionalFormatting>
  <conditionalFormatting sqref="L29">
    <cfRule type="cellIs" dxfId="11870" priority="16525" operator="notBetween">
      <formula>0</formula>
      <formula>2</formula>
    </cfRule>
    <cfRule type="expression" dxfId="11869" priority="16526">
      <formula>AND(A29=B29,ISBLANK(L29))</formula>
    </cfRule>
  </conditionalFormatting>
  <conditionalFormatting sqref="M29">
    <cfRule type="expression" dxfId="11868" priority="16523">
      <formula>AND(A29=B29,ISBLANK(M29))</formula>
    </cfRule>
    <cfRule type="cellIs" dxfId="11867" priority="16524" operator="notBetween">
      <formula>0</formula>
      <formula>2</formula>
    </cfRule>
  </conditionalFormatting>
  <conditionalFormatting sqref="G29">
    <cfRule type="expression" dxfId="11866" priority="16521">
      <formula>AND(A29=B29,ISBLANK(G29))</formula>
    </cfRule>
    <cfRule type="cellIs" dxfId="11865" priority="16522" operator="notBetween">
      <formula>0</formula>
      <formula>2</formula>
    </cfRule>
  </conditionalFormatting>
  <conditionalFormatting sqref="H29">
    <cfRule type="expression" dxfId="11864" priority="16519">
      <formula>AND(A29=B29,ISBLANK(H29))</formula>
    </cfRule>
    <cfRule type="cellIs" dxfId="11863" priority="16520" operator="notBetween">
      <formula>0</formula>
      <formula>2</formula>
    </cfRule>
  </conditionalFormatting>
  <conditionalFormatting sqref="I29">
    <cfRule type="expression" dxfId="11862" priority="16517">
      <formula>AND(A29=B29,ISBLANK(I29))</formula>
    </cfRule>
    <cfRule type="cellIs" dxfId="11861" priority="16518" operator="notBetween">
      <formula>0</formula>
      <formula>2</formula>
    </cfRule>
  </conditionalFormatting>
  <conditionalFormatting sqref="D30">
    <cfRule type="expression" dxfId="11860" priority="16515">
      <formula>AND(A30=B30,ISBLANK(D30))</formula>
    </cfRule>
    <cfRule type="cellIs" dxfId="11859" priority="16516" operator="notBetween">
      <formula>0</formula>
      <formula>2</formula>
    </cfRule>
  </conditionalFormatting>
  <conditionalFormatting sqref="F30">
    <cfRule type="cellIs" dxfId="11858" priority="16513" operator="notBetween">
      <formula>0</formula>
      <formula>2</formula>
    </cfRule>
    <cfRule type="expression" dxfId="11857" priority="16514">
      <formula>AND(A30=B30,ISBLANK(F30))</formula>
    </cfRule>
  </conditionalFormatting>
  <conditionalFormatting sqref="E30">
    <cfRule type="cellIs" dxfId="11856" priority="16511" operator="notBetween">
      <formula>0</formula>
      <formula>2</formula>
    </cfRule>
    <cfRule type="expression" dxfId="11855" priority="16512">
      <formula>AND(A30=B30,ISBLANK(E30))</formula>
    </cfRule>
  </conditionalFormatting>
  <conditionalFormatting sqref="J30">
    <cfRule type="cellIs" dxfId="11854" priority="16509" operator="notBetween">
      <formula>0</formula>
      <formula>2</formula>
    </cfRule>
    <cfRule type="expression" dxfId="11853" priority="16510">
      <formula>AND(A30=B30,ISBLANK(J30))</formula>
    </cfRule>
  </conditionalFormatting>
  <conditionalFormatting sqref="K30">
    <cfRule type="cellIs" dxfId="11852" priority="16507" operator="notBetween">
      <formula>0</formula>
      <formula>2</formula>
    </cfRule>
    <cfRule type="expression" dxfId="11851" priority="16508">
      <formula>AND(A30=B30,ISBLANK(K30))</formula>
    </cfRule>
  </conditionalFormatting>
  <conditionalFormatting sqref="L30">
    <cfRule type="cellIs" dxfId="11850" priority="16505" operator="notBetween">
      <formula>0</formula>
      <formula>2</formula>
    </cfRule>
    <cfRule type="expression" dxfId="11849" priority="16506">
      <formula>AND(A30=B30,ISBLANK(L30))</formula>
    </cfRule>
  </conditionalFormatting>
  <conditionalFormatting sqref="M30">
    <cfRule type="expression" dxfId="11848" priority="16503">
      <formula>AND(A30=B30,ISBLANK(M30))</formula>
    </cfRule>
    <cfRule type="cellIs" dxfId="11847" priority="16504" operator="notBetween">
      <formula>0</formula>
      <formula>2</formula>
    </cfRule>
  </conditionalFormatting>
  <conditionalFormatting sqref="G30">
    <cfRule type="expression" dxfId="11846" priority="16501">
      <formula>AND(A30=B30,ISBLANK(G30))</formula>
    </cfRule>
    <cfRule type="cellIs" dxfId="11845" priority="16502" operator="notBetween">
      <formula>0</formula>
      <formula>2</formula>
    </cfRule>
  </conditionalFormatting>
  <conditionalFormatting sqref="H30">
    <cfRule type="expression" dxfId="11844" priority="16499">
      <formula>AND(A30=B30,ISBLANK(H30))</formula>
    </cfRule>
    <cfRule type="cellIs" dxfId="11843" priority="16500" operator="notBetween">
      <formula>0</formula>
      <formula>2</formula>
    </cfRule>
  </conditionalFormatting>
  <conditionalFormatting sqref="I30">
    <cfRule type="expression" dxfId="11842" priority="16497">
      <formula>AND(A30=B30,ISBLANK(I30))</formula>
    </cfRule>
    <cfRule type="cellIs" dxfId="11841" priority="16498" operator="notBetween">
      <formula>0</formula>
      <formula>2</formula>
    </cfRule>
  </conditionalFormatting>
  <conditionalFormatting sqref="D31">
    <cfRule type="expression" dxfId="11840" priority="16495">
      <formula>AND(A31=B31,ISBLANK(D31))</formula>
    </cfRule>
    <cfRule type="cellIs" dxfId="11839" priority="16496" operator="notBetween">
      <formula>0</formula>
      <formula>2</formula>
    </cfRule>
  </conditionalFormatting>
  <conditionalFormatting sqref="F31">
    <cfRule type="cellIs" dxfId="11838" priority="16493" operator="notBetween">
      <formula>0</formula>
      <formula>2</formula>
    </cfRule>
    <cfRule type="expression" dxfId="11837" priority="16494">
      <formula>AND(A31=B31,ISBLANK(F31))</formula>
    </cfRule>
  </conditionalFormatting>
  <conditionalFormatting sqref="E31">
    <cfRule type="cellIs" dxfId="11836" priority="16491" operator="notBetween">
      <formula>0</formula>
      <formula>2</formula>
    </cfRule>
    <cfRule type="expression" dxfId="11835" priority="16492">
      <formula>AND(A31=B31,ISBLANK(E31))</formula>
    </cfRule>
  </conditionalFormatting>
  <conditionalFormatting sqref="J31">
    <cfRule type="cellIs" dxfId="11834" priority="16489" operator="notBetween">
      <formula>0</formula>
      <formula>2</formula>
    </cfRule>
    <cfRule type="expression" dxfId="11833" priority="16490">
      <formula>AND(A31=B31,ISBLANK(J31))</formula>
    </cfRule>
  </conditionalFormatting>
  <conditionalFormatting sqref="K31">
    <cfRule type="cellIs" dxfId="11832" priority="16487" operator="notBetween">
      <formula>0</formula>
      <formula>2</formula>
    </cfRule>
    <cfRule type="expression" dxfId="11831" priority="16488">
      <formula>AND(A31=B31,ISBLANK(K31))</formula>
    </cfRule>
  </conditionalFormatting>
  <conditionalFormatting sqref="L31">
    <cfRule type="cellIs" dxfId="11830" priority="16485" operator="notBetween">
      <formula>0</formula>
      <formula>2</formula>
    </cfRule>
    <cfRule type="expression" dxfId="11829" priority="16486">
      <formula>AND(A31=B31,ISBLANK(L31))</formula>
    </cfRule>
  </conditionalFormatting>
  <conditionalFormatting sqref="M31">
    <cfRule type="expression" dxfId="11828" priority="16483">
      <formula>AND(A31=B31,ISBLANK(M31))</formula>
    </cfRule>
    <cfRule type="cellIs" dxfId="11827" priority="16484" operator="notBetween">
      <formula>0</formula>
      <formula>2</formula>
    </cfRule>
  </conditionalFormatting>
  <conditionalFormatting sqref="G31">
    <cfRule type="expression" dxfId="11826" priority="16481">
      <formula>AND(A31=B31,ISBLANK(G31))</formula>
    </cfRule>
    <cfRule type="cellIs" dxfId="11825" priority="16482" operator="notBetween">
      <formula>0</formula>
      <formula>2</formula>
    </cfRule>
  </conditionalFormatting>
  <conditionalFormatting sqref="H31">
    <cfRule type="expression" dxfId="11824" priority="16479">
      <formula>AND(A31=B31,ISBLANK(H31))</formula>
    </cfRule>
    <cfRule type="cellIs" dxfId="11823" priority="16480" operator="notBetween">
      <formula>0</formula>
      <formula>2</formula>
    </cfRule>
  </conditionalFormatting>
  <conditionalFormatting sqref="I31">
    <cfRule type="expression" dxfId="11822" priority="16477">
      <formula>AND(A31=B31,ISBLANK(I31))</formula>
    </cfRule>
    <cfRule type="cellIs" dxfId="11821" priority="16478" operator="notBetween">
      <formula>0</formula>
      <formula>2</formula>
    </cfRule>
  </conditionalFormatting>
  <conditionalFormatting sqref="D32">
    <cfRule type="expression" dxfId="11820" priority="16475">
      <formula>AND(A32=B32,ISBLANK(D32))</formula>
    </cfRule>
    <cfRule type="cellIs" dxfId="11819" priority="16476" operator="notBetween">
      <formula>0</formula>
      <formula>2</formula>
    </cfRule>
  </conditionalFormatting>
  <conditionalFormatting sqref="F32">
    <cfRule type="cellIs" dxfId="11818" priority="16473" operator="notBetween">
      <formula>0</formula>
      <formula>2</formula>
    </cfRule>
    <cfRule type="expression" dxfId="11817" priority="16474">
      <formula>AND(A32=B32,ISBLANK(F32))</formula>
    </cfRule>
  </conditionalFormatting>
  <conditionalFormatting sqref="E32">
    <cfRule type="cellIs" dxfId="11816" priority="16471" operator="notBetween">
      <formula>0</formula>
      <formula>2</formula>
    </cfRule>
    <cfRule type="expression" dxfId="11815" priority="16472">
      <formula>AND(A32=B32,ISBLANK(E32))</formula>
    </cfRule>
  </conditionalFormatting>
  <conditionalFormatting sqref="J32">
    <cfRule type="cellIs" dxfId="11814" priority="16469" operator="notBetween">
      <formula>0</formula>
      <formula>2</formula>
    </cfRule>
    <cfRule type="expression" dxfId="11813" priority="16470">
      <formula>AND(A32=B32,ISBLANK(J32))</formula>
    </cfRule>
  </conditionalFormatting>
  <conditionalFormatting sqref="K32">
    <cfRule type="cellIs" dxfId="11812" priority="16467" operator="notBetween">
      <formula>0</formula>
      <formula>2</formula>
    </cfRule>
    <cfRule type="expression" dxfId="11811" priority="16468">
      <formula>AND(A32=B32,ISBLANK(K32))</formula>
    </cfRule>
  </conditionalFormatting>
  <conditionalFormatting sqref="L32">
    <cfRule type="cellIs" dxfId="11810" priority="16465" operator="notBetween">
      <formula>0</formula>
      <formula>2</formula>
    </cfRule>
    <cfRule type="expression" dxfId="11809" priority="16466">
      <formula>AND(A32=B32,ISBLANK(L32))</formula>
    </cfRule>
  </conditionalFormatting>
  <conditionalFormatting sqref="M32">
    <cfRule type="expression" dxfId="11808" priority="16463">
      <formula>AND(A32=B32,ISBLANK(M32))</formula>
    </cfRule>
    <cfRule type="cellIs" dxfId="11807" priority="16464" operator="notBetween">
      <formula>0</formula>
      <formula>2</formula>
    </cfRule>
  </conditionalFormatting>
  <conditionalFormatting sqref="G32">
    <cfRule type="expression" dxfId="11806" priority="16461">
      <formula>AND(A32=B32,ISBLANK(G32))</formula>
    </cfRule>
    <cfRule type="cellIs" dxfId="11805" priority="16462" operator="notBetween">
      <formula>0</formula>
      <formula>2</formula>
    </cfRule>
  </conditionalFormatting>
  <conditionalFormatting sqref="H32">
    <cfRule type="expression" dxfId="11804" priority="16459">
      <formula>AND(A32=B32,ISBLANK(H32))</formula>
    </cfRule>
    <cfRule type="cellIs" dxfId="11803" priority="16460" operator="notBetween">
      <formula>0</formula>
      <formula>2</formula>
    </cfRule>
  </conditionalFormatting>
  <conditionalFormatting sqref="I32">
    <cfRule type="expression" dxfId="11802" priority="16457">
      <formula>AND(A32=B32,ISBLANK(I32))</formula>
    </cfRule>
    <cfRule type="cellIs" dxfId="11801" priority="16458" operator="notBetween">
      <formula>0</formula>
      <formula>2</formula>
    </cfRule>
  </conditionalFormatting>
  <conditionalFormatting sqref="D33">
    <cfRule type="expression" dxfId="11800" priority="16455">
      <formula>AND(A33=B33,ISBLANK(D33))</formula>
    </cfRule>
    <cfRule type="cellIs" dxfId="11799" priority="16456" operator="notBetween">
      <formula>0</formula>
      <formula>2</formula>
    </cfRule>
  </conditionalFormatting>
  <conditionalFormatting sqref="F33">
    <cfRule type="cellIs" dxfId="11798" priority="16453" operator="notBetween">
      <formula>0</formula>
      <formula>2</formula>
    </cfRule>
    <cfRule type="expression" dxfId="11797" priority="16454">
      <formula>AND(A33=B33,ISBLANK(F33))</formula>
    </cfRule>
  </conditionalFormatting>
  <conditionalFormatting sqref="E33">
    <cfRule type="cellIs" dxfId="11796" priority="16451" operator="notBetween">
      <formula>0</formula>
      <formula>2</formula>
    </cfRule>
    <cfRule type="expression" dxfId="11795" priority="16452">
      <formula>AND(A33=B33,ISBLANK(E33))</formula>
    </cfRule>
  </conditionalFormatting>
  <conditionalFormatting sqref="J33">
    <cfRule type="cellIs" dxfId="11794" priority="16449" operator="notBetween">
      <formula>0</formula>
      <formula>2</formula>
    </cfRule>
    <cfRule type="expression" dxfId="11793" priority="16450">
      <formula>AND(A33=B33,ISBLANK(J33))</formula>
    </cfRule>
  </conditionalFormatting>
  <conditionalFormatting sqref="K33">
    <cfRule type="cellIs" dxfId="11792" priority="16447" operator="notBetween">
      <formula>0</formula>
      <formula>2</formula>
    </cfRule>
    <cfRule type="expression" dxfId="11791" priority="16448">
      <formula>AND(A33=B33,ISBLANK(K33))</formula>
    </cfRule>
  </conditionalFormatting>
  <conditionalFormatting sqref="L33">
    <cfRule type="cellIs" dxfId="11790" priority="16445" operator="notBetween">
      <formula>0</formula>
      <formula>2</formula>
    </cfRule>
    <cfRule type="expression" dxfId="11789" priority="16446">
      <formula>AND(A33=B33,ISBLANK(L33))</formula>
    </cfRule>
  </conditionalFormatting>
  <conditionalFormatting sqref="M33">
    <cfRule type="expression" dxfId="11788" priority="16443">
      <formula>AND(A33=B33,ISBLANK(M33))</formula>
    </cfRule>
    <cfRule type="cellIs" dxfId="11787" priority="16444" operator="notBetween">
      <formula>0</formula>
      <formula>2</formula>
    </cfRule>
  </conditionalFormatting>
  <conditionalFormatting sqref="G33">
    <cfRule type="expression" dxfId="11786" priority="16441">
      <formula>AND(A33=B33,ISBLANK(G33))</formula>
    </cfRule>
    <cfRule type="cellIs" dxfId="11785" priority="16442" operator="notBetween">
      <formula>0</formula>
      <formula>2</formula>
    </cfRule>
  </conditionalFormatting>
  <conditionalFormatting sqref="H33">
    <cfRule type="expression" dxfId="11784" priority="16439">
      <formula>AND(A33=B33,ISBLANK(H33))</formula>
    </cfRule>
    <cfRule type="cellIs" dxfId="11783" priority="16440" operator="notBetween">
      <formula>0</formula>
      <formula>2</formula>
    </cfRule>
  </conditionalFormatting>
  <conditionalFormatting sqref="I33">
    <cfRule type="expression" dxfId="11782" priority="16437">
      <formula>AND(A33=B33,ISBLANK(I33))</formula>
    </cfRule>
    <cfRule type="cellIs" dxfId="11781" priority="16438" operator="notBetween">
      <formula>0</formula>
      <formula>2</formula>
    </cfRule>
  </conditionalFormatting>
  <conditionalFormatting sqref="D34">
    <cfRule type="expression" dxfId="11780" priority="16435">
      <formula>AND(A34=B34,ISBLANK(D34))</formula>
    </cfRule>
    <cfRule type="cellIs" dxfId="11779" priority="16436" operator="notBetween">
      <formula>0</formula>
      <formula>2</formula>
    </cfRule>
  </conditionalFormatting>
  <conditionalFormatting sqref="F34">
    <cfRule type="cellIs" dxfId="11778" priority="16433" operator="notBetween">
      <formula>0</formula>
      <formula>2</formula>
    </cfRule>
    <cfRule type="expression" dxfId="11777" priority="16434">
      <formula>AND(A34=B34,ISBLANK(F34))</formula>
    </cfRule>
  </conditionalFormatting>
  <conditionalFormatting sqref="E34">
    <cfRule type="cellIs" dxfId="11776" priority="16431" operator="notBetween">
      <formula>0</formula>
      <formula>2</formula>
    </cfRule>
    <cfRule type="expression" dxfId="11775" priority="16432">
      <formula>AND(A34=B34,ISBLANK(E34))</formula>
    </cfRule>
  </conditionalFormatting>
  <conditionalFormatting sqref="J34">
    <cfRule type="cellIs" dxfId="11774" priority="16429" operator="notBetween">
      <formula>0</formula>
      <formula>2</formula>
    </cfRule>
    <cfRule type="expression" dxfId="11773" priority="16430">
      <formula>AND(A34=B34,ISBLANK(J34))</formula>
    </cfRule>
  </conditionalFormatting>
  <conditionalFormatting sqref="K34">
    <cfRule type="cellIs" dxfId="11772" priority="16427" operator="notBetween">
      <formula>0</formula>
      <formula>2</formula>
    </cfRule>
    <cfRule type="expression" dxfId="11771" priority="16428">
      <formula>AND(A34=B34,ISBLANK(K34))</formula>
    </cfRule>
  </conditionalFormatting>
  <conditionalFormatting sqref="L34">
    <cfRule type="cellIs" dxfId="11770" priority="16425" operator="notBetween">
      <formula>0</formula>
      <formula>2</formula>
    </cfRule>
    <cfRule type="expression" dxfId="11769" priority="16426">
      <formula>AND(A34=B34,ISBLANK(L34))</formula>
    </cfRule>
  </conditionalFormatting>
  <conditionalFormatting sqref="M34">
    <cfRule type="expression" dxfId="11768" priority="16423">
      <formula>AND(A34=B34,ISBLANK(M34))</formula>
    </cfRule>
    <cfRule type="cellIs" dxfId="11767" priority="16424" operator="notBetween">
      <formula>0</formula>
      <formula>2</formula>
    </cfRule>
  </conditionalFormatting>
  <conditionalFormatting sqref="G34">
    <cfRule type="expression" dxfId="11766" priority="16421">
      <formula>AND(A34=B34,ISBLANK(G34))</formula>
    </cfRule>
    <cfRule type="cellIs" dxfId="11765" priority="16422" operator="notBetween">
      <formula>0</formula>
      <formula>2</formula>
    </cfRule>
  </conditionalFormatting>
  <conditionalFormatting sqref="H34">
    <cfRule type="expression" dxfId="11764" priority="16419">
      <formula>AND(A34=B34,ISBLANK(H34))</formula>
    </cfRule>
    <cfRule type="cellIs" dxfId="11763" priority="16420" operator="notBetween">
      <formula>0</formula>
      <formula>2</formula>
    </cfRule>
  </conditionalFormatting>
  <conditionalFormatting sqref="I34">
    <cfRule type="expression" dxfId="11762" priority="16417">
      <formula>AND(A34=B34,ISBLANK(I34))</formula>
    </cfRule>
    <cfRule type="cellIs" dxfId="11761" priority="16418" operator="notBetween">
      <formula>0</formula>
      <formula>2</formula>
    </cfRule>
  </conditionalFormatting>
  <conditionalFormatting sqref="D35">
    <cfRule type="expression" dxfId="11760" priority="16415">
      <formula>AND(A35=B35,ISBLANK(D35))</formula>
    </cfRule>
    <cfRule type="cellIs" dxfId="11759" priority="16416" operator="notBetween">
      <formula>0</formula>
      <formula>2</formula>
    </cfRule>
  </conditionalFormatting>
  <conditionalFormatting sqref="F35">
    <cfRule type="cellIs" dxfId="11758" priority="16413" operator="notBetween">
      <formula>0</formula>
      <formula>2</formula>
    </cfRule>
    <cfRule type="expression" dxfId="11757" priority="16414">
      <formula>AND(A35=B35,ISBLANK(F35))</formula>
    </cfRule>
  </conditionalFormatting>
  <conditionalFormatting sqref="E35">
    <cfRule type="cellIs" dxfId="11756" priority="16411" operator="notBetween">
      <formula>0</formula>
      <formula>2</formula>
    </cfRule>
    <cfRule type="expression" dxfId="11755" priority="16412">
      <formula>AND(A35=B35,ISBLANK(E35))</formula>
    </cfRule>
  </conditionalFormatting>
  <conditionalFormatting sqref="J35">
    <cfRule type="cellIs" dxfId="11754" priority="16409" operator="notBetween">
      <formula>0</formula>
      <formula>2</formula>
    </cfRule>
    <cfRule type="expression" dxfId="11753" priority="16410">
      <formula>AND(A35=B35,ISBLANK(J35))</formula>
    </cfRule>
  </conditionalFormatting>
  <conditionalFormatting sqref="K35">
    <cfRule type="cellIs" dxfId="11752" priority="16407" operator="notBetween">
      <formula>0</formula>
      <formula>2</formula>
    </cfRule>
    <cfRule type="expression" dxfId="11751" priority="16408">
      <formula>AND(A35=B35,ISBLANK(K35))</formula>
    </cfRule>
  </conditionalFormatting>
  <conditionalFormatting sqref="L35">
    <cfRule type="cellIs" dxfId="11750" priority="16405" operator="notBetween">
      <formula>0</formula>
      <formula>2</formula>
    </cfRule>
    <cfRule type="expression" dxfId="11749" priority="16406">
      <formula>AND(A35=B35,ISBLANK(L35))</formula>
    </cfRule>
  </conditionalFormatting>
  <conditionalFormatting sqref="M35">
    <cfRule type="expression" dxfId="11748" priority="16403">
      <formula>AND(A35=B35,ISBLANK(M35))</formula>
    </cfRule>
    <cfRule type="cellIs" dxfId="11747" priority="16404" operator="notBetween">
      <formula>0</formula>
      <formula>2</formula>
    </cfRule>
  </conditionalFormatting>
  <conditionalFormatting sqref="G35">
    <cfRule type="expression" dxfId="11746" priority="16401">
      <formula>AND(A35=B35,ISBLANK(G35))</formula>
    </cfRule>
    <cfRule type="cellIs" dxfId="11745" priority="16402" operator="notBetween">
      <formula>0</formula>
      <formula>2</formula>
    </cfRule>
  </conditionalFormatting>
  <conditionalFormatting sqref="H35">
    <cfRule type="expression" dxfId="11744" priority="16399">
      <formula>AND(A35=B35,ISBLANK(H35))</formula>
    </cfRule>
    <cfRule type="cellIs" dxfId="11743" priority="16400" operator="notBetween">
      <formula>0</formula>
      <formula>2</formula>
    </cfRule>
  </conditionalFormatting>
  <conditionalFormatting sqref="I35">
    <cfRule type="expression" dxfId="11742" priority="16397">
      <formula>AND(A35=B35,ISBLANK(I35))</formula>
    </cfRule>
    <cfRule type="cellIs" dxfId="11741" priority="16398" operator="notBetween">
      <formula>0</formula>
      <formula>2</formula>
    </cfRule>
  </conditionalFormatting>
  <conditionalFormatting sqref="D36">
    <cfRule type="expression" dxfId="11740" priority="16395">
      <formula>AND(A36=B36,ISBLANK(D36))</formula>
    </cfRule>
    <cfRule type="cellIs" dxfId="11739" priority="16396" operator="notBetween">
      <formula>0</formula>
      <formula>2</formula>
    </cfRule>
  </conditionalFormatting>
  <conditionalFormatting sqref="F36">
    <cfRule type="cellIs" dxfId="11738" priority="16393" operator="notBetween">
      <formula>0</formula>
      <formula>2</formula>
    </cfRule>
    <cfRule type="expression" dxfId="11737" priority="16394">
      <formula>AND(A36=B36,ISBLANK(F36))</formula>
    </cfRule>
  </conditionalFormatting>
  <conditionalFormatting sqref="E36">
    <cfRule type="cellIs" dxfId="11736" priority="16391" operator="notBetween">
      <formula>0</formula>
      <formula>2</formula>
    </cfRule>
    <cfRule type="expression" dxfId="11735" priority="16392">
      <formula>AND(A36=B36,ISBLANK(E36))</formula>
    </cfRule>
  </conditionalFormatting>
  <conditionalFormatting sqref="J36">
    <cfRule type="cellIs" dxfId="11734" priority="16389" operator="notBetween">
      <formula>0</formula>
      <formula>2</formula>
    </cfRule>
    <cfRule type="expression" dxfId="11733" priority="16390">
      <formula>AND(A36=B36,ISBLANK(J36))</formula>
    </cfRule>
  </conditionalFormatting>
  <conditionalFormatting sqref="K36">
    <cfRule type="cellIs" dxfId="11732" priority="16387" operator="notBetween">
      <formula>0</formula>
      <formula>2</formula>
    </cfRule>
    <cfRule type="expression" dxfId="11731" priority="16388">
      <formula>AND(A36=B36,ISBLANK(K36))</formula>
    </cfRule>
  </conditionalFormatting>
  <conditionalFormatting sqref="L36">
    <cfRule type="cellIs" dxfId="11730" priority="16385" operator="notBetween">
      <formula>0</formula>
      <formula>2</formula>
    </cfRule>
    <cfRule type="expression" dxfId="11729" priority="16386">
      <formula>AND(A36=B36,ISBLANK(L36))</formula>
    </cfRule>
  </conditionalFormatting>
  <conditionalFormatting sqref="M36">
    <cfRule type="expression" dxfId="11728" priority="16383">
      <formula>AND(A36=B36,ISBLANK(M36))</formula>
    </cfRule>
    <cfRule type="cellIs" dxfId="11727" priority="16384" operator="notBetween">
      <formula>0</formula>
      <formula>2</formula>
    </cfRule>
  </conditionalFormatting>
  <conditionalFormatting sqref="G36">
    <cfRule type="expression" dxfId="11726" priority="16381">
      <formula>AND(A36=B36,ISBLANK(G36))</formula>
    </cfRule>
    <cfRule type="cellIs" dxfId="11725" priority="16382" operator="notBetween">
      <formula>0</formula>
      <formula>2</formula>
    </cfRule>
  </conditionalFormatting>
  <conditionalFormatting sqref="H36">
    <cfRule type="expression" dxfId="11724" priority="16379">
      <formula>AND(A36=B36,ISBLANK(H36))</formula>
    </cfRule>
    <cfRule type="cellIs" dxfId="11723" priority="16380" operator="notBetween">
      <formula>0</formula>
      <formula>2</formula>
    </cfRule>
  </conditionalFormatting>
  <conditionalFormatting sqref="I36">
    <cfRule type="expression" dxfId="11722" priority="16377">
      <formula>AND(A36=B36,ISBLANK(I36))</formula>
    </cfRule>
    <cfRule type="cellIs" dxfId="11721" priority="16378" operator="notBetween">
      <formula>0</formula>
      <formula>2</formula>
    </cfRule>
  </conditionalFormatting>
  <conditionalFormatting sqref="D37">
    <cfRule type="expression" dxfId="11720" priority="16375">
      <formula>AND(A37=B37,ISBLANK(D37))</formula>
    </cfRule>
    <cfRule type="cellIs" dxfId="11719" priority="16376" operator="notBetween">
      <formula>0</formula>
      <formula>2</formula>
    </cfRule>
  </conditionalFormatting>
  <conditionalFormatting sqref="F37">
    <cfRule type="cellIs" dxfId="11718" priority="16373" operator="notBetween">
      <formula>0</formula>
      <formula>2</formula>
    </cfRule>
    <cfRule type="expression" dxfId="11717" priority="16374">
      <formula>AND(A37=B37,ISBLANK(F37))</formula>
    </cfRule>
  </conditionalFormatting>
  <conditionalFormatting sqref="E37">
    <cfRule type="cellIs" dxfId="11716" priority="16371" operator="notBetween">
      <formula>0</formula>
      <formula>2</formula>
    </cfRule>
    <cfRule type="expression" dxfId="11715" priority="16372">
      <formula>AND(A37=B37,ISBLANK(E37))</formula>
    </cfRule>
  </conditionalFormatting>
  <conditionalFormatting sqref="J37">
    <cfRule type="cellIs" dxfId="11714" priority="16369" operator="notBetween">
      <formula>0</formula>
      <formula>2</formula>
    </cfRule>
    <cfRule type="expression" dxfId="11713" priority="16370">
      <formula>AND(A37=B37,ISBLANK(J37))</formula>
    </cfRule>
  </conditionalFormatting>
  <conditionalFormatting sqref="K37">
    <cfRule type="cellIs" dxfId="11712" priority="16367" operator="notBetween">
      <formula>0</formula>
      <formula>2</formula>
    </cfRule>
    <cfRule type="expression" dxfId="11711" priority="16368">
      <formula>AND(A37=B37,ISBLANK(K37))</formula>
    </cfRule>
  </conditionalFormatting>
  <conditionalFormatting sqref="L37">
    <cfRule type="cellIs" dxfId="11710" priority="16365" operator="notBetween">
      <formula>0</formula>
      <formula>2</formula>
    </cfRule>
    <cfRule type="expression" dxfId="11709" priority="16366">
      <formula>AND(A37=B37,ISBLANK(L37))</formula>
    </cfRule>
  </conditionalFormatting>
  <conditionalFormatting sqref="M37">
    <cfRule type="expression" dxfId="11708" priority="16363">
      <formula>AND(A37=B37,ISBLANK(M37))</formula>
    </cfRule>
    <cfRule type="cellIs" dxfId="11707" priority="16364" operator="notBetween">
      <formula>0</formula>
      <formula>2</formula>
    </cfRule>
  </conditionalFormatting>
  <conditionalFormatting sqref="G37">
    <cfRule type="expression" dxfId="11706" priority="16361">
      <formula>AND(A37=B37,ISBLANK(G37))</formula>
    </cfRule>
    <cfRule type="cellIs" dxfId="11705" priority="16362" operator="notBetween">
      <formula>0</formula>
      <formula>2</formula>
    </cfRule>
  </conditionalFormatting>
  <conditionalFormatting sqref="H37">
    <cfRule type="expression" dxfId="11704" priority="16359">
      <formula>AND(A37=B37,ISBLANK(H37))</formula>
    </cfRule>
    <cfRule type="cellIs" dxfId="11703" priority="16360" operator="notBetween">
      <formula>0</formula>
      <formula>2</formula>
    </cfRule>
  </conditionalFormatting>
  <conditionalFormatting sqref="I37">
    <cfRule type="expression" dxfId="11702" priority="16357">
      <formula>AND(A37=B37,ISBLANK(I37))</formula>
    </cfRule>
    <cfRule type="cellIs" dxfId="11701" priority="16358" operator="notBetween">
      <formula>0</formula>
      <formula>2</formula>
    </cfRule>
  </conditionalFormatting>
  <conditionalFormatting sqref="D38">
    <cfRule type="expression" dxfId="11700" priority="16355">
      <formula>AND(A38=B38,ISBLANK(D38))</formula>
    </cfRule>
    <cfRule type="cellIs" dxfId="11699" priority="16356" operator="notBetween">
      <formula>0</formula>
      <formula>2</formula>
    </cfRule>
  </conditionalFormatting>
  <conditionalFormatting sqref="F38">
    <cfRule type="cellIs" dxfId="11698" priority="16353" operator="notBetween">
      <formula>0</formula>
      <formula>2</formula>
    </cfRule>
    <cfRule type="expression" dxfId="11697" priority="16354">
      <formula>AND(A38=B38,ISBLANK(F38))</formula>
    </cfRule>
  </conditionalFormatting>
  <conditionalFormatting sqref="E38">
    <cfRule type="cellIs" dxfId="11696" priority="16351" operator="notBetween">
      <formula>0</formula>
      <formula>2</formula>
    </cfRule>
    <cfRule type="expression" dxfId="11695" priority="16352">
      <formula>AND(A38=B38,ISBLANK(E38))</formula>
    </cfRule>
  </conditionalFormatting>
  <conditionalFormatting sqref="J38">
    <cfRule type="cellIs" dxfId="11694" priority="16349" operator="notBetween">
      <formula>0</formula>
      <formula>2</formula>
    </cfRule>
    <cfRule type="expression" dxfId="11693" priority="16350">
      <formula>AND(A38=B38,ISBLANK(J38))</formula>
    </cfRule>
  </conditionalFormatting>
  <conditionalFormatting sqref="K38">
    <cfRule type="cellIs" dxfId="11692" priority="16347" operator="notBetween">
      <formula>0</formula>
      <formula>2</formula>
    </cfRule>
    <cfRule type="expression" dxfId="11691" priority="16348">
      <formula>AND(A38=B38,ISBLANK(K38))</formula>
    </cfRule>
  </conditionalFormatting>
  <conditionalFormatting sqref="L38">
    <cfRule type="cellIs" dxfId="11690" priority="16345" operator="notBetween">
      <formula>0</formula>
      <formula>2</formula>
    </cfRule>
    <cfRule type="expression" dxfId="11689" priority="16346">
      <formula>AND(A38=B38,ISBLANK(L38))</formula>
    </cfRule>
  </conditionalFormatting>
  <conditionalFormatting sqref="M38">
    <cfRule type="expression" dxfId="11688" priority="16343">
      <formula>AND(A38=B38,ISBLANK(M38))</formula>
    </cfRule>
    <cfRule type="cellIs" dxfId="11687" priority="16344" operator="notBetween">
      <formula>0</formula>
      <formula>2</formula>
    </cfRule>
  </conditionalFormatting>
  <conditionalFormatting sqref="G38">
    <cfRule type="expression" dxfId="11686" priority="16341">
      <formula>AND(A38=B38,ISBLANK(G38))</formula>
    </cfRule>
    <cfRule type="cellIs" dxfId="11685" priority="16342" operator="notBetween">
      <formula>0</formula>
      <formula>2</formula>
    </cfRule>
  </conditionalFormatting>
  <conditionalFormatting sqref="H38">
    <cfRule type="expression" dxfId="11684" priority="16339">
      <formula>AND(A38=B38,ISBLANK(H38))</formula>
    </cfRule>
    <cfRule type="cellIs" dxfId="11683" priority="16340" operator="notBetween">
      <formula>0</formula>
      <formula>2</formula>
    </cfRule>
  </conditionalFormatting>
  <conditionalFormatting sqref="I38">
    <cfRule type="expression" dxfId="11682" priority="16337">
      <formula>AND(A38=B38,ISBLANK(I38))</formula>
    </cfRule>
    <cfRule type="cellIs" dxfId="11681" priority="16338" operator="notBetween">
      <formula>0</formula>
      <formula>2</formula>
    </cfRule>
  </conditionalFormatting>
  <conditionalFormatting sqref="D39">
    <cfRule type="expression" dxfId="11680" priority="16335">
      <formula>AND(A39=B39,ISBLANK(D39))</formula>
    </cfRule>
    <cfRule type="cellIs" dxfId="11679" priority="16336" operator="notBetween">
      <formula>0</formula>
      <formula>2</formula>
    </cfRule>
  </conditionalFormatting>
  <conditionalFormatting sqref="F39">
    <cfRule type="cellIs" dxfId="11678" priority="16333" operator="notBetween">
      <formula>0</formula>
      <formula>2</formula>
    </cfRule>
    <cfRule type="expression" dxfId="11677" priority="16334">
      <formula>AND(A39=B39,ISBLANK(F39))</formula>
    </cfRule>
  </conditionalFormatting>
  <conditionalFormatting sqref="E39">
    <cfRule type="cellIs" dxfId="11676" priority="16331" operator="notBetween">
      <formula>0</formula>
      <formula>2</formula>
    </cfRule>
    <cfRule type="expression" dxfId="11675" priority="16332">
      <formula>AND(A39=B39,ISBLANK(E39))</formula>
    </cfRule>
  </conditionalFormatting>
  <conditionalFormatting sqref="J39">
    <cfRule type="cellIs" dxfId="11674" priority="16329" operator="notBetween">
      <formula>0</formula>
      <formula>2</formula>
    </cfRule>
    <cfRule type="expression" dxfId="11673" priority="16330">
      <formula>AND(A39=B39,ISBLANK(J39))</formula>
    </cfRule>
  </conditionalFormatting>
  <conditionalFormatting sqref="K39">
    <cfRule type="cellIs" dxfId="11672" priority="16327" operator="notBetween">
      <formula>0</formula>
      <formula>2</formula>
    </cfRule>
    <cfRule type="expression" dxfId="11671" priority="16328">
      <formula>AND(A39=B39,ISBLANK(K39))</formula>
    </cfRule>
  </conditionalFormatting>
  <conditionalFormatting sqref="L39">
    <cfRule type="cellIs" dxfId="11670" priority="16325" operator="notBetween">
      <formula>0</formula>
      <formula>2</formula>
    </cfRule>
    <cfRule type="expression" dxfId="11669" priority="16326">
      <formula>AND(A39=B39,ISBLANK(L39))</formula>
    </cfRule>
  </conditionalFormatting>
  <conditionalFormatting sqref="M39">
    <cfRule type="expression" dxfId="11668" priority="16323">
      <formula>AND(A39=B39,ISBLANK(M39))</formula>
    </cfRule>
    <cfRule type="cellIs" dxfId="11667" priority="16324" operator="notBetween">
      <formula>0</formula>
      <formula>2</formula>
    </cfRule>
  </conditionalFormatting>
  <conditionalFormatting sqref="G39">
    <cfRule type="expression" dxfId="11666" priority="16321">
      <formula>AND(A39=B39,ISBLANK(G39))</formula>
    </cfRule>
    <cfRule type="cellIs" dxfId="11665" priority="16322" operator="notBetween">
      <formula>0</formula>
      <formula>2</formula>
    </cfRule>
  </conditionalFormatting>
  <conditionalFormatting sqref="H39">
    <cfRule type="expression" dxfId="11664" priority="16319">
      <formula>AND(A39=B39,ISBLANK(H39))</formula>
    </cfRule>
    <cfRule type="cellIs" dxfId="11663" priority="16320" operator="notBetween">
      <formula>0</formula>
      <formula>2</formula>
    </cfRule>
  </conditionalFormatting>
  <conditionalFormatting sqref="I39">
    <cfRule type="expression" dxfId="11662" priority="16317">
      <formula>AND(A39=B39,ISBLANK(I39))</formula>
    </cfRule>
    <cfRule type="cellIs" dxfId="11661" priority="16318" operator="notBetween">
      <formula>0</formula>
      <formula>2</formula>
    </cfRule>
  </conditionalFormatting>
  <conditionalFormatting sqref="D40">
    <cfRule type="expression" dxfId="11660" priority="16315">
      <formula>AND(A40=B40,ISBLANK(D40))</formula>
    </cfRule>
    <cfRule type="cellIs" dxfId="11659" priority="16316" operator="notBetween">
      <formula>0</formula>
      <formula>2</formula>
    </cfRule>
  </conditionalFormatting>
  <conditionalFormatting sqref="F40">
    <cfRule type="cellIs" dxfId="11658" priority="16313" operator="notBetween">
      <formula>0</formula>
      <formula>2</formula>
    </cfRule>
    <cfRule type="expression" dxfId="11657" priority="16314">
      <formula>AND(A40=B40,ISBLANK(F40))</formula>
    </cfRule>
  </conditionalFormatting>
  <conditionalFormatting sqref="E40">
    <cfRule type="cellIs" dxfId="11656" priority="16311" operator="notBetween">
      <formula>0</formula>
      <formula>2</formula>
    </cfRule>
    <cfRule type="expression" dxfId="11655" priority="16312">
      <formula>AND(A40=B40,ISBLANK(E40))</formula>
    </cfRule>
  </conditionalFormatting>
  <conditionalFormatting sqref="J40">
    <cfRule type="cellIs" dxfId="11654" priority="16309" operator="notBetween">
      <formula>0</formula>
      <formula>2</formula>
    </cfRule>
    <cfRule type="expression" dxfId="11653" priority="16310">
      <formula>AND(A40=B40,ISBLANK(J40))</formula>
    </cfRule>
  </conditionalFormatting>
  <conditionalFormatting sqref="K40">
    <cfRule type="cellIs" dxfId="11652" priority="16307" operator="notBetween">
      <formula>0</formula>
      <formula>2</formula>
    </cfRule>
    <cfRule type="expression" dxfId="11651" priority="16308">
      <formula>AND(A40=B40,ISBLANK(K40))</formula>
    </cfRule>
  </conditionalFormatting>
  <conditionalFormatting sqref="L40">
    <cfRule type="cellIs" dxfId="11650" priority="16305" operator="notBetween">
      <formula>0</formula>
      <formula>2</formula>
    </cfRule>
    <cfRule type="expression" dxfId="11649" priority="16306">
      <formula>AND(A40=B40,ISBLANK(L40))</formula>
    </cfRule>
  </conditionalFormatting>
  <conditionalFormatting sqref="M40">
    <cfRule type="expression" dxfId="11648" priority="16303">
      <formula>AND(A40=B40,ISBLANK(M40))</formula>
    </cfRule>
    <cfRule type="cellIs" dxfId="11647" priority="16304" operator="notBetween">
      <formula>0</formula>
      <formula>2</formula>
    </cfRule>
  </conditionalFormatting>
  <conditionalFormatting sqref="G40">
    <cfRule type="expression" dxfId="11646" priority="16301">
      <formula>AND(A40=B40,ISBLANK(G40))</formula>
    </cfRule>
    <cfRule type="cellIs" dxfId="11645" priority="16302" operator="notBetween">
      <formula>0</formula>
      <formula>2</formula>
    </cfRule>
  </conditionalFormatting>
  <conditionalFormatting sqref="H40">
    <cfRule type="expression" dxfId="11644" priority="16299">
      <formula>AND(A40=B40,ISBLANK(H40))</formula>
    </cfRule>
    <cfRule type="cellIs" dxfId="11643" priority="16300" operator="notBetween">
      <formula>0</formula>
      <formula>2</formula>
    </cfRule>
  </conditionalFormatting>
  <conditionalFormatting sqref="I40">
    <cfRule type="expression" dxfId="11642" priority="16297">
      <formula>AND(A40=B40,ISBLANK(I40))</formula>
    </cfRule>
    <cfRule type="cellIs" dxfId="11641" priority="16298" operator="notBetween">
      <formula>0</formula>
      <formula>2</formula>
    </cfRule>
  </conditionalFormatting>
  <conditionalFormatting sqref="D41">
    <cfRule type="expression" dxfId="11640" priority="16295">
      <formula>AND(A41=B41,ISBLANK(D41))</formula>
    </cfRule>
    <cfRule type="cellIs" dxfId="11639" priority="16296" operator="notBetween">
      <formula>0</formula>
      <formula>2</formula>
    </cfRule>
  </conditionalFormatting>
  <conditionalFormatting sqref="F41">
    <cfRule type="cellIs" dxfId="11638" priority="16293" operator="notBetween">
      <formula>0</formula>
      <formula>2</formula>
    </cfRule>
    <cfRule type="expression" dxfId="11637" priority="16294">
      <formula>AND(A41=B41,ISBLANK(F41))</formula>
    </cfRule>
  </conditionalFormatting>
  <conditionalFormatting sqref="E41">
    <cfRule type="cellIs" dxfId="11636" priority="16291" operator="notBetween">
      <formula>0</formula>
      <formula>2</formula>
    </cfRule>
    <cfRule type="expression" dxfId="11635" priority="16292">
      <formula>AND(A41=B41,ISBLANK(E41))</formula>
    </cfRule>
  </conditionalFormatting>
  <conditionalFormatting sqref="J41">
    <cfRule type="cellIs" dxfId="11634" priority="16289" operator="notBetween">
      <formula>0</formula>
      <formula>2</formula>
    </cfRule>
    <cfRule type="expression" dxfId="11633" priority="16290">
      <formula>AND(A41=B41,ISBLANK(J41))</formula>
    </cfRule>
  </conditionalFormatting>
  <conditionalFormatting sqref="K41">
    <cfRule type="cellIs" dxfId="11632" priority="16287" operator="notBetween">
      <formula>0</formula>
      <formula>2</formula>
    </cfRule>
    <cfRule type="expression" dxfId="11631" priority="16288">
      <formula>AND(A41=B41,ISBLANK(K41))</formula>
    </cfRule>
  </conditionalFormatting>
  <conditionalFormatting sqref="L41">
    <cfRule type="cellIs" dxfId="11630" priority="16285" operator="notBetween">
      <formula>0</formula>
      <formula>2</formula>
    </cfRule>
    <cfRule type="expression" dxfId="11629" priority="16286">
      <formula>AND(A41=B41,ISBLANK(L41))</formula>
    </cfRule>
  </conditionalFormatting>
  <conditionalFormatting sqref="M41">
    <cfRule type="expression" dxfId="11628" priority="16283">
      <formula>AND(A41=B41,ISBLANK(M41))</formula>
    </cfRule>
    <cfRule type="cellIs" dxfId="11627" priority="16284" operator="notBetween">
      <formula>0</formula>
      <formula>2</formula>
    </cfRule>
  </conditionalFormatting>
  <conditionalFormatting sqref="G41">
    <cfRule type="expression" dxfId="11626" priority="16281">
      <formula>AND(A41=B41,ISBLANK(G41))</formula>
    </cfRule>
    <cfRule type="cellIs" dxfId="11625" priority="16282" operator="notBetween">
      <formula>0</formula>
      <formula>2</formula>
    </cfRule>
  </conditionalFormatting>
  <conditionalFormatting sqref="H41">
    <cfRule type="expression" dxfId="11624" priority="16279">
      <formula>AND(A41=B41,ISBLANK(H41))</formula>
    </cfRule>
    <cfRule type="cellIs" dxfId="11623" priority="16280" operator="notBetween">
      <formula>0</formula>
      <formula>2</formula>
    </cfRule>
  </conditionalFormatting>
  <conditionalFormatting sqref="I41">
    <cfRule type="expression" dxfId="11622" priority="16277">
      <formula>AND(A41=B41,ISBLANK(I41))</formula>
    </cfRule>
    <cfRule type="cellIs" dxfId="11621" priority="16278" operator="notBetween">
      <formula>0</formula>
      <formula>2</formula>
    </cfRule>
  </conditionalFormatting>
  <conditionalFormatting sqref="D42">
    <cfRule type="expression" dxfId="11620" priority="16275">
      <formula>AND(A42=B42,ISBLANK(D42))</formula>
    </cfRule>
    <cfRule type="cellIs" dxfId="11619" priority="16276" operator="notBetween">
      <formula>0</formula>
      <formula>2</formula>
    </cfRule>
  </conditionalFormatting>
  <conditionalFormatting sqref="F42">
    <cfRule type="cellIs" dxfId="11618" priority="16273" operator="notBetween">
      <formula>0</formula>
      <formula>2</formula>
    </cfRule>
    <cfRule type="expression" dxfId="11617" priority="16274">
      <formula>AND(A42=B42,ISBLANK(F42))</formula>
    </cfRule>
  </conditionalFormatting>
  <conditionalFormatting sqref="E42">
    <cfRule type="cellIs" dxfId="11616" priority="16271" operator="notBetween">
      <formula>0</formula>
      <formula>2</formula>
    </cfRule>
    <cfRule type="expression" dxfId="11615" priority="16272">
      <formula>AND(A42=B42,ISBLANK(E42))</formula>
    </cfRule>
  </conditionalFormatting>
  <conditionalFormatting sqref="J42">
    <cfRule type="cellIs" dxfId="11614" priority="16269" operator="notBetween">
      <formula>0</formula>
      <formula>2</formula>
    </cfRule>
    <cfRule type="expression" dxfId="11613" priority="16270">
      <formula>AND(A42=B42,ISBLANK(J42))</formula>
    </cfRule>
  </conditionalFormatting>
  <conditionalFormatting sqref="K42">
    <cfRule type="cellIs" dxfId="11612" priority="16267" operator="notBetween">
      <formula>0</formula>
      <formula>2</formula>
    </cfRule>
    <cfRule type="expression" dxfId="11611" priority="16268">
      <formula>AND(A42=B42,ISBLANK(K42))</formula>
    </cfRule>
  </conditionalFormatting>
  <conditionalFormatting sqref="L42">
    <cfRule type="cellIs" dxfId="11610" priority="16265" operator="notBetween">
      <formula>0</formula>
      <formula>2</formula>
    </cfRule>
    <cfRule type="expression" dxfId="11609" priority="16266">
      <formula>AND(A42=B42,ISBLANK(L42))</formula>
    </cfRule>
  </conditionalFormatting>
  <conditionalFormatting sqref="M42">
    <cfRule type="expression" dxfId="11608" priority="16263">
      <formula>AND(A42=B42,ISBLANK(M42))</formula>
    </cfRule>
    <cfRule type="cellIs" dxfId="11607" priority="16264" operator="notBetween">
      <formula>0</formula>
      <formula>2</formula>
    </cfRule>
  </conditionalFormatting>
  <conditionalFormatting sqref="G42">
    <cfRule type="expression" dxfId="11606" priority="16261">
      <formula>AND(A42=B42,ISBLANK(G42))</formula>
    </cfRule>
    <cfRule type="cellIs" dxfId="11605" priority="16262" operator="notBetween">
      <formula>0</formula>
      <formula>2</formula>
    </cfRule>
  </conditionalFormatting>
  <conditionalFormatting sqref="H42">
    <cfRule type="expression" dxfId="11604" priority="16259">
      <formula>AND(A42=B42,ISBLANK(H42))</formula>
    </cfRule>
    <cfRule type="cellIs" dxfId="11603" priority="16260" operator="notBetween">
      <formula>0</formula>
      <formula>2</formula>
    </cfRule>
  </conditionalFormatting>
  <conditionalFormatting sqref="I42">
    <cfRule type="expression" dxfId="11602" priority="16257">
      <formula>AND(A42=B42,ISBLANK(I42))</formula>
    </cfRule>
    <cfRule type="cellIs" dxfId="11601" priority="16258" operator="notBetween">
      <formula>0</formula>
      <formula>2</formula>
    </cfRule>
  </conditionalFormatting>
  <conditionalFormatting sqref="D43">
    <cfRule type="expression" dxfId="11600" priority="16255">
      <formula>AND(A43=B43,ISBLANK(D43))</formula>
    </cfRule>
    <cfRule type="cellIs" dxfId="11599" priority="16256" operator="notBetween">
      <formula>0</formula>
      <formula>2</formula>
    </cfRule>
  </conditionalFormatting>
  <conditionalFormatting sqref="F43">
    <cfRule type="cellIs" dxfId="11598" priority="16253" operator="notBetween">
      <formula>0</formula>
      <formula>2</formula>
    </cfRule>
    <cfRule type="expression" dxfId="11597" priority="16254">
      <formula>AND(A43=B43,ISBLANK(F43))</formula>
    </cfRule>
  </conditionalFormatting>
  <conditionalFormatting sqref="E43">
    <cfRule type="cellIs" dxfId="11596" priority="16251" operator="notBetween">
      <formula>0</formula>
      <formula>2</formula>
    </cfRule>
    <cfRule type="expression" dxfId="11595" priority="16252">
      <formula>AND(A43=B43,ISBLANK(E43))</formula>
    </cfRule>
  </conditionalFormatting>
  <conditionalFormatting sqref="J43">
    <cfRule type="cellIs" dxfId="11594" priority="16249" operator="notBetween">
      <formula>0</formula>
      <formula>2</formula>
    </cfRule>
    <cfRule type="expression" dxfId="11593" priority="16250">
      <formula>AND(A43=B43,ISBLANK(J43))</formula>
    </cfRule>
  </conditionalFormatting>
  <conditionalFormatting sqref="K43">
    <cfRule type="cellIs" dxfId="11592" priority="16247" operator="notBetween">
      <formula>0</formula>
      <formula>2</formula>
    </cfRule>
    <cfRule type="expression" dxfId="11591" priority="16248">
      <formula>AND(A43=B43,ISBLANK(K43))</formula>
    </cfRule>
  </conditionalFormatting>
  <conditionalFormatting sqref="L43">
    <cfRule type="cellIs" dxfId="11590" priority="16245" operator="notBetween">
      <formula>0</formula>
      <formula>2</formula>
    </cfRule>
    <cfRule type="expression" dxfId="11589" priority="16246">
      <formula>AND(A43=B43,ISBLANK(L43))</formula>
    </cfRule>
  </conditionalFormatting>
  <conditionalFormatting sqref="M43">
    <cfRule type="expression" dxfId="11588" priority="16243">
      <formula>AND(A43=B43,ISBLANK(M43))</formula>
    </cfRule>
    <cfRule type="cellIs" dxfId="11587" priority="16244" operator="notBetween">
      <formula>0</formula>
      <formula>2</formula>
    </cfRule>
  </conditionalFormatting>
  <conditionalFormatting sqref="G43">
    <cfRule type="expression" dxfId="11586" priority="16241">
      <formula>AND(A43=B43,ISBLANK(G43))</formula>
    </cfRule>
    <cfRule type="cellIs" dxfId="11585" priority="16242" operator="notBetween">
      <formula>0</formula>
      <formula>2</formula>
    </cfRule>
  </conditionalFormatting>
  <conditionalFormatting sqref="H43">
    <cfRule type="expression" dxfId="11584" priority="16239">
      <formula>AND(A43=B43,ISBLANK(H43))</formula>
    </cfRule>
    <cfRule type="cellIs" dxfId="11583" priority="16240" operator="notBetween">
      <formula>0</formula>
      <formula>2</formula>
    </cfRule>
  </conditionalFormatting>
  <conditionalFormatting sqref="I43">
    <cfRule type="expression" dxfId="11582" priority="16237">
      <formula>AND(A43=B43,ISBLANK(I43))</formula>
    </cfRule>
    <cfRule type="cellIs" dxfId="11581" priority="16238" operator="notBetween">
      <formula>0</formula>
      <formula>2</formula>
    </cfRule>
  </conditionalFormatting>
  <conditionalFormatting sqref="D44">
    <cfRule type="expression" dxfId="11580" priority="16235">
      <formula>AND(A44=B44,ISBLANK(D44))</formula>
    </cfRule>
    <cfRule type="cellIs" dxfId="11579" priority="16236" operator="notBetween">
      <formula>0</formula>
      <formula>2</formula>
    </cfRule>
  </conditionalFormatting>
  <conditionalFormatting sqref="F44">
    <cfRule type="cellIs" dxfId="11578" priority="16233" operator="notBetween">
      <formula>0</formula>
      <formula>2</formula>
    </cfRule>
    <cfRule type="expression" dxfId="11577" priority="16234">
      <formula>AND(A44=B44,ISBLANK(F44))</formula>
    </cfRule>
  </conditionalFormatting>
  <conditionalFormatting sqref="E44">
    <cfRule type="cellIs" dxfId="11576" priority="16231" operator="notBetween">
      <formula>0</formula>
      <formula>2</formula>
    </cfRule>
    <cfRule type="expression" dxfId="11575" priority="16232">
      <formula>AND(A44=B44,ISBLANK(E44))</formula>
    </cfRule>
  </conditionalFormatting>
  <conditionalFormatting sqref="J44">
    <cfRule type="cellIs" dxfId="11574" priority="16229" operator="notBetween">
      <formula>0</formula>
      <formula>2</formula>
    </cfRule>
    <cfRule type="expression" dxfId="11573" priority="16230">
      <formula>AND(A44=B44,ISBLANK(J44))</formula>
    </cfRule>
  </conditionalFormatting>
  <conditionalFormatting sqref="K44">
    <cfRule type="cellIs" dxfId="11572" priority="16227" operator="notBetween">
      <formula>0</formula>
      <formula>2</formula>
    </cfRule>
    <cfRule type="expression" dxfId="11571" priority="16228">
      <formula>AND(A44=B44,ISBLANK(K44))</formula>
    </cfRule>
  </conditionalFormatting>
  <conditionalFormatting sqref="L44">
    <cfRule type="cellIs" dxfId="11570" priority="16225" operator="notBetween">
      <formula>0</formula>
      <formula>2</formula>
    </cfRule>
    <cfRule type="expression" dxfId="11569" priority="16226">
      <formula>AND(A44=B44,ISBLANK(L44))</formula>
    </cfRule>
  </conditionalFormatting>
  <conditionalFormatting sqref="M44">
    <cfRule type="expression" dxfId="11568" priority="16223">
      <formula>AND(A44=B44,ISBLANK(M44))</formula>
    </cfRule>
    <cfRule type="cellIs" dxfId="11567" priority="16224" operator="notBetween">
      <formula>0</formula>
      <formula>2</formula>
    </cfRule>
  </conditionalFormatting>
  <conditionalFormatting sqref="G44">
    <cfRule type="expression" dxfId="11566" priority="16221">
      <formula>AND(A44=B44,ISBLANK(G44))</formula>
    </cfRule>
    <cfRule type="cellIs" dxfId="11565" priority="16222" operator="notBetween">
      <formula>0</formula>
      <formula>2</formula>
    </cfRule>
  </conditionalFormatting>
  <conditionalFormatting sqref="H44">
    <cfRule type="expression" dxfId="11564" priority="16219">
      <formula>AND(A44=B44,ISBLANK(H44))</formula>
    </cfRule>
    <cfRule type="cellIs" dxfId="11563" priority="16220" operator="notBetween">
      <formula>0</formula>
      <formula>2</formula>
    </cfRule>
  </conditionalFormatting>
  <conditionalFormatting sqref="I44">
    <cfRule type="expression" dxfId="11562" priority="16217">
      <formula>AND(A44=B44,ISBLANK(I44))</formula>
    </cfRule>
    <cfRule type="cellIs" dxfId="11561" priority="16218" operator="notBetween">
      <formula>0</formula>
      <formula>2</formula>
    </cfRule>
  </conditionalFormatting>
  <conditionalFormatting sqref="D45">
    <cfRule type="expression" dxfId="11560" priority="16215">
      <formula>AND(A45=B45,ISBLANK(D45))</formula>
    </cfRule>
    <cfRule type="cellIs" dxfId="11559" priority="16216" operator="notBetween">
      <formula>0</formula>
      <formula>2</formula>
    </cfRule>
  </conditionalFormatting>
  <conditionalFormatting sqref="F45">
    <cfRule type="cellIs" dxfId="11558" priority="16213" operator="notBetween">
      <formula>0</formula>
      <formula>2</formula>
    </cfRule>
    <cfRule type="expression" dxfId="11557" priority="16214">
      <formula>AND(A45=B45,ISBLANK(F45))</formula>
    </cfRule>
  </conditionalFormatting>
  <conditionalFormatting sqref="E45">
    <cfRule type="cellIs" dxfId="11556" priority="16211" operator="notBetween">
      <formula>0</formula>
      <formula>2</formula>
    </cfRule>
    <cfRule type="expression" dxfId="11555" priority="16212">
      <formula>AND(A45=B45,ISBLANK(E45))</formula>
    </cfRule>
  </conditionalFormatting>
  <conditionalFormatting sqref="J45">
    <cfRule type="cellIs" dxfId="11554" priority="16209" operator="notBetween">
      <formula>0</formula>
      <formula>2</formula>
    </cfRule>
    <cfRule type="expression" dxfId="11553" priority="16210">
      <formula>AND(A45=B45,ISBLANK(J45))</formula>
    </cfRule>
  </conditionalFormatting>
  <conditionalFormatting sqref="K45">
    <cfRule type="cellIs" dxfId="11552" priority="16207" operator="notBetween">
      <formula>0</formula>
      <formula>2</formula>
    </cfRule>
    <cfRule type="expression" dxfId="11551" priority="16208">
      <formula>AND(A45=B45,ISBLANK(K45))</formula>
    </cfRule>
  </conditionalFormatting>
  <conditionalFormatting sqref="L45">
    <cfRule type="cellIs" dxfId="11550" priority="16205" operator="notBetween">
      <formula>0</formula>
      <formula>2</formula>
    </cfRule>
    <cfRule type="expression" dxfId="11549" priority="16206">
      <formula>AND(A45=B45,ISBLANK(L45))</formula>
    </cfRule>
  </conditionalFormatting>
  <conditionalFormatting sqref="M45">
    <cfRule type="expression" dxfId="11548" priority="16203">
      <formula>AND(A45=B45,ISBLANK(M45))</formula>
    </cfRule>
    <cfRule type="cellIs" dxfId="11547" priority="16204" operator="notBetween">
      <formula>0</formula>
      <formula>2</formula>
    </cfRule>
  </conditionalFormatting>
  <conditionalFormatting sqref="G45">
    <cfRule type="expression" dxfId="11546" priority="16201">
      <formula>AND(A45=B45,ISBLANK(G45))</formula>
    </cfRule>
    <cfRule type="cellIs" dxfId="11545" priority="16202" operator="notBetween">
      <formula>0</formula>
      <formula>2</formula>
    </cfRule>
  </conditionalFormatting>
  <conditionalFormatting sqref="H45">
    <cfRule type="expression" dxfId="11544" priority="16199">
      <formula>AND(A45=B45,ISBLANK(H45))</formula>
    </cfRule>
    <cfRule type="cellIs" dxfId="11543" priority="16200" operator="notBetween">
      <formula>0</formula>
      <formula>2</formula>
    </cfRule>
  </conditionalFormatting>
  <conditionalFormatting sqref="I45">
    <cfRule type="expression" dxfId="11542" priority="16197">
      <formula>AND(A45=B45,ISBLANK(I45))</formula>
    </cfRule>
    <cfRule type="cellIs" dxfId="11541" priority="16198" operator="notBetween">
      <formula>0</formula>
      <formula>2</formula>
    </cfRule>
  </conditionalFormatting>
  <conditionalFormatting sqref="D46">
    <cfRule type="expression" dxfId="11540" priority="16195">
      <formula>AND(A46=B46,ISBLANK(D46))</formula>
    </cfRule>
    <cfRule type="cellIs" dxfId="11539" priority="16196" operator="notBetween">
      <formula>0</formula>
      <formula>2</formula>
    </cfRule>
  </conditionalFormatting>
  <conditionalFormatting sqref="F46">
    <cfRule type="cellIs" dxfId="11538" priority="16193" operator="notBetween">
      <formula>0</formula>
      <formula>2</formula>
    </cfRule>
    <cfRule type="expression" dxfId="11537" priority="16194">
      <formula>AND(A46=B46,ISBLANK(F46))</formula>
    </cfRule>
  </conditionalFormatting>
  <conditionalFormatting sqref="E46">
    <cfRule type="cellIs" dxfId="11536" priority="16191" operator="notBetween">
      <formula>0</formula>
      <formula>2</formula>
    </cfRule>
    <cfRule type="expression" dxfId="11535" priority="16192">
      <formula>AND(A46=B46,ISBLANK(E46))</formula>
    </cfRule>
  </conditionalFormatting>
  <conditionalFormatting sqref="J46">
    <cfRule type="cellIs" dxfId="11534" priority="16189" operator="notBetween">
      <formula>0</formula>
      <formula>2</formula>
    </cfRule>
    <cfRule type="expression" dxfId="11533" priority="16190">
      <formula>AND(A46=B46,ISBLANK(J46))</formula>
    </cfRule>
  </conditionalFormatting>
  <conditionalFormatting sqref="K46">
    <cfRule type="cellIs" dxfId="11532" priority="16187" operator="notBetween">
      <formula>0</formula>
      <formula>2</formula>
    </cfRule>
    <cfRule type="expression" dxfId="11531" priority="16188">
      <formula>AND(A46=B46,ISBLANK(K46))</formula>
    </cfRule>
  </conditionalFormatting>
  <conditionalFormatting sqref="L46">
    <cfRule type="cellIs" dxfId="11530" priority="16185" operator="notBetween">
      <formula>0</formula>
      <formula>2</formula>
    </cfRule>
    <cfRule type="expression" dxfId="11529" priority="16186">
      <formula>AND(A46=B46,ISBLANK(L46))</formula>
    </cfRule>
  </conditionalFormatting>
  <conditionalFormatting sqref="M46">
    <cfRule type="expression" dxfId="11528" priority="16183">
      <formula>AND(A46=B46,ISBLANK(M46))</formula>
    </cfRule>
    <cfRule type="cellIs" dxfId="11527" priority="16184" operator="notBetween">
      <formula>0</formula>
      <formula>2</formula>
    </cfRule>
  </conditionalFormatting>
  <conditionalFormatting sqref="G46">
    <cfRule type="expression" dxfId="11526" priority="16181">
      <formula>AND(A46=B46,ISBLANK(G46))</formula>
    </cfRule>
    <cfRule type="cellIs" dxfId="11525" priority="16182" operator="notBetween">
      <formula>0</formula>
      <formula>2</formula>
    </cfRule>
  </conditionalFormatting>
  <conditionalFormatting sqref="H46">
    <cfRule type="expression" dxfId="11524" priority="16179">
      <formula>AND(A46=B46,ISBLANK(H46))</formula>
    </cfRule>
    <cfRule type="cellIs" dxfId="11523" priority="16180" operator="notBetween">
      <formula>0</formula>
      <formula>2</formula>
    </cfRule>
  </conditionalFormatting>
  <conditionalFormatting sqref="I46">
    <cfRule type="expression" dxfId="11522" priority="16177">
      <formula>AND(A46=B46,ISBLANK(I46))</formula>
    </cfRule>
    <cfRule type="cellIs" dxfId="11521" priority="16178" operator="notBetween">
      <formula>0</formula>
      <formula>2</formula>
    </cfRule>
  </conditionalFormatting>
  <conditionalFormatting sqref="D47">
    <cfRule type="expression" dxfId="11520" priority="16175">
      <formula>AND(A47=B47,ISBLANK(D47))</formula>
    </cfRule>
    <cfRule type="cellIs" dxfId="11519" priority="16176" operator="notBetween">
      <formula>0</formula>
      <formula>2</formula>
    </cfRule>
  </conditionalFormatting>
  <conditionalFormatting sqref="F47">
    <cfRule type="cellIs" dxfId="11518" priority="16173" operator="notBetween">
      <formula>0</formula>
      <formula>2</formula>
    </cfRule>
    <cfRule type="expression" dxfId="11517" priority="16174">
      <formula>AND(A47=B47,ISBLANK(F47))</formula>
    </cfRule>
  </conditionalFormatting>
  <conditionalFormatting sqref="E47">
    <cfRule type="cellIs" dxfId="11516" priority="16171" operator="notBetween">
      <formula>0</formula>
      <formula>2</formula>
    </cfRule>
    <cfRule type="expression" dxfId="11515" priority="16172">
      <formula>AND(A47=B47,ISBLANK(E47))</formula>
    </cfRule>
  </conditionalFormatting>
  <conditionalFormatting sqref="J47">
    <cfRule type="cellIs" dxfId="11514" priority="16169" operator="notBetween">
      <formula>0</formula>
      <formula>2</formula>
    </cfRule>
    <cfRule type="expression" dxfId="11513" priority="16170">
      <formula>AND(A47=B47,ISBLANK(J47))</formula>
    </cfRule>
  </conditionalFormatting>
  <conditionalFormatting sqref="K47">
    <cfRule type="cellIs" dxfId="11512" priority="16167" operator="notBetween">
      <formula>0</formula>
      <formula>2</formula>
    </cfRule>
    <cfRule type="expression" dxfId="11511" priority="16168">
      <formula>AND(A47=B47,ISBLANK(K47))</formula>
    </cfRule>
  </conditionalFormatting>
  <conditionalFormatting sqref="L47">
    <cfRule type="cellIs" dxfId="11510" priority="16165" operator="notBetween">
      <formula>0</formula>
      <formula>2</formula>
    </cfRule>
    <cfRule type="expression" dxfId="11509" priority="16166">
      <formula>AND(A47=B47,ISBLANK(L47))</formula>
    </cfRule>
  </conditionalFormatting>
  <conditionalFormatting sqref="M47">
    <cfRule type="expression" dxfId="11508" priority="16163">
      <formula>AND(A47=B47,ISBLANK(M47))</formula>
    </cfRule>
    <cfRule type="cellIs" dxfId="11507" priority="16164" operator="notBetween">
      <formula>0</formula>
      <formula>2</formula>
    </cfRule>
  </conditionalFormatting>
  <conditionalFormatting sqref="G47">
    <cfRule type="expression" dxfId="11506" priority="16161">
      <formula>AND(A47=B47,ISBLANK(G47))</formula>
    </cfRule>
    <cfRule type="cellIs" dxfId="11505" priority="16162" operator="notBetween">
      <formula>0</formula>
      <formula>2</formula>
    </cfRule>
  </conditionalFormatting>
  <conditionalFormatting sqref="H47">
    <cfRule type="expression" dxfId="11504" priority="16159">
      <formula>AND(A47=B47,ISBLANK(H47))</formula>
    </cfRule>
    <cfRule type="cellIs" dxfId="11503" priority="16160" operator="notBetween">
      <formula>0</formula>
      <formula>2</formula>
    </cfRule>
  </conditionalFormatting>
  <conditionalFormatting sqref="I47">
    <cfRule type="expression" dxfId="11502" priority="16157">
      <formula>AND(A47=B47,ISBLANK(I47))</formula>
    </cfRule>
    <cfRule type="cellIs" dxfId="11501" priority="16158" operator="notBetween">
      <formula>0</formula>
      <formula>2</formula>
    </cfRule>
  </conditionalFormatting>
  <conditionalFormatting sqref="D48">
    <cfRule type="expression" dxfId="11500" priority="16155">
      <formula>AND(A48=B48,ISBLANK(D48))</formula>
    </cfRule>
    <cfRule type="cellIs" dxfId="11499" priority="16156" operator="notBetween">
      <formula>0</formula>
      <formula>2</formula>
    </cfRule>
  </conditionalFormatting>
  <conditionalFormatting sqref="F48">
    <cfRule type="cellIs" dxfId="11498" priority="16153" operator="notBetween">
      <formula>0</formula>
      <formula>2</formula>
    </cfRule>
    <cfRule type="expression" dxfId="11497" priority="16154">
      <formula>AND(A48=B48,ISBLANK(F48))</formula>
    </cfRule>
  </conditionalFormatting>
  <conditionalFormatting sqref="E48">
    <cfRule type="cellIs" dxfId="11496" priority="16151" operator="notBetween">
      <formula>0</formula>
      <formula>2</formula>
    </cfRule>
    <cfRule type="expression" dxfId="11495" priority="16152">
      <formula>AND(A48=B48,ISBLANK(E48))</formula>
    </cfRule>
  </conditionalFormatting>
  <conditionalFormatting sqref="J48">
    <cfRule type="cellIs" dxfId="11494" priority="16149" operator="notBetween">
      <formula>0</formula>
      <formula>2</formula>
    </cfRule>
    <cfRule type="expression" dxfId="11493" priority="16150">
      <formula>AND(A48=B48,ISBLANK(J48))</formula>
    </cfRule>
  </conditionalFormatting>
  <conditionalFormatting sqref="K48">
    <cfRule type="cellIs" dxfId="11492" priority="16147" operator="notBetween">
      <formula>0</formula>
      <formula>2</formula>
    </cfRule>
    <cfRule type="expression" dxfId="11491" priority="16148">
      <formula>AND(A48=B48,ISBLANK(K48))</formula>
    </cfRule>
  </conditionalFormatting>
  <conditionalFormatting sqref="L48">
    <cfRule type="cellIs" dxfId="11490" priority="16145" operator="notBetween">
      <formula>0</formula>
      <formula>2</formula>
    </cfRule>
    <cfRule type="expression" dxfId="11489" priority="16146">
      <formula>AND(A48=B48,ISBLANK(L48))</formula>
    </cfRule>
  </conditionalFormatting>
  <conditionalFormatting sqref="M48">
    <cfRule type="expression" dxfId="11488" priority="16143">
      <formula>AND(A48=B48,ISBLANK(M48))</formula>
    </cfRule>
    <cfRule type="cellIs" dxfId="11487" priority="16144" operator="notBetween">
      <formula>0</formula>
      <formula>2</formula>
    </cfRule>
  </conditionalFormatting>
  <conditionalFormatting sqref="G48">
    <cfRule type="expression" dxfId="11486" priority="16141">
      <formula>AND(A48=B48,ISBLANK(G48))</formula>
    </cfRule>
    <cfRule type="cellIs" dxfId="11485" priority="16142" operator="notBetween">
      <formula>0</formula>
      <formula>2</formula>
    </cfRule>
  </conditionalFormatting>
  <conditionalFormatting sqref="H48">
    <cfRule type="expression" dxfId="11484" priority="16139">
      <formula>AND(A48=B48,ISBLANK(H48))</formula>
    </cfRule>
    <cfRule type="cellIs" dxfId="11483" priority="16140" operator="notBetween">
      <formula>0</formula>
      <formula>2</formula>
    </cfRule>
  </conditionalFormatting>
  <conditionalFormatting sqref="I48">
    <cfRule type="expression" dxfId="11482" priority="16137">
      <formula>AND(A48=B48,ISBLANK(I48))</formula>
    </cfRule>
    <cfRule type="cellIs" dxfId="11481" priority="16138" operator="notBetween">
      <formula>0</formula>
      <formula>2</formula>
    </cfRule>
  </conditionalFormatting>
  <conditionalFormatting sqref="D49">
    <cfRule type="expression" dxfId="11480" priority="16135">
      <formula>AND(A49=B49,ISBLANK(D49))</formula>
    </cfRule>
    <cfRule type="cellIs" dxfId="11479" priority="16136" operator="notBetween">
      <formula>0</formula>
      <formula>2</formula>
    </cfRule>
  </conditionalFormatting>
  <conditionalFormatting sqref="F49">
    <cfRule type="cellIs" dxfId="11478" priority="16133" operator="notBetween">
      <formula>0</formula>
      <formula>2</formula>
    </cfRule>
    <cfRule type="expression" dxfId="11477" priority="16134">
      <formula>AND(A49=B49,ISBLANK(F49))</formula>
    </cfRule>
  </conditionalFormatting>
  <conditionalFormatting sqref="E49">
    <cfRule type="cellIs" dxfId="11476" priority="16131" operator="notBetween">
      <formula>0</formula>
      <formula>2</formula>
    </cfRule>
    <cfRule type="expression" dxfId="11475" priority="16132">
      <formula>AND(A49=B49,ISBLANK(E49))</formula>
    </cfRule>
  </conditionalFormatting>
  <conditionalFormatting sqref="J49">
    <cfRule type="cellIs" dxfId="11474" priority="16129" operator="notBetween">
      <formula>0</formula>
      <formula>2</formula>
    </cfRule>
    <cfRule type="expression" dxfId="11473" priority="16130">
      <formula>AND(A49=B49,ISBLANK(J49))</formula>
    </cfRule>
  </conditionalFormatting>
  <conditionalFormatting sqref="K49">
    <cfRule type="cellIs" dxfId="11472" priority="16127" operator="notBetween">
      <formula>0</formula>
      <formula>2</formula>
    </cfRule>
    <cfRule type="expression" dxfId="11471" priority="16128">
      <formula>AND(A49=B49,ISBLANK(K49))</formula>
    </cfRule>
  </conditionalFormatting>
  <conditionalFormatting sqref="L49">
    <cfRule type="cellIs" dxfId="11470" priority="16125" operator="notBetween">
      <formula>0</formula>
      <formula>2</formula>
    </cfRule>
    <cfRule type="expression" dxfId="11469" priority="16126">
      <formula>AND(A49=B49,ISBLANK(L49))</formula>
    </cfRule>
  </conditionalFormatting>
  <conditionalFormatting sqref="M49">
    <cfRule type="expression" dxfId="11468" priority="16123">
      <formula>AND(A49=B49,ISBLANK(M49))</formula>
    </cfRule>
    <cfRule type="cellIs" dxfId="11467" priority="16124" operator="notBetween">
      <formula>0</formula>
      <formula>2</formula>
    </cfRule>
  </conditionalFormatting>
  <conditionalFormatting sqref="G49">
    <cfRule type="expression" dxfId="11466" priority="16121">
      <formula>AND(A49=B49,ISBLANK(G49))</formula>
    </cfRule>
    <cfRule type="cellIs" dxfId="11465" priority="16122" operator="notBetween">
      <formula>0</formula>
      <formula>2</formula>
    </cfRule>
  </conditionalFormatting>
  <conditionalFormatting sqref="H49">
    <cfRule type="expression" dxfId="11464" priority="16119">
      <formula>AND(A49=B49,ISBLANK(H49))</formula>
    </cfRule>
    <cfRule type="cellIs" dxfId="11463" priority="16120" operator="notBetween">
      <formula>0</formula>
      <formula>2</formula>
    </cfRule>
  </conditionalFormatting>
  <conditionalFormatting sqref="I49">
    <cfRule type="expression" dxfId="11462" priority="16117">
      <formula>AND(A49=B49,ISBLANK(I49))</formula>
    </cfRule>
    <cfRule type="cellIs" dxfId="11461" priority="16118" operator="notBetween">
      <formula>0</formula>
      <formula>2</formula>
    </cfRule>
  </conditionalFormatting>
  <conditionalFormatting sqref="D50">
    <cfRule type="expression" dxfId="11460" priority="16115">
      <formula>AND(A50=B50,ISBLANK(D50))</formula>
    </cfRule>
    <cfRule type="cellIs" dxfId="11459" priority="16116" operator="notBetween">
      <formula>0</formula>
      <formula>2</formula>
    </cfRule>
  </conditionalFormatting>
  <conditionalFormatting sqref="F50">
    <cfRule type="cellIs" dxfId="11458" priority="16113" operator="notBetween">
      <formula>0</formula>
      <formula>2</formula>
    </cfRule>
    <cfRule type="expression" dxfId="11457" priority="16114">
      <formula>AND(A50=B50,ISBLANK(F50))</formula>
    </cfRule>
  </conditionalFormatting>
  <conditionalFormatting sqref="E50">
    <cfRule type="cellIs" dxfId="11456" priority="16111" operator="notBetween">
      <formula>0</formula>
      <formula>2</formula>
    </cfRule>
    <cfRule type="expression" dxfId="11455" priority="16112">
      <formula>AND(A50=B50,ISBLANK(E50))</formula>
    </cfRule>
  </conditionalFormatting>
  <conditionalFormatting sqref="J50">
    <cfRule type="cellIs" dxfId="11454" priority="16109" operator="notBetween">
      <formula>0</formula>
      <formula>2</formula>
    </cfRule>
    <cfRule type="expression" dxfId="11453" priority="16110">
      <formula>AND(A50=B50,ISBLANK(J50))</formula>
    </cfRule>
  </conditionalFormatting>
  <conditionalFormatting sqref="K50">
    <cfRule type="cellIs" dxfId="11452" priority="16107" operator="notBetween">
      <formula>0</formula>
      <formula>2</formula>
    </cfRule>
    <cfRule type="expression" dxfId="11451" priority="16108">
      <formula>AND(A50=B50,ISBLANK(K50))</formula>
    </cfRule>
  </conditionalFormatting>
  <conditionalFormatting sqref="L50">
    <cfRule type="cellIs" dxfId="11450" priority="16105" operator="notBetween">
      <formula>0</formula>
      <formula>2</formula>
    </cfRule>
    <cfRule type="expression" dxfId="11449" priority="16106">
      <formula>AND(A50=B50,ISBLANK(L50))</formula>
    </cfRule>
  </conditionalFormatting>
  <conditionalFormatting sqref="M50">
    <cfRule type="expression" dxfId="11448" priority="16103">
      <formula>AND(A50=B50,ISBLANK(M50))</formula>
    </cfRule>
    <cfRule type="cellIs" dxfId="11447" priority="16104" operator="notBetween">
      <formula>0</formula>
      <formula>2</formula>
    </cfRule>
  </conditionalFormatting>
  <conditionalFormatting sqref="G50">
    <cfRule type="expression" dxfId="11446" priority="16101">
      <formula>AND(A50=B50,ISBLANK(G50))</formula>
    </cfRule>
    <cfRule type="cellIs" dxfId="11445" priority="16102" operator="notBetween">
      <formula>0</formula>
      <formula>2</formula>
    </cfRule>
  </conditionalFormatting>
  <conditionalFormatting sqref="H50">
    <cfRule type="expression" dxfId="11444" priority="16099">
      <formula>AND(A50=B50,ISBLANK(H50))</formula>
    </cfRule>
    <cfRule type="cellIs" dxfId="11443" priority="16100" operator="notBetween">
      <formula>0</formula>
      <formula>2</formula>
    </cfRule>
  </conditionalFormatting>
  <conditionalFormatting sqref="I50">
    <cfRule type="expression" dxfId="11442" priority="16097">
      <formula>AND(A50=B50,ISBLANK(I50))</formula>
    </cfRule>
    <cfRule type="cellIs" dxfId="11441" priority="16098" operator="notBetween">
      <formula>0</formula>
      <formula>2</formula>
    </cfRule>
  </conditionalFormatting>
  <conditionalFormatting sqref="D51">
    <cfRule type="expression" dxfId="11440" priority="16095">
      <formula>AND(A51=B51,ISBLANK(D51))</formula>
    </cfRule>
    <cfRule type="cellIs" dxfId="11439" priority="16096" operator="notBetween">
      <formula>0</formula>
      <formula>2</formula>
    </cfRule>
  </conditionalFormatting>
  <conditionalFormatting sqref="F51">
    <cfRule type="cellIs" dxfId="11438" priority="16093" operator="notBetween">
      <formula>0</formula>
      <formula>2</formula>
    </cfRule>
    <cfRule type="expression" dxfId="11437" priority="16094">
      <formula>AND(A51=B51,ISBLANK(F51))</formula>
    </cfRule>
  </conditionalFormatting>
  <conditionalFormatting sqref="E51">
    <cfRule type="cellIs" dxfId="11436" priority="16091" operator="notBetween">
      <formula>0</formula>
      <formula>2</formula>
    </cfRule>
    <cfRule type="expression" dxfId="11435" priority="16092">
      <formula>AND(A51=B51,ISBLANK(E51))</formula>
    </cfRule>
  </conditionalFormatting>
  <conditionalFormatting sqref="J51">
    <cfRule type="cellIs" dxfId="11434" priority="16089" operator="notBetween">
      <formula>0</formula>
      <formula>2</formula>
    </cfRule>
    <cfRule type="expression" dxfId="11433" priority="16090">
      <formula>AND(A51=B51,ISBLANK(J51))</formula>
    </cfRule>
  </conditionalFormatting>
  <conditionalFormatting sqref="K51">
    <cfRule type="cellIs" dxfId="11432" priority="16087" operator="notBetween">
      <formula>0</formula>
      <formula>2</formula>
    </cfRule>
    <cfRule type="expression" dxfId="11431" priority="16088">
      <formula>AND(A51=B51,ISBLANK(K51))</formula>
    </cfRule>
  </conditionalFormatting>
  <conditionalFormatting sqref="L51">
    <cfRule type="cellIs" dxfId="11430" priority="16085" operator="notBetween">
      <formula>0</formula>
      <formula>2</formula>
    </cfRule>
    <cfRule type="expression" dxfId="11429" priority="16086">
      <formula>AND(A51=B51,ISBLANK(L51))</formula>
    </cfRule>
  </conditionalFormatting>
  <conditionalFormatting sqref="M51">
    <cfRule type="expression" dxfId="11428" priority="16083">
      <formula>AND(A51=B51,ISBLANK(M51))</formula>
    </cfRule>
    <cfRule type="cellIs" dxfId="11427" priority="16084" operator="notBetween">
      <formula>0</formula>
      <formula>2</formula>
    </cfRule>
  </conditionalFormatting>
  <conditionalFormatting sqref="G51">
    <cfRule type="expression" dxfId="11426" priority="16081">
      <formula>AND(A51=B51,ISBLANK(G51))</formula>
    </cfRule>
    <cfRule type="cellIs" dxfId="11425" priority="16082" operator="notBetween">
      <formula>0</formula>
      <formula>2</formula>
    </cfRule>
  </conditionalFormatting>
  <conditionalFormatting sqref="H51">
    <cfRule type="expression" dxfId="11424" priority="16079">
      <formula>AND(A51=B51,ISBLANK(H51))</formula>
    </cfRule>
    <cfRule type="cellIs" dxfId="11423" priority="16080" operator="notBetween">
      <formula>0</formula>
      <formula>2</formula>
    </cfRule>
  </conditionalFormatting>
  <conditionalFormatting sqref="I51">
    <cfRule type="expression" dxfId="11422" priority="16077">
      <formula>AND(A51=B51,ISBLANK(I51))</formula>
    </cfRule>
    <cfRule type="cellIs" dxfId="11421" priority="16078" operator="notBetween">
      <formula>0</formula>
      <formula>2</formula>
    </cfRule>
  </conditionalFormatting>
  <conditionalFormatting sqref="D52">
    <cfRule type="expression" dxfId="11420" priority="16075">
      <formula>AND(A52=B52,ISBLANK(D52))</formula>
    </cfRule>
    <cfRule type="cellIs" dxfId="11419" priority="16076" operator="notBetween">
      <formula>0</formula>
      <formula>2</formula>
    </cfRule>
  </conditionalFormatting>
  <conditionalFormatting sqref="F52">
    <cfRule type="cellIs" dxfId="11418" priority="16073" operator="notBetween">
      <formula>0</formula>
      <formula>2</formula>
    </cfRule>
    <cfRule type="expression" dxfId="11417" priority="16074">
      <formula>AND(A52=B52,ISBLANK(F52))</formula>
    </cfRule>
  </conditionalFormatting>
  <conditionalFormatting sqref="E52">
    <cfRule type="cellIs" dxfId="11416" priority="16071" operator="notBetween">
      <formula>0</formula>
      <formula>2</formula>
    </cfRule>
    <cfRule type="expression" dxfId="11415" priority="16072">
      <formula>AND(A52=B52,ISBLANK(E52))</formula>
    </cfRule>
  </conditionalFormatting>
  <conditionalFormatting sqref="J52">
    <cfRule type="cellIs" dxfId="11414" priority="16069" operator="notBetween">
      <formula>0</formula>
      <formula>2</formula>
    </cfRule>
    <cfRule type="expression" dxfId="11413" priority="16070">
      <formula>AND(A52=B52,ISBLANK(J52))</formula>
    </cfRule>
  </conditionalFormatting>
  <conditionalFormatting sqref="K52">
    <cfRule type="cellIs" dxfId="11412" priority="16067" operator="notBetween">
      <formula>0</formula>
      <formula>2</formula>
    </cfRule>
    <cfRule type="expression" dxfId="11411" priority="16068">
      <formula>AND(A52=B52,ISBLANK(K52))</formula>
    </cfRule>
  </conditionalFormatting>
  <conditionalFormatting sqref="L52">
    <cfRule type="cellIs" dxfId="11410" priority="16065" operator="notBetween">
      <formula>0</formula>
      <formula>2</formula>
    </cfRule>
    <cfRule type="expression" dxfId="11409" priority="16066">
      <formula>AND(A52=B52,ISBLANK(L52))</formula>
    </cfRule>
  </conditionalFormatting>
  <conditionalFormatting sqref="M52">
    <cfRule type="expression" dxfId="11408" priority="16063">
      <formula>AND(A52=B52,ISBLANK(M52))</formula>
    </cfRule>
    <cfRule type="cellIs" dxfId="11407" priority="16064" operator="notBetween">
      <formula>0</formula>
      <formula>2</formula>
    </cfRule>
  </conditionalFormatting>
  <conditionalFormatting sqref="G52">
    <cfRule type="expression" dxfId="11406" priority="16061">
      <formula>AND(A52=B52,ISBLANK(G52))</formula>
    </cfRule>
    <cfRule type="cellIs" dxfId="11405" priority="16062" operator="notBetween">
      <formula>0</formula>
      <formula>2</formula>
    </cfRule>
  </conditionalFormatting>
  <conditionalFormatting sqref="H52">
    <cfRule type="expression" dxfId="11404" priority="16059">
      <formula>AND(A52=B52,ISBLANK(H52))</formula>
    </cfRule>
    <cfRule type="cellIs" dxfId="11403" priority="16060" operator="notBetween">
      <formula>0</formula>
      <formula>2</formula>
    </cfRule>
  </conditionalFormatting>
  <conditionalFormatting sqref="I52">
    <cfRule type="expression" dxfId="11402" priority="16057">
      <formula>AND(A52=B52,ISBLANK(I52))</formula>
    </cfRule>
    <cfRule type="cellIs" dxfId="11401" priority="16058" operator="notBetween">
      <formula>0</formula>
      <formula>2</formula>
    </cfRule>
  </conditionalFormatting>
  <conditionalFormatting sqref="D53">
    <cfRule type="expression" dxfId="11400" priority="16055">
      <formula>AND(A53=B53,ISBLANK(D53))</formula>
    </cfRule>
    <cfRule type="cellIs" dxfId="11399" priority="16056" operator="notBetween">
      <formula>0</formula>
      <formula>2</formula>
    </cfRule>
  </conditionalFormatting>
  <conditionalFormatting sqref="F53">
    <cfRule type="cellIs" dxfId="11398" priority="16053" operator="notBetween">
      <formula>0</formula>
      <formula>2</formula>
    </cfRule>
    <cfRule type="expression" dxfId="11397" priority="16054">
      <formula>AND(A53=B53,ISBLANK(F53))</formula>
    </cfRule>
  </conditionalFormatting>
  <conditionalFormatting sqref="E53">
    <cfRule type="cellIs" dxfId="11396" priority="16051" operator="notBetween">
      <formula>0</formula>
      <formula>2</formula>
    </cfRule>
    <cfRule type="expression" dxfId="11395" priority="16052">
      <formula>AND(A53=B53,ISBLANK(E53))</formula>
    </cfRule>
  </conditionalFormatting>
  <conditionalFormatting sqref="J53">
    <cfRule type="cellIs" dxfId="11394" priority="16049" operator="notBetween">
      <formula>0</formula>
      <formula>2</formula>
    </cfRule>
    <cfRule type="expression" dxfId="11393" priority="16050">
      <formula>AND(A53=B53,ISBLANK(J53))</formula>
    </cfRule>
  </conditionalFormatting>
  <conditionalFormatting sqref="K53">
    <cfRule type="cellIs" dxfId="11392" priority="16047" operator="notBetween">
      <formula>0</formula>
      <formula>2</formula>
    </cfRule>
    <cfRule type="expression" dxfId="11391" priority="16048">
      <formula>AND(A53=B53,ISBLANK(K53))</formula>
    </cfRule>
  </conditionalFormatting>
  <conditionalFormatting sqref="L53">
    <cfRule type="cellIs" dxfId="11390" priority="16045" operator="notBetween">
      <formula>0</formula>
      <formula>2</formula>
    </cfRule>
    <cfRule type="expression" dxfId="11389" priority="16046">
      <formula>AND(A53=B53,ISBLANK(L53))</formula>
    </cfRule>
  </conditionalFormatting>
  <conditionalFormatting sqref="M53">
    <cfRule type="expression" dxfId="11388" priority="16043">
      <formula>AND(A53=B53,ISBLANK(M53))</formula>
    </cfRule>
    <cfRule type="cellIs" dxfId="11387" priority="16044" operator="notBetween">
      <formula>0</formula>
      <formula>2</formula>
    </cfRule>
  </conditionalFormatting>
  <conditionalFormatting sqref="G53">
    <cfRule type="expression" dxfId="11386" priority="16041">
      <formula>AND(A53=B53,ISBLANK(G53))</formula>
    </cfRule>
    <cfRule type="cellIs" dxfId="11385" priority="16042" operator="notBetween">
      <formula>0</formula>
      <formula>2</formula>
    </cfRule>
  </conditionalFormatting>
  <conditionalFormatting sqref="H53">
    <cfRule type="expression" dxfId="11384" priority="16039">
      <formula>AND(A53=B53,ISBLANK(H53))</formula>
    </cfRule>
    <cfRule type="cellIs" dxfId="11383" priority="16040" operator="notBetween">
      <formula>0</formula>
      <formula>2</formula>
    </cfRule>
  </conditionalFormatting>
  <conditionalFormatting sqref="I53">
    <cfRule type="expression" dxfId="11382" priority="16037">
      <formula>AND(A53=B53,ISBLANK(I53))</formula>
    </cfRule>
    <cfRule type="cellIs" dxfId="11381" priority="16038" operator="notBetween">
      <formula>0</formula>
      <formula>2</formula>
    </cfRule>
  </conditionalFormatting>
  <conditionalFormatting sqref="D54">
    <cfRule type="expression" dxfId="11380" priority="16035">
      <formula>AND(A54=B54,ISBLANK(D54))</formula>
    </cfRule>
    <cfRule type="cellIs" dxfId="11379" priority="16036" operator="notBetween">
      <formula>0</formula>
      <formula>2</formula>
    </cfRule>
  </conditionalFormatting>
  <conditionalFormatting sqref="F54">
    <cfRule type="cellIs" dxfId="11378" priority="16033" operator="notBetween">
      <formula>0</formula>
      <formula>2</formula>
    </cfRule>
    <cfRule type="expression" dxfId="11377" priority="16034">
      <formula>AND(A54=B54,ISBLANK(F54))</formula>
    </cfRule>
  </conditionalFormatting>
  <conditionalFormatting sqref="E54">
    <cfRule type="cellIs" dxfId="11376" priority="16031" operator="notBetween">
      <formula>0</formula>
      <formula>2</formula>
    </cfRule>
    <cfRule type="expression" dxfId="11375" priority="16032">
      <formula>AND(A54=B54,ISBLANK(E54))</formula>
    </cfRule>
  </conditionalFormatting>
  <conditionalFormatting sqref="J54">
    <cfRule type="cellIs" dxfId="11374" priority="16029" operator="notBetween">
      <formula>0</formula>
      <formula>2</formula>
    </cfRule>
    <cfRule type="expression" dxfId="11373" priority="16030">
      <formula>AND(A54=B54,ISBLANK(J54))</formula>
    </cfRule>
  </conditionalFormatting>
  <conditionalFormatting sqref="K54">
    <cfRule type="cellIs" dxfId="11372" priority="16027" operator="notBetween">
      <formula>0</formula>
      <formula>2</formula>
    </cfRule>
    <cfRule type="expression" dxfId="11371" priority="16028">
      <formula>AND(A54=B54,ISBLANK(K54))</formula>
    </cfRule>
  </conditionalFormatting>
  <conditionalFormatting sqref="L54">
    <cfRule type="cellIs" dxfId="11370" priority="16025" operator="notBetween">
      <formula>0</formula>
      <formula>2</formula>
    </cfRule>
    <cfRule type="expression" dxfId="11369" priority="16026">
      <formula>AND(A54=B54,ISBLANK(L54))</formula>
    </cfRule>
  </conditionalFormatting>
  <conditionalFormatting sqref="M54">
    <cfRule type="expression" dxfId="11368" priority="16023">
      <formula>AND(A54=B54,ISBLANK(M54))</formula>
    </cfRule>
    <cfRule type="cellIs" dxfId="11367" priority="16024" operator="notBetween">
      <formula>0</formula>
      <formula>2</formula>
    </cfRule>
  </conditionalFormatting>
  <conditionalFormatting sqref="G54">
    <cfRule type="expression" dxfId="11366" priority="16021">
      <formula>AND(A54=B54,ISBLANK(G54))</formula>
    </cfRule>
    <cfRule type="cellIs" dxfId="11365" priority="16022" operator="notBetween">
      <formula>0</formula>
      <formula>2</formula>
    </cfRule>
  </conditionalFormatting>
  <conditionalFormatting sqref="H54">
    <cfRule type="expression" dxfId="11364" priority="16019">
      <formula>AND(A54=B54,ISBLANK(H54))</formula>
    </cfRule>
    <cfRule type="cellIs" dxfId="11363" priority="16020" operator="notBetween">
      <formula>0</formula>
      <formula>2</formula>
    </cfRule>
  </conditionalFormatting>
  <conditionalFormatting sqref="I54">
    <cfRule type="expression" dxfId="11362" priority="16017">
      <formula>AND(A54=B54,ISBLANK(I54))</formula>
    </cfRule>
    <cfRule type="cellIs" dxfId="11361" priority="16018" operator="notBetween">
      <formula>0</formula>
      <formula>2</formula>
    </cfRule>
  </conditionalFormatting>
  <conditionalFormatting sqref="D55">
    <cfRule type="expression" dxfId="11360" priority="16015">
      <formula>AND(A55=B55,ISBLANK(D55))</formula>
    </cfRule>
    <cfRule type="cellIs" dxfId="11359" priority="16016" operator="notBetween">
      <formula>0</formula>
      <formula>2</formula>
    </cfRule>
  </conditionalFormatting>
  <conditionalFormatting sqref="F55">
    <cfRule type="cellIs" dxfId="11358" priority="16013" operator="notBetween">
      <formula>0</formula>
      <formula>2</formula>
    </cfRule>
    <cfRule type="expression" dxfId="11357" priority="16014">
      <formula>AND(A55=B55,ISBLANK(F55))</formula>
    </cfRule>
  </conditionalFormatting>
  <conditionalFormatting sqref="E55">
    <cfRule type="cellIs" dxfId="11356" priority="16011" operator="notBetween">
      <formula>0</formula>
      <formula>2</formula>
    </cfRule>
    <cfRule type="expression" dxfId="11355" priority="16012">
      <formula>AND(A55=B55,ISBLANK(E55))</formula>
    </cfRule>
  </conditionalFormatting>
  <conditionalFormatting sqref="J55">
    <cfRule type="cellIs" dxfId="11354" priority="16009" operator="notBetween">
      <formula>0</formula>
      <formula>2</formula>
    </cfRule>
    <cfRule type="expression" dxfId="11353" priority="16010">
      <formula>AND(A55=B55,ISBLANK(J55))</formula>
    </cfRule>
  </conditionalFormatting>
  <conditionalFormatting sqref="K55">
    <cfRule type="cellIs" dxfId="11352" priority="16007" operator="notBetween">
      <formula>0</formula>
      <formula>2</formula>
    </cfRule>
    <cfRule type="expression" dxfId="11351" priority="16008">
      <formula>AND(A55=B55,ISBLANK(K55))</formula>
    </cfRule>
  </conditionalFormatting>
  <conditionalFormatting sqref="L55">
    <cfRule type="cellIs" dxfId="11350" priority="16005" operator="notBetween">
      <formula>0</formula>
      <formula>2</formula>
    </cfRule>
    <cfRule type="expression" dxfId="11349" priority="16006">
      <formula>AND(A55=B55,ISBLANK(L55))</formula>
    </cfRule>
  </conditionalFormatting>
  <conditionalFormatting sqref="M55">
    <cfRule type="expression" dxfId="11348" priority="16003">
      <formula>AND(A55=B55,ISBLANK(M55))</formula>
    </cfRule>
    <cfRule type="cellIs" dxfId="11347" priority="16004" operator="notBetween">
      <formula>0</formula>
      <formula>2</formula>
    </cfRule>
  </conditionalFormatting>
  <conditionalFormatting sqref="G55">
    <cfRule type="expression" dxfId="11346" priority="16001">
      <formula>AND(A55=B55,ISBLANK(G55))</formula>
    </cfRule>
    <cfRule type="cellIs" dxfId="11345" priority="16002" operator="notBetween">
      <formula>0</formula>
      <formula>2</formula>
    </cfRule>
  </conditionalFormatting>
  <conditionalFormatting sqref="H55">
    <cfRule type="expression" dxfId="11344" priority="15999">
      <formula>AND(A55=B55,ISBLANK(H55))</formula>
    </cfRule>
    <cfRule type="cellIs" dxfId="11343" priority="16000" operator="notBetween">
      <formula>0</formula>
      <formula>2</formula>
    </cfRule>
  </conditionalFormatting>
  <conditionalFormatting sqref="I55">
    <cfRule type="expression" dxfId="11342" priority="15997">
      <formula>AND(A55=B55,ISBLANK(I55))</formula>
    </cfRule>
    <cfRule type="cellIs" dxfId="11341" priority="15998" operator="notBetween">
      <formula>0</formula>
      <formula>2</formula>
    </cfRule>
  </conditionalFormatting>
  <conditionalFormatting sqref="D56">
    <cfRule type="expression" dxfId="11340" priority="15995">
      <formula>AND(A56=B56,ISBLANK(D56))</formula>
    </cfRule>
    <cfRule type="cellIs" dxfId="11339" priority="15996" operator="notBetween">
      <formula>0</formula>
      <formula>2</formula>
    </cfRule>
  </conditionalFormatting>
  <conditionalFormatting sqref="F56">
    <cfRule type="cellIs" dxfId="11338" priority="15993" operator="notBetween">
      <formula>0</formula>
      <formula>2</formula>
    </cfRule>
    <cfRule type="expression" dxfId="11337" priority="15994">
      <formula>AND(A56=B56,ISBLANK(F56))</formula>
    </cfRule>
  </conditionalFormatting>
  <conditionalFormatting sqref="E56">
    <cfRule type="cellIs" dxfId="11336" priority="15991" operator="notBetween">
      <formula>0</formula>
      <formula>2</formula>
    </cfRule>
    <cfRule type="expression" dxfId="11335" priority="15992">
      <formula>AND(A56=B56,ISBLANK(E56))</formula>
    </cfRule>
  </conditionalFormatting>
  <conditionalFormatting sqref="J56">
    <cfRule type="cellIs" dxfId="11334" priority="15989" operator="notBetween">
      <formula>0</formula>
      <formula>2</formula>
    </cfRule>
    <cfRule type="expression" dxfId="11333" priority="15990">
      <formula>AND(A56=B56,ISBLANK(J56))</formula>
    </cfRule>
  </conditionalFormatting>
  <conditionalFormatting sqref="K56">
    <cfRule type="cellIs" dxfId="11332" priority="15987" operator="notBetween">
      <formula>0</formula>
      <formula>2</formula>
    </cfRule>
    <cfRule type="expression" dxfId="11331" priority="15988">
      <formula>AND(A56=B56,ISBLANK(K56))</formula>
    </cfRule>
  </conditionalFormatting>
  <conditionalFormatting sqref="L56">
    <cfRule type="cellIs" dxfId="11330" priority="15985" operator="notBetween">
      <formula>0</formula>
      <formula>2</formula>
    </cfRule>
    <cfRule type="expression" dxfId="11329" priority="15986">
      <formula>AND(A56=B56,ISBLANK(L56))</formula>
    </cfRule>
  </conditionalFormatting>
  <conditionalFormatting sqref="M56">
    <cfRule type="expression" dxfId="11328" priority="15983">
      <formula>AND(A56=B56,ISBLANK(M56))</formula>
    </cfRule>
    <cfRule type="cellIs" dxfId="11327" priority="15984" operator="notBetween">
      <formula>0</formula>
      <formula>2</formula>
    </cfRule>
  </conditionalFormatting>
  <conditionalFormatting sqref="G56">
    <cfRule type="expression" dxfId="11326" priority="15981">
      <formula>AND(A56=B56,ISBLANK(G56))</formula>
    </cfRule>
    <cfRule type="cellIs" dxfId="11325" priority="15982" operator="notBetween">
      <formula>0</formula>
      <formula>2</formula>
    </cfRule>
  </conditionalFormatting>
  <conditionalFormatting sqref="H56">
    <cfRule type="expression" dxfId="11324" priority="15979">
      <formula>AND(A56=B56,ISBLANK(H56))</formula>
    </cfRule>
    <cfRule type="cellIs" dxfId="11323" priority="15980" operator="notBetween">
      <formula>0</formula>
      <formula>2</formula>
    </cfRule>
  </conditionalFormatting>
  <conditionalFormatting sqref="I56">
    <cfRule type="expression" dxfId="11322" priority="15977">
      <formula>AND(A56=B56,ISBLANK(I56))</formula>
    </cfRule>
    <cfRule type="cellIs" dxfId="11321" priority="15978" operator="notBetween">
      <formula>0</formula>
      <formula>2</formula>
    </cfRule>
  </conditionalFormatting>
  <conditionalFormatting sqref="D57">
    <cfRule type="expression" dxfId="11320" priority="15975">
      <formula>AND(A57=B57,ISBLANK(D57))</formula>
    </cfRule>
    <cfRule type="cellIs" dxfId="11319" priority="15976" operator="notBetween">
      <formula>0</formula>
      <formula>2</formula>
    </cfRule>
  </conditionalFormatting>
  <conditionalFormatting sqref="F57">
    <cfRule type="cellIs" dxfId="11318" priority="15973" operator="notBetween">
      <formula>0</formula>
      <formula>2</formula>
    </cfRule>
    <cfRule type="expression" dxfId="11317" priority="15974">
      <formula>AND(A57=B57,ISBLANK(F57))</formula>
    </cfRule>
  </conditionalFormatting>
  <conditionalFormatting sqref="E57">
    <cfRule type="cellIs" dxfId="11316" priority="15971" operator="notBetween">
      <formula>0</formula>
      <formula>2</formula>
    </cfRule>
    <cfRule type="expression" dxfId="11315" priority="15972">
      <formula>AND(A57=B57,ISBLANK(E57))</formula>
    </cfRule>
  </conditionalFormatting>
  <conditionalFormatting sqref="J57">
    <cfRule type="cellIs" dxfId="11314" priority="15969" operator="notBetween">
      <formula>0</formula>
      <formula>2</formula>
    </cfRule>
    <cfRule type="expression" dxfId="11313" priority="15970">
      <formula>AND(A57=B57,ISBLANK(J57))</formula>
    </cfRule>
  </conditionalFormatting>
  <conditionalFormatting sqref="K57">
    <cfRule type="cellIs" dxfId="11312" priority="15967" operator="notBetween">
      <formula>0</formula>
      <formula>2</formula>
    </cfRule>
    <cfRule type="expression" dxfId="11311" priority="15968">
      <formula>AND(A57=B57,ISBLANK(K57))</formula>
    </cfRule>
  </conditionalFormatting>
  <conditionalFormatting sqref="L57">
    <cfRule type="cellIs" dxfId="11310" priority="15965" operator="notBetween">
      <formula>0</formula>
      <formula>2</formula>
    </cfRule>
    <cfRule type="expression" dxfId="11309" priority="15966">
      <formula>AND(A57=B57,ISBLANK(L57))</formula>
    </cfRule>
  </conditionalFormatting>
  <conditionalFormatting sqref="M57">
    <cfRule type="expression" dxfId="11308" priority="15963">
      <formula>AND(A57=B57,ISBLANK(M57))</formula>
    </cfRule>
    <cfRule type="cellIs" dxfId="11307" priority="15964" operator="notBetween">
      <formula>0</formula>
      <formula>2</formula>
    </cfRule>
  </conditionalFormatting>
  <conditionalFormatting sqref="G57">
    <cfRule type="expression" dxfId="11306" priority="15961">
      <formula>AND(A57=B57,ISBLANK(G57))</formula>
    </cfRule>
    <cfRule type="cellIs" dxfId="11305" priority="15962" operator="notBetween">
      <formula>0</formula>
      <formula>2</formula>
    </cfRule>
  </conditionalFormatting>
  <conditionalFormatting sqref="H57">
    <cfRule type="expression" dxfId="11304" priority="15959">
      <formula>AND(A57=B57,ISBLANK(H57))</formula>
    </cfRule>
    <cfRule type="cellIs" dxfId="11303" priority="15960" operator="notBetween">
      <formula>0</formula>
      <formula>2</formula>
    </cfRule>
  </conditionalFormatting>
  <conditionalFormatting sqref="I57">
    <cfRule type="expression" dxfId="11302" priority="15957">
      <formula>AND(A57=B57,ISBLANK(I57))</formula>
    </cfRule>
    <cfRule type="cellIs" dxfId="11301" priority="15958" operator="notBetween">
      <formula>0</formula>
      <formula>2</formula>
    </cfRule>
  </conditionalFormatting>
  <conditionalFormatting sqref="D58">
    <cfRule type="expression" dxfId="11300" priority="15955">
      <formula>AND(A58=B58,ISBLANK(D58))</formula>
    </cfRule>
    <cfRule type="cellIs" dxfId="11299" priority="15956" operator="notBetween">
      <formula>0</formula>
      <formula>2</formula>
    </cfRule>
  </conditionalFormatting>
  <conditionalFormatting sqref="F58">
    <cfRule type="cellIs" dxfId="11298" priority="15953" operator="notBetween">
      <formula>0</formula>
      <formula>2</formula>
    </cfRule>
    <cfRule type="expression" dxfId="11297" priority="15954">
      <formula>AND(A58=B58,ISBLANK(F58))</formula>
    </cfRule>
  </conditionalFormatting>
  <conditionalFormatting sqref="E58">
    <cfRule type="cellIs" dxfId="11296" priority="15951" operator="notBetween">
      <formula>0</formula>
      <formula>2</formula>
    </cfRule>
    <cfRule type="expression" dxfId="11295" priority="15952">
      <formula>AND(A58=B58,ISBLANK(E58))</formula>
    </cfRule>
  </conditionalFormatting>
  <conditionalFormatting sqref="J58">
    <cfRule type="cellIs" dxfId="11294" priority="15949" operator="notBetween">
      <formula>0</formula>
      <formula>2</formula>
    </cfRule>
    <cfRule type="expression" dxfId="11293" priority="15950">
      <formula>AND(A58=B58,ISBLANK(J58))</formula>
    </cfRule>
  </conditionalFormatting>
  <conditionalFormatting sqref="K58">
    <cfRule type="cellIs" dxfId="11292" priority="15947" operator="notBetween">
      <formula>0</formula>
      <formula>2</formula>
    </cfRule>
    <cfRule type="expression" dxfId="11291" priority="15948">
      <formula>AND(A58=B58,ISBLANK(K58))</formula>
    </cfRule>
  </conditionalFormatting>
  <conditionalFormatting sqref="L58">
    <cfRule type="cellIs" dxfId="11290" priority="15945" operator="notBetween">
      <formula>0</formula>
      <formula>2</formula>
    </cfRule>
    <cfRule type="expression" dxfId="11289" priority="15946">
      <formula>AND(A58=B58,ISBLANK(L58))</formula>
    </cfRule>
  </conditionalFormatting>
  <conditionalFormatting sqref="M58">
    <cfRule type="expression" dxfId="11288" priority="15943">
      <formula>AND(A58=B58,ISBLANK(M58))</formula>
    </cfRule>
    <cfRule type="cellIs" dxfId="11287" priority="15944" operator="notBetween">
      <formula>0</formula>
      <formula>2</formula>
    </cfRule>
  </conditionalFormatting>
  <conditionalFormatting sqref="G58">
    <cfRule type="expression" dxfId="11286" priority="15941">
      <formula>AND(A58=B58,ISBLANK(G58))</formula>
    </cfRule>
    <cfRule type="cellIs" dxfId="11285" priority="15942" operator="notBetween">
      <formula>0</formula>
      <formula>2</formula>
    </cfRule>
  </conditionalFormatting>
  <conditionalFormatting sqref="H58">
    <cfRule type="expression" dxfId="11284" priority="15939">
      <formula>AND(A58=B58,ISBLANK(H58))</formula>
    </cfRule>
    <cfRule type="cellIs" dxfId="11283" priority="15940" operator="notBetween">
      <formula>0</formula>
      <formula>2</formula>
    </cfRule>
  </conditionalFormatting>
  <conditionalFormatting sqref="I58">
    <cfRule type="expression" dxfId="11282" priority="15937">
      <formula>AND(A58=B58,ISBLANK(I58))</formula>
    </cfRule>
    <cfRule type="cellIs" dxfId="11281" priority="15938" operator="notBetween">
      <formula>0</formula>
      <formula>2</formula>
    </cfRule>
  </conditionalFormatting>
  <conditionalFormatting sqref="D59">
    <cfRule type="expression" dxfId="11280" priority="15935">
      <formula>AND(A59=B59,ISBLANK(D59))</formula>
    </cfRule>
    <cfRule type="cellIs" dxfId="11279" priority="15936" operator="notBetween">
      <formula>0</formula>
      <formula>2</formula>
    </cfRule>
  </conditionalFormatting>
  <conditionalFormatting sqref="F59">
    <cfRule type="cellIs" dxfId="11278" priority="15933" operator="notBetween">
      <formula>0</formula>
      <formula>2</formula>
    </cfRule>
    <cfRule type="expression" dxfId="11277" priority="15934">
      <formula>AND(A59=B59,ISBLANK(F59))</formula>
    </cfRule>
  </conditionalFormatting>
  <conditionalFormatting sqref="E59">
    <cfRule type="cellIs" dxfId="11276" priority="15931" operator="notBetween">
      <formula>0</formula>
      <formula>2</formula>
    </cfRule>
    <cfRule type="expression" dxfId="11275" priority="15932">
      <formula>AND(A59=B59,ISBLANK(E59))</formula>
    </cfRule>
  </conditionalFormatting>
  <conditionalFormatting sqref="J59">
    <cfRule type="cellIs" dxfId="11274" priority="15929" operator="notBetween">
      <formula>0</formula>
      <formula>2</formula>
    </cfRule>
    <cfRule type="expression" dxfId="11273" priority="15930">
      <formula>AND(A59=B59,ISBLANK(J59))</formula>
    </cfRule>
  </conditionalFormatting>
  <conditionalFormatting sqref="K59">
    <cfRule type="cellIs" dxfId="11272" priority="15927" operator="notBetween">
      <formula>0</formula>
      <formula>2</formula>
    </cfRule>
    <cfRule type="expression" dxfId="11271" priority="15928">
      <formula>AND(A59=B59,ISBLANK(K59))</formula>
    </cfRule>
  </conditionalFormatting>
  <conditionalFormatting sqref="L59">
    <cfRule type="cellIs" dxfId="11270" priority="15925" operator="notBetween">
      <formula>0</formula>
      <formula>2</formula>
    </cfRule>
    <cfRule type="expression" dxfId="11269" priority="15926">
      <formula>AND(A59=B59,ISBLANK(L59))</formula>
    </cfRule>
  </conditionalFormatting>
  <conditionalFormatting sqref="M59">
    <cfRule type="expression" dxfId="11268" priority="15923">
      <formula>AND(A59=B59,ISBLANK(M59))</formula>
    </cfRule>
    <cfRule type="cellIs" dxfId="11267" priority="15924" operator="notBetween">
      <formula>0</formula>
      <formula>2</formula>
    </cfRule>
  </conditionalFormatting>
  <conditionalFormatting sqref="G59">
    <cfRule type="expression" dxfId="11266" priority="15921">
      <formula>AND(A59=B59,ISBLANK(G59))</formula>
    </cfRule>
    <cfRule type="cellIs" dxfId="11265" priority="15922" operator="notBetween">
      <formula>0</formula>
      <formula>2</formula>
    </cfRule>
  </conditionalFormatting>
  <conditionalFormatting sqref="H59">
    <cfRule type="expression" dxfId="11264" priority="15919">
      <formula>AND(A59=B59,ISBLANK(H59))</formula>
    </cfRule>
    <cfRule type="cellIs" dxfId="11263" priority="15920" operator="notBetween">
      <formula>0</formula>
      <formula>2</formula>
    </cfRule>
  </conditionalFormatting>
  <conditionalFormatting sqref="I59">
    <cfRule type="expression" dxfId="11262" priority="15917">
      <formula>AND(A59=B59,ISBLANK(I59))</formula>
    </cfRule>
    <cfRule type="cellIs" dxfId="11261" priority="15918" operator="notBetween">
      <formula>0</formula>
      <formula>2</formula>
    </cfRule>
  </conditionalFormatting>
  <conditionalFormatting sqref="D60">
    <cfRule type="expression" dxfId="11260" priority="15915">
      <formula>AND(A60=B60,ISBLANK(D60))</formula>
    </cfRule>
    <cfRule type="cellIs" dxfId="11259" priority="15916" operator="notBetween">
      <formula>0</formula>
      <formula>2</formula>
    </cfRule>
  </conditionalFormatting>
  <conditionalFormatting sqref="F60">
    <cfRule type="cellIs" dxfId="11258" priority="15913" operator="notBetween">
      <formula>0</formula>
      <formula>2</formula>
    </cfRule>
    <cfRule type="expression" dxfId="11257" priority="15914">
      <formula>AND(A60=B60,ISBLANK(F60))</formula>
    </cfRule>
  </conditionalFormatting>
  <conditionalFormatting sqref="E60">
    <cfRule type="cellIs" dxfId="11256" priority="15911" operator="notBetween">
      <formula>0</formula>
      <formula>2</formula>
    </cfRule>
    <cfRule type="expression" dxfId="11255" priority="15912">
      <formula>AND(A60=B60,ISBLANK(E60))</formula>
    </cfRule>
  </conditionalFormatting>
  <conditionalFormatting sqref="J60">
    <cfRule type="cellIs" dxfId="11254" priority="15909" operator="notBetween">
      <formula>0</formula>
      <formula>2</formula>
    </cfRule>
    <cfRule type="expression" dxfId="11253" priority="15910">
      <formula>AND(A60=B60,ISBLANK(J60))</formula>
    </cfRule>
  </conditionalFormatting>
  <conditionalFormatting sqref="K60">
    <cfRule type="cellIs" dxfId="11252" priority="15907" operator="notBetween">
      <formula>0</formula>
      <formula>2</formula>
    </cfRule>
    <cfRule type="expression" dxfId="11251" priority="15908">
      <formula>AND(A60=B60,ISBLANK(K60))</formula>
    </cfRule>
  </conditionalFormatting>
  <conditionalFormatting sqref="L60">
    <cfRule type="cellIs" dxfId="11250" priority="15905" operator="notBetween">
      <formula>0</formula>
      <formula>2</formula>
    </cfRule>
    <cfRule type="expression" dxfId="11249" priority="15906">
      <formula>AND(A60=B60,ISBLANK(L60))</formula>
    </cfRule>
  </conditionalFormatting>
  <conditionalFormatting sqref="M60">
    <cfRule type="expression" dxfId="11248" priority="15903">
      <formula>AND(A60=B60,ISBLANK(M60))</formula>
    </cfRule>
    <cfRule type="cellIs" dxfId="11247" priority="15904" operator="notBetween">
      <formula>0</formula>
      <formula>2</formula>
    </cfRule>
  </conditionalFormatting>
  <conditionalFormatting sqref="G60">
    <cfRule type="expression" dxfId="11246" priority="15901">
      <formula>AND(A60=B60,ISBLANK(G60))</formula>
    </cfRule>
    <cfRule type="cellIs" dxfId="11245" priority="15902" operator="notBetween">
      <formula>0</formula>
      <formula>2</formula>
    </cfRule>
  </conditionalFormatting>
  <conditionalFormatting sqref="H60">
    <cfRule type="expression" dxfId="11244" priority="15899">
      <formula>AND(A60=B60,ISBLANK(H60))</formula>
    </cfRule>
    <cfRule type="cellIs" dxfId="11243" priority="15900" operator="notBetween">
      <formula>0</formula>
      <formula>2</formula>
    </cfRule>
  </conditionalFormatting>
  <conditionalFormatting sqref="I60">
    <cfRule type="expression" dxfId="11242" priority="15897">
      <formula>AND(A60=B60,ISBLANK(I60))</formula>
    </cfRule>
    <cfRule type="cellIs" dxfId="11241" priority="15898" operator="notBetween">
      <formula>0</formula>
      <formula>2</formula>
    </cfRule>
  </conditionalFormatting>
  <conditionalFormatting sqref="D61">
    <cfRule type="expression" dxfId="11240" priority="15895">
      <formula>AND(A61=B61,ISBLANK(D61))</formula>
    </cfRule>
    <cfRule type="cellIs" dxfId="11239" priority="15896" operator="notBetween">
      <formula>0</formula>
      <formula>2</formula>
    </cfRule>
  </conditionalFormatting>
  <conditionalFormatting sqref="F61">
    <cfRule type="cellIs" dxfId="11238" priority="15893" operator="notBetween">
      <formula>0</formula>
      <formula>2</formula>
    </cfRule>
    <cfRule type="expression" dxfId="11237" priority="15894">
      <formula>AND(A61=B61,ISBLANK(F61))</formula>
    </cfRule>
  </conditionalFormatting>
  <conditionalFormatting sqref="E61">
    <cfRule type="cellIs" dxfId="11236" priority="15891" operator="notBetween">
      <formula>0</formula>
      <formula>2</formula>
    </cfRule>
    <cfRule type="expression" dxfId="11235" priority="15892">
      <formula>AND(A61=B61,ISBLANK(E61))</formula>
    </cfRule>
  </conditionalFormatting>
  <conditionalFormatting sqref="J61">
    <cfRule type="cellIs" dxfId="11234" priority="15889" operator="notBetween">
      <formula>0</formula>
      <formula>2</formula>
    </cfRule>
    <cfRule type="expression" dxfId="11233" priority="15890">
      <formula>AND(A61=B61,ISBLANK(J61))</formula>
    </cfRule>
  </conditionalFormatting>
  <conditionalFormatting sqref="K61">
    <cfRule type="cellIs" dxfId="11232" priority="15887" operator="notBetween">
      <formula>0</formula>
      <formula>2</formula>
    </cfRule>
    <cfRule type="expression" dxfId="11231" priority="15888">
      <formula>AND(A61=B61,ISBLANK(K61))</formula>
    </cfRule>
  </conditionalFormatting>
  <conditionalFormatting sqref="L61">
    <cfRule type="cellIs" dxfId="11230" priority="15885" operator="notBetween">
      <formula>0</formula>
      <formula>2</formula>
    </cfRule>
    <cfRule type="expression" dxfId="11229" priority="15886">
      <formula>AND(A61=B61,ISBLANK(L61))</formula>
    </cfRule>
  </conditionalFormatting>
  <conditionalFormatting sqref="M61">
    <cfRule type="expression" dxfId="11228" priority="15883">
      <formula>AND(A61=B61,ISBLANK(M61))</formula>
    </cfRule>
    <cfRule type="cellIs" dxfId="11227" priority="15884" operator="notBetween">
      <formula>0</formula>
      <formula>2</formula>
    </cfRule>
  </conditionalFormatting>
  <conditionalFormatting sqref="G61">
    <cfRule type="expression" dxfId="11226" priority="15881">
      <formula>AND(A61=B61,ISBLANK(G61))</formula>
    </cfRule>
    <cfRule type="cellIs" dxfId="11225" priority="15882" operator="notBetween">
      <formula>0</formula>
      <formula>2</formula>
    </cfRule>
  </conditionalFormatting>
  <conditionalFormatting sqref="H61">
    <cfRule type="expression" dxfId="11224" priority="15879">
      <formula>AND(A61=B61,ISBLANK(H61))</formula>
    </cfRule>
    <cfRule type="cellIs" dxfId="11223" priority="15880" operator="notBetween">
      <formula>0</formula>
      <formula>2</formula>
    </cfRule>
  </conditionalFormatting>
  <conditionalFormatting sqref="I61">
    <cfRule type="expression" dxfId="11222" priority="15877">
      <formula>AND(A61=B61,ISBLANK(I61))</formula>
    </cfRule>
    <cfRule type="cellIs" dxfId="11221" priority="15878" operator="notBetween">
      <formula>0</formula>
      <formula>2</formula>
    </cfRule>
  </conditionalFormatting>
  <conditionalFormatting sqref="D62">
    <cfRule type="expression" dxfId="11220" priority="15875">
      <formula>AND(A62=B62,ISBLANK(D62))</formula>
    </cfRule>
    <cfRule type="cellIs" dxfId="11219" priority="15876" operator="notBetween">
      <formula>0</formula>
      <formula>2</formula>
    </cfRule>
  </conditionalFormatting>
  <conditionalFormatting sqref="F62">
    <cfRule type="cellIs" dxfId="11218" priority="15873" operator="notBetween">
      <formula>0</formula>
      <formula>2</formula>
    </cfRule>
    <cfRule type="expression" dxfId="11217" priority="15874">
      <formula>AND(A62=B62,ISBLANK(F62))</formula>
    </cfRule>
  </conditionalFormatting>
  <conditionalFormatting sqref="E62">
    <cfRule type="cellIs" dxfId="11216" priority="15871" operator="notBetween">
      <formula>0</formula>
      <formula>2</formula>
    </cfRule>
    <cfRule type="expression" dxfId="11215" priority="15872">
      <formula>AND(A62=B62,ISBLANK(E62))</formula>
    </cfRule>
  </conditionalFormatting>
  <conditionalFormatting sqref="J62">
    <cfRule type="cellIs" dxfId="11214" priority="15869" operator="notBetween">
      <formula>0</formula>
      <formula>2</formula>
    </cfRule>
    <cfRule type="expression" dxfId="11213" priority="15870">
      <formula>AND(A62=B62,ISBLANK(J62))</formula>
    </cfRule>
  </conditionalFormatting>
  <conditionalFormatting sqref="K62">
    <cfRule type="cellIs" dxfId="11212" priority="15867" operator="notBetween">
      <formula>0</formula>
      <formula>2</formula>
    </cfRule>
    <cfRule type="expression" dxfId="11211" priority="15868">
      <formula>AND(A62=B62,ISBLANK(K62))</formula>
    </cfRule>
  </conditionalFormatting>
  <conditionalFormatting sqref="L62">
    <cfRule type="cellIs" dxfId="11210" priority="15865" operator="notBetween">
      <formula>0</formula>
      <formula>2</formula>
    </cfRule>
    <cfRule type="expression" dxfId="11209" priority="15866">
      <formula>AND(A62=B62,ISBLANK(L62))</formula>
    </cfRule>
  </conditionalFormatting>
  <conditionalFormatting sqref="M62">
    <cfRule type="expression" dxfId="11208" priority="15863">
      <formula>AND(A62=B62,ISBLANK(M62))</formula>
    </cfRule>
    <cfRule type="cellIs" dxfId="11207" priority="15864" operator="notBetween">
      <formula>0</formula>
      <formula>2</formula>
    </cfRule>
  </conditionalFormatting>
  <conditionalFormatting sqref="G62">
    <cfRule type="expression" dxfId="11206" priority="15861">
      <formula>AND(A62=B62,ISBLANK(G62))</formula>
    </cfRule>
    <cfRule type="cellIs" dxfId="11205" priority="15862" operator="notBetween">
      <formula>0</formula>
      <formula>2</formula>
    </cfRule>
  </conditionalFormatting>
  <conditionalFormatting sqref="H62">
    <cfRule type="expression" dxfId="11204" priority="15859">
      <formula>AND(A62=B62,ISBLANK(H62))</formula>
    </cfRule>
    <cfRule type="cellIs" dxfId="11203" priority="15860" operator="notBetween">
      <formula>0</formula>
      <formula>2</formula>
    </cfRule>
  </conditionalFormatting>
  <conditionalFormatting sqref="I62">
    <cfRule type="expression" dxfId="11202" priority="15857">
      <formula>AND(A62=B62,ISBLANK(I62))</formula>
    </cfRule>
    <cfRule type="cellIs" dxfId="11201" priority="15858" operator="notBetween">
      <formula>0</formula>
      <formula>2</formula>
    </cfRule>
  </conditionalFormatting>
  <conditionalFormatting sqref="D63">
    <cfRule type="expression" dxfId="11200" priority="15855">
      <formula>AND(A63=B63,ISBLANK(D63))</formula>
    </cfRule>
    <cfRule type="cellIs" dxfId="11199" priority="15856" operator="notBetween">
      <formula>0</formula>
      <formula>2</formula>
    </cfRule>
  </conditionalFormatting>
  <conditionalFormatting sqref="F63">
    <cfRule type="cellIs" dxfId="11198" priority="15853" operator="notBetween">
      <formula>0</formula>
      <formula>2</formula>
    </cfRule>
    <cfRule type="expression" dxfId="11197" priority="15854">
      <formula>AND(A63=B63,ISBLANK(F63))</formula>
    </cfRule>
  </conditionalFormatting>
  <conditionalFormatting sqref="E63">
    <cfRule type="cellIs" dxfId="11196" priority="15851" operator="notBetween">
      <formula>0</formula>
      <formula>2</formula>
    </cfRule>
    <cfRule type="expression" dxfId="11195" priority="15852">
      <formula>AND(A63=B63,ISBLANK(E63))</formula>
    </cfRule>
  </conditionalFormatting>
  <conditionalFormatting sqref="J63">
    <cfRule type="cellIs" dxfId="11194" priority="15849" operator="notBetween">
      <formula>0</formula>
      <formula>2</formula>
    </cfRule>
    <cfRule type="expression" dxfId="11193" priority="15850">
      <formula>AND(A63=B63,ISBLANK(J63))</formula>
    </cfRule>
  </conditionalFormatting>
  <conditionalFormatting sqref="K63">
    <cfRule type="cellIs" dxfId="11192" priority="15847" operator="notBetween">
      <formula>0</formula>
      <formula>2</formula>
    </cfRule>
    <cfRule type="expression" dxfId="11191" priority="15848">
      <formula>AND(A63=B63,ISBLANK(K63))</formula>
    </cfRule>
  </conditionalFormatting>
  <conditionalFormatting sqref="L63">
    <cfRule type="cellIs" dxfId="11190" priority="15845" operator="notBetween">
      <formula>0</formula>
      <formula>2</formula>
    </cfRule>
    <cfRule type="expression" dxfId="11189" priority="15846">
      <formula>AND(A63=B63,ISBLANK(L63))</formula>
    </cfRule>
  </conditionalFormatting>
  <conditionalFormatting sqref="M63">
    <cfRule type="expression" dxfId="11188" priority="15843">
      <formula>AND(A63=B63,ISBLANK(M63))</formula>
    </cfRule>
    <cfRule type="cellIs" dxfId="11187" priority="15844" operator="notBetween">
      <formula>0</formula>
      <formula>2</formula>
    </cfRule>
  </conditionalFormatting>
  <conditionalFormatting sqref="G63">
    <cfRule type="expression" dxfId="11186" priority="15841">
      <formula>AND(A63=B63,ISBLANK(G63))</formula>
    </cfRule>
    <cfRule type="cellIs" dxfId="11185" priority="15842" operator="notBetween">
      <formula>0</formula>
      <formula>2</formula>
    </cfRule>
  </conditionalFormatting>
  <conditionalFormatting sqref="H63">
    <cfRule type="expression" dxfId="11184" priority="15839">
      <formula>AND(A63=B63,ISBLANK(H63))</formula>
    </cfRule>
    <cfRule type="cellIs" dxfId="11183" priority="15840" operator="notBetween">
      <formula>0</formula>
      <formula>2</formula>
    </cfRule>
  </conditionalFormatting>
  <conditionalFormatting sqref="I63">
    <cfRule type="expression" dxfId="11182" priority="15837">
      <formula>AND(A63=B63,ISBLANK(I63))</formula>
    </cfRule>
    <cfRule type="cellIs" dxfId="11181" priority="15838" operator="notBetween">
      <formula>0</formula>
      <formula>2</formula>
    </cfRule>
  </conditionalFormatting>
  <conditionalFormatting sqref="D64">
    <cfRule type="expression" dxfId="11180" priority="15835">
      <formula>AND(A64=B64,ISBLANK(D64))</formula>
    </cfRule>
    <cfRule type="cellIs" dxfId="11179" priority="15836" operator="notBetween">
      <formula>0</formula>
      <formula>2</formula>
    </cfRule>
  </conditionalFormatting>
  <conditionalFormatting sqref="F64">
    <cfRule type="cellIs" dxfId="11178" priority="15833" operator="notBetween">
      <formula>0</formula>
      <formula>2</formula>
    </cfRule>
    <cfRule type="expression" dxfId="11177" priority="15834">
      <formula>AND(A64=B64,ISBLANK(F64))</formula>
    </cfRule>
  </conditionalFormatting>
  <conditionalFormatting sqref="E64">
    <cfRule type="cellIs" dxfId="11176" priority="15831" operator="notBetween">
      <formula>0</formula>
      <formula>2</formula>
    </cfRule>
    <cfRule type="expression" dxfId="11175" priority="15832">
      <formula>AND(A64=B64,ISBLANK(E64))</formula>
    </cfRule>
  </conditionalFormatting>
  <conditionalFormatting sqref="J64">
    <cfRule type="cellIs" dxfId="11174" priority="15829" operator="notBetween">
      <formula>0</formula>
      <formula>2</formula>
    </cfRule>
    <cfRule type="expression" dxfId="11173" priority="15830">
      <formula>AND(A64=B64,ISBLANK(J64))</formula>
    </cfRule>
  </conditionalFormatting>
  <conditionalFormatting sqref="K64">
    <cfRule type="cellIs" dxfId="11172" priority="15827" operator="notBetween">
      <formula>0</formula>
      <formula>2</formula>
    </cfRule>
    <cfRule type="expression" dxfId="11171" priority="15828">
      <formula>AND(A64=B64,ISBLANK(K64))</formula>
    </cfRule>
  </conditionalFormatting>
  <conditionalFormatting sqref="L64">
    <cfRule type="cellIs" dxfId="11170" priority="15825" operator="notBetween">
      <formula>0</formula>
      <formula>2</formula>
    </cfRule>
    <cfRule type="expression" dxfId="11169" priority="15826">
      <formula>AND(A64=B64,ISBLANK(L64))</formula>
    </cfRule>
  </conditionalFormatting>
  <conditionalFormatting sqref="M64">
    <cfRule type="expression" dxfId="11168" priority="15823">
      <formula>AND(A64=B64,ISBLANK(M64))</formula>
    </cfRule>
    <cfRule type="cellIs" dxfId="11167" priority="15824" operator="notBetween">
      <formula>0</formula>
      <formula>2</formula>
    </cfRule>
  </conditionalFormatting>
  <conditionalFormatting sqref="G64">
    <cfRule type="expression" dxfId="11166" priority="15821">
      <formula>AND(A64=B64,ISBLANK(G64))</formula>
    </cfRule>
    <cfRule type="cellIs" dxfId="11165" priority="15822" operator="notBetween">
      <formula>0</formula>
      <formula>2</formula>
    </cfRule>
  </conditionalFormatting>
  <conditionalFormatting sqref="H64">
    <cfRule type="expression" dxfId="11164" priority="15819">
      <formula>AND(A64=B64,ISBLANK(H64))</formula>
    </cfRule>
    <cfRule type="cellIs" dxfId="11163" priority="15820" operator="notBetween">
      <formula>0</formula>
      <formula>2</formula>
    </cfRule>
  </conditionalFormatting>
  <conditionalFormatting sqref="I64">
    <cfRule type="expression" dxfId="11162" priority="15817">
      <formula>AND(A64=B64,ISBLANK(I64))</formula>
    </cfRule>
    <cfRule type="cellIs" dxfId="11161" priority="15818" operator="notBetween">
      <formula>0</formula>
      <formula>2</formula>
    </cfRule>
  </conditionalFormatting>
  <conditionalFormatting sqref="M65">
    <cfRule type="expression" dxfId="11160" priority="15815">
      <formula>AND(A65=B65,ISBLANK(M65))</formula>
    </cfRule>
    <cfRule type="cellIs" dxfId="11159" priority="15816" operator="notBetween">
      <formula>0</formula>
      <formula>2</formula>
    </cfRule>
  </conditionalFormatting>
  <conditionalFormatting sqref="D65">
    <cfRule type="expression" dxfId="11158" priority="15813">
      <formula>AND(A65=B65,ISBLANK(D65))</formula>
    </cfRule>
    <cfRule type="cellIs" dxfId="11157" priority="15814" operator="notBetween">
      <formula>0</formula>
      <formula>2</formula>
    </cfRule>
  </conditionalFormatting>
  <conditionalFormatting sqref="F65">
    <cfRule type="cellIs" dxfId="11156" priority="15811" operator="notBetween">
      <formula>0</formula>
      <formula>2</formula>
    </cfRule>
    <cfRule type="expression" dxfId="11155" priority="15812">
      <formula>AND(A65=B65,ISBLANK(F65))</formula>
    </cfRule>
  </conditionalFormatting>
  <conditionalFormatting sqref="E65">
    <cfRule type="cellIs" dxfId="11154" priority="15809" operator="notBetween">
      <formula>0</formula>
      <formula>2</formula>
    </cfRule>
    <cfRule type="expression" dxfId="11153" priority="15810">
      <formula>AND(A65=B65,ISBLANK(E65))</formula>
    </cfRule>
  </conditionalFormatting>
  <conditionalFormatting sqref="J65">
    <cfRule type="cellIs" dxfId="11152" priority="15807" operator="notBetween">
      <formula>0</formula>
      <formula>2</formula>
    </cfRule>
    <cfRule type="expression" dxfId="11151" priority="15808">
      <formula>AND(A65=B65,ISBLANK(J65))</formula>
    </cfRule>
  </conditionalFormatting>
  <conditionalFormatting sqref="K65">
    <cfRule type="cellIs" dxfId="11150" priority="15805" operator="notBetween">
      <formula>0</formula>
      <formula>2</formula>
    </cfRule>
    <cfRule type="expression" dxfId="11149" priority="15806">
      <formula>AND(A65=B65,ISBLANK(K65))</formula>
    </cfRule>
  </conditionalFormatting>
  <conditionalFormatting sqref="L65">
    <cfRule type="cellIs" dxfId="11148" priority="15803" operator="notBetween">
      <formula>0</formula>
      <formula>2</formula>
    </cfRule>
    <cfRule type="expression" dxfId="11147" priority="15804">
      <formula>AND(A65=B65,ISBLANK(L65))</formula>
    </cfRule>
  </conditionalFormatting>
  <conditionalFormatting sqref="G65">
    <cfRule type="expression" dxfId="11146" priority="15801">
      <formula>AND(A65=B65,ISBLANK(G65))</formula>
    </cfRule>
    <cfRule type="cellIs" dxfId="11145" priority="15802" operator="notBetween">
      <formula>0</formula>
      <formula>2</formula>
    </cfRule>
  </conditionalFormatting>
  <conditionalFormatting sqref="H65">
    <cfRule type="expression" dxfId="11144" priority="15799">
      <formula>AND(A65=B65,ISBLANK(H65))</formula>
    </cfRule>
    <cfRule type="cellIs" dxfId="11143" priority="15800" operator="notBetween">
      <formula>0</formula>
      <formula>2</formula>
    </cfRule>
  </conditionalFormatting>
  <conditionalFormatting sqref="I65">
    <cfRule type="expression" dxfId="11142" priority="15797">
      <formula>AND(A65=B65,ISBLANK(I65))</formula>
    </cfRule>
    <cfRule type="cellIs" dxfId="11141" priority="15798" operator="notBetween">
      <formula>0</formula>
      <formula>2</formula>
    </cfRule>
  </conditionalFormatting>
  <conditionalFormatting sqref="D66">
    <cfRule type="expression" dxfId="11140" priority="15795">
      <formula>AND(A66=B66,ISBLANK(D66))</formula>
    </cfRule>
    <cfRule type="cellIs" dxfId="11139" priority="15796" operator="notBetween">
      <formula>0</formula>
      <formula>2</formula>
    </cfRule>
  </conditionalFormatting>
  <conditionalFormatting sqref="D67">
    <cfRule type="expression" dxfId="11138" priority="15793">
      <formula>AND(A67=B67,ISBLANK(D67))</formula>
    </cfRule>
    <cfRule type="cellIs" dxfId="11137" priority="15794" operator="notBetween">
      <formula>0</formula>
      <formula>2</formula>
    </cfRule>
  </conditionalFormatting>
  <conditionalFormatting sqref="D68">
    <cfRule type="expression" dxfId="11136" priority="15791">
      <formula>AND(A68=B68,ISBLANK(D68))</formula>
    </cfRule>
    <cfRule type="cellIs" dxfId="11135" priority="15792" operator="notBetween">
      <formula>0</formula>
      <formula>2</formula>
    </cfRule>
  </conditionalFormatting>
  <conditionalFormatting sqref="D69">
    <cfRule type="expression" dxfId="11134" priority="15789">
      <formula>AND(A69=B69,ISBLANK(D69))</formula>
    </cfRule>
    <cfRule type="cellIs" dxfId="11133" priority="15790" operator="notBetween">
      <formula>0</formula>
      <formula>2</formula>
    </cfRule>
  </conditionalFormatting>
  <conditionalFormatting sqref="D70">
    <cfRule type="expression" dxfId="11132" priority="15787">
      <formula>AND(A70=B70,ISBLANK(D70))</formula>
    </cfRule>
    <cfRule type="cellIs" dxfId="11131" priority="15788" operator="notBetween">
      <formula>0</formula>
      <formula>2</formula>
    </cfRule>
  </conditionalFormatting>
  <conditionalFormatting sqref="D71">
    <cfRule type="expression" dxfId="11130" priority="15785">
      <formula>AND(A71=B71,ISBLANK(D71))</formula>
    </cfRule>
    <cfRule type="cellIs" dxfId="11129" priority="15786" operator="notBetween">
      <formula>0</formula>
      <formula>2</formula>
    </cfRule>
  </conditionalFormatting>
  <conditionalFormatting sqref="D72">
    <cfRule type="expression" dxfId="11128" priority="15783">
      <formula>AND(A72=B72,ISBLANK(D72))</formula>
    </cfRule>
    <cfRule type="cellIs" dxfId="11127" priority="15784" operator="notBetween">
      <formula>0</formula>
      <formula>2</formula>
    </cfRule>
  </conditionalFormatting>
  <conditionalFormatting sqref="D73">
    <cfRule type="expression" dxfId="11126" priority="15781">
      <formula>AND(A73=B73,ISBLANK(D73))</formula>
    </cfRule>
    <cfRule type="cellIs" dxfId="11125" priority="15782" operator="notBetween">
      <formula>0</formula>
      <formula>2</formula>
    </cfRule>
  </conditionalFormatting>
  <conditionalFormatting sqref="D74">
    <cfRule type="expression" dxfId="11124" priority="15779">
      <formula>AND(A74=B74,ISBLANK(D74))</formula>
    </cfRule>
    <cfRule type="cellIs" dxfId="11123" priority="15780" operator="notBetween">
      <formula>0</formula>
      <formula>2</formula>
    </cfRule>
  </conditionalFormatting>
  <conditionalFormatting sqref="D75">
    <cfRule type="expression" dxfId="11122" priority="15777">
      <formula>AND(A75=B75,ISBLANK(D75))</formula>
    </cfRule>
    <cfRule type="cellIs" dxfId="11121" priority="15778" operator="notBetween">
      <formula>0</formula>
      <formula>2</formula>
    </cfRule>
  </conditionalFormatting>
  <conditionalFormatting sqref="D76">
    <cfRule type="expression" dxfId="11120" priority="15775">
      <formula>AND(A76=B76,ISBLANK(D76))</formula>
    </cfRule>
    <cfRule type="cellIs" dxfId="11119" priority="15776" operator="notBetween">
      <formula>0</formula>
      <formula>2</formula>
    </cfRule>
  </conditionalFormatting>
  <conditionalFormatting sqref="D77">
    <cfRule type="expression" dxfId="11118" priority="15773">
      <formula>AND(A77=B77,ISBLANK(D77))</formula>
    </cfRule>
    <cfRule type="cellIs" dxfId="11117" priority="15774" operator="notBetween">
      <formula>0</formula>
      <formula>2</formula>
    </cfRule>
  </conditionalFormatting>
  <conditionalFormatting sqref="D78">
    <cfRule type="expression" dxfId="11116" priority="15771">
      <formula>AND(A78=B78,ISBLANK(D78))</formula>
    </cfRule>
    <cfRule type="cellIs" dxfId="11115" priority="15772" operator="notBetween">
      <formula>0</formula>
      <formula>2</formula>
    </cfRule>
  </conditionalFormatting>
  <conditionalFormatting sqref="D79">
    <cfRule type="expression" dxfId="11114" priority="15769">
      <formula>AND(A79=B79,ISBLANK(D79))</formula>
    </cfRule>
    <cfRule type="cellIs" dxfId="11113" priority="15770" operator="notBetween">
      <formula>0</formula>
      <formula>2</formula>
    </cfRule>
  </conditionalFormatting>
  <conditionalFormatting sqref="D80">
    <cfRule type="expression" dxfId="11112" priority="15767">
      <formula>AND(A80=B80,ISBLANK(D80))</formula>
    </cfRule>
    <cfRule type="cellIs" dxfId="11111" priority="15768" operator="notBetween">
      <formula>0</formula>
      <formula>2</formula>
    </cfRule>
  </conditionalFormatting>
  <conditionalFormatting sqref="D81">
    <cfRule type="expression" dxfId="11110" priority="15765">
      <formula>AND(A81=B81,ISBLANK(D81))</formula>
    </cfRule>
    <cfRule type="cellIs" dxfId="11109" priority="15766" operator="notBetween">
      <formula>0</formula>
      <formula>2</formula>
    </cfRule>
  </conditionalFormatting>
  <conditionalFormatting sqref="D82">
    <cfRule type="expression" dxfId="11108" priority="15763">
      <formula>AND(A82=B82,ISBLANK(D82))</formula>
    </cfRule>
    <cfRule type="cellIs" dxfId="11107" priority="15764" operator="notBetween">
      <formula>0</formula>
      <formula>2</formula>
    </cfRule>
  </conditionalFormatting>
  <conditionalFormatting sqref="D83">
    <cfRule type="expression" dxfId="11106" priority="15761">
      <formula>AND(A83=B83,ISBLANK(D83))</formula>
    </cfRule>
    <cfRule type="cellIs" dxfId="11105" priority="15762" operator="notBetween">
      <formula>0</formula>
      <formula>2</formula>
    </cfRule>
  </conditionalFormatting>
  <conditionalFormatting sqref="D84">
    <cfRule type="expression" dxfId="11104" priority="15759">
      <formula>AND(A84=B84,ISBLANK(D84))</formula>
    </cfRule>
    <cfRule type="cellIs" dxfId="11103" priority="15760" operator="notBetween">
      <formula>0</formula>
      <formula>2</formula>
    </cfRule>
  </conditionalFormatting>
  <conditionalFormatting sqref="D85">
    <cfRule type="expression" dxfId="11102" priority="15757">
      <formula>AND(A85=B85,ISBLANK(D85))</formula>
    </cfRule>
    <cfRule type="cellIs" dxfId="11101" priority="15758" operator="notBetween">
      <formula>0</formula>
      <formula>2</formula>
    </cfRule>
  </conditionalFormatting>
  <conditionalFormatting sqref="D86">
    <cfRule type="expression" dxfId="11100" priority="15755">
      <formula>AND(A86=B86,ISBLANK(D86))</formula>
    </cfRule>
    <cfRule type="cellIs" dxfId="11099" priority="15756" operator="notBetween">
      <formula>0</formula>
      <formula>2</formula>
    </cfRule>
  </conditionalFormatting>
  <conditionalFormatting sqref="D87">
    <cfRule type="expression" dxfId="11098" priority="15753">
      <formula>AND(A87=B87,ISBLANK(D87))</formula>
    </cfRule>
    <cfRule type="cellIs" dxfId="11097" priority="15754" operator="notBetween">
      <formula>0</formula>
      <formula>2</formula>
    </cfRule>
  </conditionalFormatting>
  <conditionalFormatting sqref="D88">
    <cfRule type="expression" dxfId="11096" priority="15751">
      <formula>AND(A88=B88,ISBLANK(D88))</formula>
    </cfRule>
    <cfRule type="cellIs" dxfId="11095" priority="15752" operator="notBetween">
      <formula>0</formula>
      <formula>2</formula>
    </cfRule>
  </conditionalFormatting>
  <conditionalFormatting sqref="D89">
    <cfRule type="expression" dxfId="11094" priority="15749">
      <formula>AND(A89=B89,ISBLANK(D89))</formula>
    </cfRule>
    <cfRule type="cellIs" dxfId="11093" priority="15750" operator="notBetween">
      <formula>0</formula>
      <formula>2</formula>
    </cfRule>
  </conditionalFormatting>
  <conditionalFormatting sqref="D90">
    <cfRule type="expression" dxfId="11092" priority="15747">
      <formula>AND(A90=B90,ISBLANK(D90))</formula>
    </cfRule>
    <cfRule type="cellIs" dxfId="11091" priority="15748" operator="notBetween">
      <formula>0</formula>
      <formula>2</formula>
    </cfRule>
  </conditionalFormatting>
  <conditionalFormatting sqref="D91">
    <cfRule type="expression" dxfId="11090" priority="15745">
      <formula>AND(A91=B91,ISBLANK(D91))</formula>
    </cfRule>
    <cfRule type="cellIs" dxfId="11089" priority="15746" operator="notBetween">
      <formula>0</formula>
      <formula>2</formula>
    </cfRule>
  </conditionalFormatting>
  <conditionalFormatting sqref="D92">
    <cfRule type="expression" dxfId="11088" priority="15743">
      <formula>AND(A92=B92,ISBLANK(D92))</formula>
    </cfRule>
    <cfRule type="cellIs" dxfId="11087" priority="15744" operator="notBetween">
      <formula>0</formula>
      <formula>2</formula>
    </cfRule>
  </conditionalFormatting>
  <conditionalFormatting sqref="D93">
    <cfRule type="expression" dxfId="11086" priority="15741">
      <formula>AND(A93=B93,ISBLANK(D93))</formula>
    </cfRule>
    <cfRule type="cellIs" dxfId="11085" priority="15742" operator="notBetween">
      <formula>0</formula>
      <formula>2</formula>
    </cfRule>
  </conditionalFormatting>
  <conditionalFormatting sqref="D94">
    <cfRule type="expression" dxfId="11084" priority="15739">
      <formula>AND(A94=B94,ISBLANK(D94))</formula>
    </cfRule>
    <cfRule type="cellIs" dxfId="11083" priority="15740" operator="notBetween">
      <formula>0</formula>
      <formula>2</formula>
    </cfRule>
  </conditionalFormatting>
  <conditionalFormatting sqref="D95">
    <cfRule type="expression" dxfId="11082" priority="15737">
      <formula>AND(A95=B95,ISBLANK(D95))</formula>
    </cfRule>
    <cfRule type="cellIs" dxfId="11081" priority="15738" operator="notBetween">
      <formula>0</formula>
      <formula>2</formula>
    </cfRule>
  </conditionalFormatting>
  <conditionalFormatting sqref="D96">
    <cfRule type="expression" dxfId="11080" priority="15735">
      <formula>AND(A96=B96,ISBLANK(D96))</formula>
    </cfRule>
    <cfRule type="cellIs" dxfId="11079" priority="15736" operator="notBetween">
      <formula>0</formula>
      <formula>2</formula>
    </cfRule>
  </conditionalFormatting>
  <conditionalFormatting sqref="D97">
    <cfRule type="expression" dxfId="11078" priority="15733">
      <formula>AND(A97=B97,ISBLANK(D97))</formula>
    </cfRule>
    <cfRule type="cellIs" dxfId="11077" priority="15734" operator="notBetween">
      <formula>0</formula>
      <formula>2</formula>
    </cfRule>
  </conditionalFormatting>
  <conditionalFormatting sqref="D98">
    <cfRule type="expression" dxfId="11076" priority="15731">
      <formula>AND(A98=B98,ISBLANK(D98))</formula>
    </cfRule>
    <cfRule type="cellIs" dxfId="11075" priority="15732" operator="notBetween">
      <formula>0</formula>
      <formula>2</formula>
    </cfRule>
  </conditionalFormatting>
  <conditionalFormatting sqref="D99">
    <cfRule type="expression" dxfId="11074" priority="15729">
      <formula>AND(A99=B99,ISBLANK(D99))</formula>
    </cfRule>
    <cfRule type="cellIs" dxfId="11073" priority="15730" operator="notBetween">
      <formula>0</formula>
      <formula>2</formula>
    </cfRule>
  </conditionalFormatting>
  <conditionalFormatting sqref="D100">
    <cfRule type="expression" dxfId="11072" priority="15727">
      <formula>AND(A100=B100,ISBLANK(D100))</formula>
    </cfRule>
    <cfRule type="cellIs" dxfId="11071" priority="15728" operator="notBetween">
      <formula>0</formula>
      <formula>2</formula>
    </cfRule>
  </conditionalFormatting>
  <conditionalFormatting sqref="D101">
    <cfRule type="expression" dxfId="11070" priority="15725">
      <formula>AND(A101=B101,ISBLANK(D101))</formula>
    </cfRule>
    <cfRule type="cellIs" dxfId="11069" priority="15726" operator="notBetween">
      <formula>0</formula>
      <formula>2</formula>
    </cfRule>
  </conditionalFormatting>
  <conditionalFormatting sqref="D102">
    <cfRule type="expression" dxfId="11068" priority="15723">
      <formula>AND(A102=B102,ISBLANK(D102))</formula>
    </cfRule>
    <cfRule type="cellIs" dxfId="11067" priority="15724" operator="notBetween">
      <formula>0</formula>
      <formula>2</formula>
    </cfRule>
  </conditionalFormatting>
  <conditionalFormatting sqref="D103">
    <cfRule type="expression" dxfId="11066" priority="15721">
      <formula>AND(A103=B103,ISBLANK(D103))</formula>
    </cfRule>
    <cfRule type="cellIs" dxfId="11065" priority="15722" operator="notBetween">
      <formula>0</formula>
      <formula>2</formula>
    </cfRule>
  </conditionalFormatting>
  <conditionalFormatting sqref="D104">
    <cfRule type="expression" dxfId="11064" priority="15719">
      <formula>AND(A104=B104,ISBLANK(D104))</formula>
    </cfRule>
    <cfRule type="cellIs" dxfId="11063" priority="15720" operator="notBetween">
      <formula>0</formula>
      <formula>2</formula>
    </cfRule>
  </conditionalFormatting>
  <conditionalFormatting sqref="D105">
    <cfRule type="expression" dxfId="11062" priority="15717">
      <formula>AND(A105=B105,ISBLANK(D105))</formula>
    </cfRule>
    <cfRule type="cellIs" dxfId="11061" priority="15718" operator="notBetween">
      <formula>0</formula>
      <formula>2</formula>
    </cfRule>
  </conditionalFormatting>
  <conditionalFormatting sqref="D106">
    <cfRule type="expression" dxfId="11060" priority="15715">
      <formula>AND(A106=B106,ISBLANK(D106))</formula>
    </cfRule>
    <cfRule type="cellIs" dxfId="11059" priority="15716" operator="notBetween">
      <formula>0</formula>
      <formula>2</formula>
    </cfRule>
  </conditionalFormatting>
  <conditionalFormatting sqref="D107">
    <cfRule type="expression" dxfId="11058" priority="15713">
      <formula>AND(A107=B107,ISBLANK(D107))</formula>
    </cfRule>
    <cfRule type="cellIs" dxfId="11057" priority="15714" operator="notBetween">
      <formula>0</formula>
      <formula>2</formula>
    </cfRule>
  </conditionalFormatting>
  <conditionalFormatting sqref="D108">
    <cfRule type="expression" dxfId="11056" priority="15711">
      <formula>AND(A108=B108,ISBLANK(D108))</formula>
    </cfRule>
    <cfRule type="cellIs" dxfId="11055" priority="15712" operator="notBetween">
      <formula>0</formula>
      <formula>2</formula>
    </cfRule>
  </conditionalFormatting>
  <conditionalFormatting sqref="D109">
    <cfRule type="expression" dxfId="11054" priority="15709">
      <formula>AND(A109=B109,ISBLANK(D109))</formula>
    </cfRule>
    <cfRule type="cellIs" dxfId="11053" priority="15710" operator="notBetween">
      <formula>0</formula>
      <formula>2</formula>
    </cfRule>
  </conditionalFormatting>
  <conditionalFormatting sqref="D110">
    <cfRule type="expression" dxfId="11052" priority="15707">
      <formula>AND(A110=B110,ISBLANK(D110))</formula>
    </cfRule>
    <cfRule type="cellIs" dxfId="11051" priority="15708" operator="notBetween">
      <formula>0</formula>
      <formula>2</formula>
    </cfRule>
  </conditionalFormatting>
  <conditionalFormatting sqref="D111">
    <cfRule type="expression" dxfId="11050" priority="15705">
      <formula>AND(A111=B111,ISBLANK(D111))</formula>
    </cfRule>
    <cfRule type="cellIs" dxfId="11049" priority="15706" operator="notBetween">
      <formula>0</formula>
      <formula>2</formula>
    </cfRule>
  </conditionalFormatting>
  <conditionalFormatting sqref="D112">
    <cfRule type="expression" dxfId="11048" priority="15703">
      <formula>AND(A112=B112,ISBLANK(D112))</formula>
    </cfRule>
    <cfRule type="cellIs" dxfId="11047" priority="15704" operator="notBetween">
      <formula>0</formula>
      <formula>2</formula>
    </cfRule>
  </conditionalFormatting>
  <conditionalFormatting sqref="D113">
    <cfRule type="expression" dxfId="11046" priority="15701">
      <formula>AND(A113=B113,ISBLANK(D113))</formula>
    </cfRule>
    <cfRule type="cellIs" dxfId="11045" priority="15702" operator="notBetween">
      <formula>0</formula>
      <formula>2</formula>
    </cfRule>
  </conditionalFormatting>
  <conditionalFormatting sqref="D114">
    <cfRule type="expression" dxfId="11044" priority="15699">
      <formula>AND(A114=B114,ISBLANK(D114))</formula>
    </cfRule>
    <cfRule type="cellIs" dxfId="11043" priority="15700" operator="notBetween">
      <formula>0</formula>
      <formula>2</formula>
    </cfRule>
  </conditionalFormatting>
  <conditionalFormatting sqref="D115">
    <cfRule type="expression" dxfId="11042" priority="15697">
      <formula>AND(A115=B115,ISBLANK(D115))</formula>
    </cfRule>
    <cfRule type="cellIs" dxfId="11041" priority="15698" operator="notBetween">
      <formula>0</formula>
      <formula>2</formula>
    </cfRule>
  </conditionalFormatting>
  <conditionalFormatting sqref="D116">
    <cfRule type="expression" dxfId="11040" priority="15695">
      <formula>AND(A116=B116,ISBLANK(D116))</formula>
    </cfRule>
    <cfRule type="cellIs" dxfId="11039" priority="15696" operator="notBetween">
      <formula>0</formula>
      <formula>2</formula>
    </cfRule>
  </conditionalFormatting>
  <conditionalFormatting sqref="D117">
    <cfRule type="expression" dxfId="11038" priority="15693">
      <formula>AND(A117=B117,ISBLANK(D117))</formula>
    </cfRule>
    <cfRule type="cellIs" dxfId="11037" priority="15694" operator="notBetween">
      <formula>0</formula>
      <formula>2</formula>
    </cfRule>
  </conditionalFormatting>
  <conditionalFormatting sqref="D118">
    <cfRule type="expression" dxfId="11036" priority="15691">
      <formula>AND(A118=B118,ISBLANK(D118))</formula>
    </cfRule>
    <cfRule type="cellIs" dxfId="11035" priority="15692" operator="notBetween">
      <formula>0</formula>
      <formula>2</formula>
    </cfRule>
  </conditionalFormatting>
  <conditionalFormatting sqref="D119">
    <cfRule type="expression" dxfId="11034" priority="15689">
      <formula>AND(A119=B119,ISBLANK(D119))</formula>
    </cfRule>
    <cfRule type="cellIs" dxfId="11033" priority="15690" operator="notBetween">
      <formula>0</formula>
      <formula>2</formula>
    </cfRule>
  </conditionalFormatting>
  <conditionalFormatting sqref="D120">
    <cfRule type="expression" dxfId="11032" priority="15687">
      <formula>AND(A120=B120,ISBLANK(D120))</formula>
    </cfRule>
    <cfRule type="cellIs" dxfId="11031" priority="15688" operator="notBetween">
      <formula>0</formula>
      <formula>2</formula>
    </cfRule>
  </conditionalFormatting>
  <conditionalFormatting sqref="D121">
    <cfRule type="expression" dxfId="11030" priority="15685">
      <formula>AND(A121=B121,ISBLANK(D121))</formula>
    </cfRule>
    <cfRule type="cellIs" dxfId="11029" priority="15686" operator="notBetween">
      <formula>0</formula>
      <formula>2</formula>
    </cfRule>
  </conditionalFormatting>
  <conditionalFormatting sqref="D122">
    <cfRule type="expression" dxfId="11028" priority="15683">
      <formula>AND(A122=B122,ISBLANK(D122))</formula>
    </cfRule>
    <cfRule type="cellIs" dxfId="11027" priority="15684" operator="notBetween">
      <formula>0</formula>
      <formula>2</formula>
    </cfRule>
  </conditionalFormatting>
  <conditionalFormatting sqref="D123">
    <cfRule type="expression" dxfId="11026" priority="15681">
      <formula>AND(A123=B123,ISBLANK(D123))</formula>
    </cfRule>
    <cfRule type="cellIs" dxfId="11025" priority="15682" operator="notBetween">
      <formula>0</formula>
      <formula>2</formula>
    </cfRule>
  </conditionalFormatting>
  <conditionalFormatting sqref="D124">
    <cfRule type="expression" dxfId="11024" priority="15679">
      <formula>AND(A124=B124,ISBLANK(D124))</formula>
    </cfRule>
    <cfRule type="cellIs" dxfId="11023" priority="15680" operator="notBetween">
      <formula>0</formula>
      <formula>2</formula>
    </cfRule>
  </conditionalFormatting>
  <conditionalFormatting sqref="D125">
    <cfRule type="expression" dxfId="11022" priority="15677">
      <formula>AND(A125=B125,ISBLANK(D125))</formula>
    </cfRule>
    <cfRule type="cellIs" dxfId="11021" priority="15678" operator="notBetween">
      <formula>0</formula>
      <formula>2</formula>
    </cfRule>
  </conditionalFormatting>
  <conditionalFormatting sqref="D126">
    <cfRule type="expression" dxfId="11020" priority="15675">
      <formula>AND(A126=B126,ISBLANK(D126))</formula>
    </cfRule>
    <cfRule type="cellIs" dxfId="11019" priority="15676" operator="notBetween">
      <formula>0</formula>
      <formula>2</formula>
    </cfRule>
  </conditionalFormatting>
  <conditionalFormatting sqref="D127">
    <cfRule type="expression" dxfId="11018" priority="15673">
      <formula>AND(A127=B127,ISBLANK(D127))</formula>
    </cfRule>
    <cfRule type="cellIs" dxfId="11017" priority="15674" operator="notBetween">
      <formula>0</formula>
      <formula>2</formula>
    </cfRule>
  </conditionalFormatting>
  <conditionalFormatting sqref="D128">
    <cfRule type="expression" dxfId="11016" priority="15671">
      <formula>AND(A128=B128,ISBLANK(D128))</formula>
    </cfRule>
    <cfRule type="cellIs" dxfId="11015" priority="15672" operator="notBetween">
      <formula>0</formula>
      <formula>2</formula>
    </cfRule>
  </conditionalFormatting>
  <conditionalFormatting sqref="D129">
    <cfRule type="expression" dxfId="11014" priority="15669">
      <formula>AND(A129=B129,ISBLANK(D129))</formula>
    </cfRule>
    <cfRule type="cellIs" dxfId="11013" priority="15670" operator="notBetween">
      <formula>0</formula>
      <formula>2</formula>
    </cfRule>
  </conditionalFormatting>
  <conditionalFormatting sqref="D130">
    <cfRule type="expression" dxfId="11012" priority="15667">
      <formula>AND(A130=B130,ISBLANK(D130))</formula>
    </cfRule>
    <cfRule type="cellIs" dxfId="11011" priority="15668" operator="notBetween">
      <formula>0</formula>
      <formula>2</formula>
    </cfRule>
  </conditionalFormatting>
  <conditionalFormatting sqref="D131">
    <cfRule type="expression" dxfId="11010" priority="15665">
      <formula>AND(A131=B131,ISBLANK(D131))</formula>
    </cfRule>
    <cfRule type="cellIs" dxfId="11009" priority="15666" operator="notBetween">
      <formula>0</formula>
      <formula>2</formula>
    </cfRule>
  </conditionalFormatting>
  <conditionalFormatting sqref="D132">
    <cfRule type="expression" dxfId="11008" priority="15663">
      <formula>AND(A132=B132,ISBLANK(D132))</formula>
    </cfRule>
    <cfRule type="cellIs" dxfId="11007" priority="15664" operator="notBetween">
      <formula>0</formula>
      <formula>2</formula>
    </cfRule>
  </conditionalFormatting>
  <conditionalFormatting sqref="D133">
    <cfRule type="expression" dxfId="11006" priority="15661">
      <formula>AND(A133=B133,ISBLANK(D133))</formula>
    </cfRule>
    <cfRule type="cellIs" dxfId="11005" priority="15662" operator="notBetween">
      <formula>0</formula>
      <formula>2</formula>
    </cfRule>
  </conditionalFormatting>
  <conditionalFormatting sqref="D134">
    <cfRule type="expression" dxfId="11004" priority="15659">
      <formula>AND(A134=B134,ISBLANK(D134))</formula>
    </cfRule>
    <cfRule type="cellIs" dxfId="11003" priority="15660" operator="notBetween">
      <formula>0</formula>
      <formula>2</formula>
    </cfRule>
  </conditionalFormatting>
  <conditionalFormatting sqref="D135">
    <cfRule type="expression" dxfId="11002" priority="15657">
      <formula>AND(A135=B135,ISBLANK(D135))</formula>
    </cfRule>
    <cfRule type="cellIs" dxfId="11001" priority="15658" operator="notBetween">
      <formula>0</formula>
      <formula>2</formula>
    </cfRule>
  </conditionalFormatting>
  <conditionalFormatting sqref="D136">
    <cfRule type="expression" dxfId="11000" priority="15655">
      <formula>AND(A136=B136,ISBLANK(D136))</formula>
    </cfRule>
    <cfRule type="cellIs" dxfId="10999" priority="15656" operator="notBetween">
      <formula>0</formula>
      <formula>2</formula>
    </cfRule>
  </conditionalFormatting>
  <conditionalFormatting sqref="D137">
    <cfRule type="expression" dxfId="10998" priority="15653">
      <formula>AND(A137=B137,ISBLANK(D137))</formula>
    </cfRule>
    <cfRule type="cellIs" dxfId="10997" priority="15654" operator="notBetween">
      <formula>0</formula>
      <formula>2</formula>
    </cfRule>
  </conditionalFormatting>
  <conditionalFormatting sqref="D138">
    <cfRule type="expression" dxfId="10996" priority="15651">
      <formula>AND(A138=B138,ISBLANK(D138))</formula>
    </cfRule>
    <cfRule type="cellIs" dxfId="10995" priority="15652" operator="notBetween">
      <formula>0</formula>
      <formula>2</formula>
    </cfRule>
  </conditionalFormatting>
  <conditionalFormatting sqref="D139">
    <cfRule type="expression" dxfId="10994" priority="15649">
      <formula>AND(A139=B139,ISBLANK(D139))</formula>
    </cfRule>
    <cfRule type="cellIs" dxfId="10993" priority="15650" operator="notBetween">
      <formula>0</formula>
      <formula>2</formula>
    </cfRule>
  </conditionalFormatting>
  <conditionalFormatting sqref="D140">
    <cfRule type="expression" dxfId="10992" priority="15647">
      <formula>AND(A140=B140,ISBLANK(D140))</formula>
    </cfRule>
    <cfRule type="cellIs" dxfId="10991" priority="15648" operator="notBetween">
      <formula>0</formula>
      <formula>2</formula>
    </cfRule>
  </conditionalFormatting>
  <conditionalFormatting sqref="D141">
    <cfRule type="expression" dxfId="10990" priority="15645">
      <formula>AND(A141=B141,ISBLANK(D141))</formula>
    </cfRule>
    <cfRule type="cellIs" dxfId="10989" priority="15646" operator="notBetween">
      <formula>0</formula>
      <formula>2</formula>
    </cfRule>
  </conditionalFormatting>
  <conditionalFormatting sqref="D142">
    <cfRule type="expression" dxfId="10988" priority="15643">
      <formula>AND(A142=B142,ISBLANK(D142))</formula>
    </cfRule>
    <cfRule type="cellIs" dxfId="10987" priority="15644" operator="notBetween">
      <formula>0</formula>
      <formula>2</formula>
    </cfRule>
  </conditionalFormatting>
  <conditionalFormatting sqref="D143">
    <cfRule type="expression" dxfId="10986" priority="15641">
      <formula>AND(A143=B143,ISBLANK(D143))</formula>
    </cfRule>
    <cfRule type="cellIs" dxfId="10985" priority="15642" operator="notBetween">
      <formula>0</formula>
      <formula>2</formula>
    </cfRule>
  </conditionalFormatting>
  <conditionalFormatting sqref="D144">
    <cfRule type="expression" dxfId="10984" priority="15639">
      <formula>AND(A144=B144,ISBLANK(D144))</formula>
    </cfRule>
    <cfRule type="cellIs" dxfId="10983" priority="15640" operator="notBetween">
      <formula>0</formula>
      <formula>2</formula>
    </cfRule>
  </conditionalFormatting>
  <conditionalFormatting sqref="D145">
    <cfRule type="expression" dxfId="10982" priority="15637">
      <formula>AND(A145=B145,ISBLANK(D145))</formula>
    </cfRule>
    <cfRule type="cellIs" dxfId="10981" priority="15638" operator="notBetween">
      <formula>0</formula>
      <formula>2</formula>
    </cfRule>
  </conditionalFormatting>
  <conditionalFormatting sqref="D146">
    <cfRule type="expression" dxfId="10980" priority="15635">
      <formula>AND(A146=B146,ISBLANK(D146))</formula>
    </cfRule>
    <cfRule type="cellIs" dxfId="10979" priority="15636" operator="notBetween">
      <formula>0</formula>
      <formula>2</formula>
    </cfRule>
  </conditionalFormatting>
  <conditionalFormatting sqref="D147">
    <cfRule type="expression" dxfId="10978" priority="15633">
      <formula>AND(A147=B147,ISBLANK(D147))</formula>
    </cfRule>
    <cfRule type="cellIs" dxfId="10977" priority="15634" operator="notBetween">
      <formula>0</formula>
      <formula>2</formula>
    </cfRule>
  </conditionalFormatting>
  <conditionalFormatting sqref="D148">
    <cfRule type="expression" dxfId="10976" priority="15631">
      <formula>AND(A148=B148,ISBLANK(D148))</formula>
    </cfRule>
    <cfRule type="cellIs" dxfId="10975" priority="15632" operator="notBetween">
      <formula>0</formula>
      <formula>2</formula>
    </cfRule>
  </conditionalFormatting>
  <conditionalFormatting sqref="D149">
    <cfRule type="expression" dxfId="10974" priority="15629">
      <formula>AND(A149=B149,ISBLANK(D149))</formula>
    </cfRule>
    <cfRule type="cellIs" dxfId="10973" priority="15630" operator="notBetween">
      <formula>0</formula>
      <formula>2</formula>
    </cfRule>
  </conditionalFormatting>
  <conditionalFormatting sqref="D150">
    <cfRule type="expression" dxfId="10972" priority="15627">
      <formula>AND(A150=B150,ISBLANK(D150))</formula>
    </cfRule>
    <cfRule type="cellIs" dxfId="10971" priority="15628" operator="notBetween">
      <formula>0</formula>
      <formula>2</formula>
    </cfRule>
  </conditionalFormatting>
  <conditionalFormatting sqref="D151">
    <cfRule type="expression" dxfId="10970" priority="15625">
      <formula>AND(A151=B151,ISBLANK(D151))</formula>
    </cfRule>
    <cfRule type="cellIs" dxfId="10969" priority="15626" operator="notBetween">
      <formula>0</formula>
      <formula>2</formula>
    </cfRule>
  </conditionalFormatting>
  <conditionalFormatting sqref="D152">
    <cfRule type="expression" dxfId="10968" priority="15623">
      <formula>AND(A152=B152,ISBLANK(D152))</formula>
    </cfRule>
    <cfRule type="cellIs" dxfId="10967" priority="15624" operator="notBetween">
      <formula>0</formula>
      <formula>2</formula>
    </cfRule>
  </conditionalFormatting>
  <conditionalFormatting sqref="D153">
    <cfRule type="expression" dxfId="10966" priority="15621">
      <formula>AND(A153=B153,ISBLANK(D153))</formula>
    </cfRule>
    <cfRule type="cellIs" dxfId="10965" priority="15622" operator="notBetween">
      <formula>0</formula>
      <formula>2</formula>
    </cfRule>
  </conditionalFormatting>
  <conditionalFormatting sqref="D154">
    <cfRule type="expression" dxfId="10964" priority="15619">
      <formula>AND(A154=B154,ISBLANK(D154))</formula>
    </cfRule>
    <cfRule type="cellIs" dxfId="10963" priority="15620" operator="notBetween">
      <formula>0</formula>
      <formula>2</formula>
    </cfRule>
  </conditionalFormatting>
  <conditionalFormatting sqref="D155">
    <cfRule type="expression" dxfId="10962" priority="15617">
      <formula>AND(A155=B155,ISBLANK(D155))</formula>
    </cfRule>
    <cfRule type="cellIs" dxfId="10961" priority="15618" operator="notBetween">
      <formula>0</formula>
      <formula>2</formula>
    </cfRule>
  </conditionalFormatting>
  <conditionalFormatting sqref="D156">
    <cfRule type="expression" dxfId="10960" priority="15615">
      <formula>AND(A156=B156,ISBLANK(D156))</formula>
    </cfRule>
    <cfRule type="cellIs" dxfId="10959" priority="15616" operator="notBetween">
      <formula>0</formula>
      <formula>2</formula>
    </cfRule>
  </conditionalFormatting>
  <conditionalFormatting sqref="D157">
    <cfRule type="expression" dxfId="10958" priority="15613">
      <formula>AND(A157=B157,ISBLANK(D157))</formula>
    </cfRule>
    <cfRule type="cellIs" dxfId="10957" priority="15614" operator="notBetween">
      <formula>0</formula>
      <formula>2</formula>
    </cfRule>
  </conditionalFormatting>
  <conditionalFormatting sqref="D158">
    <cfRule type="expression" dxfId="10956" priority="15611">
      <formula>AND(A158=B158,ISBLANK(D158))</formula>
    </cfRule>
    <cfRule type="cellIs" dxfId="10955" priority="15612" operator="notBetween">
      <formula>0</formula>
      <formula>2</formula>
    </cfRule>
  </conditionalFormatting>
  <conditionalFormatting sqref="D159">
    <cfRule type="expression" dxfId="10954" priority="15609">
      <formula>AND(A159=B159,ISBLANK(D159))</formula>
    </cfRule>
    <cfRule type="cellIs" dxfId="10953" priority="15610" operator="notBetween">
      <formula>0</formula>
      <formula>2</formula>
    </cfRule>
  </conditionalFormatting>
  <conditionalFormatting sqref="D160">
    <cfRule type="expression" dxfId="10952" priority="15607">
      <formula>AND(A160=B160,ISBLANK(D160))</formula>
    </cfRule>
    <cfRule type="cellIs" dxfId="10951" priority="15608" operator="notBetween">
      <formula>0</formula>
      <formula>2</formula>
    </cfRule>
  </conditionalFormatting>
  <conditionalFormatting sqref="D161">
    <cfRule type="expression" dxfId="10950" priority="15605">
      <formula>AND(A161=B161,ISBLANK(D161))</formula>
    </cfRule>
    <cfRule type="cellIs" dxfId="10949" priority="15606" operator="notBetween">
      <formula>0</formula>
      <formula>2</formula>
    </cfRule>
  </conditionalFormatting>
  <conditionalFormatting sqref="D162">
    <cfRule type="expression" dxfId="10948" priority="15603">
      <formula>AND(A162=B162,ISBLANK(D162))</formula>
    </cfRule>
    <cfRule type="cellIs" dxfId="10947" priority="15604" operator="notBetween">
      <formula>0</formula>
      <formula>2</formula>
    </cfRule>
  </conditionalFormatting>
  <conditionalFormatting sqref="D163">
    <cfRule type="expression" dxfId="10946" priority="15601">
      <formula>AND(A163=B163,ISBLANK(D163))</formula>
    </cfRule>
    <cfRule type="cellIs" dxfId="10945" priority="15602" operator="notBetween">
      <formula>0</formula>
      <formula>2</formula>
    </cfRule>
  </conditionalFormatting>
  <conditionalFormatting sqref="D164">
    <cfRule type="expression" dxfId="10944" priority="15599">
      <formula>AND(A164=B164,ISBLANK(D164))</formula>
    </cfRule>
    <cfRule type="cellIs" dxfId="10943" priority="15600" operator="notBetween">
      <formula>0</formula>
      <formula>2</formula>
    </cfRule>
  </conditionalFormatting>
  <conditionalFormatting sqref="D165">
    <cfRule type="expression" dxfId="10942" priority="15597">
      <formula>AND(A165=B165,ISBLANK(D165))</formula>
    </cfRule>
    <cfRule type="cellIs" dxfId="10941" priority="15598" operator="notBetween">
      <formula>0</formula>
      <formula>2</formula>
    </cfRule>
  </conditionalFormatting>
  <conditionalFormatting sqref="D166">
    <cfRule type="expression" dxfId="10940" priority="15595">
      <formula>AND(A166=B166,ISBLANK(D166))</formula>
    </cfRule>
    <cfRule type="cellIs" dxfId="10939" priority="15596" operator="notBetween">
      <formula>0</formula>
      <formula>2</formula>
    </cfRule>
  </conditionalFormatting>
  <conditionalFormatting sqref="D167">
    <cfRule type="expression" dxfId="10938" priority="15593">
      <formula>AND(A167=B167,ISBLANK(D167))</formula>
    </cfRule>
    <cfRule type="cellIs" dxfId="10937" priority="15594" operator="notBetween">
      <formula>0</formula>
      <formula>2</formula>
    </cfRule>
  </conditionalFormatting>
  <conditionalFormatting sqref="D168">
    <cfRule type="expression" dxfId="10936" priority="15591">
      <formula>AND(A168=B168,ISBLANK(D168))</formula>
    </cfRule>
    <cfRule type="cellIs" dxfId="10935" priority="15592" operator="notBetween">
      <formula>0</formula>
      <formula>2</formula>
    </cfRule>
  </conditionalFormatting>
  <conditionalFormatting sqref="D19">
    <cfRule type="expression" dxfId="10934" priority="15589">
      <formula>AND(A19=B19,ISBLANK(D19))</formula>
    </cfRule>
    <cfRule type="cellIs" dxfId="10933" priority="15590" operator="notBetween">
      <formula>0</formula>
      <formula>2</formula>
    </cfRule>
  </conditionalFormatting>
  <conditionalFormatting sqref="D21">
    <cfRule type="expression" dxfId="10932" priority="15587">
      <formula>AND(A21=B21,ISBLANK(D21))</formula>
    </cfRule>
    <cfRule type="cellIs" dxfId="10931" priority="15588" operator="notBetween">
      <formula>0</formula>
      <formula>2</formula>
    </cfRule>
  </conditionalFormatting>
  <conditionalFormatting sqref="E66">
    <cfRule type="cellIs" dxfId="10930" priority="15585" operator="notBetween">
      <formula>0</formula>
      <formula>2</formula>
    </cfRule>
    <cfRule type="expression" dxfId="10929" priority="15586">
      <formula>AND(A66=B66,ISBLANK(E66))</formula>
    </cfRule>
  </conditionalFormatting>
  <conditionalFormatting sqref="E67">
    <cfRule type="cellIs" dxfId="10928" priority="15583" operator="notBetween">
      <formula>0</formula>
      <formula>2</formula>
    </cfRule>
    <cfRule type="expression" dxfId="10927" priority="15584">
      <formula>AND(A67=B67,ISBLANK(E67))</formula>
    </cfRule>
  </conditionalFormatting>
  <conditionalFormatting sqref="E68">
    <cfRule type="cellIs" dxfId="10926" priority="15581" operator="notBetween">
      <formula>0</formula>
      <formula>2</formula>
    </cfRule>
    <cfRule type="expression" dxfId="10925" priority="15582">
      <formula>AND(A68=B68,ISBLANK(E68))</formula>
    </cfRule>
  </conditionalFormatting>
  <conditionalFormatting sqref="E69">
    <cfRule type="cellIs" dxfId="10924" priority="15579" operator="notBetween">
      <formula>0</formula>
      <formula>2</formula>
    </cfRule>
    <cfRule type="expression" dxfId="10923" priority="15580">
      <formula>AND(A69=B69,ISBLANK(E69))</formula>
    </cfRule>
  </conditionalFormatting>
  <conditionalFormatting sqref="E70">
    <cfRule type="cellIs" dxfId="10922" priority="15577" operator="notBetween">
      <formula>0</formula>
      <formula>2</formula>
    </cfRule>
    <cfRule type="expression" dxfId="10921" priority="15578">
      <formula>AND(A70=B70,ISBLANK(E70))</formula>
    </cfRule>
  </conditionalFormatting>
  <conditionalFormatting sqref="E71">
    <cfRule type="cellIs" dxfId="10920" priority="15575" operator="notBetween">
      <formula>0</formula>
      <formula>2</formula>
    </cfRule>
    <cfRule type="expression" dxfId="10919" priority="15576">
      <formula>AND(A71=B71,ISBLANK(E71))</formula>
    </cfRule>
  </conditionalFormatting>
  <conditionalFormatting sqref="E72">
    <cfRule type="cellIs" dxfId="10918" priority="15573" operator="notBetween">
      <formula>0</formula>
      <formula>2</formula>
    </cfRule>
    <cfRule type="expression" dxfId="10917" priority="15574">
      <formula>AND(A72=B72,ISBLANK(E72))</formula>
    </cfRule>
  </conditionalFormatting>
  <conditionalFormatting sqref="E73">
    <cfRule type="cellIs" dxfId="10916" priority="15571" operator="notBetween">
      <formula>0</formula>
      <formula>2</formula>
    </cfRule>
    <cfRule type="expression" dxfId="10915" priority="15572">
      <formula>AND(A73=B73,ISBLANK(E73))</formula>
    </cfRule>
  </conditionalFormatting>
  <conditionalFormatting sqref="E74">
    <cfRule type="cellIs" dxfId="10914" priority="15569" operator="notBetween">
      <formula>0</formula>
      <formula>2</formula>
    </cfRule>
    <cfRule type="expression" dxfId="10913" priority="15570">
      <formula>AND(A74=B74,ISBLANK(E74))</formula>
    </cfRule>
  </conditionalFormatting>
  <conditionalFormatting sqref="E75">
    <cfRule type="cellIs" dxfId="10912" priority="15567" operator="notBetween">
      <formula>0</formula>
      <formula>2</formula>
    </cfRule>
    <cfRule type="expression" dxfId="10911" priority="15568">
      <formula>AND(A75=B75,ISBLANK(E75))</formula>
    </cfRule>
  </conditionalFormatting>
  <conditionalFormatting sqref="E76">
    <cfRule type="cellIs" dxfId="10910" priority="15565" operator="notBetween">
      <formula>0</formula>
      <formula>2</formula>
    </cfRule>
    <cfRule type="expression" dxfId="10909" priority="15566">
      <formula>AND(A76=B76,ISBLANK(E76))</formula>
    </cfRule>
  </conditionalFormatting>
  <conditionalFormatting sqref="E77">
    <cfRule type="cellIs" dxfId="10908" priority="15563" operator="notBetween">
      <formula>0</formula>
      <formula>2</formula>
    </cfRule>
    <cfRule type="expression" dxfId="10907" priority="15564">
      <formula>AND(A77=B77,ISBLANK(E77))</formula>
    </cfRule>
  </conditionalFormatting>
  <conditionalFormatting sqref="E78">
    <cfRule type="cellIs" dxfId="10906" priority="15561" operator="notBetween">
      <formula>0</formula>
      <formula>2</formula>
    </cfRule>
    <cfRule type="expression" dxfId="10905" priority="15562">
      <formula>AND(A78=B78,ISBLANK(E78))</formula>
    </cfRule>
  </conditionalFormatting>
  <conditionalFormatting sqref="E79">
    <cfRule type="cellIs" dxfId="10904" priority="15559" operator="notBetween">
      <formula>0</formula>
      <formula>2</formula>
    </cfRule>
    <cfRule type="expression" dxfId="10903" priority="15560">
      <formula>AND(A79=B79,ISBLANK(E79))</formula>
    </cfRule>
  </conditionalFormatting>
  <conditionalFormatting sqref="E80">
    <cfRule type="cellIs" dxfId="10902" priority="15557" operator="notBetween">
      <formula>0</formula>
      <formula>2</formula>
    </cfRule>
    <cfRule type="expression" dxfId="10901" priority="15558">
      <formula>AND(A80=B80,ISBLANK(E80))</formula>
    </cfRule>
  </conditionalFormatting>
  <conditionalFormatting sqref="E81">
    <cfRule type="cellIs" dxfId="10900" priority="15555" operator="notBetween">
      <formula>0</formula>
      <formula>2</formula>
    </cfRule>
    <cfRule type="expression" dxfId="10899" priority="15556">
      <formula>AND(A81=B81,ISBLANK(E81))</formula>
    </cfRule>
  </conditionalFormatting>
  <conditionalFormatting sqref="E82">
    <cfRule type="cellIs" dxfId="10898" priority="15553" operator="notBetween">
      <formula>0</formula>
      <formula>2</formula>
    </cfRule>
    <cfRule type="expression" dxfId="10897" priority="15554">
      <formula>AND(A82=B82,ISBLANK(E82))</formula>
    </cfRule>
  </conditionalFormatting>
  <conditionalFormatting sqref="E83">
    <cfRule type="cellIs" dxfId="10896" priority="15551" operator="notBetween">
      <formula>0</formula>
      <formula>2</formula>
    </cfRule>
    <cfRule type="expression" dxfId="10895" priority="15552">
      <formula>AND(A83=B83,ISBLANK(E83))</formula>
    </cfRule>
  </conditionalFormatting>
  <conditionalFormatting sqref="E84">
    <cfRule type="cellIs" dxfId="10894" priority="15549" operator="notBetween">
      <formula>0</formula>
      <formula>2</formula>
    </cfRule>
    <cfRule type="expression" dxfId="10893" priority="15550">
      <formula>AND(A84=B84,ISBLANK(E84))</formula>
    </cfRule>
  </conditionalFormatting>
  <conditionalFormatting sqref="E85">
    <cfRule type="cellIs" dxfId="10892" priority="15547" operator="notBetween">
      <formula>0</formula>
      <formula>2</formula>
    </cfRule>
    <cfRule type="expression" dxfId="10891" priority="15548">
      <formula>AND(A85=B85,ISBLANK(E85))</formula>
    </cfRule>
  </conditionalFormatting>
  <conditionalFormatting sqref="E86">
    <cfRule type="cellIs" dxfId="10890" priority="15545" operator="notBetween">
      <formula>0</formula>
      <formula>2</formula>
    </cfRule>
    <cfRule type="expression" dxfId="10889" priority="15546">
      <formula>AND(A86=B86,ISBLANK(E86))</formula>
    </cfRule>
  </conditionalFormatting>
  <conditionalFormatting sqref="E87">
    <cfRule type="cellIs" dxfId="10888" priority="15543" operator="notBetween">
      <formula>0</formula>
      <formula>2</formula>
    </cfRule>
    <cfRule type="expression" dxfId="10887" priority="15544">
      <formula>AND(A87=B87,ISBLANK(E87))</formula>
    </cfRule>
  </conditionalFormatting>
  <conditionalFormatting sqref="E88">
    <cfRule type="cellIs" dxfId="10886" priority="15541" operator="notBetween">
      <formula>0</formula>
      <formula>2</formula>
    </cfRule>
    <cfRule type="expression" dxfId="10885" priority="15542">
      <formula>AND(A88=B88,ISBLANK(E88))</formula>
    </cfRule>
  </conditionalFormatting>
  <conditionalFormatting sqref="E89">
    <cfRule type="cellIs" dxfId="10884" priority="15539" operator="notBetween">
      <formula>0</formula>
      <formula>2</formula>
    </cfRule>
    <cfRule type="expression" dxfId="10883" priority="15540">
      <formula>AND(A89=B89,ISBLANK(E89))</formula>
    </cfRule>
  </conditionalFormatting>
  <conditionalFormatting sqref="E90">
    <cfRule type="cellIs" dxfId="10882" priority="15537" operator="notBetween">
      <formula>0</formula>
      <formula>2</formula>
    </cfRule>
    <cfRule type="expression" dxfId="10881" priority="15538">
      <formula>AND(A90=B90,ISBLANK(E90))</formula>
    </cfRule>
  </conditionalFormatting>
  <conditionalFormatting sqref="E91">
    <cfRule type="cellIs" dxfId="10880" priority="15535" operator="notBetween">
      <formula>0</formula>
      <formula>2</formula>
    </cfRule>
    <cfRule type="expression" dxfId="10879" priority="15536">
      <formula>AND(A91=B91,ISBLANK(E91))</formula>
    </cfRule>
  </conditionalFormatting>
  <conditionalFormatting sqref="E92">
    <cfRule type="cellIs" dxfId="10878" priority="15533" operator="notBetween">
      <formula>0</formula>
      <formula>2</formula>
    </cfRule>
    <cfRule type="expression" dxfId="10877" priority="15534">
      <formula>AND(A92=B92,ISBLANK(E92))</formula>
    </cfRule>
  </conditionalFormatting>
  <conditionalFormatting sqref="E93">
    <cfRule type="cellIs" dxfId="10876" priority="15531" operator="notBetween">
      <formula>0</formula>
      <formula>2</formula>
    </cfRule>
    <cfRule type="expression" dxfId="10875" priority="15532">
      <formula>AND(A93=B93,ISBLANK(E93))</formula>
    </cfRule>
  </conditionalFormatting>
  <conditionalFormatting sqref="E94">
    <cfRule type="cellIs" dxfId="10874" priority="15529" operator="notBetween">
      <formula>0</formula>
      <formula>2</formula>
    </cfRule>
    <cfRule type="expression" dxfId="10873" priority="15530">
      <formula>AND(A94=B94,ISBLANK(E94))</formula>
    </cfRule>
  </conditionalFormatting>
  <conditionalFormatting sqref="E95">
    <cfRule type="cellIs" dxfId="10872" priority="15527" operator="notBetween">
      <formula>0</formula>
      <formula>2</formula>
    </cfRule>
    <cfRule type="expression" dxfId="10871" priority="15528">
      <formula>AND(A95=B95,ISBLANK(E95))</formula>
    </cfRule>
  </conditionalFormatting>
  <conditionalFormatting sqref="E96">
    <cfRule type="cellIs" dxfId="10870" priority="15525" operator="notBetween">
      <formula>0</formula>
      <formula>2</formula>
    </cfRule>
    <cfRule type="expression" dxfId="10869" priority="15526">
      <formula>AND(A96=B96,ISBLANK(E96))</formula>
    </cfRule>
  </conditionalFormatting>
  <conditionalFormatting sqref="E97">
    <cfRule type="cellIs" dxfId="10868" priority="15523" operator="notBetween">
      <formula>0</formula>
      <formula>2</formula>
    </cfRule>
    <cfRule type="expression" dxfId="10867" priority="15524">
      <formula>AND(A97=B97,ISBLANK(E97))</formula>
    </cfRule>
  </conditionalFormatting>
  <conditionalFormatting sqref="E98">
    <cfRule type="cellIs" dxfId="10866" priority="15521" operator="notBetween">
      <formula>0</formula>
      <formula>2</formula>
    </cfRule>
    <cfRule type="expression" dxfId="10865" priority="15522">
      <formula>AND(A98=B98,ISBLANK(E98))</formula>
    </cfRule>
  </conditionalFormatting>
  <conditionalFormatting sqref="E99">
    <cfRule type="cellIs" dxfId="10864" priority="15519" operator="notBetween">
      <formula>0</formula>
      <formula>2</formula>
    </cfRule>
    <cfRule type="expression" dxfId="10863" priority="15520">
      <formula>AND(A99=B99,ISBLANK(E99))</formula>
    </cfRule>
  </conditionalFormatting>
  <conditionalFormatting sqref="E100">
    <cfRule type="cellIs" dxfId="10862" priority="15517" operator="notBetween">
      <formula>0</formula>
      <formula>2</formula>
    </cfRule>
    <cfRule type="expression" dxfId="10861" priority="15518">
      <formula>AND(A100=B100,ISBLANK(E100))</formula>
    </cfRule>
  </conditionalFormatting>
  <conditionalFormatting sqref="E101">
    <cfRule type="cellIs" dxfId="10860" priority="15515" operator="notBetween">
      <formula>0</formula>
      <formula>2</formula>
    </cfRule>
    <cfRule type="expression" dxfId="10859" priority="15516">
      <formula>AND(A101=B101,ISBLANK(E101))</formula>
    </cfRule>
  </conditionalFormatting>
  <conditionalFormatting sqref="E102">
    <cfRule type="cellIs" dxfId="10858" priority="15513" operator="notBetween">
      <formula>0</formula>
      <formula>2</formula>
    </cfRule>
    <cfRule type="expression" dxfId="10857" priority="15514">
      <formula>AND(A102=B102,ISBLANK(E102))</formula>
    </cfRule>
  </conditionalFormatting>
  <conditionalFormatting sqref="E103">
    <cfRule type="cellIs" dxfId="10856" priority="15511" operator="notBetween">
      <formula>0</formula>
      <formula>2</formula>
    </cfRule>
    <cfRule type="expression" dxfId="10855" priority="15512">
      <formula>AND(A103=B103,ISBLANK(E103))</formula>
    </cfRule>
  </conditionalFormatting>
  <conditionalFormatting sqref="E104">
    <cfRule type="cellIs" dxfId="10854" priority="15509" operator="notBetween">
      <formula>0</formula>
      <formula>2</formula>
    </cfRule>
    <cfRule type="expression" dxfId="10853" priority="15510">
      <formula>AND(A104=B104,ISBLANK(E104))</formula>
    </cfRule>
  </conditionalFormatting>
  <conditionalFormatting sqref="E105">
    <cfRule type="cellIs" dxfId="10852" priority="15507" operator="notBetween">
      <formula>0</formula>
      <formula>2</formula>
    </cfRule>
    <cfRule type="expression" dxfId="10851" priority="15508">
      <formula>AND(A105=B105,ISBLANK(E105))</formula>
    </cfRule>
  </conditionalFormatting>
  <conditionalFormatting sqref="E106">
    <cfRule type="cellIs" dxfId="10850" priority="15505" operator="notBetween">
      <formula>0</formula>
      <formula>2</formula>
    </cfRule>
    <cfRule type="expression" dxfId="10849" priority="15506">
      <formula>AND(A106=B106,ISBLANK(E106))</formula>
    </cfRule>
  </conditionalFormatting>
  <conditionalFormatting sqref="E107">
    <cfRule type="cellIs" dxfId="10848" priority="15503" operator="notBetween">
      <formula>0</formula>
      <formula>2</formula>
    </cfRule>
    <cfRule type="expression" dxfId="10847" priority="15504">
      <formula>AND(A107=B107,ISBLANK(E107))</formula>
    </cfRule>
  </conditionalFormatting>
  <conditionalFormatting sqref="E108">
    <cfRule type="cellIs" dxfId="10846" priority="15501" operator="notBetween">
      <formula>0</formula>
      <formula>2</formula>
    </cfRule>
    <cfRule type="expression" dxfId="10845" priority="15502">
      <formula>AND(A108=B108,ISBLANK(E108))</formula>
    </cfRule>
  </conditionalFormatting>
  <conditionalFormatting sqref="E109">
    <cfRule type="cellIs" dxfId="10844" priority="15499" operator="notBetween">
      <formula>0</formula>
      <formula>2</formula>
    </cfRule>
    <cfRule type="expression" dxfId="10843" priority="15500">
      <formula>AND(A109=B109,ISBLANK(E109))</formula>
    </cfRule>
  </conditionalFormatting>
  <conditionalFormatting sqref="E110">
    <cfRule type="cellIs" dxfId="10842" priority="15497" operator="notBetween">
      <formula>0</formula>
      <formula>2</formula>
    </cfRule>
    <cfRule type="expression" dxfId="10841" priority="15498">
      <formula>AND(A110=B110,ISBLANK(E110))</formula>
    </cfRule>
  </conditionalFormatting>
  <conditionalFormatting sqref="E111">
    <cfRule type="cellIs" dxfId="10840" priority="15495" operator="notBetween">
      <formula>0</formula>
      <formula>2</formula>
    </cfRule>
    <cfRule type="expression" dxfId="10839" priority="15496">
      <formula>AND(A111=B111,ISBLANK(E111))</formula>
    </cfRule>
  </conditionalFormatting>
  <conditionalFormatting sqref="E112">
    <cfRule type="cellIs" dxfId="10838" priority="15493" operator="notBetween">
      <formula>0</formula>
      <formula>2</formula>
    </cfRule>
    <cfRule type="expression" dxfId="10837" priority="15494">
      <formula>AND(A112=B112,ISBLANK(E112))</formula>
    </cfRule>
  </conditionalFormatting>
  <conditionalFormatting sqref="E113">
    <cfRule type="cellIs" dxfId="10836" priority="15491" operator="notBetween">
      <formula>0</formula>
      <formula>2</formula>
    </cfRule>
    <cfRule type="expression" dxfId="10835" priority="15492">
      <formula>AND(A113=B113,ISBLANK(E113))</formula>
    </cfRule>
  </conditionalFormatting>
  <conditionalFormatting sqref="E114">
    <cfRule type="cellIs" dxfId="10834" priority="15489" operator="notBetween">
      <formula>0</formula>
      <formula>2</formula>
    </cfRule>
    <cfRule type="expression" dxfId="10833" priority="15490">
      <formula>AND(A114=B114,ISBLANK(E114))</formula>
    </cfRule>
  </conditionalFormatting>
  <conditionalFormatting sqref="E115">
    <cfRule type="cellIs" dxfId="10832" priority="15487" operator="notBetween">
      <formula>0</formula>
      <formula>2</formula>
    </cfRule>
    <cfRule type="expression" dxfId="10831" priority="15488">
      <formula>AND(A115=B115,ISBLANK(E115))</formula>
    </cfRule>
  </conditionalFormatting>
  <conditionalFormatting sqref="E116">
    <cfRule type="cellIs" dxfId="10830" priority="15485" operator="notBetween">
      <formula>0</formula>
      <formula>2</formula>
    </cfRule>
    <cfRule type="expression" dxfId="10829" priority="15486">
      <formula>AND(A116=B116,ISBLANK(E116))</formula>
    </cfRule>
  </conditionalFormatting>
  <conditionalFormatting sqref="E117">
    <cfRule type="cellIs" dxfId="10828" priority="15483" operator="notBetween">
      <formula>0</formula>
      <formula>2</formula>
    </cfRule>
    <cfRule type="expression" dxfId="10827" priority="15484">
      <formula>AND(A117=B117,ISBLANK(E117))</formula>
    </cfRule>
  </conditionalFormatting>
  <conditionalFormatting sqref="E118">
    <cfRule type="cellIs" dxfId="10826" priority="15481" operator="notBetween">
      <formula>0</formula>
      <formula>2</formula>
    </cfRule>
    <cfRule type="expression" dxfId="10825" priority="15482">
      <formula>AND(A118=B118,ISBLANK(E118))</formula>
    </cfRule>
  </conditionalFormatting>
  <conditionalFormatting sqref="E119">
    <cfRule type="cellIs" dxfId="10824" priority="15479" operator="notBetween">
      <formula>0</formula>
      <formula>2</formula>
    </cfRule>
    <cfRule type="expression" dxfId="10823" priority="15480">
      <formula>AND(A119=B119,ISBLANK(E119))</formula>
    </cfRule>
  </conditionalFormatting>
  <conditionalFormatting sqref="E120">
    <cfRule type="cellIs" dxfId="10822" priority="15477" operator="notBetween">
      <formula>0</formula>
      <formula>2</formula>
    </cfRule>
    <cfRule type="expression" dxfId="10821" priority="15478">
      <formula>AND(A120=B120,ISBLANK(E120))</formula>
    </cfRule>
  </conditionalFormatting>
  <conditionalFormatting sqref="E121">
    <cfRule type="cellIs" dxfId="10820" priority="15475" operator="notBetween">
      <formula>0</formula>
      <formula>2</formula>
    </cfRule>
    <cfRule type="expression" dxfId="10819" priority="15476">
      <formula>AND(A121=B121,ISBLANK(E121))</formula>
    </cfRule>
  </conditionalFormatting>
  <conditionalFormatting sqref="E122">
    <cfRule type="cellIs" dxfId="10818" priority="15473" operator="notBetween">
      <formula>0</formula>
      <formula>2</formula>
    </cfRule>
    <cfRule type="expression" dxfId="10817" priority="15474">
      <formula>AND(A122=B122,ISBLANK(E122))</formula>
    </cfRule>
  </conditionalFormatting>
  <conditionalFormatting sqref="E123">
    <cfRule type="cellIs" dxfId="10816" priority="15471" operator="notBetween">
      <formula>0</formula>
      <formula>2</formula>
    </cfRule>
    <cfRule type="expression" dxfId="10815" priority="15472">
      <formula>AND(A123=B123,ISBLANK(E123))</formula>
    </cfRule>
  </conditionalFormatting>
  <conditionalFormatting sqref="E124">
    <cfRule type="cellIs" dxfId="10814" priority="15469" operator="notBetween">
      <formula>0</formula>
      <formula>2</formula>
    </cfRule>
    <cfRule type="expression" dxfId="10813" priority="15470">
      <formula>AND(A124=B124,ISBLANK(E124))</formula>
    </cfRule>
  </conditionalFormatting>
  <conditionalFormatting sqref="E125">
    <cfRule type="cellIs" dxfId="10812" priority="15467" operator="notBetween">
      <formula>0</formula>
      <formula>2</formula>
    </cfRule>
    <cfRule type="expression" dxfId="10811" priority="15468">
      <formula>AND(A125=B125,ISBLANK(E125))</formula>
    </cfRule>
  </conditionalFormatting>
  <conditionalFormatting sqref="E126">
    <cfRule type="cellIs" dxfId="10810" priority="15465" operator="notBetween">
      <formula>0</formula>
      <formula>2</formula>
    </cfRule>
    <cfRule type="expression" dxfId="10809" priority="15466">
      <formula>AND(A126=B126,ISBLANK(E126))</formula>
    </cfRule>
  </conditionalFormatting>
  <conditionalFormatting sqref="E127">
    <cfRule type="cellIs" dxfId="10808" priority="15463" operator="notBetween">
      <formula>0</formula>
      <formula>2</formula>
    </cfRule>
    <cfRule type="expression" dxfId="10807" priority="15464">
      <formula>AND(A127=B127,ISBLANK(E127))</formula>
    </cfRule>
  </conditionalFormatting>
  <conditionalFormatting sqref="E128">
    <cfRule type="cellIs" dxfId="10806" priority="15461" operator="notBetween">
      <formula>0</formula>
      <formula>2</formula>
    </cfRule>
    <cfRule type="expression" dxfId="10805" priority="15462">
      <formula>AND(A128=B128,ISBLANK(E128))</formula>
    </cfRule>
  </conditionalFormatting>
  <conditionalFormatting sqref="E129">
    <cfRule type="cellIs" dxfId="10804" priority="15459" operator="notBetween">
      <formula>0</formula>
      <formula>2</formula>
    </cfRule>
    <cfRule type="expression" dxfId="10803" priority="15460">
      <formula>AND(A129=B129,ISBLANK(E129))</formula>
    </cfRule>
  </conditionalFormatting>
  <conditionalFormatting sqref="E130">
    <cfRule type="cellIs" dxfId="10802" priority="15457" operator="notBetween">
      <formula>0</formula>
      <formula>2</formula>
    </cfRule>
    <cfRule type="expression" dxfId="10801" priority="15458">
      <formula>AND(A130=B130,ISBLANK(E130))</formula>
    </cfRule>
  </conditionalFormatting>
  <conditionalFormatting sqref="E131">
    <cfRule type="cellIs" dxfId="10800" priority="15455" operator="notBetween">
      <formula>0</formula>
      <formula>2</formula>
    </cfRule>
    <cfRule type="expression" dxfId="10799" priority="15456">
      <formula>AND(A131=B131,ISBLANK(E131))</formula>
    </cfRule>
  </conditionalFormatting>
  <conditionalFormatting sqref="E132">
    <cfRule type="cellIs" dxfId="10798" priority="15453" operator="notBetween">
      <formula>0</formula>
      <formula>2</formula>
    </cfRule>
    <cfRule type="expression" dxfId="10797" priority="15454">
      <formula>AND(A132=B132,ISBLANK(E132))</formula>
    </cfRule>
  </conditionalFormatting>
  <conditionalFormatting sqref="E133">
    <cfRule type="cellIs" dxfId="10796" priority="15451" operator="notBetween">
      <formula>0</formula>
      <formula>2</formula>
    </cfRule>
    <cfRule type="expression" dxfId="10795" priority="15452">
      <formula>AND(A133=B133,ISBLANK(E133))</formula>
    </cfRule>
  </conditionalFormatting>
  <conditionalFormatting sqref="E134">
    <cfRule type="cellIs" dxfId="10794" priority="15449" operator="notBetween">
      <formula>0</formula>
      <formula>2</formula>
    </cfRule>
    <cfRule type="expression" dxfId="10793" priority="15450">
      <formula>AND(A134=B134,ISBLANK(E134))</formula>
    </cfRule>
  </conditionalFormatting>
  <conditionalFormatting sqref="E135">
    <cfRule type="cellIs" dxfId="10792" priority="15447" operator="notBetween">
      <formula>0</formula>
      <formula>2</formula>
    </cfRule>
    <cfRule type="expression" dxfId="10791" priority="15448">
      <formula>AND(A135=B135,ISBLANK(E135))</formula>
    </cfRule>
  </conditionalFormatting>
  <conditionalFormatting sqref="E136">
    <cfRule type="cellIs" dxfId="10790" priority="15445" operator="notBetween">
      <formula>0</formula>
      <formula>2</formula>
    </cfRule>
    <cfRule type="expression" dxfId="10789" priority="15446">
      <formula>AND(A136=B136,ISBLANK(E136))</formula>
    </cfRule>
  </conditionalFormatting>
  <conditionalFormatting sqref="E137">
    <cfRule type="cellIs" dxfId="10788" priority="15443" operator="notBetween">
      <formula>0</formula>
      <formula>2</formula>
    </cfRule>
    <cfRule type="expression" dxfId="10787" priority="15444">
      <formula>AND(A137=B137,ISBLANK(E137))</formula>
    </cfRule>
  </conditionalFormatting>
  <conditionalFormatting sqref="E138">
    <cfRule type="cellIs" dxfId="10786" priority="15441" operator="notBetween">
      <formula>0</formula>
      <formula>2</formula>
    </cfRule>
    <cfRule type="expression" dxfId="10785" priority="15442">
      <formula>AND(A138=B138,ISBLANK(E138))</formula>
    </cfRule>
  </conditionalFormatting>
  <conditionalFormatting sqref="E139">
    <cfRule type="cellIs" dxfId="10784" priority="15439" operator="notBetween">
      <formula>0</formula>
      <formula>2</formula>
    </cfRule>
    <cfRule type="expression" dxfId="10783" priority="15440">
      <formula>AND(A139=B139,ISBLANK(E139))</formula>
    </cfRule>
  </conditionalFormatting>
  <conditionalFormatting sqref="E140">
    <cfRule type="cellIs" dxfId="10782" priority="15437" operator="notBetween">
      <formula>0</formula>
      <formula>2</formula>
    </cfRule>
    <cfRule type="expression" dxfId="10781" priority="15438">
      <formula>AND(A140=B140,ISBLANK(E140))</formula>
    </cfRule>
  </conditionalFormatting>
  <conditionalFormatting sqref="E141">
    <cfRule type="cellIs" dxfId="10780" priority="15435" operator="notBetween">
      <formula>0</formula>
      <formula>2</formula>
    </cfRule>
    <cfRule type="expression" dxfId="10779" priority="15436">
      <formula>AND(A141=B141,ISBLANK(E141))</formula>
    </cfRule>
  </conditionalFormatting>
  <conditionalFormatting sqref="E142">
    <cfRule type="cellIs" dxfId="10778" priority="15433" operator="notBetween">
      <formula>0</formula>
      <formula>2</formula>
    </cfRule>
    <cfRule type="expression" dxfId="10777" priority="15434">
      <formula>AND(A142=B142,ISBLANK(E142))</formula>
    </cfRule>
  </conditionalFormatting>
  <conditionalFormatting sqref="E143">
    <cfRule type="cellIs" dxfId="10776" priority="15431" operator="notBetween">
      <formula>0</formula>
      <formula>2</formula>
    </cfRule>
    <cfRule type="expression" dxfId="10775" priority="15432">
      <formula>AND(A143=B143,ISBLANK(E143))</formula>
    </cfRule>
  </conditionalFormatting>
  <conditionalFormatting sqref="E144">
    <cfRule type="cellIs" dxfId="10774" priority="15429" operator="notBetween">
      <formula>0</formula>
      <formula>2</formula>
    </cfRule>
    <cfRule type="expression" dxfId="10773" priority="15430">
      <formula>AND(A144=B144,ISBLANK(E144))</formula>
    </cfRule>
  </conditionalFormatting>
  <conditionalFormatting sqref="E145">
    <cfRule type="cellIs" dxfId="10772" priority="15427" operator="notBetween">
      <formula>0</formula>
      <formula>2</formula>
    </cfRule>
    <cfRule type="expression" dxfId="10771" priority="15428">
      <formula>AND(A145=B145,ISBLANK(E145))</formula>
    </cfRule>
  </conditionalFormatting>
  <conditionalFormatting sqref="E146">
    <cfRule type="cellIs" dxfId="10770" priority="15425" operator="notBetween">
      <formula>0</formula>
      <formula>2</formula>
    </cfRule>
    <cfRule type="expression" dxfId="10769" priority="15426">
      <formula>AND(A146=B146,ISBLANK(E146))</formula>
    </cfRule>
  </conditionalFormatting>
  <conditionalFormatting sqref="E147">
    <cfRule type="cellIs" dxfId="10768" priority="15423" operator="notBetween">
      <formula>0</formula>
      <formula>2</formula>
    </cfRule>
    <cfRule type="expression" dxfId="10767" priority="15424">
      <formula>AND(A147=B147,ISBLANK(E147))</formula>
    </cfRule>
  </conditionalFormatting>
  <conditionalFormatting sqref="E148">
    <cfRule type="cellIs" dxfId="10766" priority="15421" operator="notBetween">
      <formula>0</formula>
      <formula>2</formula>
    </cfRule>
    <cfRule type="expression" dxfId="10765" priority="15422">
      <formula>AND(A148=B148,ISBLANK(E148))</formula>
    </cfRule>
  </conditionalFormatting>
  <conditionalFormatting sqref="E149">
    <cfRule type="cellIs" dxfId="10764" priority="15419" operator="notBetween">
      <formula>0</formula>
      <formula>2</formula>
    </cfRule>
    <cfRule type="expression" dxfId="10763" priority="15420">
      <formula>AND(A149=B149,ISBLANK(E149))</formula>
    </cfRule>
  </conditionalFormatting>
  <conditionalFormatting sqref="E150">
    <cfRule type="cellIs" dxfId="10762" priority="15417" operator="notBetween">
      <formula>0</formula>
      <formula>2</formula>
    </cfRule>
    <cfRule type="expression" dxfId="10761" priority="15418">
      <formula>AND(A150=B150,ISBLANK(E150))</formula>
    </cfRule>
  </conditionalFormatting>
  <conditionalFormatting sqref="E151">
    <cfRule type="cellIs" dxfId="10760" priority="15415" operator="notBetween">
      <formula>0</formula>
      <formula>2</formula>
    </cfRule>
    <cfRule type="expression" dxfId="10759" priority="15416">
      <formula>AND(A151=B151,ISBLANK(E151))</formula>
    </cfRule>
  </conditionalFormatting>
  <conditionalFormatting sqref="E152">
    <cfRule type="cellIs" dxfId="10758" priority="15413" operator="notBetween">
      <formula>0</formula>
      <formula>2</formula>
    </cfRule>
    <cfRule type="expression" dxfId="10757" priority="15414">
      <formula>AND(A152=B152,ISBLANK(E152))</formula>
    </cfRule>
  </conditionalFormatting>
  <conditionalFormatting sqref="E153">
    <cfRule type="cellIs" dxfId="10756" priority="15411" operator="notBetween">
      <formula>0</formula>
      <formula>2</formula>
    </cfRule>
    <cfRule type="expression" dxfId="10755" priority="15412">
      <formula>AND(A153=B153,ISBLANK(E153))</formula>
    </cfRule>
  </conditionalFormatting>
  <conditionalFormatting sqref="E154">
    <cfRule type="cellIs" dxfId="10754" priority="15409" operator="notBetween">
      <formula>0</formula>
      <formula>2</formula>
    </cfRule>
    <cfRule type="expression" dxfId="10753" priority="15410">
      <formula>AND(A154=B154,ISBLANK(E154))</formula>
    </cfRule>
  </conditionalFormatting>
  <conditionalFormatting sqref="E155">
    <cfRule type="cellIs" dxfId="10752" priority="15407" operator="notBetween">
      <formula>0</formula>
      <formula>2</formula>
    </cfRule>
    <cfRule type="expression" dxfId="10751" priority="15408">
      <formula>AND(A155=B155,ISBLANK(E155))</formula>
    </cfRule>
  </conditionalFormatting>
  <conditionalFormatting sqref="E156">
    <cfRule type="cellIs" dxfId="10750" priority="15405" operator="notBetween">
      <formula>0</formula>
      <formula>2</formula>
    </cfRule>
    <cfRule type="expression" dxfId="10749" priority="15406">
      <formula>AND(A156=B156,ISBLANK(E156))</formula>
    </cfRule>
  </conditionalFormatting>
  <conditionalFormatting sqref="E157">
    <cfRule type="cellIs" dxfId="10748" priority="15403" operator="notBetween">
      <formula>0</formula>
      <formula>2</formula>
    </cfRule>
    <cfRule type="expression" dxfId="10747" priority="15404">
      <formula>AND(A157=B157,ISBLANK(E157))</formula>
    </cfRule>
  </conditionalFormatting>
  <conditionalFormatting sqref="E158">
    <cfRule type="cellIs" dxfId="10746" priority="15401" operator="notBetween">
      <formula>0</formula>
      <formula>2</formula>
    </cfRule>
    <cfRule type="expression" dxfId="10745" priority="15402">
      <formula>AND(A158=B158,ISBLANK(E158))</formula>
    </cfRule>
  </conditionalFormatting>
  <conditionalFormatting sqref="E159">
    <cfRule type="cellIs" dxfId="10744" priority="15399" operator="notBetween">
      <formula>0</formula>
      <formula>2</formula>
    </cfRule>
    <cfRule type="expression" dxfId="10743" priority="15400">
      <formula>AND(A159=B159,ISBLANK(E159))</formula>
    </cfRule>
  </conditionalFormatting>
  <conditionalFormatting sqref="E160">
    <cfRule type="cellIs" dxfId="10742" priority="15397" operator="notBetween">
      <formula>0</formula>
      <formula>2</formula>
    </cfRule>
    <cfRule type="expression" dxfId="10741" priority="15398">
      <formula>AND(A160=B160,ISBLANK(E160))</formula>
    </cfRule>
  </conditionalFormatting>
  <conditionalFormatting sqref="E161">
    <cfRule type="cellIs" dxfId="10740" priority="15395" operator="notBetween">
      <formula>0</formula>
      <formula>2</formula>
    </cfRule>
    <cfRule type="expression" dxfId="10739" priority="15396">
      <formula>AND(A161=B161,ISBLANK(E161))</formula>
    </cfRule>
  </conditionalFormatting>
  <conditionalFormatting sqref="E162">
    <cfRule type="cellIs" dxfId="10738" priority="15393" operator="notBetween">
      <formula>0</formula>
      <formula>2</formula>
    </cfRule>
    <cfRule type="expression" dxfId="10737" priority="15394">
      <formula>AND(A162=B162,ISBLANK(E162))</formula>
    </cfRule>
  </conditionalFormatting>
  <conditionalFormatting sqref="E163">
    <cfRule type="cellIs" dxfId="10736" priority="15391" operator="notBetween">
      <formula>0</formula>
      <formula>2</formula>
    </cfRule>
    <cfRule type="expression" dxfId="10735" priority="15392">
      <formula>AND(A163=B163,ISBLANK(E163))</formula>
    </cfRule>
  </conditionalFormatting>
  <conditionalFormatting sqref="E164">
    <cfRule type="cellIs" dxfId="10734" priority="15389" operator="notBetween">
      <formula>0</formula>
      <formula>2</formula>
    </cfRule>
    <cfRule type="expression" dxfId="10733" priority="15390">
      <formula>AND(A164=B164,ISBLANK(E164))</formula>
    </cfRule>
  </conditionalFormatting>
  <conditionalFormatting sqref="E165">
    <cfRule type="cellIs" dxfId="10732" priority="15387" operator="notBetween">
      <formula>0</formula>
      <formula>2</formula>
    </cfRule>
    <cfRule type="expression" dxfId="10731" priority="15388">
      <formula>AND(A165=B165,ISBLANK(E165))</formula>
    </cfRule>
  </conditionalFormatting>
  <conditionalFormatting sqref="E166">
    <cfRule type="cellIs" dxfId="10730" priority="15385" operator="notBetween">
      <formula>0</formula>
      <formula>2</formula>
    </cfRule>
    <cfRule type="expression" dxfId="10729" priority="15386">
      <formula>AND(A166=B166,ISBLANK(E166))</formula>
    </cfRule>
  </conditionalFormatting>
  <conditionalFormatting sqref="E167">
    <cfRule type="cellIs" dxfId="10728" priority="15383" operator="notBetween">
      <formula>0</formula>
      <formula>2</formula>
    </cfRule>
    <cfRule type="expression" dxfId="10727" priority="15384">
      <formula>AND(A167=B167,ISBLANK(E167))</formula>
    </cfRule>
  </conditionalFormatting>
  <conditionalFormatting sqref="E168">
    <cfRule type="cellIs" dxfId="10726" priority="15381" operator="notBetween">
      <formula>0</formula>
      <formula>2</formula>
    </cfRule>
    <cfRule type="expression" dxfId="10725" priority="15382">
      <formula>AND(A168=B168,ISBLANK(E168))</formula>
    </cfRule>
  </conditionalFormatting>
  <conditionalFormatting sqref="F66">
    <cfRule type="cellIs" dxfId="10724" priority="15379" operator="notBetween">
      <formula>0</formula>
      <formula>2</formula>
    </cfRule>
    <cfRule type="expression" dxfId="10723" priority="15380">
      <formula>AND(A66=B66,ISBLANK(F66))</formula>
    </cfRule>
  </conditionalFormatting>
  <conditionalFormatting sqref="F67">
    <cfRule type="cellIs" dxfId="10722" priority="15377" operator="notBetween">
      <formula>0</formula>
      <formula>2</formula>
    </cfRule>
    <cfRule type="expression" dxfId="10721" priority="15378">
      <formula>AND(A67=B67,ISBLANK(F67))</formula>
    </cfRule>
  </conditionalFormatting>
  <conditionalFormatting sqref="F68">
    <cfRule type="cellIs" dxfId="10720" priority="15375" operator="notBetween">
      <formula>0</formula>
      <formula>2</formula>
    </cfRule>
    <cfRule type="expression" dxfId="10719" priority="15376">
      <formula>AND(A68=B68,ISBLANK(F68))</formula>
    </cfRule>
  </conditionalFormatting>
  <conditionalFormatting sqref="F69">
    <cfRule type="cellIs" dxfId="10718" priority="15373" operator="notBetween">
      <formula>0</formula>
      <formula>2</formula>
    </cfRule>
    <cfRule type="expression" dxfId="10717" priority="15374">
      <formula>AND(A69=B69,ISBLANK(F69))</formula>
    </cfRule>
  </conditionalFormatting>
  <conditionalFormatting sqref="F70">
    <cfRule type="cellIs" dxfId="10716" priority="15371" operator="notBetween">
      <formula>0</formula>
      <formula>2</formula>
    </cfRule>
    <cfRule type="expression" dxfId="10715" priority="15372">
      <formula>AND(A70=B70,ISBLANK(F70))</formula>
    </cfRule>
  </conditionalFormatting>
  <conditionalFormatting sqref="F71">
    <cfRule type="cellIs" dxfId="10714" priority="15369" operator="notBetween">
      <formula>0</formula>
      <formula>2</formula>
    </cfRule>
    <cfRule type="expression" dxfId="10713" priority="15370">
      <formula>AND(A71=B71,ISBLANK(F71))</formula>
    </cfRule>
  </conditionalFormatting>
  <conditionalFormatting sqref="F72">
    <cfRule type="cellIs" dxfId="10712" priority="15367" operator="notBetween">
      <formula>0</formula>
      <formula>2</formula>
    </cfRule>
    <cfRule type="expression" dxfId="10711" priority="15368">
      <formula>AND(A72=B72,ISBLANK(F72))</formula>
    </cfRule>
  </conditionalFormatting>
  <conditionalFormatting sqref="F73">
    <cfRule type="cellIs" dxfId="10710" priority="15365" operator="notBetween">
      <formula>0</formula>
      <formula>2</formula>
    </cfRule>
    <cfRule type="expression" dxfId="10709" priority="15366">
      <formula>AND(A73=B73,ISBLANK(F73))</formula>
    </cfRule>
  </conditionalFormatting>
  <conditionalFormatting sqref="F74">
    <cfRule type="cellIs" dxfId="10708" priority="15363" operator="notBetween">
      <formula>0</formula>
      <formula>2</formula>
    </cfRule>
    <cfRule type="expression" dxfId="10707" priority="15364">
      <formula>AND(A74=B74,ISBLANK(F74))</formula>
    </cfRule>
  </conditionalFormatting>
  <conditionalFormatting sqref="F75">
    <cfRule type="cellIs" dxfId="10706" priority="15361" operator="notBetween">
      <formula>0</formula>
      <formula>2</formula>
    </cfRule>
    <cfRule type="expression" dxfId="10705" priority="15362">
      <formula>AND(A75=B75,ISBLANK(F75))</formula>
    </cfRule>
  </conditionalFormatting>
  <conditionalFormatting sqref="F76">
    <cfRule type="cellIs" dxfId="10704" priority="15359" operator="notBetween">
      <formula>0</formula>
      <formula>2</formula>
    </cfRule>
    <cfRule type="expression" dxfId="10703" priority="15360">
      <formula>AND(A76=B76,ISBLANK(F76))</formula>
    </cfRule>
  </conditionalFormatting>
  <conditionalFormatting sqref="F77">
    <cfRule type="cellIs" dxfId="10702" priority="15357" operator="notBetween">
      <formula>0</formula>
      <formula>2</formula>
    </cfRule>
    <cfRule type="expression" dxfId="10701" priority="15358">
      <formula>AND(A77=B77,ISBLANK(F77))</formula>
    </cfRule>
  </conditionalFormatting>
  <conditionalFormatting sqref="F78">
    <cfRule type="cellIs" dxfId="10700" priority="15355" operator="notBetween">
      <formula>0</formula>
      <formula>2</formula>
    </cfRule>
    <cfRule type="expression" dxfId="10699" priority="15356">
      <formula>AND(A78=B78,ISBLANK(F78))</formula>
    </cfRule>
  </conditionalFormatting>
  <conditionalFormatting sqref="F79">
    <cfRule type="cellIs" dxfId="10698" priority="15353" operator="notBetween">
      <formula>0</formula>
      <formula>2</formula>
    </cfRule>
    <cfRule type="expression" dxfId="10697" priority="15354">
      <formula>AND(A79=B79,ISBLANK(F79))</formula>
    </cfRule>
  </conditionalFormatting>
  <conditionalFormatting sqref="F80">
    <cfRule type="cellIs" dxfId="10696" priority="15351" operator="notBetween">
      <formula>0</formula>
      <formula>2</formula>
    </cfRule>
    <cfRule type="expression" dxfId="10695" priority="15352">
      <formula>AND(A80=B80,ISBLANK(F80))</formula>
    </cfRule>
  </conditionalFormatting>
  <conditionalFormatting sqref="F81">
    <cfRule type="cellIs" dxfId="10694" priority="15349" operator="notBetween">
      <formula>0</formula>
      <formula>2</formula>
    </cfRule>
    <cfRule type="expression" dxfId="10693" priority="15350">
      <formula>AND(A81=B81,ISBLANK(F81))</formula>
    </cfRule>
  </conditionalFormatting>
  <conditionalFormatting sqref="F82">
    <cfRule type="cellIs" dxfId="10692" priority="15347" operator="notBetween">
      <formula>0</formula>
      <formula>2</formula>
    </cfRule>
    <cfRule type="expression" dxfId="10691" priority="15348">
      <formula>AND(A82=B82,ISBLANK(F82))</formula>
    </cfRule>
  </conditionalFormatting>
  <conditionalFormatting sqref="F83">
    <cfRule type="cellIs" dxfId="10690" priority="15345" operator="notBetween">
      <formula>0</formula>
      <formula>2</formula>
    </cfRule>
    <cfRule type="expression" dxfId="10689" priority="15346">
      <formula>AND(A83=B83,ISBLANK(F83))</formula>
    </cfRule>
  </conditionalFormatting>
  <conditionalFormatting sqref="F84">
    <cfRule type="cellIs" dxfId="10688" priority="15343" operator="notBetween">
      <formula>0</formula>
      <formula>2</formula>
    </cfRule>
    <cfRule type="expression" dxfId="10687" priority="15344">
      <formula>AND(A84=B84,ISBLANK(F84))</formula>
    </cfRule>
  </conditionalFormatting>
  <conditionalFormatting sqref="F85">
    <cfRule type="cellIs" dxfId="10686" priority="15341" operator="notBetween">
      <formula>0</formula>
      <formula>2</formula>
    </cfRule>
    <cfRule type="expression" dxfId="10685" priority="15342">
      <formula>AND(A85=B85,ISBLANK(F85))</formula>
    </cfRule>
  </conditionalFormatting>
  <conditionalFormatting sqref="F86">
    <cfRule type="cellIs" dxfId="10684" priority="15339" operator="notBetween">
      <formula>0</formula>
      <formula>2</formula>
    </cfRule>
    <cfRule type="expression" dxfId="10683" priority="15340">
      <formula>AND(A86=B86,ISBLANK(F86))</formula>
    </cfRule>
  </conditionalFormatting>
  <conditionalFormatting sqref="F87">
    <cfRule type="cellIs" dxfId="10682" priority="15337" operator="notBetween">
      <formula>0</formula>
      <formula>2</formula>
    </cfRule>
    <cfRule type="expression" dxfId="10681" priority="15338">
      <formula>AND(A87=B87,ISBLANK(F87))</formula>
    </cfRule>
  </conditionalFormatting>
  <conditionalFormatting sqref="F88">
    <cfRule type="cellIs" dxfId="10680" priority="15335" operator="notBetween">
      <formula>0</formula>
      <formula>2</formula>
    </cfRule>
    <cfRule type="expression" dxfId="10679" priority="15336">
      <formula>AND(A88=B88,ISBLANK(F88))</formula>
    </cfRule>
  </conditionalFormatting>
  <conditionalFormatting sqref="F89">
    <cfRule type="cellIs" dxfId="10678" priority="15333" operator="notBetween">
      <formula>0</formula>
      <formula>2</formula>
    </cfRule>
    <cfRule type="expression" dxfId="10677" priority="15334">
      <formula>AND(A89=B89,ISBLANK(F89))</formula>
    </cfRule>
  </conditionalFormatting>
  <conditionalFormatting sqref="F90">
    <cfRule type="cellIs" dxfId="10676" priority="15331" operator="notBetween">
      <formula>0</formula>
      <formula>2</formula>
    </cfRule>
    <cfRule type="expression" dxfId="10675" priority="15332">
      <formula>AND(A90=B90,ISBLANK(F90))</formula>
    </cfRule>
  </conditionalFormatting>
  <conditionalFormatting sqref="F91">
    <cfRule type="cellIs" dxfId="10674" priority="15329" operator="notBetween">
      <formula>0</formula>
      <formula>2</formula>
    </cfRule>
    <cfRule type="expression" dxfId="10673" priority="15330">
      <formula>AND(A91=B91,ISBLANK(F91))</formula>
    </cfRule>
  </conditionalFormatting>
  <conditionalFormatting sqref="F92">
    <cfRule type="cellIs" dxfId="10672" priority="15327" operator="notBetween">
      <formula>0</formula>
      <formula>2</formula>
    </cfRule>
    <cfRule type="expression" dxfId="10671" priority="15328">
      <formula>AND(A92=B92,ISBLANK(F92))</formula>
    </cfRule>
  </conditionalFormatting>
  <conditionalFormatting sqref="F93">
    <cfRule type="cellIs" dxfId="10670" priority="15325" operator="notBetween">
      <formula>0</formula>
      <formula>2</formula>
    </cfRule>
    <cfRule type="expression" dxfId="10669" priority="15326">
      <formula>AND(A93=B93,ISBLANK(F93))</formula>
    </cfRule>
  </conditionalFormatting>
  <conditionalFormatting sqref="F94">
    <cfRule type="cellIs" dxfId="10668" priority="15323" operator="notBetween">
      <formula>0</formula>
      <formula>2</formula>
    </cfRule>
    <cfRule type="expression" dxfId="10667" priority="15324">
      <formula>AND(A94=B94,ISBLANK(F94))</formula>
    </cfRule>
  </conditionalFormatting>
  <conditionalFormatting sqref="F95">
    <cfRule type="cellIs" dxfId="10666" priority="15321" operator="notBetween">
      <formula>0</formula>
      <formula>2</formula>
    </cfRule>
    <cfRule type="expression" dxfId="10665" priority="15322">
      <formula>AND(A95=B95,ISBLANK(F95))</formula>
    </cfRule>
  </conditionalFormatting>
  <conditionalFormatting sqref="F96">
    <cfRule type="cellIs" dxfId="10664" priority="15319" operator="notBetween">
      <formula>0</formula>
      <formula>2</formula>
    </cfRule>
    <cfRule type="expression" dxfId="10663" priority="15320">
      <formula>AND(A96=B96,ISBLANK(F96))</formula>
    </cfRule>
  </conditionalFormatting>
  <conditionalFormatting sqref="F97">
    <cfRule type="cellIs" dxfId="10662" priority="15317" operator="notBetween">
      <formula>0</formula>
      <formula>2</formula>
    </cfRule>
    <cfRule type="expression" dxfId="10661" priority="15318">
      <formula>AND(A97=B97,ISBLANK(F97))</formula>
    </cfRule>
  </conditionalFormatting>
  <conditionalFormatting sqref="F98">
    <cfRule type="cellIs" dxfId="10660" priority="15315" operator="notBetween">
      <formula>0</formula>
      <formula>2</formula>
    </cfRule>
    <cfRule type="expression" dxfId="10659" priority="15316">
      <formula>AND(A98=B98,ISBLANK(F98))</formula>
    </cfRule>
  </conditionalFormatting>
  <conditionalFormatting sqref="F99">
    <cfRule type="cellIs" dxfId="10658" priority="15313" operator="notBetween">
      <formula>0</formula>
      <formula>2</formula>
    </cfRule>
    <cfRule type="expression" dxfId="10657" priority="15314">
      <formula>AND(A99=B99,ISBLANK(F99))</formula>
    </cfRule>
  </conditionalFormatting>
  <conditionalFormatting sqref="F100">
    <cfRule type="cellIs" dxfId="10656" priority="15311" operator="notBetween">
      <formula>0</formula>
      <formula>2</formula>
    </cfRule>
    <cfRule type="expression" dxfId="10655" priority="15312">
      <formula>AND(A100=B100,ISBLANK(F100))</formula>
    </cfRule>
  </conditionalFormatting>
  <conditionalFormatting sqref="F101">
    <cfRule type="cellIs" dxfId="10654" priority="15309" operator="notBetween">
      <formula>0</formula>
      <formula>2</formula>
    </cfRule>
    <cfRule type="expression" dxfId="10653" priority="15310">
      <formula>AND(A101=B101,ISBLANK(F101))</formula>
    </cfRule>
  </conditionalFormatting>
  <conditionalFormatting sqref="F102">
    <cfRule type="cellIs" dxfId="10652" priority="15307" operator="notBetween">
      <formula>0</formula>
      <formula>2</formula>
    </cfRule>
    <cfRule type="expression" dxfId="10651" priority="15308">
      <formula>AND(A102=B102,ISBLANK(F102))</formula>
    </cfRule>
  </conditionalFormatting>
  <conditionalFormatting sqref="F103">
    <cfRule type="cellIs" dxfId="10650" priority="15305" operator="notBetween">
      <formula>0</formula>
      <formula>2</formula>
    </cfRule>
    <cfRule type="expression" dxfId="10649" priority="15306">
      <formula>AND(A103=B103,ISBLANK(F103))</formula>
    </cfRule>
  </conditionalFormatting>
  <conditionalFormatting sqref="F104">
    <cfRule type="cellIs" dxfId="10648" priority="15303" operator="notBetween">
      <formula>0</formula>
      <formula>2</formula>
    </cfRule>
    <cfRule type="expression" dxfId="10647" priority="15304">
      <formula>AND(A104=B104,ISBLANK(F104))</formula>
    </cfRule>
  </conditionalFormatting>
  <conditionalFormatting sqref="F105">
    <cfRule type="cellIs" dxfId="10646" priority="15301" operator="notBetween">
      <formula>0</formula>
      <formula>2</formula>
    </cfRule>
    <cfRule type="expression" dxfId="10645" priority="15302">
      <formula>AND(A105=B105,ISBLANK(F105))</formula>
    </cfRule>
  </conditionalFormatting>
  <conditionalFormatting sqref="F106">
    <cfRule type="cellIs" dxfId="10644" priority="15299" operator="notBetween">
      <formula>0</formula>
      <formula>2</formula>
    </cfRule>
    <cfRule type="expression" dxfId="10643" priority="15300">
      <formula>AND(A106=B106,ISBLANK(F106))</formula>
    </cfRule>
  </conditionalFormatting>
  <conditionalFormatting sqref="F107">
    <cfRule type="cellIs" dxfId="10642" priority="15297" operator="notBetween">
      <formula>0</formula>
      <formula>2</formula>
    </cfRule>
    <cfRule type="expression" dxfId="10641" priority="15298">
      <formula>AND(A107=B107,ISBLANK(F107))</formula>
    </cfRule>
  </conditionalFormatting>
  <conditionalFormatting sqref="F108">
    <cfRule type="cellIs" dxfId="10640" priority="15295" operator="notBetween">
      <formula>0</formula>
      <formula>2</formula>
    </cfRule>
    <cfRule type="expression" dxfId="10639" priority="15296">
      <formula>AND(A108=B108,ISBLANK(F108))</formula>
    </cfRule>
  </conditionalFormatting>
  <conditionalFormatting sqref="F109">
    <cfRule type="cellIs" dxfId="10638" priority="15293" operator="notBetween">
      <formula>0</formula>
      <formula>2</formula>
    </cfRule>
    <cfRule type="expression" dxfId="10637" priority="15294">
      <formula>AND(A109=B109,ISBLANK(F109))</formula>
    </cfRule>
  </conditionalFormatting>
  <conditionalFormatting sqref="F110">
    <cfRule type="cellIs" dxfId="10636" priority="15291" operator="notBetween">
      <formula>0</formula>
      <formula>2</formula>
    </cfRule>
    <cfRule type="expression" dxfId="10635" priority="15292">
      <formula>AND(A110=B110,ISBLANK(F110))</formula>
    </cfRule>
  </conditionalFormatting>
  <conditionalFormatting sqref="F111">
    <cfRule type="cellIs" dxfId="10634" priority="15289" operator="notBetween">
      <formula>0</formula>
      <formula>2</formula>
    </cfRule>
    <cfRule type="expression" dxfId="10633" priority="15290">
      <formula>AND(A111=B111,ISBLANK(F111))</formula>
    </cfRule>
  </conditionalFormatting>
  <conditionalFormatting sqref="F112">
    <cfRule type="cellIs" dxfId="10632" priority="15287" operator="notBetween">
      <formula>0</formula>
      <formula>2</formula>
    </cfRule>
    <cfRule type="expression" dxfId="10631" priority="15288">
      <formula>AND(A112=B112,ISBLANK(F112))</formula>
    </cfRule>
  </conditionalFormatting>
  <conditionalFormatting sqref="F113">
    <cfRule type="cellIs" dxfId="10630" priority="15285" operator="notBetween">
      <formula>0</formula>
      <formula>2</formula>
    </cfRule>
    <cfRule type="expression" dxfId="10629" priority="15286">
      <formula>AND(A113=B113,ISBLANK(F113))</formula>
    </cfRule>
  </conditionalFormatting>
  <conditionalFormatting sqref="F114">
    <cfRule type="cellIs" dxfId="10628" priority="15283" operator="notBetween">
      <formula>0</formula>
      <formula>2</formula>
    </cfRule>
    <cfRule type="expression" dxfId="10627" priority="15284">
      <formula>AND(A114=B114,ISBLANK(F114))</formula>
    </cfRule>
  </conditionalFormatting>
  <conditionalFormatting sqref="F115">
    <cfRule type="cellIs" dxfId="10626" priority="15281" operator="notBetween">
      <formula>0</formula>
      <formula>2</formula>
    </cfRule>
    <cfRule type="expression" dxfId="10625" priority="15282">
      <formula>AND(A115=B115,ISBLANK(F115))</formula>
    </cfRule>
  </conditionalFormatting>
  <conditionalFormatting sqref="F116">
    <cfRule type="cellIs" dxfId="10624" priority="15279" operator="notBetween">
      <formula>0</formula>
      <formula>2</formula>
    </cfRule>
    <cfRule type="expression" dxfId="10623" priority="15280">
      <formula>AND(A116=B116,ISBLANK(F116))</formula>
    </cfRule>
  </conditionalFormatting>
  <conditionalFormatting sqref="F117">
    <cfRule type="cellIs" dxfId="10622" priority="15277" operator="notBetween">
      <formula>0</formula>
      <formula>2</formula>
    </cfRule>
    <cfRule type="expression" dxfId="10621" priority="15278">
      <formula>AND(A117=B117,ISBLANK(F117))</formula>
    </cfRule>
  </conditionalFormatting>
  <conditionalFormatting sqref="F118">
    <cfRule type="cellIs" dxfId="10620" priority="15275" operator="notBetween">
      <formula>0</formula>
      <formula>2</formula>
    </cfRule>
    <cfRule type="expression" dxfId="10619" priority="15276">
      <formula>AND(A118=B118,ISBLANK(F118))</formula>
    </cfRule>
  </conditionalFormatting>
  <conditionalFormatting sqref="F119">
    <cfRule type="cellIs" dxfId="10618" priority="15273" operator="notBetween">
      <formula>0</formula>
      <formula>2</formula>
    </cfRule>
    <cfRule type="expression" dxfId="10617" priority="15274">
      <formula>AND(A119=B119,ISBLANK(F119))</formula>
    </cfRule>
  </conditionalFormatting>
  <conditionalFormatting sqref="F120">
    <cfRule type="cellIs" dxfId="10616" priority="15271" operator="notBetween">
      <formula>0</formula>
      <formula>2</formula>
    </cfRule>
    <cfRule type="expression" dxfId="10615" priority="15272">
      <formula>AND(A120=B120,ISBLANK(F120))</formula>
    </cfRule>
  </conditionalFormatting>
  <conditionalFormatting sqref="F121">
    <cfRule type="cellIs" dxfId="10614" priority="15269" operator="notBetween">
      <formula>0</formula>
      <formula>2</formula>
    </cfRule>
    <cfRule type="expression" dxfId="10613" priority="15270">
      <formula>AND(A121=B121,ISBLANK(F121))</formula>
    </cfRule>
  </conditionalFormatting>
  <conditionalFormatting sqref="F122">
    <cfRule type="cellIs" dxfId="10612" priority="15267" operator="notBetween">
      <formula>0</formula>
      <formula>2</formula>
    </cfRule>
    <cfRule type="expression" dxfId="10611" priority="15268">
      <formula>AND(A122=B122,ISBLANK(F122))</formula>
    </cfRule>
  </conditionalFormatting>
  <conditionalFormatting sqref="F123">
    <cfRule type="cellIs" dxfId="10610" priority="15265" operator="notBetween">
      <formula>0</formula>
      <formula>2</formula>
    </cfRule>
    <cfRule type="expression" dxfId="10609" priority="15266">
      <formula>AND(A123=B123,ISBLANK(F123))</formula>
    </cfRule>
  </conditionalFormatting>
  <conditionalFormatting sqref="F124">
    <cfRule type="cellIs" dxfId="10608" priority="15263" operator="notBetween">
      <formula>0</formula>
      <formula>2</formula>
    </cfRule>
    <cfRule type="expression" dxfId="10607" priority="15264">
      <formula>AND(A124=B124,ISBLANK(F124))</formula>
    </cfRule>
  </conditionalFormatting>
  <conditionalFormatting sqref="F125">
    <cfRule type="cellIs" dxfId="10606" priority="15261" operator="notBetween">
      <formula>0</formula>
      <formula>2</formula>
    </cfRule>
    <cfRule type="expression" dxfId="10605" priority="15262">
      <formula>AND(A125=B125,ISBLANK(F125))</formula>
    </cfRule>
  </conditionalFormatting>
  <conditionalFormatting sqref="F126">
    <cfRule type="cellIs" dxfId="10604" priority="15259" operator="notBetween">
      <formula>0</formula>
      <formula>2</formula>
    </cfRule>
    <cfRule type="expression" dxfId="10603" priority="15260">
      <formula>AND(A126=B126,ISBLANK(F126))</formula>
    </cfRule>
  </conditionalFormatting>
  <conditionalFormatting sqref="F127">
    <cfRule type="cellIs" dxfId="10602" priority="15257" operator="notBetween">
      <formula>0</formula>
      <formula>2</formula>
    </cfRule>
    <cfRule type="expression" dxfId="10601" priority="15258">
      <formula>AND(A127=B127,ISBLANK(F127))</formula>
    </cfRule>
  </conditionalFormatting>
  <conditionalFormatting sqref="F128">
    <cfRule type="cellIs" dxfId="10600" priority="15255" operator="notBetween">
      <formula>0</formula>
      <formula>2</formula>
    </cfRule>
    <cfRule type="expression" dxfId="10599" priority="15256">
      <formula>AND(A128=B128,ISBLANK(F128))</formula>
    </cfRule>
  </conditionalFormatting>
  <conditionalFormatting sqref="F129">
    <cfRule type="cellIs" dxfId="10598" priority="15253" operator="notBetween">
      <formula>0</formula>
      <formula>2</formula>
    </cfRule>
    <cfRule type="expression" dxfId="10597" priority="15254">
      <formula>AND(A129=B129,ISBLANK(F129))</formula>
    </cfRule>
  </conditionalFormatting>
  <conditionalFormatting sqref="F130">
    <cfRule type="cellIs" dxfId="10596" priority="15251" operator="notBetween">
      <formula>0</formula>
      <formula>2</formula>
    </cfRule>
    <cfRule type="expression" dxfId="10595" priority="15252">
      <formula>AND(A130=B130,ISBLANK(F130))</formula>
    </cfRule>
  </conditionalFormatting>
  <conditionalFormatting sqref="F131">
    <cfRule type="cellIs" dxfId="10594" priority="15249" operator="notBetween">
      <formula>0</formula>
      <formula>2</formula>
    </cfRule>
    <cfRule type="expression" dxfId="10593" priority="15250">
      <formula>AND(A131=B131,ISBLANK(F131))</formula>
    </cfRule>
  </conditionalFormatting>
  <conditionalFormatting sqref="F132">
    <cfRule type="cellIs" dxfId="10592" priority="15247" operator="notBetween">
      <formula>0</formula>
      <formula>2</formula>
    </cfRule>
    <cfRule type="expression" dxfId="10591" priority="15248">
      <formula>AND(A132=B132,ISBLANK(F132))</formula>
    </cfRule>
  </conditionalFormatting>
  <conditionalFormatting sqref="F133">
    <cfRule type="cellIs" dxfId="10590" priority="15245" operator="notBetween">
      <formula>0</formula>
      <formula>2</formula>
    </cfRule>
    <cfRule type="expression" dxfId="10589" priority="15246">
      <formula>AND(A133=B133,ISBLANK(F133))</formula>
    </cfRule>
  </conditionalFormatting>
  <conditionalFormatting sqref="F134">
    <cfRule type="cellIs" dxfId="10588" priority="15243" operator="notBetween">
      <formula>0</formula>
      <formula>2</formula>
    </cfRule>
    <cfRule type="expression" dxfId="10587" priority="15244">
      <formula>AND(A134=B134,ISBLANK(F134))</formula>
    </cfRule>
  </conditionalFormatting>
  <conditionalFormatting sqref="F135">
    <cfRule type="cellIs" dxfId="10586" priority="15241" operator="notBetween">
      <formula>0</formula>
      <formula>2</formula>
    </cfRule>
    <cfRule type="expression" dxfId="10585" priority="15242">
      <formula>AND(A135=B135,ISBLANK(F135))</formula>
    </cfRule>
  </conditionalFormatting>
  <conditionalFormatting sqref="F136">
    <cfRule type="cellIs" dxfId="10584" priority="15239" operator="notBetween">
      <formula>0</formula>
      <formula>2</formula>
    </cfRule>
    <cfRule type="expression" dxfId="10583" priority="15240">
      <formula>AND(A136=B136,ISBLANK(F136))</formula>
    </cfRule>
  </conditionalFormatting>
  <conditionalFormatting sqref="F137">
    <cfRule type="cellIs" dxfId="10582" priority="15237" operator="notBetween">
      <formula>0</formula>
      <formula>2</formula>
    </cfRule>
    <cfRule type="expression" dxfId="10581" priority="15238">
      <formula>AND(A137=B137,ISBLANK(F137))</formula>
    </cfRule>
  </conditionalFormatting>
  <conditionalFormatting sqref="F138">
    <cfRule type="cellIs" dxfId="10580" priority="15235" operator="notBetween">
      <formula>0</formula>
      <formula>2</formula>
    </cfRule>
    <cfRule type="expression" dxfId="10579" priority="15236">
      <formula>AND(A138=B138,ISBLANK(F138))</formula>
    </cfRule>
  </conditionalFormatting>
  <conditionalFormatting sqref="F139">
    <cfRule type="cellIs" dxfId="10578" priority="15233" operator="notBetween">
      <formula>0</formula>
      <formula>2</formula>
    </cfRule>
    <cfRule type="expression" dxfId="10577" priority="15234">
      <formula>AND(A139=B139,ISBLANK(F139))</formula>
    </cfRule>
  </conditionalFormatting>
  <conditionalFormatting sqref="F140">
    <cfRule type="cellIs" dxfId="10576" priority="15231" operator="notBetween">
      <formula>0</formula>
      <formula>2</formula>
    </cfRule>
    <cfRule type="expression" dxfId="10575" priority="15232">
      <formula>AND(A140=B140,ISBLANK(F140))</formula>
    </cfRule>
  </conditionalFormatting>
  <conditionalFormatting sqref="F141">
    <cfRule type="cellIs" dxfId="10574" priority="15229" operator="notBetween">
      <formula>0</formula>
      <formula>2</formula>
    </cfRule>
    <cfRule type="expression" dxfId="10573" priority="15230">
      <formula>AND(A141=B141,ISBLANK(F141))</formula>
    </cfRule>
  </conditionalFormatting>
  <conditionalFormatting sqref="F142">
    <cfRule type="cellIs" dxfId="10572" priority="15227" operator="notBetween">
      <formula>0</formula>
      <formula>2</formula>
    </cfRule>
    <cfRule type="expression" dxfId="10571" priority="15228">
      <formula>AND(A142=B142,ISBLANK(F142))</formula>
    </cfRule>
  </conditionalFormatting>
  <conditionalFormatting sqref="F143">
    <cfRule type="cellIs" dxfId="10570" priority="15225" operator="notBetween">
      <formula>0</formula>
      <formula>2</formula>
    </cfRule>
    <cfRule type="expression" dxfId="10569" priority="15226">
      <formula>AND(A143=B143,ISBLANK(F143))</formula>
    </cfRule>
  </conditionalFormatting>
  <conditionalFormatting sqref="F144">
    <cfRule type="cellIs" dxfId="10568" priority="15223" operator="notBetween">
      <formula>0</formula>
      <formula>2</formula>
    </cfRule>
    <cfRule type="expression" dxfId="10567" priority="15224">
      <formula>AND(A144=B144,ISBLANK(F144))</formula>
    </cfRule>
  </conditionalFormatting>
  <conditionalFormatting sqref="F145">
    <cfRule type="cellIs" dxfId="10566" priority="15221" operator="notBetween">
      <formula>0</formula>
      <formula>2</formula>
    </cfRule>
    <cfRule type="expression" dxfId="10565" priority="15222">
      <formula>AND(A145=B145,ISBLANK(F145))</formula>
    </cfRule>
  </conditionalFormatting>
  <conditionalFormatting sqref="F146">
    <cfRule type="cellIs" dxfId="10564" priority="15219" operator="notBetween">
      <formula>0</formula>
      <formula>2</formula>
    </cfRule>
    <cfRule type="expression" dxfId="10563" priority="15220">
      <formula>AND(A146=B146,ISBLANK(F146))</formula>
    </cfRule>
  </conditionalFormatting>
  <conditionalFormatting sqref="F147">
    <cfRule type="cellIs" dxfId="10562" priority="15217" operator="notBetween">
      <formula>0</formula>
      <formula>2</formula>
    </cfRule>
    <cfRule type="expression" dxfId="10561" priority="15218">
      <formula>AND(A147=B147,ISBLANK(F147))</formula>
    </cfRule>
  </conditionalFormatting>
  <conditionalFormatting sqref="F148">
    <cfRule type="cellIs" dxfId="10560" priority="15215" operator="notBetween">
      <formula>0</formula>
      <formula>2</formula>
    </cfRule>
    <cfRule type="expression" dxfId="10559" priority="15216">
      <formula>AND(A148=B148,ISBLANK(F148))</formula>
    </cfRule>
  </conditionalFormatting>
  <conditionalFormatting sqref="F149">
    <cfRule type="cellIs" dxfId="10558" priority="15213" operator="notBetween">
      <formula>0</formula>
      <formula>2</formula>
    </cfRule>
    <cfRule type="expression" dxfId="10557" priority="15214">
      <formula>AND(A149=B149,ISBLANK(F149))</formula>
    </cfRule>
  </conditionalFormatting>
  <conditionalFormatting sqref="F150">
    <cfRule type="cellIs" dxfId="10556" priority="15211" operator="notBetween">
      <formula>0</formula>
      <formula>2</formula>
    </cfRule>
    <cfRule type="expression" dxfId="10555" priority="15212">
      <formula>AND(A150=B150,ISBLANK(F150))</formula>
    </cfRule>
  </conditionalFormatting>
  <conditionalFormatting sqref="F151">
    <cfRule type="cellIs" dxfId="10554" priority="15209" operator="notBetween">
      <formula>0</formula>
      <formula>2</formula>
    </cfRule>
    <cfRule type="expression" dxfId="10553" priority="15210">
      <formula>AND(A151=B151,ISBLANK(F151))</formula>
    </cfRule>
  </conditionalFormatting>
  <conditionalFormatting sqref="F152">
    <cfRule type="cellIs" dxfId="10552" priority="15207" operator="notBetween">
      <formula>0</formula>
      <formula>2</formula>
    </cfRule>
    <cfRule type="expression" dxfId="10551" priority="15208">
      <formula>AND(A152=B152,ISBLANK(F152))</formula>
    </cfRule>
  </conditionalFormatting>
  <conditionalFormatting sqref="F153">
    <cfRule type="cellIs" dxfId="10550" priority="15205" operator="notBetween">
      <formula>0</formula>
      <formula>2</formula>
    </cfRule>
    <cfRule type="expression" dxfId="10549" priority="15206">
      <formula>AND(A153=B153,ISBLANK(F153))</formula>
    </cfRule>
  </conditionalFormatting>
  <conditionalFormatting sqref="F154">
    <cfRule type="cellIs" dxfId="10548" priority="15203" operator="notBetween">
      <formula>0</formula>
      <formula>2</formula>
    </cfRule>
    <cfRule type="expression" dxfId="10547" priority="15204">
      <formula>AND(A154=B154,ISBLANK(F154))</formula>
    </cfRule>
  </conditionalFormatting>
  <conditionalFormatting sqref="F155">
    <cfRule type="cellIs" dxfId="10546" priority="15201" operator="notBetween">
      <formula>0</formula>
      <formula>2</formula>
    </cfRule>
    <cfRule type="expression" dxfId="10545" priority="15202">
      <formula>AND(A155=B155,ISBLANK(F155))</formula>
    </cfRule>
  </conditionalFormatting>
  <conditionalFormatting sqref="F156">
    <cfRule type="cellIs" dxfId="10544" priority="15199" operator="notBetween">
      <formula>0</formula>
      <formula>2</formula>
    </cfRule>
    <cfRule type="expression" dxfId="10543" priority="15200">
      <formula>AND(A156=B156,ISBLANK(F156))</formula>
    </cfRule>
  </conditionalFormatting>
  <conditionalFormatting sqref="F157">
    <cfRule type="cellIs" dxfId="10542" priority="15197" operator="notBetween">
      <formula>0</formula>
      <formula>2</formula>
    </cfRule>
    <cfRule type="expression" dxfId="10541" priority="15198">
      <formula>AND(A157=B157,ISBLANK(F157))</formula>
    </cfRule>
  </conditionalFormatting>
  <conditionalFormatting sqref="F158">
    <cfRule type="cellIs" dxfId="10540" priority="15195" operator="notBetween">
      <formula>0</formula>
      <formula>2</formula>
    </cfRule>
    <cfRule type="expression" dxfId="10539" priority="15196">
      <formula>AND(A158=B158,ISBLANK(F158))</formula>
    </cfRule>
  </conditionalFormatting>
  <conditionalFormatting sqref="F159">
    <cfRule type="cellIs" dxfId="10538" priority="15193" operator="notBetween">
      <formula>0</formula>
      <formula>2</formula>
    </cfRule>
    <cfRule type="expression" dxfId="10537" priority="15194">
      <formula>AND(A159=B159,ISBLANK(F159))</formula>
    </cfRule>
  </conditionalFormatting>
  <conditionalFormatting sqref="F160">
    <cfRule type="cellIs" dxfId="10536" priority="15191" operator="notBetween">
      <formula>0</formula>
      <formula>2</formula>
    </cfRule>
    <cfRule type="expression" dxfId="10535" priority="15192">
      <formula>AND(A160=B160,ISBLANK(F160))</formula>
    </cfRule>
  </conditionalFormatting>
  <conditionalFormatting sqref="F161">
    <cfRule type="cellIs" dxfId="10534" priority="15189" operator="notBetween">
      <formula>0</formula>
      <formula>2</formula>
    </cfRule>
    <cfRule type="expression" dxfId="10533" priority="15190">
      <formula>AND(A161=B161,ISBLANK(F161))</formula>
    </cfRule>
  </conditionalFormatting>
  <conditionalFormatting sqref="F162">
    <cfRule type="cellIs" dxfId="10532" priority="15187" operator="notBetween">
      <formula>0</formula>
      <formula>2</formula>
    </cfRule>
    <cfRule type="expression" dxfId="10531" priority="15188">
      <formula>AND(A162=B162,ISBLANK(F162))</formula>
    </cfRule>
  </conditionalFormatting>
  <conditionalFormatting sqref="F163">
    <cfRule type="cellIs" dxfId="10530" priority="15185" operator="notBetween">
      <formula>0</formula>
      <formula>2</formula>
    </cfRule>
    <cfRule type="expression" dxfId="10529" priority="15186">
      <formula>AND(A163=B163,ISBLANK(F163))</formula>
    </cfRule>
  </conditionalFormatting>
  <conditionalFormatting sqref="F164">
    <cfRule type="cellIs" dxfId="10528" priority="15183" operator="notBetween">
      <formula>0</formula>
      <formula>2</formula>
    </cfRule>
    <cfRule type="expression" dxfId="10527" priority="15184">
      <formula>AND(A164=B164,ISBLANK(F164))</formula>
    </cfRule>
  </conditionalFormatting>
  <conditionalFormatting sqref="F165">
    <cfRule type="cellIs" dxfId="10526" priority="15181" operator="notBetween">
      <formula>0</formula>
      <formula>2</formula>
    </cfRule>
    <cfRule type="expression" dxfId="10525" priority="15182">
      <formula>AND(A165=B165,ISBLANK(F165))</formula>
    </cfRule>
  </conditionalFormatting>
  <conditionalFormatting sqref="F166">
    <cfRule type="cellIs" dxfId="10524" priority="15179" operator="notBetween">
      <formula>0</formula>
      <formula>2</formula>
    </cfRule>
    <cfRule type="expression" dxfId="10523" priority="15180">
      <formula>AND(A166=B166,ISBLANK(F166))</formula>
    </cfRule>
  </conditionalFormatting>
  <conditionalFormatting sqref="F167">
    <cfRule type="cellIs" dxfId="10522" priority="15177" operator="notBetween">
      <formula>0</formula>
      <formula>2</formula>
    </cfRule>
    <cfRule type="expression" dxfId="10521" priority="15178">
      <formula>AND(A167=B167,ISBLANK(F167))</formula>
    </cfRule>
  </conditionalFormatting>
  <conditionalFormatting sqref="F168">
    <cfRule type="cellIs" dxfId="10520" priority="15175" operator="notBetween">
      <formula>0</formula>
      <formula>2</formula>
    </cfRule>
    <cfRule type="expression" dxfId="10519" priority="15176">
      <formula>AND(A168=B168,ISBLANK(F168))</formula>
    </cfRule>
  </conditionalFormatting>
  <conditionalFormatting sqref="G66">
    <cfRule type="expression" dxfId="10518" priority="15173">
      <formula>AND(A66=B66,ISBLANK(G66))</formula>
    </cfRule>
    <cfRule type="cellIs" dxfId="10517" priority="15174" operator="notBetween">
      <formula>0</formula>
      <formula>2</formula>
    </cfRule>
  </conditionalFormatting>
  <conditionalFormatting sqref="G67">
    <cfRule type="expression" dxfId="10516" priority="15171">
      <formula>AND(A67=B67,ISBLANK(G67))</formula>
    </cfRule>
    <cfRule type="cellIs" dxfId="10515" priority="15172" operator="notBetween">
      <formula>0</formula>
      <formula>2</formula>
    </cfRule>
  </conditionalFormatting>
  <conditionalFormatting sqref="G68">
    <cfRule type="expression" dxfId="10514" priority="15169">
      <formula>AND(A68=B68,ISBLANK(G68))</formula>
    </cfRule>
    <cfRule type="cellIs" dxfId="10513" priority="15170" operator="notBetween">
      <formula>0</formula>
      <formula>2</formula>
    </cfRule>
  </conditionalFormatting>
  <conditionalFormatting sqref="G69">
    <cfRule type="expression" dxfId="10512" priority="15167">
      <formula>AND(A69=B69,ISBLANK(G69))</formula>
    </cfRule>
    <cfRule type="cellIs" dxfId="10511" priority="15168" operator="notBetween">
      <formula>0</formula>
      <formula>2</formula>
    </cfRule>
  </conditionalFormatting>
  <conditionalFormatting sqref="G70">
    <cfRule type="expression" dxfId="10510" priority="15165">
      <formula>AND(A70=B70,ISBLANK(G70))</formula>
    </cfRule>
    <cfRule type="cellIs" dxfId="10509" priority="15166" operator="notBetween">
      <formula>0</formula>
      <formula>2</formula>
    </cfRule>
  </conditionalFormatting>
  <conditionalFormatting sqref="G71">
    <cfRule type="expression" dxfId="10508" priority="15163">
      <formula>AND(A71=B71,ISBLANK(G71))</formula>
    </cfRule>
    <cfRule type="cellIs" dxfId="10507" priority="15164" operator="notBetween">
      <formula>0</formula>
      <formula>2</formula>
    </cfRule>
  </conditionalFormatting>
  <conditionalFormatting sqref="G72">
    <cfRule type="expression" dxfId="10506" priority="15161">
      <formula>AND(A72=B72,ISBLANK(G72))</formula>
    </cfRule>
    <cfRule type="cellIs" dxfId="10505" priority="15162" operator="notBetween">
      <formula>0</formula>
      <formula>2</formula>
    </cfRule>
  </conditionalFormatting>
  <conditionalFormatting sqref="G73">
    <cfRule type="expression" dxfId="10504" priority="15159">
      <formula>AND(A73=B73,ISBLANK(G73))</formula>
    </cfRule>
    <cfRule type="cellIs" dxfId="10503" priority="15160" operator="notBetween">
      <formula>0</formula>
      <formula>2</formula>
    </cfRule>
  </conditionalFormatting>
  <conditionalFormatting sqref="G74">
    <cfRule type="expression" dxfId="10502" priority="15157">
      <formula>AND(A74=B74,ISBLANK(G74))</formula>
    </cfRule>
    <cfRule type="cellIs" dxfId="10501" priority="15158" operator="notBetween">
      <formula>0</formula>
      <formula>2</formula>
    </cfRule>
  </conditionalFormatting>
  <conditionalFormatting sqref="G75">
    <cfRule type="expression" dxfId="10500" priority="15155">
      <formula>AND(A75=B75,ISBLANK(G75))</formula>
    </cfRule>
    <cfRule type="cellIs" dxfId="10499" priority="15156" operator="notBetween">
      <formula>0</formula>
      <formula>2</formula>
    </cfRule>
  </conditionalFormatting>
  <conditionalFormatting sqref="G76">
    <cfRule type="expression" dxfId="10498" priority="15153">
      <formula>AND(A76=B76,ISBLANK(G76))</formula>
    </cfRule>
    <cfRule type="cellIs" dxfId="10497" priority="15154" operator="notBetween">
      <formula>0</formula>
      <formula>2</formula>
    </cfRule>
  </conditionalFormatting>
  <conditionalFormatting sqref="G77">
    <cfRule type="expression" dxfId="10496" priority="15151">
      <formula>AND(A77=B77,ISBLANK(G77))</formula>
    </cfRule>
    <cfRule type="cellIs" dxfId="10495" priority="15152" operator="notBetween">
      <formula>0</formula>
      <formula>2</formula>
    </cfRule>
  </conditionalFormatting>
  <conditionalFormatting sqref="G78">
    <cfRule type="expression" dxfId="10494" priority="15149">
      <formula>AND(A78=B78,ISBLANK(G78))</formula>
    </cfRule>
    <cfRule type="cellIs" dxfId="10493" priority="15150" operator="notBetween">
      <formula>0</formula>
      <formula>2</formula>
    </cfRule>
  </conditionalFormatting>
  <conditionalFormatting sqref="G79">
    <cfRule type="expression" dxfId="10492" priority="15147">
      <formula>AND(A79=B79,ISBLANK(G79))</formula>
    </cfRule>
    <cfRule type="cellIs" dxfId="10491" priority="15148" operator="notBetween">
      <formula>0</formula>
      <formula>2</formula>
    </cfRule>
  </conditionalFormatting>
  <conditionalFormatting sqref="G80">
    <cfRule type="expression" dxfId="10490" priority="15145">
      <formula>AND(A80=B80,ISBLANK(G80))</formula>
    </cfRule>
    <cfRule type="cellIs" dxfId="10489" priority="15146" operator="notBetween">
      <formula>0</formula>
      <formula>2</formula>
    </cfRule>
  </conditionalFormatting>
  <conditionalFormatting sqref="G81">
    <cfRule type="expression" dxfId="10488" priority="15143">
      <formula>AND(A81=B81,ISBLANK(G81))</formula>
    </cfRule>
    <cfRule type="cellIs" dxfId="10487" priority="15144" operator="notBetween">
      <formula>0</formula>
      <formula>2</formula>
    </cfRule>
  </conditionalFormatting>
  <conditionalFormatting sqref="G82">
    <cfRule type="expression" dxfId="10486" priority="15141">
      <formula>AND(A82=B82,ISBLANK(G82))</formula>
    </cfRule>
    <cfRule type="cellIs" dxfId="10485" priority="15142" operator="notBetween">
      <formula>0</formula>
      <formula>2</formula>
    </cfRule>
  </conditionalFormatting>
  <conditionalFormatting sqref="G83">
    <cfRule type="expression" dxfId="10484" priority="15139">
      <formula>AND(A83=B83,ISBLANK(G83))</formula>
    </cfRule>
    <cfRule type="cellIs" dxfId="10483" priority="15140" operator="notBetween">
      <formula>0</formula>
      <formula>2</formula>
    </cfRule>
  </conditionalFormatting>
  <conditionalFormatting sqref="G84">
    <cfRule type="expression" dxfId="10482" priority="15137">
      <formula>AND(A84=B84,ISBLANK(G84))</formula>
    </cfRule>
    <cfRule type="cellIs" dxfId="10481" priority="15138" operator="notBetween">
      <formula>0</formula>
      <formula>2</formula>
    </cfRule>
  </conditionalFormatting>
  <conditionalFormatting sqref="G85">
    <cfRule type="expression" dxfId="10480" priority="15135">
      <formula>AND(A85=B85,ISBLANK(G85))</formula>
    </cfRule>
    <cfRule type="cellIs" dxfId="10479" priority="15136" operator="notBetween">
      <formula>0</formula>
      <formula>2</formula>
    </cfRule>
  </conditionalFormatting>
  <conditionalFormatting sqref="G86">
    <cfRule type="expression" dxfId="10478" priority="15133">
      <formula>AND(A86=B86,ISBLANK(G86))</formula>
    </cfRule>
    <cfRule type="cellIs" dxfId="10477" priority="15134" operator="notBetween">
      <formula>0</formula>
      <formula>2</formula>
    </cfRule>
  </conditionalFormatting>
  <conditionalFormatting sqref="G87">
    <cfRule type="expression" dxfId="10476" priority="15131">
      <formula>AND(A87=B87,ISBLANK(G87))</formula>
    </cfRule>
    <cfRule type="cellIs" dxfId="10475" priority="15132" operator="notBetween">
      <formula>0</formula>
      <formula>2</formula>
    </cfRule>
  </conditionalFormatting>
  <conditionalFormatting sqref="G88">
    <cfRule type="expression" dxfId="10474" priority="15129">
      <formula>AND(A88=B88,ISBLANK(G88))</formula>
    </cfRule>
    <cfRule type="cellIs" dxfId="10473" priority="15130" operator="notBetween">
      <formula>0</formula>
      <formula>2</formula>
    </cfRule>
  </conditionalFormatting>
  <conditionalFormatting sqref="G89">
    <cfRule type="expression" dxfId="10472" priority="15127">
      <formula>AND(A89=B89,ISBLANK(G89))</formula>
    </cfRule>
    <cfRule type="cellIs" dxfId="10471" priority="15128" operator="notBetween">
      <formula>0</formula>
      <formula>2</formula>
    </cfRule>
  </conditionalFormatting>
  <conditionalFormatting sqref="G90">
    <cfRule type="expression" dxfId="10470" priority="15125">
      <formula>AND(A90=B90,ISBLANK(G90))</formula>
    </cfRule>
    <cfRule type="cellIs" dxfId="10469" priority="15126" operator="notBetween">
      <formula>0</formula>
      <formula>2</formula>
    </cfRule>
  </conditionalFormatting>
  <conditionalFormatting sqref="G91">
    <cfRule type="expression" dxfId="10468" priority="15123">
      <formula>AND(A91=B91,ISBLANK(G91))</formula>
    </cfRule>
    <cfRule type="cellIs" dxfId="10467" priority="15124" operator="notBetween">
      <formula>0</formula>
      <formula>2</formula>
    </cfRule>
  </conditionalFormatting>
  <conditionalFormatting sqref="G92">
    <cfRule type="expression" dxfId="10466" priority="15121">
      <formula>AND(A92=B92,ISBLANK(G92))</formula>
    </cfRule>
    <cfRule type="cellIs" dxfId="10465" priority="15122" operator="notBetween">
      <formula>0</formula>
      <formula>2</formula>
    </cfRule>
  </conditionalFormatting>
  <conditionalFormatting sqref="G93">
    <cfRule type="expression" dxfId="10464" priority="15119">
      <formula>AND(A93=B93,ISBLANK(G93))</formula>
    </cfRule>
    <cfRule type="cellIs" dxfId="10463" priority="15120" operator="notBetween">
      <formula>0</formula>
      <formula>2</formula>
    </cfRule>
  </conditionalFormatting>
  <conditionalFormatting sqref="G94">
    <cfRule type="expression" dxfId="10462" priority="15117">
      <formula>AND(A94=B94,ISBLANK(G94))</formula>
    </cfRule>
    <cfRule type="cellIs" dxfId="10461" priority="15118" operator="notBetween">
      <formula>0</formula>
      <formula>2</formula>
    </cfRule>
  </conditionalFormatting>
  <conditionalFormatting sqref="G95">
    <cfRule type="expression" dxfId="10460" priority="15115">
      <formula>AND(A95=B95,ISBLANK(G95))</formula>
    </cfRule>
    <cfRule type="cellIs" dxfId="10459" priority="15116" operator="notBetween">
      <formula>0</formula>
      <formula>2</formula>
    </cfRule>
  </conditionalFormatting>
  <conditionalFormatting sqref="G96">
    <cfRule type="expression" dxfId="10458" priority="15113">
      <formula>AND(A96=B96,ISBLANK(G96))</formula>
    </cfRule>
    <cfRule type="cellIs" dxfId="10457" priority="15114" operator="notBetween">
      <formula>0</formula>
      <formula>2</formula>
    </cfRule>
  </conditionalFormatting>
  <conditionalFormatting sqref="G97">
    <cfRule type="expression" dxfId="10456" priority="15111">
      <formula>AND(A97=B97,ISBLANK(G97))</formula>
    </cfRule>
    <cfRule type="cellIs" dxfId="10455" priority="15112" operator="notBetween">
      <formula>0</formula>
      <formula>2</formula>
    </cfRule>
  </conditionalFormatting>
  <conditionalFormatting sqref="G98">
    <cfRule type="expression" dxfId="10454" priority="15109">
      <formula>AND(A98=B98,ISBLANK(G98))</formula>
    </cfRule>
    <cfRule type="cellIs" dxfId="10453" priority="15110" operator="notBetween">
      <formula>0</formula>
      <formula>2</formula>
    </cfRule>
  </conditionalFormatting>
  <conditionalFormatting sqref="G99">
    <cfRule type="expression" dxfId="10452" priority="15107">
      <formula>AND(A99=B99,ISBLANK(G99))</formula>
    </cfRule>
    <cfRule type="cellIs" dxfId="10451" priority="15108" operator="notBetween">
      <formula>0</formula>
      <formula>2</formula>
    </cfRule>
  </conditionalFormatting>
  <conditionalFormatting sqref="G100">
    <cfRule type="expression" dxfId="10450" priority="15105">
      <formula>AND(A100=B100,ISBLANK(G100))</formula>
    </cfRule>
    <cfRule type="cellIs" dxfId="10449" priority="15106" operator="notBetween">
      <formula>0</formula>
      <formula>2</formula>
    </cfRule>
  </conditionalFormatting>
  <conditionalFormatting sqref="G101">
    <cfRule type="expression" dxfId="10448" priority="15103">
      <formula>AND(A101=B101,ISBLANK(G101))</formula>
    </cfRule>
    <cfRule type="cellIs" dxfId="10447" priority="15104" operator="notBetween">
      <formula>0</formula>
      <formula>2</formula>
    </cfRule>
  </conditionalFormatting>
  <conditionalFormatting sqref="G102">
    <cfRule type="expression" dxfId="10446" priority="15101">
      <formula>AND(A102=B102,ISBLANK(G102))</formula>
    </cfRule>
    <cfRule type="cellIs" dxfId="10445" priority="15102" operator="notBetween">
      <formula>0</formula>
      <formula>2</formula>
    </cfRule>
  </conditionalFormatting>
  <conditionalFormatting sqref="G103">
    <cfRule type="expression" dxfId="10444" priority="15099">
      <formula>AND(A103=B103,ISBLANK(G103))</formula>
    </cfRule>
    <cfRule type="cellIs" dxfId="10443" priority="15100" operator="notBetween">
      <formula>0</formula>
      <formula>2</formula>
    </cfRule>
  </conditionalFormatting>
  <conditionalFormatting sqref="G104">
    <cfRule type="expression" dxfId="10442" priority="15097">
      <formula>AND(A104=B104,ISBLANK(G104))</formula>
    </cfRule>
    <cfRule type="cellIs" dxfId="10441" priority="15098" operator="notBetween">
      <formula>0</formula>
      <formula>2</formula>
    </cfRule>
  </conditionalFormatting>
  <conditionalFormatting sqref="G105">
    <cfRule type="expression" dxfId="10440" priority="15095">
      <formula>AND(A105=B105,ISBLANK(G105))</formula>
    </cfRule>
    <cfRule type="cellIs" dxfId="10439" priority="15096" operator="notBetween">
      <formula>0</formula>
      <formula>2</formula>
    </cfRule>
  </conditionalFormatting>
  <conditionalFormatting sqref="G106">
    <cfRule type="expression" dxfId="10438" priority="15093">
      <formula>AND(A106=B106,ISBLANK(G106))</formula>
    </cfRule>
    <cfRule type="cellIs" dxfId="10437" priority="15094" operator="notBetween">
      <formula>0</formula>
      <formula>2</formula>
    </cfRule>
  </conditionalFormatting>
  <conditionalFormatting sqref="G107">
    <cfRule type="expression" dxfId="10436" priority="15091">
      <formula>AND(A107=B107,ISBLANK(G107))</formula>
    </cfRule>
    <cfRule type="cellIs" dxfId="10435" priority="15092" operator="notBetween">
      <formula>0</formula>
      <formula>2</formula>
    </cfRule>
  </conditionalFormatting>
  <conditionalFormatting sqref="G108">
    <cfRule type="expression" dxfId="10434" priority="15089">
      <formula>AND(A108=B108,ISBLANK(G108))</formula>
    </cfRule>
    <cfRule type="cellIs" dxfId="10433" priority="15090" operator="notBetween">
      <formula>0</formula>
      <formula>2</formula>
    </cfRule>
  </conditionalFormatting>
  <conditionalFormatting sqref="G109">
    <cfRule type="expression" dxfId="10432" priority="15087">
      <formula>AND(A109=B109,ISBLANK(G109))</formula>
    </cfRule>
    <cfRule type="cellIs" dxfId="10431" priority="15088" operator="notBetween">
      <formula>0</formula>
      <formula>2</formula>
    </cfRule>
  </conditionalFormatting>
  <conditionalFormatting sqref="G110">
    <cfRule type="expression" dxfId="10430" priority="15085">
      <formula>AND(A110=B110,ISBLANK(G110))</formula>
    </cfRule>
    <cfRule type="cellIs" dxfId="10429" priority="15086" operator="notBetween">
      <formula>0</formula>
      <formula>2</formula>
    </cfRule>
  </conditionalFormatting>
  <conditionalFormatting sqref="G111">
    <cfRule type="expression" dxfId="10428" priority="15083">
      <formula>AND(A111=B111,ISBLANK(G111))</formula>
    </cfRule>
    <cfRule type="cellIs" dxfId="10427" priority="15084" operator="notBetween">
      <formula>0</formula>
      <formula>2</formula>
    </cfRule>
  </conditionalFormatting>
  <conditionalFormatting sqref="G112">
    <cfRule type="expression" dxfId="10426" priority="15081">
      <formula>AND(A112=B112,ISBLANK(G112))</formula>
    </cfRule>
    <cfRule type="cellIs" dxfId="10425" priority="15082" operator="notBetween">
      <formula>0</formula>
      <formula>2</formula>
    </cfRule>
  </conditionalFormatting>
  <conditionalFormatting sqref="G113">
    <cfRule type="expression" dxfId="10424" priority="15079">
      <formula>AND(A113=B113,ISBLANK(G113))</formula>
    </cfRule>
    <cfRule type="cellIs" dxfId="10423" priority="15080" operator="notBetween">
      <formula>0</formula>
      <formula>2</formula>
    </cfRule>
  </conditionalFormatting>
  <conditionalFormatting sqref="G114">
    <cfRule type="expression" dxfId="10422" priority="15077">
      <formula>AND(A114=B114,ISBLANK(G114))</formula>
    </cfRule>
    <cfRule type="cellIs" dxfId="10421" priority="15078" operator="notBetween">
      <formula>0</formula>
      <formula>2</formula>
    </cfRule>
  </conditionalFormatting>
  <conditionalFormatting sqref="G115">
    <cfRule type="expression" dxfId="10420" priority="15075">
      <formula>AND(A115=B115,ISBLANK(G115))</formula>
    </cfRule>
    <cfRule type="cellIs" dxfId="10419" priority="15076" operator="notBetween">
      <formula>0</formula>
      <formula>2</formula>
    </cfRule>
  </conditionalFormatting>
  <conditionalFormatting sqref="G116">
    <cfRule type="expression" dxfId="10418" priority="15073">
      <formula>AND(A116=B116,ISBLANK(G116))</formula>
    </cfRule>
    <cfRule type="cellIs" dxfId="10417" priority="15074" operator="notBetween">
      <formula>0</formula>
      <formula>2</formula>
    </cfRule>
  </conditionalFormatting>
  <conditionalFormatting sqref="G117">
    <cfRule type="expression" dxfId="10416" priority="15071">
      <formula>AND(A117=B117,ISBLANK(G117))</formula>
    </cfRule>
    <cfRule type="cellIs" dxfId="10415" priority="15072" operator="notBetween">
      <formula>0</formula>
      <formula>2</formula>
    </cfRule>
  </conditionalFormatting>
  <conditionalFormatting sqref="G118">
    <cfRule type="expression" dxfId="10414" priority="15069">
      <formula>AND(A118=B118,ISBLANK(G118))</formula>
    </cfRule>
    <cfRule type="cellIs" dxfId="10413" priority="15070" operator="notBetween">
      <formula>0</formula>
      <formula>2</formula>
    </cfRule>
  </conditionalFormatting>
  <conditionalFormatting sqref="G119">
    <cfRule type="expression" dxfId="10412" priority="15067">
      <formula>AND(A119=B119,ISBLANK(G119))</formula>
    </cfRule>
    <cfRule type="cellIs" dxfId="10411" priority="15068" operator="notBetween">
      <formula>0</formula>
      <formula>2</formula>
    </cfRule>
  </conditionalFormatting>
  <conditionalFormatting sqref="G120">
    <cfRule type="expression" dxfId="10410" priority="15065">
      <formula>AND(A120=B120,ISBLANK(G120))</formula>
    </cfRule>
    <cfRule type="cellIs" dxfId="10409" priority="15066" operator="notBetween">
      <formula>0</formula>
      <formula>2</formula>
    </cfRule>
  </conditionalFormatting>
  <conditionalFormatting sqref="G121">
    <cfRule type="expression" dxfId="10408" priority="15063">
      <formula>AND(A121=B121,ISBLANK(G121))</formula>
    </cfRule>
    <cfRule type="cellIs" dxfId="10407" priority="15064" operator="notBetween">
      <formula>0</formula>
      <formula>2</formula>
    </cfRule>
  </conditionalFormatting>
  <conditionalFormatting sqref="G122">
    <cfRule type="expression" dxfId="10406" priority="15061">
      <formula>AND(A122=B122,ISBLANK(G122))</formula>
    </cfRule>
    <cfRule type="cellIs" dxfId="10405" priority="15062" operator="notBetween">
      <formula>0</formula>
      <formula>2</formula>
    </cfRule>
  </conditionalFormatting>
  <conditionalFormatting sqref="G123">
    <cfRule type="expression" dxfId="10404" priority="15059">
      <formula>AND(A123=B123,ISBLANK(G123))</formula>
    </cfRule>
    <cfRule type="cellIs" dxfId="10403" priority="15060" operator="notBetween">
      <formula>0</formula>
      <formula>2</formula>
    </cfRule>
  </conditionalFormatting>
  <conditionalFormatting sqref="G124">
    <cfRule type="expression" dxfId="10402" priority="15057">
      <formula>AND(A124=B124,ISBLANK(G124))</formula>
    </cfRule>
    <cfRule type="cellIs" dxfId="10401" priority="15058" operator="notBetween">
      <formula>0</formula>
      <formula>2</formula>
    </cfRule>
  </conditionalFormatting>
  <conditionalFormatting sqref="G125">
    <cfRule type="expression" dxfId="10400" priority="15055">
      <formula>AND(A125=B125,ISBLANK(G125))</formula>
    </cfRule>
    <cfRule type="cellIs" dxfId="10399" priority="15056" operator="notBetween">
      <formula>0</formula>
      <formula>2</formula>
    </cfRule>
  </conditionalFormatting>
  <conditionalFormatting sqref="G126">
    <cfRule type="expression" dxfId="10398" priority="15053">
      <formula>AND(A126=B126,ISBLANK(G126))</formula>
    </cfRule>
    <cfRule type="cellIs" dxfId="10397" priority="15054" operator="notBetween">
      <formula>0</formula>
      <formula>2</formula>
    </cfRule>
  </conditionalFormatting>
  <conditionalFormatting sqref="G127">
    <cfRule type="expression" dxfId="10396" priority="15051">
      <formula>AND(A127=B127,ISBLANK(G127))</formula>
    </cfRule>
    <cfRule type="cellIs" dxfId="10395" priority="15052" operator="notBetween">
      <formula>0</formula>
      <formula>2</formula>
    </cfRule>
  </conditionalFormatting>
  <conditionalFormatting sqref="G128">
    <cfRule type="expression" dxfId="10394" priority="15049">
      <formula>AND(A128=B128,ISBLANK(G128))</formula>
    </cfRule>
    <cfRule type="cellIs" dxfId="10393" priority="15050" operator="notBetween">
      <formula>0</formula>
      <formula>2</formula>
    </cfRule>
  </conditionalFormatting>
  <conditionalFormatting sqref="G129">
    <cfRule type="expression" dxfId="10392" priority="15047">
      <formula>AND(A129=B129,ISBLANK(G129))</formula>
    </cfRule>
    <cfRule type="cellIs" dxfId="10391" priority="15048" operator="notBetween">
      <formula>0</formula>
      <formula>2</formula>
    </cfRule>
  </conditionalFormatting>
  <conditionalFormatting sqref="G130">
    <cfRule type="expression" dxfId="10390" priority="15045">
      <formula>AND(A130=B130,ISBLANK(G130))</formula>
    </cfRule>
    <cfRule type="cellIs" dxfId="10389" priority="15046" operator="notBetween">
      <formula>0</formula>
      <formula>2</formula>
    </cfRule>
  </conditionalFormatting>
  <conditionalFormatting sqref="G131">
    <cfRule type="expression" dxfId="10388" priority="15043">
      <formula>AND(A131=B131,ISBLANK(G131))</formula>
    </cfRule>
    <cfRule type="cellIs" dxfId="10387" priority="15044" operator="notBetween">
      <formula>0</formula>
      <formula>2</formula>
    </cfRule>
  </conditionalFormatting>
  <conditionalFormatting sqref="G132">
    <cfRule type="expression" dxfId="10386" priority="15041">
      <formula>AND(A132=B132,ISBLANK(G132))</formula>
    </cfRule>
    <cfRule type="cellIs" dxfId="10385" priority="15042" operator="notBetween">
      <formula>0</formula>
      <formula>2</formula>
    </cfRule>
  </conditionalFormatting>
  <conditionalFormatting sqref="G133">
    <cfRule type="expression" dxfId="10384" priority="15039">
      <formula>AND(A133=B133,ISBLANK(G133))</formula>
    </cfRule>
    <cfRule type="cellIs" dxfId="10383" priority="15040" operator="notBetween">
      <formula>0</formula>
      <formula>2</formula>
    </cfRule>
  </conditionalFormatting>
  <conditionalFormatting sqref="G134">
    <cfRule type="expression" dxfId="10382" priority="15037">
      <formula>AND(A134=B134,ISBLANK(G134))</formula>
    </cfRule>
    <cfRule type="cellIs" dxfId="10381" priority="15038" operator="notBetween">
      <formula>0</formula>
      <formula>2</formula>
    </cfRule>
  </conditionalFormatting>
  <conditionalFormatting sqref="G135">
    <cfRule type="expression" dxfId="10380" priority="15035">
      <formula>AND(A135=B135,ISBLANK(G135))</formula>
    </cfRule>
    <cfRule type="cellIs" dxfId="10379" priority="15036" operator="notBetween">
      <formula>0</formula>
      <formula>2</formula>
    </cfRule>
  </conditionalFormatting>
  <conditionalFormatting sqref="G136">
    <cfRule type="expression" dxfId="10378" priority="15033">
      <formula>AND(A136=B136,ISBLANK(G136))</formula>
    </cfRule>
    <cfRule type="cellIs" dxfId="10377" priority="15034" operator="notBetween">
      <formula>0</formula>
      <formula>2</formula>
    </cfRule>
  </conditionalFormatting>
  <conditionalFormatting sqref="G137">
    <cfRule type="expression" dxfId="10376" priority="15031">
      <formula>AND(A137=B137,ISBLANK(G137))</formula>
    </cfRule>
    <cfRule type="cellIs" dxfId="10375" priority="15032" operator="notBetween">
      <formula>0</formula>
      <formula>2</formula>
    </cfRule>
  </conditionalFormatting>
  <conditionalFormatting sqref="G138">
    <cfRule type="expression" dxfId="10374" priority="15029">
      <formula>AND(A138=B138,ISBLANK(G138))</formula>
    </cfRule>
    <cfRule type="cellIs" dxfId="10373" priority="15030" operator="notBetween">
      <formula>0</formula>
      <formula>2</formula>
    </cfRule>
  </conditionalFormatting>
  <conditionalFormatting sqref="G139">
    <cfRule type="expression" dxfId="10372" priority="15027">
      <formula>AND(A139=B139,ISBLANK(G139))</formula>
    </cfRule>
    <cfRule type="cellIs" dxfId="10371" priority="15028" operator="notBetween">
      <formula>0</formula>
      <formula>2</formula>
    </cfRule>
  </conditionalFormatting>
  <conditionalFormatting sqref="G140">
    <cfRule type="expression" dxfId="10370" priority="15025">
      <formula>AND(A140=B140,ISBLANK(G140))</formula>
    </cfRule>
    <cfRule type="cellIs" dxfId="10369" priority="15026" operator="notBetween">
      <formula>0</formula>
      <formula>2</formula>
    </cfRule>
  </conditionalFormatting>
  <conditionalFormatting sqref="G141">
    <cfRule type="expression" dxfId="10368" priority="15023">
      <formula>AND(A141=B141,ISBLANK(G141))</formula>
    </cfRule>
    <cfRule type="cellIs" dxfId="10367" priority="15024" operator="notBetween">
      <formula>0</formula>
      <formula>2</formula>
    </cfRule>
  </conditionalFormatting>
  <conditionalFormatting sqref="G142">
    <cfRule type="expression" dxfId="10366" priority="15021">
      <formula>AND(A142=B142,ISBLANK(G142))</formula>
    </cfRule>
    <cfRule type="cellIs" dxfId="10365" priority="15022" operator="notBetween">
      <formula>0</formula>
      <formula>2</formula>
    </cfRule>
  </conditionalFormatting>
  <conditionalFormatting sqref="G143">
    <cfRule type="expression" dxfId="10364" priority="15019">
      <formula>AND(A143=B143,ISBLANK(G143))</formula>
    </cfRule>
    <cfRule type="cellIs" dxfId="10363" priority="15020" operator="notBetween">
      <formula>0</formula>
      <formula>2</formula>
    </cfRule>
  </conditionalFormatting>
  <conditionalFormatting sqref="G144">
    <cfRule type="expression" dxfId="10362" priority="15017">
      <formula>AND(A144=B144,ISBLANK(G144))</formula>
    </cfRule>
    <cfRule type="cellIs" dxfId="10361" priority="15018" operator="notBetween">
      <formula>0</formula>
      <formula>2</formula>
    </cfRule>
  </conditionalFormatting>
  <conditionalFormatting sqref="G145">
    <cfRule type="expression" dxfId="10360" priority="15015">
      <formula>AND(A145=B145,ISBLANK(G145))</formula>
    </cfRule>
    <cfRule type="cellIs" dxfId="10359" priority="15016" operator="notBetween">
      <formula>0</formula>
      <formula>2</formula>
    </cfRule>
  </conditionalFormatting>
  <conditionalFormatting sqref="G146">
    <cfRule type="expression" dxfId="10358" priority="15013">
      <formula>AND(A146=B146,ISBLANK(G146))</formula>
    </cfRule>
    <cfRule type="cellIs" dxfId="10357" priority="15014" operator="notBetween">
      <formula>0</formula>
      <formula>2</formula>
    </cfRule>
  </conditionalFormatting>
  <conditionalFormatting sqref="G147">
    <cfRule type="expression" dxfId="10356" priority="15011">
      <formula>AND(A147=B147,ISBLANK(G147))</formula>
    </cfRule>
    <cfRule type="cellIs" dxfId="10355" priority="15012" operator="notBetween">
      <formula>0</formula>
      <formula>2</formula>
    </cfRule>
  </conditionalFormatting>
  <conditionalFormatting sqref="G148">
    <cfRule type="expression" dxfId="10354" priority="15009">
      <formula>AND(A148=B148,ISBLANK(G148))</formula>
    </cfRule>
    <cfRule type="cellIs" dxfId="10353" priority="15010" operator="notBetween">
      <formula>0</formula>
      <formula>2</formula>
    </cfRule>
  </conditionalFormatting>
  <conditionalFormatting sqref="G149">
    <cfRule type="expression" dxfId="10352" priority="15007">
      <formula>AND(A149=B149,ISBLANK(G149))</formula>
    </cfRule>
    <cfRule type="cellIs" dxfId="10351" priority="15008" operator="notBetween">
      <formula>0</formula>
      <formula>2</formula>
    </cfRule>
  </conditionalFormatting>
  <conditionalFormatting sqref="G150">
    <cfRule type="expression" dxfId="10350" priority="15005">
      <formula>AND(A150=B150,ISBLANK(G150))</formula>
    </cfRule>
    <cfRule type="cellIs" dxfId="10349" priority="15006" operator="notBetween">
      <formula>0</formula>
      <formula>2</formula>
    </cfRule>
  </conditionalFormatting>
  <conditionalFormatting sqref="G151">
    <cfRule type="expression" dxfId="10348" priority="15003">
      <formula>AND(A151=B151,ISBLANK(G151))</formula>
    </cfRule>
    <cfRule type="cellIs" dxfId="10347" priority="15004" operator="notBetween">
      <formula>0</formula>
      <formula>2</formula>
    </cfRule>
  </conditionalFormatting>
  <conditionalFormatting sqref="G152">
    <cfRule type="expression" dxfId="10346" priority="15001">
      <formula>AND(A152=B152,ISBLANK(G152))</formula>
    </cfRule>
    <cfRule type="cellIs" dxfId="10345" priority="15002" operator="notBetween">
      <formula>0</formula>
      <formula>2</formula>
    </cfRule>
  </conditionalFormatting>
  <conditionalFormatting sqref="G153">
    <cfRule type="expression" dxfId="10344" priority="14999">
      <formula>AND(A153=B153,ISBLANK(G153))</formula>
    </cfRule>
    <cfRule type="cellIs" dxfId="10343" priority="15000" operator="notBetween">
      <formula>0</formula>
      <formula>2</formula>
    </cfRule>
  </conditionalFormatting>
  <conditionalFormatting sqref="G154">
    <cfRule type="expression" dxfId="10342" priority="14997">
      <formula>AND(A154=B154,ISBLANK(G154))</formula>
    </cfRule>
    <cfRule type="cellIs" dxfId="10341" priority="14998" operator="notBetween">
      <formula>0</formula>
      <formula>2</formula>
    </cfRule>
  </conditionalFormatting>
  <conditionalFormatting sqref="G155">
    <cfRule type="expression" dxfId="10340" priority="14995">
      <formula>AND(A155=B155,ISBLANK(G155))</formula>
    </cfRule>
    <cfRule type="cellIs" dxfId="10339" priority="14996" operator="notBetween">
      <formula>0</formula>
      <formula>2</formula>
    </cfRule>
  </conditionalFormatting>
  <conditionalFormatting sqref="G156">
    <cfRule type="expression" dxfId="10338" priority="14993">
      <formula>AND(A156=B156,ISBLANK(G156))</formula>
    </cfRule>
    <cfRule type="cellIs" dxfId="10337" priority="14994" operator="notBetween">
      <formula>0</formula>
      <formula>2</formula>
    </cfRule>
  </conditionalFormatting>
  <conditionalFormatting sqref="G157">
    <cfRule type="expression" dxfId="10336" priority="14991">
      <formula>AND(A157=B157,ISBLANK(G157))</formula>
    </cfRule>
    <cfRule type="cellIs" dxfId="10335" priority="14992" operator="notBetween">
      <formula>0</formula>
      <formula>2</formula>
    </cfRule>
  </conditionalFormatting>
  <conditionalFormatting sqref="G158">
    <cfRule type="expression" dxfId="10334" priority="14989">
      <formula>AND(A158=B158,ISBLANK(G158))</formula>
    </cfRule>
    <cfRule type="cellIs" dxfId="10333" priority="14990" operator="notBetween">
      <formula>0</formula>
      <formula>2</formula>
    </cfRule>
  </conditionalFormatting>
  <conditionalFormatting sqref="G159">
    <cfRule type="expression" dxfId="10332" priority="14987">
      <formula>AND(A159=B159,ISBLANK(G159))</formula>
    </cfRule>
    <cfRule type="cellIs" dxfId="10331" priority="14988" operator="notBetween">
      <formula>0</formula>
      <formula>2</formula>
    </cfRule>
  </conditionalFormatting>
  <conditionalFormatting sqref="G160">
    <cfRule type="expression" dxfId="10330" priority="14985">
      <formula>AND(A160=B160,ISBLANK(G160))</formula>
    </cfRule>
    <cfRule type="cellIs" dxfId="10329" priority="14986" operator="notBetween">
      <formula>0</formula>
      <formula>2</formula>
    </cfRule>
  </conditionalFormatting>
  <conditionalFormatting sqref="G161">
    <cfRule type="expression" dxfId="10328" priority="14983">
      <formula>AND(A161=B161,ISBLANK(G161))</formula>
    </cfRule>
    <cfRule type="cellIs" dxfId="10327" priority="14984" operator="notBetween">
      <formula>0</formula>
      <formula>2</formula>
    </cfRule>
  </conditionalFormatting>
  <conditionalFormatting sqref="G162">
    <cfRule type="expression" dxfId="10326" priority="14981">
      <formula>AND(A162=B162,ISBLANK(G162))</formula>
    </cfRule>
    <cfRule type="cellIs" dxfId="10325" priority="14982" operator="notBetween">
      <formula>0</formula>
      <formula>2</formula>
    </cfRule>
  </conditionalFormatting>
  <conditionalFormatting sqref="G163">
    <cfRule type="expression" dxfId="10324" priority="14979">
      <formula>AND(A163=B163,ISBLANK(G163))</formula>
    </cfRule>
    <cfRule type="cellIs" dxfId="10323" priority="14980" operator="notBetween">
      <formula>0</formula>
      <formula>2</formula>
    </cfRule>
  </conditionalFormatting>
  <conditionalFormatting sqref="G164">
    <cfRule type="expression" dxfId="10322" priority="14977">
      <formula>AND(A164=B164,ISBLANK(G164))</formula>
    </cfRule>
    <cfRule type="cellIs" dxfId="10321" priority="14978" operator="notBetween">
      <formula>0</formula>
      <formula>2</formula>
    </cfRule>
  </conditionalFormatting>
  <conditionalFormatting sqref="G165">
    <cfRule type="expression" dxfId="10320" priority="14975">
      <formula>AND(A165=B165,ISBLANK(G165))</formula>
    </cfRule>
    <cfRule type="cellIs" dxfId="10319" priority="14976" operator="notBetween">
      <formula>0</formula>
      <formula>2</formula>
    </cfRule>
  </conditionalFormatting>
  <conditionalFormatting sqref="G166">
    <cfRule type="expression" dxfId="10318" priority="14973">
      <formula>AND(A166=B166,ISBLANK(G166))</formula>
    </cfRule>
    <cfRule type="cellIs" dxfId="10317" priority="14974" operator="notBetween">
      <formula>0</formula>
      <formula>2</formula>
    </cfRule>
  </conditionalFormatting>
  <conditionalFormatting sqref="G167">
    <cfRule type="expression" dxfId="10316" priority="14971">
      <formula>AND(A167=B167,ISBLANK(G167))</formula>
    </cfRule>
    <cfRule type="cellIs" dxfId="10315" priority="14972" operator="notBetween">
      <formula>0</formula>
      <formula>2</formula>
    </cfRule>
  </conditionalFormatting>
  <conditionalFormatting sqref="G168">
    <cfRule type="expression" dxfId="10314" priority="14969">
      <formula>AND(A168=B168,ISBLANK(G168))</formula>
    </cfRule>
    <cfRule type="cellIs" dxfId="10313" priority="14970" operator="notBetween">
      <formula>0</formula>
      <formula>2</formula>
    </cfRule>
  </conditionalFormatting>
  <conditionalFormatting sqref="H66">
    <cfRule type="expression" dxfId="10312" priority="14967">
      <formula>AND(A66=B66,ISBLANK(H66))</formula>
    </cfRule>
    <cfRule type="cellIs" dxfId="10311" priority="14968" operator="notBetween">
      <formula>0</formula>
      <formula>2</formula>
    </cfRule>
  </conditionalFormatting>
  <conditionalFormatting sqref="H67">
    <cfRule type="expression" dxfId="10310" priority="14965">
      <formula>AND(A67=B67,ISBLANK(H67))</formula>
    </cfRule>
    <cfRule type="cellIs" dxfId="10309" priority="14966" operator="notBetween">
      <formula>0</formula>
      <formula>2</formula>
    </cfRule>
  </conditionalFormatting>
  <conditionalFormatting sqref="H68">
    <cfRule type="expression" dxfId="10308" priority="14963">
      <formula>AND(A68=B68,ISBLANK(H68))</formula>
    </cfRule>
    <cfRule type="cellIs" dxfId="10307" priority="14964" operator="notBetween">
      <formula>0</formula>
      <formula>2</formula>
    </cfRule>
  </conditionalFormatting>
  <conditionalFormatting sqref="H69">
    <cfRule type="expression" dxfId="10306" priority="14961">
      <formula>AND(A69=B69,ISBLANK(H69))</formula>
    </cfRule>
    <cfRule type="cellIs" dxfId="10305" priority="14962" operator="notBetween">
      <formula>0</formula>
      <formula>2</formula>
    </cfRule>
  </conditionalFormatting>
  <conditionalFormatting sqref="H70">
    <cfRule type="expression" dxfId="10304" priority="14959">
      <formula>AND(A70=B70,ISBLANK(H70))</formula>
    </cfRule>
    <cfRule type="cellIs" dxfId="10303" priority="14960" operator="notBetween">
      <formula>0</formula>
      <formula>2</formula>
    </cfRule>
  </conditionalFormatting>
  <conditionalFormatting sqref="H71">
    <cfRule type="expression" dxfId="10302" priority="14957">
      <formula>AND(A71=B71,ISBLANK(H71))</formula>
    </cfRule>
    <cfRule type="cellIs" dxfId="10301" priority="14958" operator="notBetween">
      <formula>0</formula>
      <formula>2</formula>
    </cfRule>
  </conditionalFormatting>
  <conditionalFormatting sqref="H72">
    <cfRule type="expression" dxfId="10300" priority="14955">
      <formula>AND(A72=B72,ISBLANK(H72))</formula>
    </cfRule>
    <cfRule type="cellIs" dxfId="10299" priority="14956" operator="notBetween">
      <formula>0</formula>
      <formula>2</formula>
    </cfRule>
  </conditionalFormatting>
  <conditionalFormatting sqref="H73">
    <cfRule type="expression" dxfId="10298" priority="14953">
      <formula>AND(A73=B73,ISBLANK(H73))</formula>
    </cfRule>
    <cfRule type="cellIs" dxfId="10297" priority="14954" operator="notBetween">
      <formula>0</formula>
      <formula>2</formula>
    </cfRule>
  </conditionalFormatting>
  <conditionalFormatting sqref="H74">
    <cfRule type="expression" dxfId="10296" priority="14951">
      <formula>AND(A74=B74,ISBLANK(H74))</formula>
    </cfRule>
    <cfRule type="cellIs" dxfId="10295" priority="14952" operator="notBetween">
      <formula>0</formula>
      <formula>2</formula>
    </cfRule>
  </conditionalFormatting>
  <conditionalFormatting sqref="H75">
    <cfRule type="expression" dxfId="10294" priority="14949">
      <formula>AND(A75=B75,ISBLANK(H75))</formula>
    </cfRule>
    <cfRule type="cellIs" dxfId="10293" priority="14950" operator="notBetween">
      <formula>0</formula>
      <formula>2</formula>
    </cfRule>
  </conditionalFormatting>
  <conditionalFormatting sqref="H76">
    <cfRule type="expression" dxfId="10292" priority="14947">
      <formula>AND(A76=B76,ISBLANK(H76))</formula>
    </cfRule>
    <cfRule type="cellIs" dxfId="10291" priority="14948" operator="notBetween">
      <formula>0</formula>
      <formula>2</formula>
    </cfRule>
  </conditionalFormatting>
  <conditionalFormatting sqref="H77">
    <cfRule type="expression" dxfId="10290" priority="14945">
      <formula>AND(A77=B77,ISBLANK(H77))</formula>
    </cfRule>
    <cfRule type="cellIs" dxfId="10289" priority="14946" operator="notBetween">
      <formula>0</formula>
      <formula>2</formula>
    </cfRule>
  </conditionalFormatting>
  <conditionalFormatting sqref="H78">
    <cfRule type="expression" dxfId="10288" priority="14943">
      <formula>AND(A78=B78,ISBLANK(H78))</formula>
    </cfRule>
    <cfRule type="cellIs" dxfId="10287" priority="14944" operator="notBetween">
      <formula>0</formula>
      <formula>2</formula>
    </cfRule>
  </conditionalFormatting>
  <conditionalFormatting sqref="H79">
    <cfRule type="expression" dxfId="10286" priority="14941">
      <formula>AND(A79=B79,ISBLANK(H79))</formula>
    </cfRule>
    <cfRule type="cellIs" dxfId="10285" priority="14942" operator="notBetween">
      <formula>0</formula>
      <formula>2</formula>
    </cfRule>
  </conditionalFormatting>
  <conditionalFormatting sqref="H80">
    <cfRule type="expression" dxfId="10284" priority="14939">
      <formula>AND(A80=B80,ISBLANK(H80))</formula>
    </cfRule>
    <cfRule type="cellIs" dxfId="10283" priority="14940" operator="notBetween">
      <formula>0</formula>
      <formula>2</formula>
    </cfRule>
  </conditionalFormatting>
  <conditionalFormatting sqref="H81">
    <cfRule type="expression" dxfId="10282" priority="14937">
      <formula>AND(A81=B81,ISBLANK(H81))</formula>
    </cfRule>
    <cfRule type="cellIs" dxfId="10281" priority="14938" operator="notBetween">
      <formula>0</formula>
      <formula>2</formula>
    </cfRule>
  </conditionalFormatting>
  <conditionalFormatting sqref="H82">
    <cfRule type="expression" dxfId="10280" priority="14935">
      <formula>AND(A82=B82,ISBLANK(H82))</formula>
    </cfRule>
    <cfRule type="cellIs" dxfId="10279" priority="14936" operator="notBetween">
      <formula>0</formula>
      <formula>2</formula>
    </cfRule>
  </conditionalFormatting>
  <conditionalFormatting sqref="H83">
    <cfRule type="expression" dxfId="10278" priority="14933">
      <formula>AND(A83=B83,ISBLANK(H83))</formula>
    </cfRule>
    <cfRule type="cellIs" dxfId="10277" priority="14934" operator="notBetween">
      <formula>0</formula>
      <formula>2</formula>
    </cfRule>
  </conditionalFormatting>
  <conditionalFormatting sqref="H84">
    <cfRule type="expression" dxfId="10276" priority="14931">
      <formula>AND(A84=B84,ISBLANK(H84))</formula>
    </cfRule>
    <cfRule type="cellIs" dxfId="10275" priority="14932" operator="notBetween">
      <formula>0</formula>
      <formula>2</formula>
    </cfRule>
  </conditionalFormatting>
  <conditionalFormatting sqref="H85">
    <cfRule type="expression" dxfId="10274" priority="14929">
      <formula>AND(A85=B85,ISBLANK(H85))</formula>
    </cfRule>
    <cfRule type="cellIs" dxfId="10273" priority="14930" operator="notBetween">
      <formula>0</formula>
      <formula>2</formula>
    </cfRule>
  </conditionalFormatting>
  <conditionalFormatting sqref="H86">
    <cfRule type="expression" dxfId="10272" priority="14927">
      <formula>AND(A86=B86,ISBLANK(H86))</formula>
    </cfRule>
    <cfRule type="cellIs" dxfId="10271" priority="14928" operator="notBetween">
      <formula>0</formula>
      <formula>2</formula>
    </cfRule>
  </conditionalFormatting>
  <conditionalFormatting sqref="H87">
    <cfRule type="expression" dxfId="10270" priority="14925">
      <formula>AND(A87=B87,ISBLANK(H87))</formula>
    </cfRule>
    <cfRule type="cellIs" dxfId="10269" priority="14926" operator="notBetween">
      <formula>0</formula>
      <formula>2</formula>
    </cfRule>
  </conditionalFormatting>
  <conditionalFormatting sqref="H88">
    <cfRule type="expression" dxfId="10268" priority="14923">
      <formula>AND(A88=B88,ISBLANK(H88))</formula>
    </cfRule>
    <cfRule type="cellIs" dxfId="10267" priority="14924" operator="notBetween">
      <formula>0</formula>
      <formula>2</formula>
    </cfRule>
  </conditionalFormatting>
  <conditionalFormatting sqref="H89">
    <cfRule type="expression" dxfId="10266" priority="14921">
      <formula>AND(A89=B89,ISBLANK(H89))</formula>
    </cfRule>
    <cfRule type="cellIs" dxfId="10265" priority="14922" operator="notBetween">
      <formula>0</formula>
      <formula>2</formula>
    </cfRule>
  </conditionalFormatting>
  <conditionalFormatting sqref="H90">
    <cfRule type="expression" dxfId="10264" priority="14919">
      <formula>AND(A90=B90,ISBLANK(H90))</formula>
    </cfRule>
    <cfRule type="cellIs" dxfId="10263" priority="14920" operator="notBetween">
      <formula>0</formula>
      <formula>2</formula>
    </cfRule>
  </conditionalFormatting>
  <conditionalFormatting sqref="H91">
    <cfRule type="expression" dxfId="10262" priority="14917">
      <formula>AND(A91=B91,ISBLANK(H91))</formula>
    </cfRule>
    <cfRule type="cellIs" dxfId="10261" priority="14918" operator="notBetween">
      <formula>0</formula>
      <formula>2</formula>
    </cfRule>
  </conditionalFormatting>
  <conditionalFormatting sqref="H92">
    <cfRule type="expression" dxfId="10260" priority="14915">
      <formula>AND(A92=B92,ISBLANK(H92))</formula>
    </cfRule>
    <cfRule type="cellIs" dxfId="10259" priority="14916" operator="notBetween">
      <formula>0</formula>
      <formula>2</formula>
    </cfRule>
  </conditionalFormatting>
  <conditionalFormatting sqref="H93">
    <cfRule type="expression" dxfId="10258" priority="14913">
      <formula>AND(A93=B93,ISBLANK(H93))</formula>
    </cfRule>
    <cfRule type="cellIs" dxfId="10257" priority="14914" operator="notBetween">
      <formula>0</formula>
      <formula>2</formula>
    </cfRule>
  </conditionalFormatting>
  <conditionalFormatting sqref="H94">
    <cfRule type="expression" dxfId="10256" priority="14911">
      <formula>AND(A94=B94,ISBLANK(H94))</formula>
    </cfRule>
    <cfRule type="cellIs" dxfId="10255" priority="14912" operator="notBetween">
      <formula>0</formula>
      <formula>2</formula>
    </cfRule>
  </conditionalFormatting>
  <conditionalFormatting sqref="H95">
    <cfRule type="expression" dxfId="10254" priority="14909">
      <formula>AND(A95=B95,ISBLANK(H95))</formula>
    </cfRule>
    <cfRule type="cellIs" dxfId="10253" priority="14910" operator="notBetween">
      <formula>0</formula>
      <formula>2</formula>
    </cfRule>
  </conditionalFormatting>
  <conditionalFormatting sqref="H96">
    <cfRule type="expression" dxfId="10252" priority="14907">
      <formula>AND(A96=B96,ISBLANK(H96))</formula>
    </cfRule>
    <cfRule type="cellIs" dxfId="10251" priority="14908" operator="notBetween">
      <formula>0</formula>
      <formula>2</formula>
    </cfRule>
  </conditionalFormatting>
  <conditionalFormatting sqref="H97">
    <cfRule type="expression" dxfId="10250" priority="14905">
      <formula>AND(A97=B97,ISBLANK(H97))</formula>
    </cfRule>
    <cfRule type="cellIs" dxfId="10249" priority="14906" operator="notBetween">
      <formula>0</formula>
      <formula>2</formula>
    </cfRule>
  </conditionalFormatting>
  <conditionalFormatting sqref="H98">
    <cfRule type="expression" dxfId="10248" priority="14903">
      <formula>AND(A98=B98,ISBLANK(H98))</formula>
    </cfRule>
    <cfRule type="cellIs" dxfId="10247" priority="14904" operator="notBetween">
      <formula>0</formula>
      <formula>2</formula>
    </cfRule>
  </conditionalFormatting>
  <conditionalFormatting sqref="H99">
    <cfRule type="expression" dxfId="10246" priority="14901">
      <formula>AND(A99=B99,ISBLANK(H99))</formula>
    </cfRule>
    <cfRule type="cellIs" dxfId="10245" priority="14902" operator="notBetween">
      <formula>0</formula>
      <formula>2</formula>
    </cfRule>
  </conditionalFormatting>
  <conditionalFormatting sqref="H100">
    <cfRule type="expression" dxfId="10244" priority="14899">
      <formula>AND(A100=B100,ISBLANK(H100))</formula>
    </cfRule>
    <cfRule type="cellIs" dxfId="10243" priority="14900" operator="notBetween">
      <formula>0</formula>
      <formula>2</formula>
    </cfRule>
  </conditionalFormatting>
  <conditionalFormatting sqref="H101">
    <cfRule type="expression" dxfId="10242" priority="14897">
      <formula>AND(A101=B101,ISBLANK(H101))</formula>
    </cfRule>
    <cfRule type="cellIs" dxfId="10241" priority="14898" operator="notBetween">
      <formula>0</formula>
      <formula>2</formula>
    </cfRule>
  </conditionalFormatting>
  <conditionalFormatting sqref="H102">
    <cfRule type="expression" dxfId="10240" priority="14895">
      <formula>AND(A102=B102,ISBLANK(H102))</formula>
    </cfRule>
    <cfRule type="cellIs" dxfId="10239" priority="14896" operator="notBetween">
      <formula>0</formula>
      <formula>2</formula>
    </cfRule>
  </conditionalFormatting>
  <conditionalFormatting sqref="H103">
    <cfRule type="expression" dxfId="10238" priority="14893">
      <formula>AND(A103=B103,ISBLANK(H103))</formula>
    </cfRule>
    <cfRule type="cellIs" dxfId="10237" priority="14894" operator="notBetween">
      <formula>0</formula>
      <formula>2</formula>
    </cfRule>
  </conditionalFormatting>
  <conditionalFormatting sqref="H104">
    <cfRule type="expression" dxfId="10236" priority="14891">
      <formula>AND(A104=B104,ISBLANK(H104))</formula>
    </cfRule>
    <cfRule type="cellIs" dxfId="10235" priority="14892" operator="notBetween">
      <formula>0</formula>
      <formula>2</formula>
    </cfRule>
  </conditionalFormatting>
  <conditionalFormatting sqref="H105">
    <cfRule type="expression" dxfId="10234" priority="14889">
      <formula>AND(A105=B105,ISBLANK(H105))</formula>
    </cfRule>
    <cfRule type="cellIs" dxfId="10233" priority="14890" operator="notBetween">
      <formula>0</formula>
      <formula>2</formula>
    </cfRule>
  </conditionalFormatting>
  <conditionalFormatting sqref="H106">
    <cfRule type="expression" dxfId="10232" priority="14887">
      <formula>AND(A106=B106,ISBLANK(H106))</formula>
    </cfRule>
    <cfRule type="cellIs" dxfId="10231" priority="14888" operator="notBetween">
      <formula>0</formula>
      <formula>2</formula>
    </cfRule>
  </conditionalFormatting>
  <conditionalFormatting sqref="H107">
    <cfRule type="expression" dxfId="10230" priority="14885">
      <formula>AND(A107=B107,ISBLANK(H107))</formula>
    </cfRule>
    <cfRule type="cellIs" dxfId="10229" priority="14886" operator="notBetween">
      <formula>0</formula>
      <formula>2</formula>
    </cfRule>
  </conditionalFormatting>
  <conditionalFormatting sqref="H108">
    <cfRule type="expression" dxfId="10228" priority="14883">
      <formula>AND(A108=B108,ISBLANK(H108))</formula>
    </cfRule>
    <cfRule type="cellIs" dxfId="10227" priority="14884" operator="notBetween">
      <formula>0</formula>
      <formula>2</formula>
    </cfRule>
  </conditionalFormatting>
  <conditionalFormatting sqref="H109">
    <cfRule type="expression" dxfId="10226" priority="14881">
      <formula>AND(A109=B109,ISBLANK(H109))</formula>
    </cfRule>
    <cfRule type="cellIs" dxfId="10225" priority="14882" operator="notBetween">
      <formula>0</formula>
      <formula>2</formula>
    </cfRule>
  </conditionalFormatting>
  <conditionalFormatting sqref="H110">
    <cfRule type="expression" dxfId="10224" priority="14879">
      <formula>AND(A110=B110,ISBLANK(H110))</formula>
    </cfRule>
    <cfRule type="cellIs" dxfId="10223" priority="14880" operator="notBetween">
      <formula>0</formula>
      <formula>2</formula>
    </cfRule>
  </conditionalFormatting>
  <conditionalFormatting sqref="H111">
    <cfRule type="expression" dxfId="10222" priority="14877">
      <formula>AND(A111=B111,ISBLANK(H111))</formula>
    </cfRule>
    <cfRule type="cellIs" dxfId="10221" priority="14878" operator="notBetween">
      <formula>0</formula>
      <formula>2</formula>
    </cfRule>
  </conditionalFormatting>
  <conditionalFormatting sqref="H112">
    <cfRule type="expression" dxfId="10220" priority="14875">
      <formula>AND(A112=B112,ISBLANK(H112))</formula>
    </cfRule>
    <cfRule type="cellIs" dxfId="10219" priority="14876" operator="notBetween">
      <formula>0</formula>
      <formula>2</formula>
    </cfRule>
  </conditionalFormatting>
  <conditionalFormatting sqref="H113">
    <cfRule type="expression" dxfId="10218" priority="14873">
      <formula>AND(A113=B113,ISBLANK(H113))</formula>
    </cfRule>
    <cfRule type="cellIs" dxfId="10217" priority="14874" operator="notBetween">
      <formula>0</formula>
      <formula>2</formula>
    </cfRule>
  </conditionalFormatting>
  <conditionalFormatting sqref="H114">
    <cfRule type="expression" dxfId="10216" priority="14871">
      <formula>AND(A114=B114,ISBLANK(H114))</formula>
    </cfRule>
    <cfRule type="cellIs" dxfId="10215" priority="14872" operator="notBetween">
      <formula>0</formula>
      <formula>2</formula>
    </cfRule>
  </conditionalFormatting>
  <conditionalFormatting sqref="H115">
    <cfRule type="expression" dxfId="10214" priority="14869">
      <formula>AND(A115=B115,ISBLANK(H115))</formula>
    </cfRule>
    <cfRule type="cellIs" dxfId="10213" priority="14870" operator="notBetween">
      <formula>0</formula>
      <formula>2</formula>
    </cfRule>
  </conditionalFormatting>
  <conditionalFormatting sqref="H116">
    <cfRule type="expression" dxfId="10212" priority="14867">
      <formula>AND(A116=B116,ISBLANK(H116))</formula>
    </cfRule>
    <cfRule type="cellIs" dxfId="10211" priority="14868" operator="notBetween">
      <formula>0</formula>
      <formula>2</formula>
    </cfRule>
  </conditionalFormatting>
  <conditionalFormatting sqref="H117">
    <cfRule type="expression" dxfId="10210" priority="14865">
      <formula>AND(A117=B117,ISBLANK(H117))</formula>
    </cfRule>
    <cfRule type="cellIs" dxfId="10209" priority="14866" operator="notBetween">
      <formula>0</formula>
      <formula>2</formula>
    </cfRule>
  </conditionalFormatting>
  <conditionalFormatting sqref="H118">
    <cfRule type="expression" dxfId="10208" priority="14863">
      <formula>AND(A118=B118,ISBLANK(H118))</formula>
    </cfRule>
    <cfRule type="cellIs" dxfId="10207" priority="14864" operator="notBetween">
      <formula>0</formula>
      <formula>2</formula>
    </cfRule>
  </conditionalFormatting>
  <conditionalFormatting sqref="H119">
    <cfRule type="expression" dxfId="10206" priority="14861">
      <formula>AND(A119=B119,ISBLANK(H119))</formula>
    </cfRule>
    <cfRule type="cellIs" dxfId="10205" priority="14862" operator="notBetween">
      <formula>0</formula>
      <formula>2</formula>
    </cfRule>
  </conditionalFormatting>
  <conditionalFormatting sqref="H120">
    <cfRule type="expression" dxfId="10204" priority="14859">
      <formula>AND(A120=B120,ISBLANK(H120))</formula>
    </cfRule>
    <cfRule type="cellIs" dxfId="10203" priority="14860" operator="notBetween">
      <formula>0</formula>
      <formula>2</formula>
    </cfRule>
  </conditionalFormatting>
  <conditionalFormatting sqref="H121">
    <cfRule type="expression" dxfId="10202" priority="14857">
      <formula>AND(A121=B121,ISBLANK(H121))</formula>
    </cfRule>
    <cfRule type="cellIs" dxfId="10201" priority="14858" operator="notBetween">
      <formula>0</formula>
      <formula>2</formula>
    </cfRule>
  </conditionalFormatting>
  <conditionalFormatting sqref="H122">
    <cfRule type="expression" dxfId="10200" priority="14855">
      <formula>AND(A122=B122,ISBLANK(H122))</formula>
    </cfRule>
    <cfRule type="cellIs" dxfId="10199" priority="14856" operator="notBetween">
      <formula>0</formula>
      <formula>2</formula>
    </cfRule>
  </conditionalFormatting>
  <conditionalFormatting sqref="H123">
    <cfRule type="expression" dxfId="10198" priority="14853">
      <formula>AND(A123=B123,ISBLANK(H123))</formula>
    </cfRule>
    <cfRule type="cellIs" dxfId="10197" priority="14854" operator="notBetween">
      <formula>0</formula>
      <formula>2</formula>
    </cfRule>
  </conditionalFormatting>
  <conditionalFormatting sqref="H124">
    <cfRule type="expression" dxfId="10196" priority="14851">
      <formula>AND(A124=B124,ISBLANK(H124))</formula>
    </cfRule>
    <cfRule type="cellIs" dxfId="10195" priority="14852" operator="notBetween">
      <formula>0</formula>
      <formula>2</formula>
    </cfRule>
  </conditionalFormatting>
  <conditionalFormatting sqref="H125">
    <cfRule type="expression" dxfId="10194" priority="14849">
      <formula>AND(A125=B125,ISBLANK(H125))</formula>
    </cfRule>
    <cfRule type="cellIs" dxfId="10193" priority="14850" operator="notBetween">
      <formula>0</formula>
      <formula>2</formula>
    </cfRule>
  </conditionalFormatting>
  <conditionalFormatting sqref="H126">
    <cfRule type="expression" dxfId="10192" priority="14847">
      <formula>AND(A126=B126,ISBLANK(H126))</formula>
    </cfRule>
    <cfRule type="cellIs" dxfId="10191" priority="14848" operator="notBetween">
      <formula>0</formula>
      <formula>2</formula>
    </cfRule>
  </conditionalFormatting>
  <conditionalFormatting sqref="H127">
    <cfRule type="expression" dxfId="10190" priority="14845">
      <formula>AND(A127=B127,ISBLANK(H127))</formula>
    </cfRule>
    <cfRule type="cellIs" dxfId="10189" priority="14846" operator="notBetween">
      <formula>0</formula>
      <formula>2</formula>
    </cfRule>
  </conditionalFormatting>
  <conditionalFormatting sqref="H128">
    <cfRule type="expression" dxfId="10188" priority="14843">
      <formula>AND(A128=B128,ISBLANK(H128))</formula>
    </cfRule>
    <cfRule type="cellIs" dxfId="10187" priority="14844" operator="notBetween">
      <formula>0</formula>
      <formula>2</formula>
    </cfRule>
  </conditionalFormatting>
  <conditionalFormatting sqref="H129">
    <cfRule type="expression" dxfId="10186" priority="14841">
      <formula>AND(A129=B129,ISBLANK(H129))</formula>
    </cfRule>
    <cfRule type="cellIs" dxfId="10185" priority="14842" operator="notBetween">
      <formula>0</formula>
      <formula>2</formula>
    </cfRule>
  </conditionalFormatting>
  <conditionalFormatting sqref="H130">
    <cfRule type="expression" dxfId="10184" priority="14839">
      <formula>AND(A130=B130,ISBLANK(H130))</formula>
    </cfRule>
    <cfRule type="cellIs" dxfId="10183" priority="14840" operator="notBetween">
      <formula>0</formula>
      <formula>2</formula>
    </cfRule>
  </conditionalFormatting>
  <conditionalFormatting sqref="H131">
    <cfRule type="expression" dxfId="10182" priority="14837">
      <formula>AND(A131=B131,ISBLANK(H131))</formula>
    </cfRule>
    <cfRule type="cellIs" dxfId="10181" priority="14838" operator="notBetween">
      <formula>0</formula>
      <formula>2</formula>
    </cfRule>
  </conditionalFormatting>
  <conditionalFormatting sqref="H132">
    <cfRule type="expression" dxfId="10180" priority="14835">
      <formula>AND(A132=B132,ISBLANK(H132))</formula>
    </cfRule>
    <cfRule type="cellIs" dxfId="10179" priority="14836" operator="notBetween">
      <formula>0</formula>
      <formula>2</formula>
    </cfRule>
  </conditionalFormatting>
  <conditionalFormatting sqref="H133">
    <cfRule type="expression" dxfId="10178" priority="14833">
      <formula>AND(A133=B133,ISBLANK(H133))</formula>
    </cfRule>
    <cfRule type="cellIs" dxfId="10177" priority="14834" operator="notBetween">
      <formula>0</formula>
      <formula>2</formula>
    </cfRule>
  </conditionalFormatting>
  <conditionalFormatting sqref="H134">
    <cfRule type="expression" dxfId="10176" priority="14831">
      <formula>AND(A134=B134,ISBLANK(H134))</formula>
    </cfRule>
    <cfRule type="cellIs" dxfId="10175" priority="14832" operator="notBetween">
      <formula>0</formula>
      <formula>2</formula>
    </cfRule>
  </conditionalFormatting>
  <conditionalFormatting sqref="H135">
    <cfRule type="expression" dxfId="10174" priority="14829">
      <formula>AND(A135=B135,ISBLANK(H135))</formula>
    </cfRule>
    <cfRule type="cellIs" dxfId="10173" priority="14830" operator="notBetween">
      <formula>0</formula>
      <formula>2</formula>
    </cfRule>
  </conditionalFormatting>
  <conditionalFormatting sqref="H136">
    <cfRule type="expression" dxfId="10172" priority="14827">
      <formula>AND(A136=B136,ISBLANK(H136))</formula>
    </cfRule>
    <cfRule type="cellIs" dxfId="10171" priority="14828" operator="notBetween">
      <formula>0</formula>
      <formula>2</formula>
    </cfRule>
  </conditionalFormatting>
  <conditionalFormatting sqref="H137">
    <cfRule type="expression" dxfId="10170" priority="14825">
      <formula>AND(A137=B137,ISBLANK(H137))</formula>
    </cfRule>
    <cfRule type="cellIs" dxfId="10169" priority="14826" operator="notBetween">
      <formula>0</formula>
      <formula>2</formula>
    </cfRule>
  </conditionalFormatting>
  <conditionalFormatting sqref="H138">
    <cfRule type="expression" dxfId="10168" priority="14823">
      <formula>AND(A138=B138,ISBLANK(H138))</formula>
    </cfRule>
    <cfRule type="cellIs" dxfId="10167" priority="14824" operator="notBetween">
      <formula>0</formula>
      <formula>2</formula>
    </cfRule>
  </conditionalFormatting>
  <conditionalFormatting sqref="H139">
    <cfRule type="expression" dxfId="10166" priority="14821">
      <formula>AND(A139=B139,ISBLANK(H139))</formula>
    </cfRule>
    <cfRule type="cellIs" dxfId="10165" priority="14822" operator="notBetween">
      <formula>0</formula>
      <formula>2</formula>
    </cfRule>
  </conditionalFormatting>
  <conditionalFormatting sqref="H140">
    <cfRule type="expression" dxfId="10164" priority="14819">
      <formula>AND(A140=B140,ISBLANK(H140))</formula>
    </cfRule>
    <cfRule type="cellIs" dxfId="10163" priority="14820" operator="notBetween">
      <formula>0</formula>
      <formula>2</formula>
    </cfRule>
  </conditionalFormatting>
  <conditionalFormatting sqref="H141">
    <cfRule type="expression" dxfId="10162" priority="14817">
      <formula>AND(A141=B141,ISBLANK(H141))</formula>
    </cfRule>
    <cfRule type="cellIs" dxfId="10161" priority="14818" operator="notBetween">
      <formula>0</formula>
      <formula>2</formula>
    </cfRule>
  </conditionalFormatting>
  <conditionalFormatting sqref="H142">
    <cfRule type="expression" dxfId="10160" priority="14815">
      <formula>AND(A142=B142,ISBLANK(H142))</formula>
    </cfRule>
    <cfRule type="cellIs" dxfId="10159" priority="14816" operator="notBetween">
      <formula>0</formula>
      <formula>2</formula>
    </cfRule>
  </conditionalFormatting>
  <conditionalFormatting sqref="H143">
    <cfRule type="expression" dxfId="10158" priority="14813">
      <formula>AND(A143=B143,ISBLANK(H143))</formula>
    </cfRule>
    <cfRule type="cellIs" dxfId="10157" priority="14814" operator="notBetween">
      <formula>0</formula>
      <formula>2</formula>
    </cfRule>
  </conditionalFormatting>
  <conditionalFormatting sqref="H144">
    <cfRule type="expression" dxfId="10156" priority="14811">
      <formula>AND(A144=B144,ISBLANK(H144))</formula>
    </cfRule>
    <cfRule type="cellIs" dxfId="10155" priority="14812" operator="notBetween">
      <formula>0</formula>
      <formula>2</formula>
    </cfRule>
  </conditionalFormatting>
  <conditionalFormatting sqref="H145">
    <cfRule type="expression" dxfId="10154" priority="14809">
      <formula>AND(A145=B145,ISBLANK(H145))</formula>
    </cfRule>
    <cfRule type="cellIs" dxfId="10153" priority="14810" operator="notBetween">
      <formula>0</formula>
      <formula>2</formula>
    </cfRule>
  </conditionalFormatting>
  <conditionalFormatting sqref="H146">
    <cfRule type="expression" dxfId="10152" priority="14807">
      <formula>AND(A146=B146,ISBLANK(H146))</formula>
    </cfRule>
    <cfRule type="cellIs" dxfId="10151" priority="14808" operator="notBetween">
      <formula>0</formula>
      <formula>2</formula>
    </cfRule>
  </conditionalFormatting>
  <conditionalFormatting sqref="H147">
    <cfRule type="expression" dxfId="10150" priority="14805">
      <formula>AND(A147=B147,ISBLANK(H147))</formula>
    </cfRule>
    <cfRule type="cellIs" dxfId="10149" priority="14806" operator="notBetween">
      <formula>0</formula>
      <formula>2</formula>
    </cfRule>
  </conditionalFormatting>
  <conditionalFormatting sqref="H148">
    <cfRule type="expression" dxfId="10148" priority="14803">
      <formula>AND(A148=B148,ISBLANK(H148))</formula>
    </cfRule>
    <cfRule type="cellIs" dxfId="10147" priority="14804" operator="notBetween">
      <formula>0</formula>
      <formula>2</formula>
    </cfRule>
  </conditionalFormatting>
  <conditionalFormatting sqref="H149">
    <cfRule type="expression" dxfId="10146" priority="14801">
      <formula>AND(A149=B149,ISBLANK(H149))</formula>
    </cfRule>
    <cfRule type="cellIs" dxfId="10145" priority="14802" operator="notBetween">
      <formula>0</formula>
      <formula>2</formula>
    </cfRule>
  </conditionalFormatting>
  <conditionalFormatting sqref="H150">
    <cfRule type="expression" dxfId="10144" priority="14799">
      <formula>AND(A150=B150,ISBLANK(H150))</formula>
    </cfRule>
    <cfRule type="cellIs" dxfId="10143" priority="14800" operator="notBetween">
      <formula>0</formula>
      <formula>2</formula>
    </cfRule>
  </conditionalFormatting>
  <conditionalFormatting sqref="H151">
    <cfRule type="expression" dxfId="10142" priority="14797">
      <formula>AND(A151=B151,ISBLANK(H151))</formula>
    </cfRule>
    <cfRule type="cellIs" dxfId="10141" priority="14798" operator="notBetween">
      <formula>0</formula>
      <formula>2</formula>
    </cfRule>
  </conditionalFormatting>
  <conditionalFormatting sqref="H152">
    <cfRule type="expression" dxfId="10140" priority="14795">
      <formula>AND(A152=B152,ISBLANK(H152))</formula>
    </cfRule>
    <cfRule type="cellIs" dxfId="10139" priority="14796" operator="notBetween">
      <formula>0</formula>
      <formula>2</formula>
    </cfRule>
  </conditionalFormatting>
  <conditionalFormatting sqref="H153">
    <cfRule type="expression" dxfId="10138" priority="14793">
      <formula>AND(A153=B153,ISBLANK(H153))</formula>
    </cfRule>
    <cfRule type="cellIs" dxfId="10137" priority="14794" operator="notBetween">
      <formula>0</formula>
      <formula>2</formula>
    </cfRule>
  </conditionalFormatting>
  <conditionalFormatting sqref="H154">
    <cfRule type="expression" dxfId="10136" priority="14791">
      <formula>AND(A154=B154,ISBLANK(H154))</formula>
    </cfRule>
    <cfRule type="cellIs" dxfId="10135" priority="14792" operator="notBetween">
      <formula>0</formula>
      <formula>2</formula>
    </cfRule>
  </conditionalFormatting>
  <conditionalFormatting sqref="H155">
    <cfRule type="expression" dxfId="10134" priority="14789">
      <formula>AND(A155=B155,ISBLANK(H155))</formula>
    </cfRule>
    <cfRule type="cellIs" dxfId="10133" priority="14790" operator="notBetween">
      <formula>0</formula>
      <formula>2</formula>
    </cfRule>
  </conditionalFormatting>
  <conditionalFormatting sqref="H156">
    <cfRule type="expression" dxfId="10132" priority="14787">
      <formula>AND(A156=B156,ISBLANK(H156))</formula>
    </cfRule>
    <cfRule type="cellIs" dxfId="10131" priority="14788" operator="notBetween">
      <formula>0</formula>
      <formula>2</formula>
    </cfRule>
  </conditionalFormatting>
  <conditionalFormatting sqref="H157">
    <cfRule type="expression" dxfId="10130" priority="14785">
      <formula>AND(A157=B157,ISBLANK(H157))</formula>
    </cfRule>
    <cfRule type="cellIs" dxfId="10129" priority="14786" operator="notBetween">
      <formula>0</formula>
      <formula>2</formula>
    </cfRule>
  </conditionalFormatting>
  <conditionalFormatting sqref="H158">
    <cfRule type="expression" dxfId="10128" priority="14783">
      <formula>AND(A158=B158,ISBLANK(H158))</formula>
    </cfRule>
    <cfRule type="cellIs" dxfId="10127" priority="14784" operator="notBetween">
      <formula>0</formula>
      <formula>2</formula>
    </cfRule>
  </conditionalFormatting>
  <conditionalFormatting sqref="H159">
    <cfRule type="expression" dxfId="10126" priority="14781">
      <formula>AND(A159=B159,ISBLANK(H159))</formula>
    </cfRule>
    <cfRule type="cellIs" dxfId="10125" priority="14782" operator="notBetween">
      <formula>0</formula>
      <formula>2</formula>
    </cfRule>
  </conditionalFormatting>
  <conditionalFormatting sqref="H160">
    <cfRule type="expression" dxfId="10124" priority="14779">
      <formula>AND(A160=B160,ISBLANK(H160))</formula>
    </cfRule>
    <cfRule type="cellIs" dxfId="10123" priority="14780" operator="notBetween">
      <formula>0</formula>
      <formula>2</formula>
    </cfRule>
  </conditionalFormatting>
  <conditionalFormatting sqref="H161">
    <cfRule type="expression" dxfId="10122" priority="14777">
      <formula>AND(A161=B161,ISBLANK(H161))</formula>
    </cfRule>
    <cfRule type="cellIs" dxfId="10121" priority="14778" operator="notBetween">
      <formula>0</formula>
      <formula>2</formula>
    </cfRule>
  </conditionalFormatting>
  <conditionalFormatting sqref="H162">
    <cfRule type="expression" dxfId="10120" priority="14775">
      <formula>AND(A162=B162,ISBLANK(H162))</formula>
    </cfRule>
    <cfRule type="cellIs" dxfId="10119" priority="14776" operator="notBetween">
      <formula>0</formula>
      <formula>2</formula>
    </cfRule>
  </conditionalFormatting>
  <conditionalFormatting sqref="H163">
    <cfRule type="expression" dxfId="10118" priority="14773">
      <formula>AND(A163=B163,ISBLANK(H163))</formula>
    </cfRule>
    <cfRule type="cellIs" dxfId="10117" priority="14774" operator="notBetween">
      <formula>0</formula>
      <formula>2</formula>
    </cfRule>
  </conditionalFormatting>
  <conditionalFormatting sqref="H164">
    <cfRule type="expression" dxfId="10116" priority="14771">
      <formula>AND(A164=B164,ISBLANK(H164))</formula>
    </cfRule>
    <cfRule type="cellIs" dxfId="10115" priority="14772" operator="notBetween">
      <formula>0</formula>
      <formula>2</formula>
    </cfRule>
  </conditionalFormatting>
  <conditionalFormatting sqref="H165">
    <cfRule type="expression" dxfId="10114" priority="14769">
      <formula>AND(A165=B165,ISBLANK(H165))</formula>
    </cfRule>
    <cfRule type="cellIs" dxfId="10113" priority="14770" operator="notBetween">
      <formula>0</formula>
      <formula>2</formula>
    </cfRule>
  </conditionalFormatting>
  <conditionalFormatting sqref="H166">
    <cfRule type="expression" dxfId="10112" priority="14767">
      <formula>AND(A166=B166,ISBLANK(H166))</formula>
    </cfRule>
    <cfRule type="cellIs" dxfId="10111" priority="14768" operator="notBetween">
      <formula>0</formula>
      <formula>2</formula>
    </cfRule>
  </conditionalFormatting>
  <conditionalFormatting sqref="H167">
    <cfRule type="expression" dxfId="10110" priority="14765">
      <formula>AND(A167=B167,ISBLANK(H167))</formula>
    </cfRule>
    <cfRule type="cellIs" dxfId="10109" priority="14766" operator="notBetween">
      <formula>0</formula>
      <formula>2</formula>
    </cfRule>
  </conditionalFormatting>
  <conditionalFormatting sqref="H168">
    <cfRule type="expression" dxfId="10108" priority="14763">
      <formula>AND(A168=B168,ISBLANK(H168))</formula>
    </cfRule>
    <cfRule type="cellIs" dxfId="10107" priority="14764" operator="notBetween">
      <formula>0</formula>
      <formula>2</formula>
    </cfRule>
  </conditionalFormatting>
  <conditionalFormatting sqref="I66">
    <cfRule type="expression" dxfId="10106" priority="14761">
      <formula>AND(A66=B66,ISBLANK(I66))</formula>
    </cfRule>
    <cfRule type="cellIs" dxfId="10105" priority="14762" operator="notBetween">
      <formula>0</formula>
      <formula>2</formula>
    </cfRule>
  </conditionalFormatting>
  <conditionalFormatting sqref="I67">
    <cfRule type="expression" dxfId="10104" priority="14759">
      <formula>AND(A67=B67,ISBLANK(I67))</formula>
    </cfRule>
    <cfRule type="cellIs" dxfId="10103" priority="14760" operator="notBetween">
      <formula>0</formula>
      <formula>2</formula>
    </cfRule>
  </conditionalFormatting>
  <conditionalFormatting sqref="I68">
    <cfRule type="expression" dxfId="10102" priority="14757">
      <formula>AND(A68=B68,ISBLANK(I68))</formula>
    </cfRule>
    <cfRule type="cellIs" dxfId="10101" priority="14758" operator="notBetween">
      <formula>0</formula>
      <formula>2</formula>
    </cfRule>
  </conditionalFormatting>
  <conditionalFormatting sqref="I69">
    <cfRule type="expression" dxfId="10100" priority="14755">
      <formula>AND(A69=B69,ISBLANK(I69))</formula>
    </cfRule>
    <cfRule type="cellIs" dxfId="10099" priority="14756" operator="notBetween">
      <formula>0</formula>
      <formula>2</formula>
    </cfRule>
  </conditionalFormatting>
  <conditionalFormatting sqref="I70">
    <cfRule type="expression" dxfId="10098" priority="14753">
      <formula>AND(A70=B70,ISBLANK(I70))</formula>
    </cfRule>
    <cfRule type="cellIs" dxfId="10097" priority="14754" operator="notBetween">
      <formula>0</formula>
      <formula>2</formula>
    </cfRule>
  </conditionalFormatting>
  <conditionalFormatting sqref="I71">
    <cfRule type="expression" dxfId="10096" priority="14751">
      <formula>AND(A71=B71,ISBLANK(I71))</formula>
    </cfRule>
    <cfRule type="cellIs" dxfId="10095" priority="14752" operator="notBetween">
      <formula>0</formula>
      <formula>2</formula>
    </cfRule>
  </conditionalFormatting>
  <conditionalFormatting sqref="I72">
    <cfRule type="expression" dxfId="10094" priority="14749">
      <formula>AND(A72=B72,ISBLANK(I72))</formula>
    </cfRule>
    <cfRule type="cellIs" dxfId="10093" priority="14750" operator="notBetween">
      <formula>0</formula>
      <formula>2</formula>
    </cfRule>
  </conditionalFormatting>
  <conditionalFormatting sqref="I73">
    <cfRule type="expression" dxfId="10092" priority="14747">
      <formula>AND(A73=B73,ISBLANK(I73))</formula>
    </cfRule>
    <cfRule type="cellIs" dxfId="10091" priority="14748" operator="notBetween">
      <formula>0</formula>
      <formula>2</formula>
    </cfRule>
  </conditionalFormatting>
  <conditionalFormatting sqref="I74">
    <cfRule type="expression" dxfId="10090" priority="14745">
      <formula>AND(A74=B74,ISBLANK(I74))</formula>
    </cfRule>
    <cfRule type="cellIs" dxfId="10089" priority="14746" operator="notBetween">
      <formula>0</formula>
      <formula>2</formula>
    </cfRule>
  </conditionalFormatting>
  <conditionalFormatting sqref="I75">
    <cfRule type="expression" dxfId="10088" priority="14743">
      <formula>AND(A75=B75,ISBLANK(I75))</formula>
    </cfRule>
    <cfRule type="cellIs" dxfId="10087" priority="14744" operator="notBetween">
      <formula>0</formula>
      <formula>2</formula>
    </cfRule>
  </conditionalFormatting>
  <conditionalFormatting sqref="I76">
    <cfRule type="expression" dxfId="10086" priority="14741">
      <formula>AND(A76=B76,ISBLANK(I76))</formula>
    </cfRule>
    <cfRule type="cellIs" dxfId="10085" priority="14742" operator="notBetween">
      <formula>0</formula>
      <formula>2</formula>
    </cfRule>
  </conditionalFormatting>
  <conditionalFormatting sqref="I77">
    <cfRule type="expression" dxfId="10084" priority="14739">
      <formula>AND(A77=B77,ISBLANK(I77))</formula>
    </cfRule>
    <cfRule type="cellIs" dxfId="10083" priority="14740" operator="notBetween">
      <formula>0</formula>
      <formula>2</formula>
    </cfRule>
  </conditionalFormatting>
  <conditionalFormatting sqref="I78">
    <cfRule type="expression" dxfId="10082" priority="14737">
      <formula>AND(A78=B78,ISBLANK(I78))</formula>
    </cfRule>
    <cfRule type="cellIs" dxfId="10081" priority="14738" operator="notBetween">
      <formula>0</formula>
      <formula>2</formula>
    </cfRule>
  </conditionalFormatting>
  <conditionalFormatting sqref="I79">
    <cfRule type="expression" dxfId="10080" priority="14735">
      <formula>AND(A79=B79,ISBLANK(I79))</formula>
    </cfRule>
    <cfRule type="cellIs" dxfId="10079" priority="14736" operator="notBetween">
      <formula>0</formula>
      <formula>2</formula>
    </cfRule>
  </conditionalFormatting>
  <conditionalFormatting sqref="I80">
    <cfRule type="expression" dxfId="10078" priority="14733">
      <formula>AND(A80=B80,ISBLANK(I80))</formula>
    </cfRule>
    <cfRule type="cellIs" dxfId="10077" priority="14734" operator="notBetween">
      <formula>0</formula>
      <formula>2</formula>
    </cfRule>
  </conditionalFormatting>
  <conditionalFormatting sqref="I81">
    <cfRule type="expression" dxfId="10076" priority="14731">
      <formula>AND(A81=B81,ISBLANK(I81))</formula>
    </cfRule>
    <cfRule type="cellIs" dxfId="10075" priority="14732" operator="notBetween">
      <formula>0</formula>
      <formula>2</formula>
    </cfRule>
  </conditionalFormatting>
  <conditionalFormatting sqref="I82">
    <cfRule type="expression" dxfId="10074" priority="14729">
      <formula>AND(A82=B82,ISBLANK(I82))</formula>
    </cfRule>
    <cfRule type="cellIs" dxfId="10073" priority="14730" operator="notBetween">
      <formula>0</formula>
      <formula>2</formula>
    </cfRule>
  </conditionalFormatting>
  <conditionalFormatting sqref="I83">
    <cfRule type="expression" dxfId="10072" priority="14727">
      <formula>AND(A83=B83,ISBLANK(I83))</formula>
    </cfRule>
    <cfRule type="cellIs" dxfId="10071" priority="14728" operator="notBetween">
      <formula>0</formula>
      <formula>2</formula>
    </cfRule>
  </conditionalFormatting>
  <conditionalFormatting sqref="I84">
    <cfRule type="expression" dxfId="10070" priority="14725">
      <formula>AND(A84=B84,ISBLANK(I84))</formula>
    </cfRule>
    <cfRule type="cellIs" dxfId="10069" priority="14726" operator="notBetween">
      <formula>0</formula>
      <formula>2</formula>
    </cfRule>
  </conditionalFormatting>
  <conditionalFormatting sqref="I85">
    <cfRule type="expression" dxfId="10068" priority="14723">
      <formula>AND(A85=B85,ISBLANK(I85))</formula>
    </cfRule>
    <cfRule type="cellIs" dxfId="10067" priority="14724" operator="notBetween">
      <formula>0</formula>
      <formula>2</formula>
    </cfRule>
  </conditionalFormatting>
  <conditionalFormatting sqref="I86">
    <cfRule type="expression" dxfId="10066" priority="14721">
      <formula>AND(A86=B86,ISBLANK(I86))</formula>
    </cfRule>
    <cfRule type="cellIs" dxfId="10065" priority="14722" operator="notBetween">
      <formula>0</formula>
      <formula>2</formula>
    </cfRule>
  </conditionalFormatting>
  <conditionalFormatting sqref="I87">
    <cfRule type="expression" dxfId="10064" priority="14719">
      <formula>AND(A87=B87,ISBLANK(I87))</formula>
    </cfRule>
    <cfRule type="cellIs" dxfId="10063" priority="14720" operator="notBetween">
      <formula>0</formula>
      <formula>2</formula>
    </cfRule>
  </conditionalFormatting>
  <conditionalFormatting sqref="I88">
    <cfRule type="expression" dxfId="10062" priority="14717">
      <formula>AND(A88=B88,ISBLANK(I88))</formula>
    </cfRule>
    <cfRule type="cellIs" dxfId="10061" priority="14718" operator="notBetween">
      <formula>0</formula>
      <formula>2</formula>
    </cfRule>
  </conditionalFormatting>
  <conditionalFormatting sqref="I89">
    <cfRule type="expression" dxfId="10060" priority="14715">
      <formula>AND(A89=B89,ISBLANK(I89))</formula>
    </cfRule>
    <cfRule type="cellIs" dxfId="10059" priority="14716" operator="notBetween">
      <formula>0</formula>
      <formula>2</formula>
    </cfRule>
  </conditionalFormatting>
  <conditionalFormatting sqref="I90">
    <cfRule type="expression" dxfId="10058" priority="14713">
      <formula>AND(A90=B90,ISBLANK(I90))</formula>
    </cfRule>
    <cfRule type="cellIs" dxfId="10057" priority="14714" operator="notBetween">
      <formula>0</formula>
      <formula>2</formula>
    </cfRule>
  </conditionalFormatting>
  <conditionalFormatting sqref="I91">
    <cfRule type="expression" dxfId="10056" priority="14711">
      <formula>AND(A91=B91,ISBLANK(I91))</formula>
    </cfRule>
    <cfRule type="cellIs" dxfId="10055" priority="14712" operator="notBetween">
      <formula>0</formula>
      <formula>2</formula>
    </cfRule>
  </conditionalFormatting>
  <conditionalFormatting sqref="I92">
    <cfRule type="expression" dxfId="10054" priority="14709">
      <formula>AND(A92=B92,ISBLANK(I92))</formula>
    </cfRule>
    <cfRule type="cellIs" dxfId="10053" priority="14710" operator="notBetween">
      <formula>0</formula>
      <formula>2</formula>
    </cfRule>
  </conditionalFormatting>
  <conditionalFormatting sqref="I93">
    <cfRule type="expression" dxfId="10052" priority="14707">
      <formula>AND(A93=B93,ISBLANK(I93))</formula>
    </cfRule>
    <cfRule type="cellIs" dxfId="10051" priority="14708" operator="notBetween">
      <formula>0</formula>
      <formula>2</formula>
    </cfRule>
  </conditionalFormatting>
  <conditionalFormatting sqref="I94">
    <cfRule type="expression" dxfId="10050" priority="14705">
      <formula>AND(A94=B94,ISBLANK(I94))</formula>
    </cfRule>
    <cfRule type="cellIs" dxfId="10049" priority="14706" operator="notBetween">
      <formula>0</formula>
      <formula>2</formula>
    </cfRule>
  </conditionalFormatting>
  <conditionalFormatting sqref="I95">
    <cfRule type="expression" dxfId="10048" priority="14703">
      <formula>AND(A95=B95,ISBLANK(I95))</formula>
    </cfRule>
    <cfRule type="cellIs" dxfId="10047" priority="14704" operator="notBetween">
      <formula>0</formula>
      <formula>2</formula>
    </cfRule>
  </conditionalFormatting>
  <conditionalFormatting sqref="I96">
    <cfRule type="expression" dxfId="10046" priority="14701">
      <formula>AND(A96=B96,ISBLANK(I96))</formula>
    </cfRule>
    <cfRule type="cellIs" dxfId="10045" priority="14702" operator="notBetween">
      <formula>0</formula>
      <formula>2</formula>
    </cfRule>
  </conditionalFormatting>
  <conditionalFormatting sqref="I97">
    <cfRule type="expression" dxfId="10044" priority="14699">
      <formula>AND(A97=B97,ISBLANK(I97))</formula>
    </cfRule>
    <cfRule type="cellIs" dxfId="10043" priority="14700" operator="notBetween">
      <formula>0</formula>
      <formula>2</formula>
    </cfRule>
  </conditionalFormatting>
  <conditionalFormatting sqref="I98">
    <cfRule type="expression" dxfId="10042" priority="14697">
      <formula>AND(A98=B98,ISBLANK(I98))</formula>
    </cfRule>
    <cfRule type="cellIs" dxfId="10041" priority="14698" operator="notBetween">
      <formula>0</formula>
      <formula>2</formula>
    </cfRule>
  </conditionalFormatting>
  <conditionalFormatting sqref="I99">
    <cfRule type="expression" dxfId="10040" priority="14695">
      <formula>AND(A99=B99,ISBLANK(I99))</formula>
    </cfRule>
    <cfRule type="cellIs" dxfId="10039" priority="14696" operator="notBetween">
      <formula>0</formula>
      <formula>2</formula>
    </cfRule>
  </conditionalFormatting>
  <conditionalFormatting sqref="I100">
    <cfRule type="expression" dxfId="10038" priority="14693">
      <formula>AND(A100=B100,ISBLANK(I100))</formula>
    </cfRule>
    <cfRule type="cellIs" dxfId="10037" priority="14694" operator="notBetween">
      <formula>0</formula>
      <formula>2</formula>
    </cfRule>
  </conditionalFormatting>
  <conditionalFormatting sqref="I101">
    <cfRule type="expression" dxfId="10036" priority="14691">
      <formula>AND(A101=B101,ISBLANK(I101))</formula>
    </cfRule>
    <cfRule type="cellIs" dxfId="10035" priority="14692" operator="notBetween">
      <formula>0</formula>
      <formula>2</formula>
    </cfRule>
  </conditionalFormatting>
  <conditionalFormatting sqref="I102">
    <cfRule type="expression" dxfId="10034" priority="14689">
      <formula>AND(A102=B102,ISBLANK(I102))</formula>
    </cfRule>
    <cfRule type="cellIs" dxfId="10033" priority="14690" operator="notBetween">
      <formula>0</formula>
      <formula>2</formula>
    </cfRule>
  </conditionalFormatting>
  <conditionalFormatting sqref="I103">
    <cfRule type="expression" dxfId="10032" priority="14687">
      <formula>AND(A103=B103,ISBLANK(I103))</formula>
    </cfRule>
    <cfRule type="cellIs" dxfId="10031" priority="14688" operator="notBetween">
      <formula>0</formula>
      <formula>2</formula>
    </cfRule>
  </conditionalFormatting>
  <conditionalFormatting sqref="I104">
    <cfRule type="expression" dxfId="10030" priority="14685">
      <formula>AND(A104=B104,ISBLANK(I104))</formula>
    </cfRule>
    <cfRule type="cellIs" dxfId="10029" priority="14686" operator="notBetween">
      <formula>0</formula>
      <formula>2</formula>
    </cfRule>
  </conditionalFormatting>
  <conditionalFormatting sqref="I105">
    <cfRule type="expression" dxfId="10028" priority="14683">
      <formula>AND(A105=B105,ISBLANK(I105))</formula>
    </cfRule>
    <cfRule type="cellIs" dxfId="10027" priority="14684" operator="notBetween">
      <formula>0</formula>
      <formula>2</formula>
    </cfRule>
  </conditionalFormatting>
  <conditionalFormatting sqref="I106">
    <cfRule type="expression" dxfId="10026" priority="14681">
      <formula>AND(A106=B106,ISBLANK(I106))</formula>
    </cfRule>
    <cfRule type="cellIs" dxfId="10025" priority="14682" operator="notBetween">
      <formula>0</formula>
      <formula>2</formula>
    </cfRule>
  </conditionalFormatting>
  <conditionalFormatting sqref="I107">
    <cfRule type="expression" dxfId="10024" priority="14679">
      <formula>AND(A107=B107,ISBLANK(I107))</formula>
    </cfRule>
    <cfRule type="cellIs" dxfId="10023" priority="14680" operator="notBetween">
      <formula>0</formula>
      <formula>2</formula>
    </cfRule>
  </conditionalFormatting>
  <conditionalFormatting sqref="I108">
    <cfRule type="expression" dxfId="10022" priority="14677">
      <formula>AND(A108=B108,ISBLANK(I108))</formula>
    </cfRule>
    <cfRule type="cellIs" dxfId="10021" priority="14678" operator="notBetween">
      <formula>0</formula>
      <formula>2</formula>
    </cfRule>
  </conditionalFormatting>
  <conditionalFormatting sqref="I109">
    <cfRule type="expression" dxfId="10020" priority="14675">
      <formula>AND(A109=B109,ISBLANK(I109))</formula>
    </cfRule>
    <cfRule type="cellIs" dxfId="10019" priority="14676" operator="notBetween">
      <formula>0</formula>
      <formula>2</formula>
    </cfRule>
  </conditionalFormatting>
  <conditionalFormatting sqref="I110">
    <cfRule type="expression" dxfId="10018" priority="14673">
      <formula>AND(A110=B110,ISBLANK(I110))</formula>
    </cfRule>
    <cfRule type="cellIs" dxfId="10017" priority="14674" operator="notBetween">
      <formula>0</formula>
      <formula>2</formula>
    </cfRule>
  </conditionalFormatting>
  <conditionalFormatting sqref="I111">
    <cfRule type="expression" dxfId="10016" priority="14671">
      <formula>AND(A111=B111,ISBLANK(I111))</formula>
    </cfRule>
    <cfRule type="cellIs" dxfId="10015" priority="14672" operator="notBetween">
      <formula>0</formula>
      <formula>2</formula>
    </cfRule>
  </conditionalFormatting>
  <conditionalFormatting sqref="I112">
    <cfRule type="expression" dxfId="10014" priority="14669">
      <formula>AND(A112=B112,ISBLANK(I112))</formula>
    </cfRule>
    <cfRule type="cellIs" dxfId="10013" priority="14670" operator="notBetween">
      <formula>0</formula>
      <formula>2</formula>
    </cfRule>
  </conditionalFormatting>
  <conditionalFormatting sqref="I113">
    <cfRule type="expression" dxfId="10012" priority="14667">
      <formula>AND(A113=B113,ISBLANK(I113))</formula>
    </cfRule>
    <cfRule type="cellIs" dxfId="10011" priority="14668" operator="notBetween">
      <formula>0</formula>
      <formula>2</formula>
    </cfRule>
  </conditionalFormatting>
  <conditionalFormatting sqref="I114">
    <cfRule type="expression" dxfId="10010" priority="14665">
      <formula>AND(A114=B114,ISBLANK(I114))</formula>
    </cfRule>
    <cfRule type="cellIs" dxfId="10009" priority="14666" operator="notBetween">
      <formula>0</formula>
      <formula>2</formula>
    </cfRule>
  </conditionalFormatting>
  <conditionalFormatting sqref="I115">
    <cfRule type="expression" dxfId="10008" priority="14663">
      <formula>AND(A115=B115,ISBLANK(I115))</formula>
    </cfRule>
    <cfRule type="cellIs" dxfId="10007" priority="14664" operator="notBetween">
      <formula>0</formula>
      <formula>2</formula>
    </cfRule>
  </conditionalFormatting>
  <conditionalFormatting sqref="I116">
    <cfRule type="expression" dxfId="10006" priority="14661">
      <formula>AND(A116=B116,ISBLANK(I116))</formula>
    </cfRule>
    <cfRule type="cellIs" dxfId="10005" priority="14662" operator="notBetween">
      <formula>0</formula>
      <formula>2</formula>
    </cfRule>
  </conditionalFormatting>
  <conditionalFormatting sqref="I117">
    <cfRule type="expression" dxfId="10004" priority="14659">
      <formula>AND(A117=B117,ISBLANK(I117))</formula>
    </cfRule>
    <cfRule type="cellIs" dxfId="10003" priority="14660" operator="notBetween">
      <formula>0</formula>
      <formula>2</formula>
    </cfRule>
  </conditionalFormatting>
  <conditionalFormatting sqref="I118">
    <cfRule type="expression" dxfId="10002" priority="14657">
      <formula>AND(A118=B118,ISBLANK(I118))</formula>
    </cfRule>
    <cfRule type="cellIs" dxfId="10001" priority="14658" operator="notBetween">
      <formula>0</formula>
      <formula>2</formula>
    </cfRule>
  </conditionalFormatting>
  <conditionalFormatting sqref="I119">
    <cfRule type="expression" dxfId="10000" priority="14655">
      <formula>AND(A119=B119,ISBLANK(I119))</formula>
    </cfRule>
    <cfRule type="cellIs" dxfId="9999" priority="14656" operator="notBetween">
      <formula>0</formula>
      <formula>2</formula>
    </cfRule>
  </conditionalFormatting>
  <conditionalFormatting sqref="I120">
    <cfRule type="expression" dxfId="9998" priority="14653">
      <formula>AND(A120=B120,ISBLANK(I120))</formula>
    </cfRule>
    <cfRule type="cellIs" dxfId="9997" priority="14654" operator="notBetween">
      <formula>0</formula>
      <formula>2</formula>
    </cfRule>
  </conditionalFormatting>
  <conditionalFormatting sqref="I121">
    <cfRule type="expression" dxfId="9996" priority="14651">
      <formula>AND(A121=B121,ISBLANK(I121))</formula>
    </cfRule>
    <cfRule type="cellIs" dxfId="9995" priority="14652" operator="notBetween">
      <formula>0</formula>
      <formula>2</formula>
    </cfRule>
  </conditionalFormatting>
  <conditionalFormatting sqref="I122">
    <cfRule type="expression" dxfId="9994" priority="14649">
      <formula>AND(A122=B122,ISBLANK(I122))</formula>
    </cfRule>
    <cfRule type="cellIs" dxfId="9993" priority="14650" operator="notBetween">
      <formula>0</formula>
      <formula>2</formula>
    </cfRule>
  </conditionalFormatting>
  <conditionalFormatting sqref="I123">
    <cfRule type="expression" dxfId="9992" priority="14647">
      <formula>AND(A123=B123,ISBLANK(I123))</formula>
    </cfRule>
    <cfRule type="cellIs" dxfId="9991" priority="14648" operator="notBetween">
      <formula>0</formula>
      <formula>2</formula>
    </cfRule>
  </conditionalFormatting>
  <conditionalFormatting sqref="I124">
    <cfRule type="expression" dxfId="9990" priority="14645">
      <formula>AND(A124=B124,ISBLANK(I124))</formula>
    </cfRule>
    <cfRule type="cellIs" dxfId="9989" priority="14646" operator="notBetween">
      <formula>0</formula>
      <formula>2</formula>
    </cfRule>
  </conditionalFormatting>
  <conditionalFormatting sqref="I125">
    <cfRule type="expression" dxfId="9988" priority="14643">
      <formula>AND(A125=B125,ISBLANK(I125))</formula>
    </cfRule>
    <cfRule type="cellIs" dxfId="9987" priority="14644" operator="notBetween">
      <formula>0</formula>
      <formula>2</formula>
    </cfRule>
  </conditionalFormatting>
  <conditionalFormatting sqref="I126">
    <cfRule type="expression" dxfId="9986" priority="14641">
      <formula>AND(A126=B126,ISBLANK(I126))</formula>
    </cfRule>
    <cfRule type="cellIs" dxfId="9985" priority="14642" operator="notBetween">
      <formula>0</formula>
      <formula>2</formula>
    </cfRule>
  </conditionalFormatting>
  <conditionalFormatting sqref="I127">
    <cfRule type="expression" dxfId="9984" priority="14639">
      <formula>AND(A127=B127,ISBLANK(I127))</formula>
    </cfRule>
    <cfRule type="cellIs" dxfId="9983" priority="14640" operator="notBetween">
      <formula>0</formula>
      <formula>2</formula>
    </cfRule>
  </conditionalFormatting>
  <conditionalFormatting sqref="I128">
    <cfRule type="expression" dxfId="9982" priority="14637">
      <formula>AND(A128=B128,ISBLANK(I128))</formula>
    </cfRule>
    <cfRule type="cellIs" dxfId="9981" priority="14638" operator="notBetween">
      <formula>0</formula>
      <formula>2</formula>
    </cfRule>
  </conditionalFormatting>
  <conditionalFormatting sqref="I129">
    <cfRule type="expression" dxfId="9980" priority="14635">
      <formula>AND(A129=B129,ISBLANK(I129))</formula>
    </cfRule>
    <cfRule type="cellIs" dxfId="9979" priority="14636" operator="notBetween">
      <formula>0</formula>
      <formula>2</formula>
    </cfRule>
  </conditionalFormatting>
  <conditionalFormatting sqref="I130">
    <cfRule type="expression" dxfId="9978" priority="14633">
      <formula>AND(A130=B130,ISBLANK(I130))</formula>
    </cfRule>
    <cfRule type="cellIs" dxfId="9977" priority="14634" operator="notBetween">
      <formula>0</formula>
      <formula>2</formula>
    </cfRule>
  </conditionalFormatting>
  <conditionalFormatting sqref="I131">
    <cfRule type="expression" dxfId="9976" priority="14631">
      <formula>AND(A131=B131,ISBLANK(I131))</formula>
    </cfRule>
    <cfRule type="cellIs" dxfId="9975" priority="14632" operator="notBetween">
      <formula>0</formula>
      <formula>2</formula>
    </cfRule>
  </conditionalFormatting>
  <conditionalFormatting sqref="I132">
    <cfRule type="expression" dxfId="9974" priority="14629">
      <formula>AND(A132=B132,ISBLANK(I132))</formula>
    </cfRule>
    <cfRule type="cellIs" dxfId="9973" priority="14630" operator="notBetween">
      <formula>0</formula>
      <formula>2</formula>
    </cfRule>
  </conditionalFormatting>
  <conditionalFormatting sqref="I133">
    <cfRule type="expression" dxfId="9972" priority="14627">
      <formula>AND(A133=B133,ISBLANK(I133))</formula>
    </cfRule>
    <cfRule type="cellIs" dxfId="9971" priority="14628" operator="notBetween">
      <formula>0</formula>
      <formula>2</formula>
    </cfRule>
  </conditionalFormatting>
  <conditionalFormatting sqref="I134">
    <cfRule type="expression" dxfId="9970" priority="14625">
      <formula>AND(A134=B134,ISBLANK(I134))</formula>
    </cfRule>
    <cfRule type="cellIs" dxfId="9969" priority="14626" operator="notBetween">
      <formula>0</formula>
      <formula>2</formula>
    </cfRule>
  </conditionalFormatting>
  <conditionalFormatting sqref="I135">
    <cfRule type="expression" dxfId="9968" priority="14623">
      <formula>AND(A135=B135,ISBLANK(I135))</formula>
    </cfRule>
    <cfRule type="cellIs" dxfId="9967" priority="14624" operator="notBetween">
      <formula>0</formula>
      <formula>2</formula>
    </cfRule>
  </conditionalFormatting>
  <conditionalFormatting sqref="I136">
    <cfRule type="expression" dxfId="9966" priority="14621">
      <formula>AND(A136=B136,ISBLANK(I136))</formula>
    </cfRule>
    <cfRule type="cellIs" dxfId="9965" priority="14622" operator="notBetween">
      <formula>0</formula>
      <formula>2</formula>
    </cfRule>
  </conditionalFormatting>
  <conditionalFormatting sqref="I137">
    <cfRule type="expression" dxfId="9964" priority="14619">
      <formula>AND(A137=B137,ISBLANK(I137))</formula>
    </cfRule>
    <cfRule type="cellIs" dxfId="9963" priority="14620" operator="notBetween">
      <formula>0</formula>
      <formula>2</formula>
    </cfRule>
  </conditionalFormatting>
  <conditionalFormatting sqref="I138">
    <cfRule type="expression" dxfId="9962" priority="14617">
      <formula>AND(A138=B138,ISBLANK(I138))</formula>
    </cfRule>
    <cfRule type="cellIs" dxfId="9961" priority="14618" operator="notBetween">
      <formula>0</formula>
      <formula>2</formula>
    </cfRule>
  </conditionalFormatting>
  <conditionalFormatting sqref="I139">
    <cfRule type="expression" dxfId="9960" priority="14615">
      <formula>AND(A139=B139,ISBLANK(I139))</formula>
    </cfRule>
    <cfRule type="cellIs" dxfId="9959" priority="14616" operator="notBetween">
      <formula>0</formula>
      <formula>2</formula>
    </cfRule>
  </conditionalFormatting>
  <conditionalFormatting sqref="I140">
    <cfRule type="expression" dxfId="9958" priority="14613">
      <formula>AND(A140=B140,ISBLANK(I140))</formula>
    </cfRule>
    <cfRule type="cellIs" dxfId="9957" priority="14614" operator="notBetween">
      <formula>0</formula>
      <formula>2</formula>
    </cfRule>
  </conditionalFormatting>
  <conditionalFormatting sqref="I141">
    <cfRule type="expression" dxfId="9956" priority="14611">
      <formula>AND(A141=B141,ISBLANK(I141))</formula>
    </cfRule>
    <cfRule type="cellIs" dxfId="9955" priority="14612" operator="notBetween">
      <formula>0</formula>
      <formula>2</formula>
    </cfRule>
  </conditionalFormatting>
  <conditionalFormatting sqref="I142">
    <cfRule type="expression" dxfId="9954" priority="14609">
      <formula>AND(A142=B142,ISBLANK(I142))</formula>
    </cfRule>
    <cfRule type="cellIs" dxfId="9953" priority="14610" operator="notBetween">
      <formula>0</formula>
      <formula>2</formula>
    </cfRule>
  </conditionalFormatting>
  <conditionalFormatting sqref="I143">
    <cfRule type="expression" dxfId="9952" priority="14607">
      <formula>AND(A143=B143,ISBLANK(I143))</formula>
    </cfRule>
    <cfRule type="cellIs" dxfId="9951" priority="14608" operator="notBetween">
      <formula>0</formula>
      <formula>2</formula>
    </cfRule>
  </conditionalFormatting>
  <conditionalFormatting sqref="I144">
    <cfRule type="expression" dxfId="9950" priority="14605">
      <formula>AND(A144=B144,ISBLANK(I144))</formula>
    </cfRule>
    <cfRule type="cellIs" dxfId="9949" priority="14606" operator="notBetween">
      <formula>0</formula>
      <formula>2</formula>
    </cfRule>
  </conditionalFormatting>
  <conditionalFormatting sqref="I145">
    <cfRule type="expression" dxfId="9948" priority="14603">
      <formula>AND(A145=B145,ISBLANK(I145))</formula>
    </cfRule>
    <cfRule type="cellIs" dxfId="9947" priority="14604" operator="notBetween">
      <formula>0</formula>
      <formula>2</formula>
    </cfRule>
  </conditionalFormatting>
  <conditionalFormatting sqref="I146">
    <cfRule type="expression" dxfId="9946" priority="14601">
      <formula>AND(A146=B146,ISBLANK(I146))</formula>
    </cfRule>
    <cfRule type="cellIs" dxfId="9945" priority="14602" operator="notBetween">
      <formula>0</formula>
      <formula>2</formula>
    </cfRule>
  </conditionalFormatting>
  <conditionalFormatting sqref="I147">
    <cfRule type="expression" dxfId="9944" priority="14599">
      <formula>AND(A147=B147,ISBLANK(I147))</formula>
    </cfRule>
    <cfRule type="cellIs" dxfId="9943" priority="14600" operator="notBetween">
      <formula>0</formula>
      <formula>2</formula>
    </cfRule>
  </conditionalFormatting>
  <conditionalFormatting sqref="I148">
    <cfRule type="expression" dxfId="9942" priority="14597">
      <formula>AND(A148=B148,ISBLANK(I148))</formula>
    </cfRule>
    <cfRule type="cellIs" dxfId="9941" priority="14598" operator="notBetween">
      <formula>0</formula>
      <formula>2</formula>
    </cfRule>
  </conditionalFormatting>
  <conditionalFormatting sqref="I149">
    <cfRule type="expression" dxfId="9940" priority="14595">
      <formula>AND(A149=B149,ISBLANK(I149))</formula>
    </cfRule>
    <cfRule type="cellIs" dxfId="9939" priority="14596" operator="notBetween">
      <formula>0</formula>
      <formula>2</formula>
    </cfRule>
  </conditionalFormatting>
  <conditionalFormatting sqref="I150">
    <cfRule type="expression" dxfId="9938" priority="14593">
      <formula>AND(A150=B150,ISBLANK(I150))</formula>
    </cfRule>
    <cfRule type="cellIs" dxfId="9937" priority="14594" operator="notBetween">
      <formula>0</formula>
      <formula>2</formula>
    </cfRule>
  </conditionalFormatting>
  <conditionalFormatting sqref="I151">
    <cfRule type="expression" dxfId="9936" priority="14591">
      <formula>AND(A151=B151,ISBLANK(I151))</formula>
    </cfRule>
    <cfRule type="cellIs" dxfId="9935" priority="14592" operator="notBetween">
      <formula>0</formula>
      <formula>2</formula>
    </cfRule>
  </conditionalFormatting>
  <conditionalFormatting sqref="I152">
    <cfRule type="expression" dxfId="9934" priority="14589">
      <formula>AND(A152=B152,ISBLANK(I152))</formula>
    </cfRule>
    <cfRule type="cellIs" dxfId="9933" priority="14590" operator="notBetween">
      <formula>0</formula>
      <formula>2</formula>
    </cfRule>
  </conditionalFormatting>
  <conditionalFormatting sqref="I153">
    <cfRule type="expression" dxfId="9932" priority="14587">
      <formula>AND(A153=B153,ISBLANK(I153))</formula>
    </cfRule>
    <cfRule type="cellIs" dxfId="9931" priority="14588" operator="notBetween">
      <formula>0</formula>
      <formula>2</formula>
    </cfRule>
  </conditionalFormatting>
  <conditionalFormatting sqref="I154">
    <cfRule type="expression" dxfId="9930" priority="14585">
      <formula>AND(A154=B154,ISBLANK(I154))</formula>
    </cfRule>
    <cfRule type="cellIs" dxfId="9929" priority="14586" operator="notBetween">
      <formula>0</formula>
      <formula>2</formula>
    </cfRule>
  </conditionalFormatting>
  <conditionalFormatting sqref="I155">
    <cfRule type="expression" dxfId="9928" priority="14583">
      <formula>AND(A155=B155,ISBLANK(I155))</formula>
    </cfRule>
    <cfRule type="cellIs" dxfId="9927" priority="14584" operator="notBetween">
      <formula>0</formula>
      <formula>2</formula>
    </cfRule>
  </conditionalFormatting>
  <conditionalFormatting sqref="I156">
    <cfRule type="expression" dxfId="9926" priority="14581">
      <formula>AND(A156=B156,ISBLANK(I156))</formula>
    </cfRule>
    <cfRule type="cellIs" dxfId="9925" priority="14582" operator="notBetween">
      <formula>0</formula>
      <formula>2</formula>
    </cfRule>
  </conditionalFormatting>
  <conditionalFormatting sqref="I157">
    <cfRule type="expression" dxfId="9924" priority="14579">
      <formula>AND(A157=B157,ISBLANK(I157))</formula>
    </cfRule>
    <cfRule type="cellIs" dxfId="9923" priority="14580" operator="notBetween">
      <formula>0</formula>
      <formula>2</formula>
    </cfRule>
  </conditionalFormatting>
  <conditionalFormatting sqref="I158">
    <cfRule type="expression" dxfId="9922" priority="14577">
      <formula>AND(A158=B158,ISBLANK(I158))</formula>
    </cfRule>
    <cfRule type="cellIs" dxfId="9921" priority="14578" operator="notBetween">
      <formula>0</formula>
      <formula>2</formula>
    </cfRule>
  </conditionalFormatting>
  <conditionalFormatting sqref="I159">
    <cfRule type="expression" dxfId="9920" priority="14575">
      <formula>AND(A159=B159,ISBLANK(I159))</formula>
    </cfRule>
    <cfRule type="cellIs" dxfId="9919" priority="14576" operator="notBetween">
      <formula>0</formula>
      <formula>2</formula>
    </cfRule>
  </conditionalFormatting>
  <conditionalFormatting sqref="I160">
    <cfRule type="expression" dxfId="9918" priority="14573">
      <formula>AND(A160=B160,ISBLANK(I160))</formula>
    </cfRule>
    <cfRule type="cellIs" dxfId="9917" priority="14574" operator="notBetween">
      <formula>0</formula>
      <formula>2</formula>
    </cfRule>
  </conditionalFormatting>
  <conditionalFormatting sqref="I161">
    <cfRule type="expression" dxfId="9916" priority="14571">
      <formula>AND(A161=B161,ISBLANK(I161))</formula>
    </cfRule>
    <cfRule type="cellIs" dxfId="9915" priority="14572" operator="notBetween">
      <formula>0</formula>
      <formula>2</formula>
    </cfRule>
  </conditionalFormatting>
  <conditionalFormatting sqref="I162">
    <cfRule type="expression" dxfId="9914" priority="14569">
      <formula>AND(A162=B162,ISBLANK(I162))</formula>
    </cfRule>
    <cfRule type="cellIs" dxfId="9913" priority="14570" operator="notBetween">
      <formula>0</formula>
      <formula>2</formula>
    </cfRule>
  </conditionalFormatting>
  <conditionalFormatting sqref="I163">
    <cfRule type="expression" dxfId="9912" priority="14567">
      <formula>AND(A163=B163,ISBLANK(I163))</formula>
    </cfRule>
    <cfRule type="cellIs" dxfId="9911" priority="14568" operator="notBetween">
      <formula>0</formula>
      <formula>2</formula>
    </cfRule>
  </conditionalFormatting>
  <conditionalFormatting sqref="I164">
    <cfRule type="expression" dxfId="9910" priority="14565">
      <formula>AND(A164=B164,ISBLANK(I164))</formula>
    </cfRule>
    <cfRule type="cellIs" dxfId="9909" priority="14566" operator="notBetween">
      <formula>0</formula>
      <formula>2</formula>
    </cfRule>
  </conditionalFormatting>
  <conditionalFormatting sqref="I165">
    <cfRule type="expression" dxfId="9908" priority="14563">
      <formula>AND(A165=B165,ISBLANK(I165))</formula>
    </cfRule>
    <cfRule type="cellIs" dxfId="9907" priority="14564" operator="notBetween">
      <formula>0</formula>
      <formula>2</formula>
    </cfRule>
  </conditionalFormatting>
  <conditionalFormatting sqref="I166">
    <cfRule type="expression" dxfId="9906" priority="14561">
      <formula>AND(A166=B166,ISBLANK(I166))</formula>
    </cfRule>
    <cfRule type="cellIs" dxfId="9905" priority="14562" operator="notBetween">
      <formula>0</formula>
      <formula>2</formula>
    </cfRule>
  </conditionalFormatting>
  <conditionalFormatting sqref="I167">
    <cfRule type="expression" dxfId="9904" priority="14559">
      <formula>AND(A167=B167,ISBLANK(I167))</formula>
    </cfRule>
    <cfRule type="cellIs" dxfId="9903" priority="14560" operator="notBetween">
      <formula>0</formula>
      <formula>2</formula>
    </cfRule>
  </conditionalFormatting>
  <conditionalFormatting sqref="I168">
    <cfRule type="expression" dxfId="9902" priority="14557">
      <formula>AND(A168=B168,ISBLANK(I168))</formula>
    </cfRule>
    <cfRule type="cellIs" dxfId="9901" priority="14558" operator="notBetween">
      <formula>0</formula>
      <formula>2</formula>
    </cfRule>
  </conditionalFormatting>
  <conditionalFormatting sqref="M66">
    <cfRule type="expression" dxfId="9900" priority="14555">
      <formula>AND(A66=B66,ISBLANK(M66))</formula>
    </cfRule>
    <cfRule type="cellIs" dxfId="9899" priority="14556" operator="notBetween">
      <formula>0</formula>
      <formula>2</formula>
    </cfRule>
  </conditionalFormatting>
  <conditionalFormatting sqref="J66">
    <cfRule type="cellIs" dxfId="9898" priority="14553" operator="notBetween">
      <formula>0</formula>
      <formula>2</formula>
    </cfRule>
    <cfRule type="expression" dxfId="9897" priority="14554">
      <formula>AND(A66=B66,ISBLANK(J66))</formula>
    </cfRule>
  </conditionalFormatting>
  <conditionalFormatting sqref="K66">
    <cfRule type="cellIs" dxfId="9896" priority="14551" operator="notBetween">
      <formula>0</formula>
      <formula>2</formula>
    </cfRule>
    <cfRule type="expression" dxfId="9895" priority="14552">
      <formula>AND(A66=B66,ISBLANK(K66))</formula>
    </cfRule>
  </conditionalFormatting>
  <conditionalFormatting sqref="L66">
    <cfRule type="cellIs" dxfId="9894" priority="14549" operator="notBetween">
      <formula>0</formula>
      <formula>2</formula>
    </cfRule>
    <cfRule type="expression" dxfId="9893" priority="14550">
      <formula>AND(A66=B66,ISBLANK(L66))</formula>
    </cfRule>
  </conditionalFormatting>
  <conditionalFormatting sqref="M67">
    <cfRule type="expression" dxfId="9892" priority="14547">
      <formula>AND(A67=B67,ISBLANK(M67))</formula>
    </cfRule>
    <cfRule type="cellIs" dxfId="9891" priority="14548" operator="notBetween">
      <formula>0</formula>
      <formula>2</formula>
    </cfRule>
  </conditionalFormatting>
  <conditionalFormatting sqref="J67">
    <cfRule type="cellIs" dxfId="9890" priority="14545" operator="notBetween">
      <formula>0</formula>
      <formula>2</formula>
    </cfRule>
    <cfRule type="expression" dxfId="9889" priority="14546">
      <formula>AND(A67=B67,ISBLANK(J67))</formula>
    </cfRule>
  </conditionalFormatting>
  <conditionalFormatting sqref="K67">
    <cfRule type="cellIs" dxfId="9888" priority="14543" operator="notBetween">
      <formula>0</formula>
      <formula>2</formula>
    </cfRule>
    <cfRule type="expression" dxfId="9887" priority="14544">
      <formula>AND(A67=B67,ISBLANK(K67))</formula>
    </cfRule>
  </conditionalFormatting>
  <conditionalFormatting sqref="L67">
    <cfRule type="cellIs" dxfId="9886" priority="14541" operator="notBetween">
      <formula>0</formula>
      <formula>2</formula>
    </cfRule>
    <cfRule type="expression" dxfId="9885" priority="14542">
      <formula>AND(A67=B67,ISBLANK(L67))</formula>
    </cfRule>
  </conditionalFormatting>
  <conditionalFormatting sqref="M68">
    <cfRule type="expression" dxfId="9884" priority="14539">
      <formula>AND(A68=B68,ISBLANK(M68))</formula>
    </cfRule>
    <cfRule type="cellIs" dxfId="9883" priority="14540" operator="notBetween">
      <formula>0</formula>
      <formula>2</formula>
    </cfRule>
  </conditionalFormatting>
  <conditionalFormatting sqref="J68">
    <cfRule type="cellIs" dxfId="9882" priority="14537" operator="notBetween">
      <formula>0</formula>
      <formula>2</formula>
    </cfRule>
    <cfRule type="expression" dxfId="9881" priority="14538">
      <formula>AND(A68=B68,ISBLANK(J68))</formula>
    </cfRule>
  </conditionalFormatting>
  <conditionalFormatting sqref="K68">
    <cfRule type="cellIs" dxfId="9880" priority="14535" operator="notBetween">
      <formula>0</formula>
      <formula>2</formula>
    </cfRule>
    <cfRule type="expression" dxfId="9879" priority="14536">
      <formula>AND(A68=B68,ISBLANK(K68))</formula>
    </cfRule>
  </conditionalFormatting>
  <conditionalFormatting sqref="L68">
    <cfRule type="cellIs" dxfId="9878" priority="14533" operator="notBetween">
      <formula>0</formula>
      <formula>2</formula>
    </cfRule>
    <cfRule type="expression" dxfId="9877" priority="14534">
      <formula>AND(A68=B68,ISBLANK(L68))</formula>
    </cfRule>
  </conditionalFormatting>
  <conditionalFormatting sqref="M69">
    <cfRule type="expression" dxfId="9876" priority="14531">
      <formula>AND(A69=B69,ISBLANK(M69))</formula>
    </cfRule>
    <cfRule type="cellIs" dxfId="9875" priority="14532" operator="notBetween">
      <formula>0</formula>
      <formula>2</formula>
    </cfRule>
  </conditionalFormatting>
  <conditionalFormatting sqref="J69">
    <cfRule type="cellIs" dxfId="9874" priority="14529" operator="notBetween">
      <formula>0</formula>
      <formula>2</formula>
    </cfRule>
    <cfRule type="expression" dxfId="9873" priority="14530">
      <formula>AND(A69=B69,ISBLANK(J69))</formula>
    </cfRule>
  </conditionalFormatting>
  <conditionalFormatting sqref="K69">
    <cfRule type="cellIs" dxfId="9872" priority="14527" operator="notBetween">
      <formula>0</formula>
      <formula>2</formula>
    </cfRule>
    <cfRule type="expression" dxfId="9871" priority="14528">
      <formula>AND(A69=B69,ISBLANK(K69))</formula>
    </cfRule>
  </conditionalFormatting>
  <conditionalFormatting sqref="L69">
    <cfRule type="cellIs" dxfId="9870" priority="14525" operator="notBetween">
      <formula>0</formula>
      <formula>2</formula>
    </cfRule>
    <cfRule type="expression" dxfId="9869" priority="14526">
      <formula>AND(A69=B69,ISBLANK(L69))</formula>
    </cfRule>
  </conditionalFormatting>
  <conditionalFormatting sqref="M70">
    <cfRule type="expression" dxfId="9868" priority="14523">
      <formula>AND(A70=B70,ISBLANK(M70))</formula>
    </cfRule>
    <cfRule type="cellIs" dxfId="9867" priority="14524" operator="notBetween">
      <formula>0</formula>
      <formula>2</formula>
    </cfRule>
  </conditionalFormatting>
  <conditionalFormatting sqref="J70">
    <cfRule type="cellIs" dxfId="9866" priority="14521" operator="notBetween">
      <formula>0</formula>
      <formula>2</formula>
    </cfRule>
    <cfRule type="expression" dxfId="9865" priority="14522">
      <formula>AND(A70=B70,ISBLANK(J70))</formula>
    </cfRule>
  </conditionalFormatting>
  <conditionalFormatting sqref="K70">
    <cfRule type="cellIs" dxfId="9864" priority="14519" operator="notBetween">
      <formula>0</formula>
      <formula>2</formula>
    </cfRule>
    <cfRule type="expression" dxfId="9863" priority="14520">
      <formula>AND(A70=B70,ISBLANK(K70))</formula>
    </cfRule>
  </conditionalFormatting>
  <conditionalFormatting sqref="L70">
    <cfRule type="cellIs" dxfId="9862" priority="14517" operator="notBetween">
      <formula>0</formula>
      <formula>2</formula>
    </cfRule>
    <cfRule type="expression" dxfId="9861" priority="14518">
      <formula>AND(A70=B70,ISBLANK(L70))</formula>
    </cfRule>
  </conditionalFormatting>
  <conditionalFormatting sqref="M71">
    <cfRule type="expression" dxfId="9860" priority="14515">
      <formula>AND(A71=B71,ISBLANK(M71))</formula>
    </cfRule>
    <cfRule type="cellIs" dxfId="9859" priority="14516" operator="notBetween">
      <formula>0</formula>
      <formula>2</formula>
    </cfRule>
  </conditionalFormatting>
  <conditionalFormatting sqref="J71">
    <cfRule type="cellIs" dxfId="9858" priority="14513" operator="notBetween">
      <formula>0</formula>
      <formula>2</formula>
    </cfRule>
    <cfRule type="expression" dxfId="9857" priority="14514">
      <formula>AND(A71=B71,ISBLANK(J71))</formula>
    </cfRule>
  </conditionalFormatting>
  <conditionalFormatting sqref="K71">
    <cfRule type="cellIs" dxfId="9856" priority="14511" operator="notBetween">
      <formula>0</formula>
      <formula>2</formula>
    </cfRule>
    <cfRule type="expression" dxfId="9855" priority="14512">
      <formula>AND(A71=B71,ISBLANK(K71))</formula>
    </cfRule>
  </conditionalFormatting>
  <conditionalFormatting sqref="L71">
    <cfRule type="cellIs" dxfId="9854" priority="14509" operator="notBetween">
      <formula>0</formula>
      <formula>2</formula>
    </cfRule>
    <cfRule type="expression" dxfId="9853" priority="14510">
      <formula>AND(A71=B71,ISBLANK(L71))</formula>
    </cfRule>
  </conditionalFormatting>
  <conditionalFormatting sqref="M72">
    <cfRule type="expression" dxfId="9852" priority="14507">
      <formula>AND(A72=B72,ISBLANK(M72))</formula>
    </cfRule>
    <cfRule type="cellIs" dxfId="9851" priority="14508" operator="notBetween">
      <formula>0</formula>
      <formula>2</formula>
    </cfRule>
  </conditionalFormatting>
  <conditionalFormatting sqref="J72">
    <cfRule type="cellIs" dxfId="9850" priority="14505" operator="notBetween">
      <formula>0</formula>
      <formula>2</formula>
    </cfRule>
    <cfRule type="expression" dxfId="9849" priority="14506">
      <formula>AND(A72=B72,ISBLANK(J72))</formula>
    </cfRule>
  </conditionalFormatting>
  <conditionalFormatting sqref="K72">
    <cfRule type="cellIs" dxfId="9848" priority="14503" operator="notBetween">
      <formula>0</formula>
      <formula>2</formula>
    </cfRule>
    <cfRule type="expression" dxfId="9847" priority="14504">
      <formula>AND(A72=B72,ISBLANK(K72))</formula>
    </cfRule>
  </conditionalFormatting>
  <conditionalFormatting sqref="L72">
    <cfRule type="cellIs" dxfId="9846" priority="14501" operator="notBetween">
      <formula>0</formula>
      <formula>2</formula>
    </cfRule>
    <cfRule type="expression" dxfId="9845" priority="14502">
      <formula>AND(A72=B72,ISBLANK(L72))</formula>
    </cfRule>
  </conditionalFormatting>
  <conditionalFormatting sqref="M73">
    <cfRule type="expression" dxfId="9844" priority="14499">
      <formula>AND(A73=B73,ISBLANK(M73))</formula>
    </cfRule>
    <cfRule type="cellIs" dxfId="9843" priority="14500" operator="notBetween">
      <formula>0</formula>
      <formula>2</formula>
    </cfRule>
  </conditionalFormatting>
  <conditionalFormatting sqref="J73">
    <cfRule type="cellIs" dxfId="9842" priority="14497" operator="notBetween">
      <formula>0</formula>
      <formula>2</formula>
    </cfRule>
    <cfRule type="expression" dxfId="9841" priority="14498">
      <formula>AND(A73=B73,ISBLANK(J73))</formula>
    </cfRule>
  </conditionalFormatting>
  <conditionalFormatting sqref="K73">
    <cfRule type="cellIs" dxfId="9840" priority="14495" operator="notBetween">
      <formula>0</formula>
      <formula>2</formula>
    </cfRule>
    <cfRule type="expression" dxfId="9839" priority="14496">
      <formula>AND(A73=B73,ISBLANK(K73))</formula>
    </cfRule>
  </conditionalFormatting>
  <conditionalFormatting sqref="L73">
    <cfRule type="cellIs" dxfId="9838" priority="14493" operator="notBetween">
      <formula>0</formula>
      <formula>2</formula>
    </cfRule>
    <cfRule type="expression" dxfId="9837" priority="14494">
      <formula>AND(A73=B73,ISBLANK(L73))</formula>
    </cfRule>
  </conditionalFormatting>
  <conditionalFormatting sqref="M74">
    <cfRule type="expression" dxfId="9836" priority="14491">
      <formula>AND(A74=B74,ISBLANK(M74))</formula>
    </cfRule>
    <cfRule type="cellIs" dxfId="9835" priority="14492" operator="notBetween">
      <formula>0</formula>
      <formula>2</formula>
    </cfRule>
  </conditionalFormatting>
  <conditionalFormatting sqref="J74">
    <cfRule type="cellIs" dxfId="9834" priority="14489" operator="notBetween">
      <formula>0</formula>
      <formula>2</formula>
    </cfRule>
    <cfRule type="expression" dxfId="9833" priority="14490">
      <formula>AND(A74=B74,ISBLANK(J74))</formula>
    </cfRule>
  </conditionalFormatting>
  <conditionalFormatting sqref="K74">
    <cfRule type="cellIs" dxfId="9832" priority="14487" operator="notBetween">
      <formula>0</formula>
      <formula>2</formula>
    </cfRule>
    <cfRule type="expression" dxfId="9831" priority="14488">
      <formula>AND(A74=B74,ISBLANK(K74))</formula>
    </cfRule>
  </conditionalFormatting>
  <conditionalFormatting sqref="L74">
    <cfRule type="cellIs" dxfId="9830" priority="14485" operator="notBetween">
      <formula>0</formula>
      <formula>2</formula>
    </cfRule>
    <cfRule type="expression" dxfId="9829" priority="14486">
      <formula>AND(A74=B74,ISBLANK(L74))</formula>
    </cfRule>
  </conditionalFormatting>
  <conditionalFormatting sqref="M75">
    <cfRule type="expression" dxfId="9828" priority="14483">
      <formula>AND(A75=B75,ISBLANK(M75))</formula>
    </cfRule>
    <cfRule type="cellIs" dxfId="9827" priority="14484" operator="notBetween">
      <formula>0</formula>
      <formula>2</formula>
    </cfRule>
  </conditionalFormatting>
  <conditionalFormatting sqref="J75">
    <cfRule type="cellIs" dxfId="9826" priority="14481" operator="notBetween">
      <formula>0</formula>
      <formula>2</formula>
    </cfRule>
    <cfRule type="expression" dxfId="9825" priority="14482">
      <formula>AND(A75=B75,ISBLANK(J75))</formula>
    </cfRule>
  </conditionalFormatting>
  <conditionalFormatting sqref="K75">
    <cfRule type="cellIs" dxfId="9824" priority="14479" operator="notBetween">
      <formula>0</formula>
      <formula>2</formula>
    </cfRule>
    <cfRule type="expression" dxfId="9823" priority="14480">
      <formula>AND(A75=B75,ISBLANK(K75))</formula>
    </cfRule>
  </conditionalFormatting>
  <conditionalFormatting sqref="L75">
    <cfRule type="cellIs" dxfId="9822" priority="14477" operator="notBetween">
      <formula>0</formula>
      <formula>2</formula>
    </cfRule>
    <cfRule type="expression" dxfId="9821" priority="14478">
      <formula>AND(A75=B75,ISBLANK(L75))</formula>
    </cfRule>
  </conditionalFormatting>
  <conditionalFormatting sqref="M76">
    <cfRule type="expression" dxfId="9820" priority="14475">
      <formula>AND(A76=B76,ISBLANK(M76))</formula>
    </cfRule>
    <cfRule type="cellIs" dxfId="9819" priority="14476" operator="notBetween">
      <formula>0</formula>
      <formula>2</formula>
    </cfRule>
  </conditionalFormatting>
  <conditionalFormatting sqref="J76">
    <cfRule type="cellIs" dxfId="9818" priority="14473" operator="notBetween">
      <formula>0</formula>
      <formula>2</formula>
    </cfRule>
    <cfRule type="expression" dxfId="9817" priority="14474">
      <formula>AND(A76=B76,ISBLANK(J76))</formula>
    </cfRule>
  </conditionalFormatting>
  <conditionalFormatting sqref="K76">
    <cfRule type="cellIs" dxfId="9816" priority="14471" operator="notBetween">
      <formula>0</formula>
      <formula>2</formula>
    </cfRule>
    <cfRule type="expression" dxfId="9815" priority="14472">
      <formula>AND(A76=B76,ISBLANK(K76))</formula>
    </cfRule>
  </conditionalFormatting>
  <conditionalFormatting sqref="L76">
    <cfRule type="cellIs" dxfId="9814" priority="14469" operator="notBetween">
      <formula>0</formula>
      <formula>2</formula>
    </cfRule>
    <cfRule type="expression" dxfId="9813" priority="14470">
      <formula>AND(A76=B76,ISBLANK(L76))</formula>
    </cfRule>
  </conditionalFormatting>
  <conditionalFormatting sqref="M77">
    <cfRule type="expression" dxfId="9812" priority="14467">
      <formula>AND(A77=B77,ISBLANK(M77))</formula>
    </cfRule>
    <cfRule type="cellIs" dxfId="9811" priority="14468" operator="notBetween">
      <formula>0</formula>
      <formula>2</formula>
    </cfRule>
  </conditionalFormatting>
  <conditionalFormatting sqref="J77">
    <cfRule type="cellIs" dxfId="9810" priority="14465" operator="notBetween">
      <formula>0</formula>
      <formula>2</formula>
    </cfRule>
    <cfRule type="expression" dxfId="9809" priority="14466">
      <formula>AND(A77=B77,ISBLANK(J77))</formula>
    </cfRule>
  </conditionalFormatting>
  <conditionalFormatting sqref="K77">
    <cfRule type="cellIs" dxfId="9808" priority="14463" operator="notBetween">
      <formula>0</formula>
      <formula>2</formula>
    </cfRule>
    <cfRule type="expression" dxfId="9807" priority="14464">
      <formula>AND(A77=B77,ISBLANK(K77))</formula>
    </cfRule>
  </conditionalFormatting>
  <conditionalFormatting sqref="L77">
    <cfRule type="cellIs" dxfId="9806" priority="14461" operator="notBetween">
      <formula>0</formula>
      <formula>2</formula>
    </cfRule>
    <cfRule type="expression" dxfId="9805" priority="14462">
      <formula>AND(A77=B77,ISBLANK(L77))</formula>
    </cfRule>
  </conditionalFormatting>
  <conditionalFormatting sqref="M78">
    <cfRule type="expression" dxfId="9804" priority="14459">
      <formula>AND(A78=B78,ISBLANK(M78))</formula>
    </cfRule>
    <cfRule type="cellIs" dxfId="9803" priority="14460" operator="notBetween">
      <formula>0</formula>
      <formula>2</formula>
    </cfRule>
  </conditionalFormatting>
  <conditionalFormatting sqref="J78">
    <cfRule type="cellIs" dxfId="9802" priority="14457" operator="notBetween">
      <formula>0</formula>
      <formula>2</formula>
    </cfRule>
    <cfRule type="expression" dxfId="9801" priority="14458">
      <formula>AND(A78=B78,ISBLANK(J78))</formula>
    </cfRule>
  </conditionalFormatting>
  <conditionalFormatting sqref="K78">
    <cfRule type="cellIs" dxfId="9800" priority="14455" operator="notBetween">
      <formula>0</formula>
      <formula>2</formula>
    </cfRule>
    <cfRule type="expression" dxfId="9799" priority="14456">
      <formula>AND(A78=B78,ISBLANK(K78))</formula>
    </cfRule>
  </conditionalFormatting>
  <conditionalFormatting sqref="L78">
    <cfRule type="cellIs" dxfId="9798" priority="14453" operator="notBetween">
      <formula>0</formula>
      <formula>2</formula>
    </cfRule>
    <cfRule type="expression" dxfId="9797" priority="14454">
      <formula>AND(A78=B78,ISBLANK(L78))</formula>
    </cfRule>
  </conditionalFormatting>
  <conditionalFormatting sqref="M79">
    <cfRule type="expression" dxfId="9796" priority="14451">
      <formula>AND(A79=B79,ISBLANK(M79))</formula>
    </cfRule>
    <cfRule type="cellIs" dxfId="9795" priority="14452" operator="notBetween">
      <formula>0</formula>
      <formula>2</formula>
    </cfRule>
  </conditionalFormatting>
  <conditionalFormatting sqref="J79">
    <cfRule type="cellIs" dxfId="9794" priority="14449" operator="notBetween">
      <formula>0</formula>
      <formula>2</formula>
    </cfRule>
    <cfRule type="expression" dxfId="9793" priority="14450">
      <formula>AND(A79=B79,ISBLANK(J79))</formula>
    </cfRule>
  </conditionalFormatting>
  <conditionalFormatting sqref="K79">
    <cfRule type="cellIs" dxfId="9792" priority="14447" operator="notBetween">
      <formula>0</formula>
      <formula>2</formula>
    </cfRule>
    <cfRule type="expression" dxfId="9791" priority="14448">
      <formula>AND(A79=B79,ISBLANK(K79))</formula>
    </cfRule>
  </conditionalFormatting>
  <conditionalFormatting sqref="L79">
    <cfRule type="cellIs" dxfId="9790" priority="14445" operator="notBetween">
      <formula>0</formula>
      <formula>2</formula>
    </cfRule>
    <cfRule type="expression" dxfId="9789" priority="14446">
      <formula>AND(A79=B79,ISBLANK(L79))</formula>
    </cfRule>
  </conditionalFormatting>
  <conditionalFormatting sqref="M80">
    <cfRule type="expression" dxfId="9788" priority="14443">
      <formula>AND(A80=B80,ISBLANK(M80))</formula>
    </cfRule>
    <cfRule type="cellIs" dxfId="9787" priority="14444" operator="notBetween">
      <formula>0</formula>
      <formula>2</formula>
    </cfRule>
  </conditionalFormatting>
  <conditionalFormatting sqref="J80">
    <cfRule type="cellIs" dxfId="9786" priority="14441" operator="notBetween">
      <formula>0</formula>
      <formula>2</formula>
    </cfRule>
    <cfRule type="expression" dxfId="9785" priority="14442">
      <formula>AND(A80=B80,ISBLANK(J80))</formula>
    </cfRule>
  </conditionalFormatting>
  <conditionalFormatting sqref="K80">
    <cfRule type="cellIs" dxfId="9784" priority="14439" operator="notBetween">
      <formula>0</formula>
      <formula>2</formula>
    </cfRule>
    <cfRule type="expression" dxfId="9783" priority="14440">
      <formula>AND(A80=B80,ISBLANK(K80))</formula>
    </cfRule>
  </conditionalFormatting>
  <conditionalFormatting sqref="L80">
    <cfRule type="cellIs" dxfId="9782" priority="14437" operator="notBetween">
      <formula>0</formula>
      <formula>2</formula>
    </cfRule>
    <cfRule type="expression" dxfId="9781" priority="14438">
      <formula>AND(A80=B80,ISBLANK(L80))</formula>
    </cfRule>
  </conditionalFormatting>
  <conditionalFormatting sqref="M81">
    <cfRule type="expression" dxfId="9780" priority="14435">
      <formula>AND(A81=B81,ISBLANK(M81))</formula>
    </cfRule>
    <cfRule type="cellIs" dxfId="9779" priority="14436" operator="notBetween">
      <formula>0</formula>
      <formula>2</formula>
    </cfRule>
  </conditionalFormatting>
  <conditionalFormatting sqref="J81">
    <cfRule type="cellIs" dxfId="9778" priority="14433" operator="notBetween">
      <formula>0</formula>
      <formula>2</formula>
    </cfRule>
    <cfRule type="expression" dxfId="9777" priority="14434">
      <formula>AND(A81=B81,ISBLANK(J81))</formula>
    </cfRule>
  </conditionalFormatting>
  <conditionalFormatting sqref="K81">
    <cfRule type="cellIs" dxfId="9776" priority="14431" operator="notBetween">
      <formula>0</formula>
      <formula>2</formula>
    </cfRule>
    <cfRule type="expression" dxfId="9775" priority="14432">
      <formula>AND(A81=B81,ISBLANK(K81))</formula>
    </cfRule>
  </conditionalFormatting>
  <conditionalFormatting sqref="L81">
    <cfRule type="cellIs" dxfId="9774" priority="14429" operator="notBetween">
      <formula>0</formula>
      <formula>2</formula>
    </cfRule>
    <cfRule type="expression" dxfId="9773" priority="14430">
      <formula>AND(A81=B81,ISBLANK(L81))</formula>
    </cfRule>
  </conditionalFormatting>
  <conditionalFormatting sqref="M82">
    <cfRule type="expression" dxfId="9772" priority="14427">
      <formula>AND(A82=B82,ISBLANK(M82))</formula>
    </cfRule>
    <cfRule type="cellIs" dxfId="9771" priority="14428" operator="notBetween">
      <formula>0</formula>
      <formula>2</formula>
    </cfRule>
  </conditionalFormatting>
  <conditionalFormatting sqref="J82">
    <cfRule type="cellIs" dxfId="9770" priority="14425" operator="notBetween">
      <formula>0</formula>
      <formula>2</formula>
    </cfRule>
    <cfRule type="expression" dxfId="9769" priority="14426">
      <formula>AND(A82=B82,ISBLANK(J82))</formula>
    </cfRule>
  </conditionalFormatting>
  <conditionalFormatting sqref="K82">
    <cfRule type="cellIs" dxfId="9768" priority="14423" operator="notBetween">
      <formula>0</formula>
      <formula>2</formula>
    </cfRule>
    <cfRule type="expression" dxfId="9767" priority="14424">
      <formula>AND(A82=B82,ISBLANK(K82))</formula>
    </cfRule>
  </conditionalFormatting>
  <conditionalFormatting sqref="L82">
    <cfRule type="cellIs" dxfId="9766" priority="14421" operator="notBetween">
      <formula>0</formula>
      <formula>2</formula>
    </cfRule>
    <cfRule type="expression" dxfId="9765" priority="14422">
      <formula>AND(A82=B82,ISBLANK(L82))</formula>
    </cfRule>
  </conditionalFormatting>
  <conditionalFormatting sqref="M83">
    <cfRule type="expression" dxfId="9764" priority="14419">
      <formula>AND(A83=B83,ISBLANK(M83))</formula>
    </cfRule>
    <cfRule type="cellIs" dxfId="9763" priority="14420" operator="notBetween">
      <formula>0</formula>
      <formula>2</formula>
    </cfRule>
  </conditionalFormatting>
  <conditionalFormatting sqref="J83">
    <cfRule type="cellIs" dxfId="9762" priority="14417" operator="notBetween">
      <formula>0</formula>
      <formula>2</formula>
    </cfRule>
    <cfRule type="expression" dxfId="9761" priority="14418">
      <formula>AND(A83=B83,ISBLANK(J83))</formula>
    </cfRule>
  </conditionalFormatting>
  <conditionalFormatting sqref="K83">
    <cfRule type="cellIs" dxfId="9760" priority="14415" operator="notBetween">
      <formula>0</formula>
      <formula>2</formula>
    </cfRule>
    <cfRule type="expression" dxfId="9759" priority="14416">
      <formula>AND(A83=B83,ISBLANK(K83))</formula>
    </cfRule>
  </conditionalFormatting>
  <conditionalFormatting sqref="L83">
    <cfRule type="cellIs" dxfId="9758" priority="14413" operator="notBetween">
      <formula>0</formula>
      <formula>2</formula>
    </cfRule>
    <cfRule type="expression" dxfId="9757" priority="14414">
      <formula>AND(A83=B83,ISBLANK(L83))</formula>
    </cfRule>
  </conditionalFormatting>
  <conditionalFormatting sqref="M84">
    <cfRule type="expression" dxfId="9756" priority="14411">
      <formula>AND(A84=B84,ISBLANK(M84))</formula>
    </cfRule>
    <cfRule type="cellIs" dxfId="9755" priority="14412" operator="notBetween">
      <formula>0</formula>
      <formula>2</formula>
    </cfRule>
  </conditionalFormatting>
  <conditionalFormatting sqref="J84">
    <cfRule type="cellIs" dxfId="9754" priority="14409" operator="notBetween">
      <formula>0</formula>
      <formula>2</formula>
    </cfRule>
    <cfRule type="expression" dxfId="9753" priority="14410">
      <formula>AND(A84=B84,ISBLANK(J84))</formula>
    </cfRule>
  </conditionalFormatting>
  <conditionalFormatting sqref="K84">
    <cfRule type="cellIs" dxfId="9752" priority="14407" operator="notBetween">
      <formula>0</formula>
      <formula>2</formula>
    </cfRule>
    <cfRule type="expression" dxfId="9751" priority="14408">
      <formula>AND(A84=B84,ISBLANK(K84))</formula>
    </cfRule>
  </conditionalFormatting>
  <conditionalFormatting sqref="L84">
    <cfRule type="cellIs" dxfId="9750" priority="14405" operator="notBetween">
      <formula>0</formula>
      <formula>2</formula>
    </cfRule>
    <cfRule type="expression" dxfId="9749" priority="14406">
      <formula>AND(A84=B84,ISBLANK(L84))</formula>
    </cfRule>
  </conditionalFormatting>
  <conditionalFormatting sqref="M85">
    <cfRule type="expression" dxfId="9748" priority="14403">
      <formula>AND(A85=B85,ISBLANK(M85))</formula>
    </cfRule>
    <cfRule type="cellIs" dxfId="9747" priority="14404" operator="notBetween">
      <formula>0</formula>
      <formula>2</formula>
    </cfRule>
  </conditionalFormatting>
  <conditionalFormatting sqref="J85">
    <cfRule type="cellIs" dxfId="9746" priority="14401" operator="notBetween">
      <formula>0</formula>
      <formula>2</formula>
    </cfRule>
    <cfRule type="expression" dxfId="9745" priority="14402">
      <formula>AND(A85=B85,ISBLANK(J85))</formula>
    </cfRule>
  </conditionalFormatting>
  <conditionalFormatting sqref="K85">
    <cfRule type="cellIs" dxfId="9744" priority="14399" operator="notBetween">
      <formula>0</formula>
      <formula>2</formula>
    </cfRule>
    <cfRule type="expression" dxfId="9743" priority="14400">
      <formula>AND(A85=B85,ISBLANK(K85))</formula>
    </cfRule>
  </conditionalFormatting>
  <conditionalFormatting sqref="L85">
    <cfRule type="cellIs" dxfId="9742" priority="14397" operator="notBetween">
      <formula>0</formula>
      <formula>2</formula>
    </cfRule>
    <cfRule type="expression" dxfId="9741" priority="14398">
      <formula>AND(A85=B85,ISBLANK(L85))</formula>
    </cfRule>
  </conditionalFormatting>
  <conditionalFormatting sqref="M86">
    <cfRule type="expression" dxfId="9740" priority="14395">
      <formula>AND(A86=B86,ISBLANK(M86))</formula>
    </cfRule>
    <cfRule type="cellIs" dxfId="9739" priority="14396" operator="notBetween">
      <formula>0</formula>
      <formula>2</formula>
    </cfRule>
  </conditionalFormatting>
  <conditionalFormatting sqref="J86">
    <cfRule type="cellIs" dxfId="9738" priority="14393" operator="notBetween">
      <formula>0</formula>
      <formula>2</formula>
    </cfRule>
    <cfRule type="expression" dxfId="9737" priority="14394">
      <formula>AND(A86=B86,ISBLANK(J86))</formula>
    </cfRule>
  </conditionalFormatting>
  <conditionalFormatting sqref="K86">
    <cfRule type="cellIs" dxfId="9736" priority="14391" operator="notBetween">
      <formula>0</formula>
      <formula>2</formula>
    </cfRule>
    <cfRule type="expression" dxfId="9735" priority="14392">
      <formula>AND(A86=B86,ISBLANK(K86))</formula>
    </cfRule>
  </conditionalFormatting>
  <conditionalFormatting sqref="L86">
    <cfRule type="cellIs" dxfId="9734" priority="14389" operator="notBetween">
      <formula>0</formula>
      <formula>2</formula>
    </cfRule>
    <cfRule type="expression" dxfId="9733" priority="14390">
      <formula>AND(A86=B86,ISBLANK(L86))</formula>
    </cfRule>
  </conditionalFormatting>
  <conditionalFormatting sqref="M87">
    <cfRule type="expression" dxfId="9732" priority="14387">
      <formula>AND(A87=B87,ISBLANK(M87))</formula>
    </cfRule>
    <cfRule type="cellIs" dxfId="9731" priority="14388" operator="notBetween">
      <formula>0</formula>
      <formula>2</formula>
    </cfRule>
  </conditionalFormatting>
  <conditionalFormatting sqref="J87">
    <cfRule type="cellIs" dxfId="9730" priority="14385" operator="notBetween">
      <formula>0</formula>
      <formula>2</formula>
    </cfRule>
    <cfRule type="expression" dxfId="9729" priority="14386">
      <formula>AND(A87=B87,ISBLANK(J87))</formula>
    </cfRule>
  </conditionalFormatting>
  <conditionalFormatting sqref="K87">
    <cfRule type="cellIs" dxfId="9728" priority="14383" operator="notBetween">
      <formula>0</formula>
      <formula>2</formula>
    </cfRule>
    <cfRule type="expression" dxfId="9727" priority="14384">
      <formula>AND(A87=B87,ISBLANK(K87))</formula>
    </cfRule>
  </conditionalFormatting>
  <conditionalFormatting sqref="L87">
    <cfRule type="cellIs" dxfId="9726" priority="14381" operator="notBetween">
      <formula>0</formula>
      <formula>2</formula>
    </cfRule>
    <cfRule type="expression" dxfId="9725" priority="14382">
      <formula>AND(A87=B87,ISBLANK(L87))</formula>
    </cfRule>
  </conditionalFormatting>
  <conditionalFormatting sqref="M88">
    <cfRule type="expression" dxfId="9724" priority="14379">
      <formula>AND(A88=B88,ISBLANK(M88))</formula>
    </cfRule>
    <cfRule type="cellIs" dxfId="9723" priority="14380" operator="notBetween">
      <formula>0</formula>
      <formula>2</formula>
    </cfRule>
  </conditionalFormatting>
  <conditionalFormatting sqref="J88">
    <cfRule type="cellIs" dxfId="9722" priority="14377" operator="notBetween">
      <formula>0</formula>
      <formula>2</formula>
    </cfRule>
    <cfRule type="expression" dxfId="9721" priority="14378">
      <formula>AND(A88=B88,ISBLANK(J88))</formula>
    </cfRule>
  </conditionalFormatting>
  <conditionalFormatting sqref="K88">
    <cfRule type="cellIs" dxfId="9720" priority="14375" operator="notBetween">
      <formula>0</formula>
      <formula>2</formula>
    </cfRule>
    <cfRule type="expression" dxfId="9719" priority="14376">
      <formula>AND(A88=B88,ISBLANK(K88))</formula>
    </cfRule>
  </conditionalFormatting>
  <conditionalFormatting sqref="L88">
    <cfRule type="cellIs" dxfId="9718" priority="14373" operator="notBetween">
      <formula>0</formula>
      <formula>2</formula>
    </cfRule>
    <cfRule type="expression" dxfId="9717" priority="14374">
      <formula>AND(A88=B88,ISBLANK(L88))</formula>
    </cfRule>
  </conditionalFormatting>
  <conditionalFormatting sqref="M89">
    <cfRule type="expression" dxfId="9716" priority="14371">
      <formula>AND(A89=B89,ISBLANK(M89))</formula>
    </cfRule>
    <cfRule type="cellIs" dxfId="9715" priority="14372" operator="notBetween">
      <formula>0</formula>
      <formula>2</formula>
    </cfRule>
  </conditionalFormatting>
  <conditionalFormatting sqref="J89">
    <cfRule type="cellIs" dxfId="9714" priority="14369" operator="notBetween">
      <formula>0</formula>
      <formula>2</formula>
    </cfRule>
    <cfRule type="expression" dxfId="9713" priority="14370">
      <formula>AND(A89=B89,ISBLANK(J89))</formula>
    </cfRule>
  </conditionalFormatting>
  <conditionalFormatting sqref="K89">
    <cfRule type="cellIs" dxfId="9712" priority="14367" operator="notBetween">
      <formula>0</formula>
      <formula>2</formula>
    </cfRule>
    <cfRule type="expression" dxfId="9711" priority="14368">
      <formula>AND(A89=B89,ISBLANK(K89))</formula>
    </cfRule>
  </conditionalFormatting>
  <conditionalFormatting sqref="L89">
    <cfRule type="cellIs" dxfId="9710" priority="14365" operator="notBetween">
      <formula>0</formula>
      <formula>2</formula>
    </cfRule>
    <cfRule type="expression" dxfId="9709" priority="14366">
      <formula>AND(A89=B89,ISBLANK(L89))</formula>
    </cfRule>
  </conditionalFormatting>
  <conditionalFormatting sqref="M90">
    <cfRule type="expression" dxfId="9708" priority="14363">
      <formula>AND(A90=B90,ISBLANK(M90))</formula>
    </cfRule>
    <cfRule type="cellIs" dxfId="9707" priority="14364" operator="notBetween">
      <formula>0</formula>
      <formula>2</formula>
    </cfRule>
  </conditionalFormatting>
  <conditionalFormatting sqref="J90">
    <cfRule type="cellIs" dxfId="9706" priority="14361" operator="notBetween">
      <formula>0</formula>
      <formula>2</formula>
    </cfRule>
    <cfRule type="expression" dxfId="9705" priority="14362">
      <formula>AND(A90=B90,ISBLANK(J90))</formula>
    </cfRule>
  </conditionalFormatting>
  <conditionalFormatting sqref="K90">
    <cfRule type="cellIs" dxfId="9704" priority="14359" operator="notBetween">
      <formula>0</formula>
      <formula>2</formula>
    </cfRule>
    <cfRule type="expression" dxfId="9703" priority="14360">
      <formula>AND(A90=B90,ISBLANK(K90))</formula>
    </cfRule>
  </conditionalFormatting>
  <conditionalFormatting sqref="L90">
    <cfRule type="cellIs" dxfId="9702" priority="14357" operator="notBetween">
      <formula>0</formula>
      <formula>2</formula>
    </cfRule>
    <cfRule type="expression" dxfId="9701" priority="14358">
      <formula>AND(A90=B90,ISBLANK(L90))</formula>
    </cfRule>
  </conditionalFormatting>
  <conditionalFormatting sqref="M91">
    <cfRule type="expression" dxfId="9700" priority="14355">
      <formula>AND(A91=B91,ISBLANK(M91))</formula>
    </cfRule>
    <cfRule type="cellIs" dxfId="9699" priority="14356" operator="notBetween">
      <formula>0</formula>
      <formula>2</formula>
    </cfRule>
  </conditionalFormatting>
  <conditionalFormatting sqref="J91">
    <cfRule type="cellIs" dxfId="9698" priority="14353" operator="notBetween">
      <formula>0</formula>
      <formula>2</formula>
    </cfRule>
    <cfRule type="expression" dxfId="9697" priority="14354">
      <formula>AND(A91=B91,ISBLANK(J91))</formula>
    </cfRule>
  </conditionalFormatting>
  <conditionalFormatting sqref="K91">
    <cfRule type="cellIs" dxfId="9696" priority="14351" operator="notBetween">
      <formula>0</formula>
      <formula>2</formula>
    </cfRule>
    <cfRule type="expression" dxfId="9695" priority="14352">
      <formula>AND(A91=B91,ISBLANK(K91))</formula>
    </cfRule>
  </conditionalFormatting>
  <conditionalFormatting sqref="L91">
    <cfRule type="cellIs" dxfId="9694" priority="14349" operator="notBetween">
      <formula>0</formula>
      <formula>2</formula>
    </cfRule>
    <cfRule type="expression" dxfId="9693" priority="14350">
      <formula>AND(A91=B91,ISBLANK(L91))</formula>
    </cfRule>
  </conditionalFormatting>
  <conditionalFormatting sqref="M92">
    <cfRule type="expression" dxfId="9692" priority="14347">
      <formula>AND(A92=B92,ISBLANK(M92))</formula>
    </cfRule>
    <cfRule type="cellIs" dxfId="9691" priority="14348" operator="notBetween">
      <formula>0</formula>
      <formula>2</formula>
    </cfRule>
  </conditionalFormatting>
  <conditionalFormatting sqref="J92">
    <cfRule type="cellIs" dxfId="9690" priority="14345" operator="notBetween">
      <formula>0</formula>
      <formula>2</formula>
    </cfRule>
    <cfRule type="expression" dxfId="9689" priority="14346">
      <formula>AND(A92=B92,ISBLANK(J92))</formula>
    </cfRule>
  </conditionalFormatting>
  <conditionalFormatting sqref="K92">
    <cfRule type="cellIs" dxfId="9688" priority="14343" operator="notBetween">
      <formula>0</formula>
      <formula>2</formula>
    </cfRule>
    <cfRule type="expression" dxfId="9687" priority="14344">
      <formula>AND(A92=B92,ISBLANK(K92))</formula>
    </cfRule>
  </conditionalFormatting>
  <conditionalFormatting sqref="L92">
    <cfRule type="cellIs" dxfId="9686" priority="14341" operator="notBetween">
      <formula>0</formula>
      <formula>2</formula>
    </cfRule>
    <cfRule type="expression" dxfId="9685" priority="14342">
      <formula>AND(A92=B92,ISBLANK(L92))</formula>
    </cfRule>
  </conditionalFormatting>
  <conditionalFormatting sqref="M93">
    <cfRule type="expression" dxfId="9684" priority="14339">
      <formula>AND(A93=B93,ISBLANK(M93))</formula>
    </cfRule>
    <cfRule type="cellIs" dxfId="9683" priority="14340" operator="notBetween">
      <formula>0</formula>
      <formula>2</formula>
    </cfRule>
  </conditionalFormatting>
  <conditionalFormatting sqref="J93">
    <cfRule type="cellIs" dxfId="9682" priority="14337" operator="notBetween">
      <formula>0</formula>
      <formula>2</formula>
    </cfRule>
    <cfRule type="expression" dxfId="9681" priority="14338">
      <formula>AND(A93=B93,ISBLANK(J93))</formula>
    </cfRule>
  </conditionalFormatting>
  <conditionalFormatting sqref="K93">
    <cfRule type="cellIs" dxfId="9680" priority="14335" operator="notBetween">
      <formula>0</formula>
      <formula>2</formula>
    </cfRule>
    <cfRule type="expression" dxfId="9679" priority="14336">
      <formula>AND(A93=B93,ISBLANK(K93))</formula>
    </cfRule>
  </conditionalFormatting>
  <conditionalFormatting sqref="L93">
    <cfRule type="cellIs" dxfId="9678" priority="14333" operator="notBetween">
      <formula>0</formula>
      <formula>2</formula>
    </cfRule>
    <cfRule type="expression" dxfId="9677" priority="14334">
      <formula>AND(A93=B93,ISBLANK(L93))</formula>
    </cfRule>
  </conditionalFormatting>
  <conditionalFormatting sqref="M94">
    <cfRule type="expression" dxfId="9676" priority="14331">
      <formula>AND(A94=B94,ISBLANK(M94))</formula>
    </cfRule>
    <cfRule type="cellIs" dxfId="9675" priority="14332" operator="notBetween">
      <formula>0</formula>
      <formula>2</formula>
    </cfRule>
  </conditionalFormatting>
  <conditionalFormatting sqref="J94">
    <cfRule type="cellIs" dxfId="9674" priority="14329" operator="notBetween">
      <formula>0</formula>
      <formula>2</formula>
    </cfRule>
    <cfRule type="expression" dxfId="9673" priority="14330">
      <formula>AND(A94=B94,ISBLANK(J94))</formula>
    </cfRule>
  </conditionalFormatting>
  <conditionalFormatting sqref="K94">
    <cfRule type="cellIs" dxfId="9672" priority="14327" operator="notBetween">
      <formula>0</formula>
      <formula>2</formula>
    </cfRule>
    <cfRule type="expression" dxfId="9671" priority="14328">
      <formula>AND(A94=B94,ISBLANK(K94))</formula>
    </cfRule>
  </conditionalFormatting>
  <conditionalFormatting sqref="L94">
    <cfRule type="cellIs" dxfId="9670" priority="14325" operator="notBetween">
      <formula>0</formula>
      <formula>2</formula>
    </cfRule>
    <cfRule type="expression" dxfId="9669" priority="14326">
      <formula>AND(A94=B94,ISBLANK(L94))</formula>
    </cfRule>
  </conditionalFormatting>
  <conditionalFormatting sqref="M95">
    <cfRule type="expression" dxfId="9668" priority="14323">
      <formula>AND(A95=B95,ISBLANK(M95))</formula>
    </cfRule>
    <cfRule type="cellIs" dxfId="9667" priority="14324" operator="notBetween">
      <formula>0</formula>
      <formula>2</formula>
    </cfRule>
  </conditionalFormatting>
  <conditionalFormatting sqref="J95">
    <cfRule type="cellIs" dxfId="9666" priority="14321" operator="notBetween">
      <formula>0</formula>
      <formula>2</formula>
    </cfRule>
    <cfRule type="expression" dxfId="9665" priority="14322">
      <formula>AND(A95=B95,ISBLANK(J95))</formula>
    </cfRule>
  </conditionalFormatting>
  <conditionalFormatting sqref="K95">
    <cfRule type="cellIs" dxfId="9664" priority="14319" operator="notBetween">
      <formula>0</formula>
      <formula>2</formula>
    </cfRule>
    <cfRule type="expression" dxfId="9663" priority="14320">
      <formula>AND(A95=B95,ISBLANK(K95))</formula>
    </cfRule>
  </conditionalFormatting>
  <conditionalFormatting sqref="L95">
    <cfRule type="cellIs" dxfId="9662" priority="14317" operator="notBetween">
      <formula>0</formula>
      <formula>2</formula>
    </cfRule>
    <cfRule type="expression" dxfId="9661" priority="14318">
      <formula>AND(A95=B95,ISBLANK(L95))</formula>
    </cfRule>
  </conditionalFormatting>
  <conditionalFormatting sqref="M96">
    <cfRule type="expression" dxfId="9660" priority="14315">
      <formula>AND(A96=B96,ISBLANK(M96))</formula>
    </cfRule>
    <cfRule type="cellIs" dxfId="9659" priority="14316" operator="notBetween">
      <formula>0</formula>
      <formula>2</formula>
    </cfRule>
  </conditionalFormatting>
  <conditionalFormatting sqref="J96">
    <cfRule type="cellIs" dxfId="9658" priority="14313" operator="notBetween">
      <formula>0</formula>
      <formula>2</formula>
    </cfRule>
    <cfRule type="expression" dxfId="9657" priority="14314">
      <formula>AND(A96=B96,ISBLANK(J96))</formula>
    </cfRule>
  </conditionalFormatting>
  <conditionalFormatting sqref="K96">
    <cfRule type="cellIs" dxfId="9656" priority="14311" operator="notBetween">
      <formula>0</formula>
      <formula>2</formula>
    </cfRule>
    <cfRule type="expression" dxfId="9655" priority="14312">
      <formula>AND(A96=B96,ISBLANK(K96))</formula>
    </cfRule>
  </conditionalFormatting>
  <conditionalFormatting sqref="L96">
    <cfRule type="cellIs" dxfId="9654" priority="14309" operator="notBetween">
      <formula>0</formula>
      <formula>2</formula>
    </cfRule>
    <cfRule type="expression" dxfId="9653" priority="14310">
      <formula>AND(A96=B96,ISBLANK(L96))</formula>
    </cfRule>
  </conditionalFormatting>
  <conditionalFormatting sqref="M97">
    <cfRule type="expression" dxfId="9652" priority="14307">
      <formula>AND(A97=B97,ISBLANK(M97))</formula>
    </cfRule>
    <cfRule type="cellIs" dxfId="9651" priority="14308" operator="notBetween">
      <formula>0</formula>
      <formula>2</formula>
    </cfRule>
  </conditionalFormatting>
  <conditionalFormatting sqref="J97">
    <cfRule type="cellIs" dxfId="9650" priority="14305" operator="notBetween">
      <formula>0</formula>
      <formula>2</formula>
    </cfRule>
    <cfRule type="expression" dxfId="9649" priority="14306">
      <formula>AND(A97=B97,ISBLANK(J97))</formula>
    </cfRule>
  </conditionalFormatting>
  <conditionalFormatting sqref="K97">
    <cfRule type="cellIs" dxfId="9648" priority="14303" operator="notBetween">
      <formula>0</formula>
      <formula>2</formula>
    </cfRule>
    <cfRule type="expression" dxfId="9647" priority="14304">
      <formula>AND(A97=B97,ISBLANK(K97))</formula>
    </cfRule>
  </conditionalFormatting>
  <conditionalFormatting sqref="L97">
    <cfRule type="cellIs" dxfId="9646" priority="14301" operator="notBetween">
      <formula>0</formula>
      <formula>2</formula>
    </cfRule>
    <cfRule type="expression" dxfId="9645" priority="14302">
      <formula>AND(A97=B97,ISBLANK(L97))</formula>
    </cfRule>
  </conditionalFormatting>
  <conditionalFormatting sqref="M98">
    <cfRule type="expression" dxfId="9644" priority="14299">
      <formula>AND(A98=B98,ISBLANK(M98))</formula>
    </cfRule>
    <cfRule type="cellIs" dxfId="9643" priority="14300" operator="notBetween">
      <formula>0</formula>
      <formula>2</formula>
    </cfRule>
  </conditionalFormatting>
  <conditionalFormatting sqref="J98">
    <cfRule type="cellIs" dxfId="9642" priority="14297" operator="notBetween">
      <formula>0</formula>
      <formula>2</formula>
    </cfRule>
    <cfRule type="expression" dxfId="9641" priority="14298">
      <formula>AND(A98=B98,ISBLANK(J98))</formula>
    </cfRule>
  </conditionalFormatting>
  <conditionalFormatting sqref="K98">
    <cfRule type="cellIs" dxfId="9640" priority="14295" operator="notBetween">
      <formula>0</formula>
      <formula>2</formula>
    </cfRule>
    <cfRule type="expression" dxfId="9639" priority="14296">
      <formula>AND(A98=B98,ISBLANK(K98))</formula>
    </cfRule>
  </conditionalFormatting>
  <conditionalFormatting sqref="L98">
    <cfRule type="cellIs" dxfId="9638" priority="14293" operator="notBetween">
      <formula>0</formula>
      <formula>2</formula>
    </cfRule>
    <cfRule type="expression" dxfId="9637" priority="14294">
      <formula>AND(A98=B98,ISBLANK(L98))</formula>
    </cfRule>
  </conditionalFormatting>
  <conditionalFormatting sqref="M99">
    <cfRule type="expression" dxfId="9636" priority="14291">
      <formula>AND(A99=B99,ISBLANK(M99))</formula>
    </cfRule>
    <cfRule type="cellIs" dxfId="9635" priority="14292" operator="notBetween">
      <formula>0</formula>
      <formula>2</formula>
    </cfRule>
  </conditionalFormatting>
  <conditionalFormatting sqref="J99">
    <cfRule type="cellIs" dxfId="9634" priority="14289" operator="notBetween">
      <formula>0</formula>
      <formula>2</formula>
    </cfRule>
    <cfRule type="expression" dxfId="9633" priority="14290">
      <formula>AND(A99=B99,ISBLANK(J99))</formula>
    </cfRule>
  </conditionalFormatting>
  <conditionalFormatting sqref="K99">
    <cfRule type="cellIs" dxfId="9632" priority="14287" operator="notBetween">
      <formula>0</formula>
      <formula>2</formula>
    </cfRule>
    <cfRule type="expression" dxfId="9631" priority="14288">
      <formula>AND(A99=B99,ISBLANK(K99))</formula>
    </cfRule>
  </conditionalFormatting>
  <conditionalFormatting sqref="L99">
    <cfRule type="cellIs" dxfId="9630" priority="14285" operator="notBetween">
      <formula>0</formula>
      <formula>2</formula>
    </cfRule>
    <cfRule type="expression" dxfId="9629" priority="14286">
      <formula>AND(A99=B99,ISBLANK(L99))</formula>
    </cfRule>
  </conditionalFormatting>
  <conditionalFormatting sqref="M100">
    <cfRule type="expression" dxfId="9628" priority="14283">
      <formula>AND(A100=B100,ISBLANK(M100))</formula>
    </cfRule>
    <cfRule type="cellIs" dxfId="9627" priority="14284" operator="notBetween">
      <formula>0</formula>
      <formula>2</formula>
    </cfRule>
  </conditionalFormatting>
  <conditionalFormatting sqref="J100">
    <cfRule type="cellIs" dxfId="9626" priority="14281" operator="notBetween">
      <formula>0</formula>
      <formula>2</formula>
    </cfRule>
    <cfRule type="expression" dxfId="9625" priority="14282">
      <formula>AND(A100=B100,ISBLANK(J100))</formula>
    </cfRule>
  </conditionalFormatting>
  <conditionalFormatting sqref="K100">
    <cfRule type="cellIs" dxfId="9624" priority="14279" operator="notBetween">
      <formula>0</formula>
      <formula>2</formula>
    </cfRule>
    <cfRule type="expression" dxfId="9623" priority="14280">
      <formula>AND(A100=B100,ISBLANK(K100))</formula>
    </cfRule>
  </conditionalFormatting>
  <conditionalFormatting sqref="L100">
    <cfRule type="cellIs" dxfId="9622" priority="14277" operator="notBetween">
      <formula>0</formula>
      <formula>2</formula>
    </cfRule>
    <cfRule type="expression" dxfId="9621" priority="14278">
      <formula>AND(A100=B100,ISBLANK(L100))</formula>
    </cfRule>
  </conditionalFormatting>
  <conditionalFormatting sqref="M101">
    <cfRule type="expression" dxfId="9620" priority="14275">
      <formula>AND(A101=B101,ISBLANK(M101))</formula>
    </cfRule>
    <cfRule type="cellIs" dxfId="9619" priority="14276" operator="notBetween">
      <formula>0</formula>
      <formula>2</formula>
    </cfRule>
  </conditionalFormatting>
  <conditionalFormatting sqref="J101">
    <cfRule type="cellIs" dxfId="9618" priority="14273" operator="notBetween">
      <formula>0</formula>
      <formula>2</formula>
    </cfRule>
    <cfRule type="expression" dxfId="9617" priority="14274">
      <formula>AND(A101=B101,ISBLANK(J101))</formula>
    </cfRule>
  </conditionalFormatting>
  <conditionalFormatting sqref="K101">
    <cfRule type="cellIs" dxfId="9616" priority="14271" operator="notBetween">
      <formula>0</formula>
      <formula>2</formula>
    </cfRule>
    <cfRule type="expression" dxfId="9615" priority="14272">
      <formula>AND(A101=B101,ISBLANK(K101))</formula>
    </cfRule>
  </conditionalFormatting>
  <conditionalFormatting sqref="L101">
    <cfRule type="cellIs" dxfId="9614" priority="14269" operator="notBetween">
      <formula>0</formula>
      <formula>2</formula>
    </cfRule>
    <cfRule type="expression" dxfId="9613" priority="14270">
      <formula>AND(A101=B101,ISBLANK(L101))</formula>
    </cfRule>
  </conditionalFormatting>
  <conditionalFormatting sqref="M102">
    <cfRule type="expression" dxfId="9612" priority="14267">
      <formula>AND(A102=B102,ISBLANK(M102))</formula>
    </cfRule>
    <cfRule type="cellIs" dxfId="9611" priority="14268" operator="notBetween">
      <formula>0</formula>
      <formula>2</formula>
    </cfRule>
  </conditionalFormatting>
  <conditionalFormatting sqref="J102">
    <cfRule type="cellIs" dxfId="9610" priority="14265" operator="notBetween">
      <formula>0</formula>
      <formula>2</formula>
    </cfRule>
    <cfRule type="expression" dxfId="9609" priority="14266">
      <formula>AND(A102=B102,ISBLANK(J102))</formula>
    </cfRule>
  </conditionalFormatting>
  <conditionalFormatting sqref="K102">
    <cfRule type="cellIs" dxfId="9608" priority="14263" operator="notBetween">
      <formula>0</formula>
      <formula>2</formula>
    </cfRule>
    <cfRule type="expression" dxfId="9607" priority="14264">
      <formula>AND(A102=B102,ISBLANK(K102))</formula>
    </cfRule>
  </conditionalFormatting>
  <conditionalFormatting sqref="L102">
    <cfRule type="cellIs" dxfId="9606" priority="14261" operator="notBetween">
      <formula>0</formula>
      <formula>2</formula>
    </cfRule>
    <cfRule type="expression" dxfId="9605" priority="14262">
      <formula>AND(A102=B102,ISBLANK(L102))</formula>
    </cfRule>
  </conditionalFormatting>
  <conditionalFormatting sqref="M103">
    <cfRule type="expression" dxfId="9604" priority="14259">
      <formula>AND(A103=B103,ISBLANK(M103))</formula>
    </cfRule>
    <cfRule type="cellIs" dxfId="9603" priority="14260" operator="notBetween">
      <formula>0</formula>
      <formula>2</formula>
    </cfRule>
  </conditionalFormatting>
  <conditionalFormatting sqref="J103">
    <cfRule type="cellIs" dxfId="9602" priority="14257" operator="notBetween">
      <formula>0</formula>
      <formula>2</formula>
    </cfRule>
    <cfRule type="expression" dxfId="9601" priority="14258">
      <formula>AND(A103=B103,ISBLANK(J103))</formula>
    </cfRule>
  </conditionalFormatting>
  <conditionalFormatting sqref="K103">
    <cfRule type="cellIs" dxfId="9600" priority="14255" operator="notBetween">
      <formula>0</formula>
      <formula>2</formula>
    </cfRule>
    <cfRule type="expression" dxfId="9599" priority="14256">
      <formula>AND(A103=B103,ISBLANK(K103))</formula>
    </cfRule>
  </conditionalFormatting>
  <conditionalFormatting sqref="L103">
    <cfRule type="cellIs" dxfId="9598" priority="14253" operator="notBetween">
      <formula>0</formula>
      <formula>2</formula>
    </cfRule>
    <cfRule type="expression" dxfId="9597" priority="14254">
      <formula>AND(A103=B103,ISBLANK(L103))</formula>
    </cfRule>
  </conditionalFormatting>
  <conditionalFormatting sqref="M104">
    <cfRule type="expression" dxfId="9596" priority="14251">
      <formula>AND(A104=B104,ISBLANK(M104))</formula>
    </cfRule>
    <cfRule type="cellIs" dxfId="9595" priority="14252" operator="notBetween">
      <formula>0</formula>
      <formula>2</formula>
    </cfRule>
  </conditionalFormatting>
  <conditionalFormatting sqref="J104">
    <cfRule type="cellIs" dxfId="9594" priority="14249" operator="notBetween">
      <formula>0</formula>
      <formula>2</formula>
    </cfRule>
    <cfRule type="expression" dxfId="9593" priority="14250">
      <formula>AND(A104=B104,ISBLANK(J104))</formula>
    </cfRule>
  </conditionalFormatting>
  <conditionalFormatting sqref="K104">
    <cfRule type="cellIs" dxfId="9592" priority="14247" operator="notBetween">
      <formula>0</formula>
      <formula>2</formula>
    </cfRule>
    <cfRule type="expression" dxfId="9591" priority="14248">
      <formula>AND(A104=B104,ISBLANK(K104))</formula>
    </cfRule>
  </conditionalFormatting>
  <conditionalFormatting sqref="L104">
    <cfRule type="cellIs" dxfId="9590" priority="14245" operator="notBetween">
      <formula>0</formula>
      <formula>2</formula>
    </cfRule>
    <cfRule type="expression" dxfId="9589" priority="14246">
      <formula>AND(A104=B104,ISBLANK(L104))</formula>
    </cfRule>
  </conditionalFormatting>
  <conditionalFormatting sqref="M105">
    <cfRule type="expression" dxfId="9588" priority="14243">
      <formula>AND(A105=B105,ISBLANK(M105))</formula>
    </cfRule>
    <cfRule type="cellIs" dxfId="9587" priority="14244" operator="notBetween">
      <formula>0</formula>
      <formula>2</formula>
    </cfRule>
  </conditionalFormatting>
  <conditionalFormatting sqref="J105">
    <cfRule type="cellIs" dxfId="9586" priority="14241" operator="notBetween">
      <formula>0</formula>
      <formula>2</formula>
    </cfRule>
    <cfRule type="expression" dxfId="9585" priority="14242">
      <formula>AND(A105=B105,ISBLANK(J105))</formula>
    </cfRule>
  </conditionalFormatting>
  <conditionalFormatting sqref="K105">
    <cfRule type="cellIs" dxfId="9584" priority="14239" operator="notBetween">
      <formula>0</formula>
      <formula>2</formula>
    </cfRule>
    <cfRule type="expression" dxfId="9583" priority="14240">
      <formula>AND(A105=B105,ISBLANK(K105))</formula>
    </cfRule>
  </conditionalFormatting>
  <conditionalFormatting sqref="L105">
    <cfRule type="cellIs" dxfId="9582" priority="14237" operator="notBetween">
      <formula>0</formula>
      <formula>2</formula>
    </cfRule>
    <cfRule type="expression" dxfId="9581" priority="14238">
      <formula>AND(A105=B105,ISBLANK(L105))</formula>
    </cfRule>
  </conditionalFormatting>
  <conditionalFormatting sqref="M106">
    <cfRule type="expression" dxfId="9580" priority="14235">
      <formula>AND(A106=B106,ISBLANK(M106))</formula>
    </cfRule>
    <cfRule type="cellIs" dxfId="9579" priority="14236" operator="notBetween">
      <formula>0</formula>
      <formula>2</formula>
    </cfRule>
  </conditionalFormatting>
  <conditionalFormatting sqref="J106">
    <cfRule type="cellIs" dxfId="9578" priority="14233" operator="notBetween">
      <formula>0</formula>
      <formula>2</formula>
    </cfRule>
    <cfRule type="expression" dxfId="9577" priority="14234">
      <formula>AND(A106=B106,ISBLANK(J106))</formula>
    </cfRule>
  </conditionalFormatting>
  <conditionalFormatting sqref="K106">
    <cfRule type="cellIs" dxfId="9576" priority="14231" operator="notBetween">
      <formula>0</formula>
      <formula>2</formula>
    </cfRule>
    <cfRule type="expression" dxfId="9575" priority="14232">
      <formula>AND(A106=B106,ISBLANK(K106))</formula>
    </cfRule>
  </conditionalFormatting>
  <conditionalFormatting sqref="L106">
    <cfRule type="cellIs" dxfId="9574" priority="14229" operator="notBetween">
      <formula>0</formula>
      <formula>2</formula>
    </cfRule>
    <cfRule type="expression" dxfId="9573" priority="14230">
      <formula>AND(A106=B106,ISBLANK(L106))</formula>
    </cfRule>
  </conditionalFormatting>
  <conditionalFormatting sqref="M107">
    <cfRule type="expression" dxfId="9572" priority="14227">
      <formula>AND(A107=B107,ISBLANK(M107))</formula>
    </cfRule>
    <cfRule type="cellIs" dxfId="9571" priority="14228" operator="notBetween">
      <formula>0</formula>
      <formula>2</formula>
    </cfRule>
  </conditionalFormatting>
  <conditionalFormatting sqref="J107">
    <cfRule type="cellIs" dxfId="9570" priority="14225" operator="notBetween">
      <formula>0</formula>
      <formula>2</formula>
    </cfRule>
    <cfRule type="expression" dxfId="9569" priority="14226">
      <formula>AND(A107=B107,ISBLANK(J107))</formula>
    </cfRule>
  </conditionalFormatting>
  <conditionalFormatting sqref="K107">
    <cfRule type="cellIs" dxfId="9568" priority="14223" operator="notBetween">
      <formula>0</formula>
      <formula>2</formula>
    </cfRule>
    <cfRule type="expression" dxfId="9567" priority="14224">
      <formula>AND(A107=B107,ISBLANK(K107))</formula>
    </cfRule>
  </conditionalFormatting>
  <conditionalFormatting sqref="L107">
    <cfRule type="cellIs" dxfId="9566" priority="14221" operator="notBetween">
      <formula>0</formula>
      <formula>2</formula>
    </cfRule>
    <cfRule type="expression" dxfId="9565" priority="14222">
      <formula>AND(A107=B107,ISBLANK(L107))</formula>
    </cfRule>
  </conditionalFormatting>
  <conditionalFormatting sqref="M108">
    <cfRule type="expression" dxfId="9564" priority="14219">
      <formula>AND(A108=B108,ISBLANK(M108))</formula>
    </cfRule>
    <cfRule type="cellIs" dxfId="9563" priority="14220" operator="notBetween">
      <formula>0</formula>
      <formula>2</formula>
    </cfRule>
  </conditionalFormatting>
  <conditionalFormatting sqref="J108">
    <cfRule type="cellIs" dxfId="9562" priority="14217" operator="notBetween">
      <formula>0</formula>
      <formula>2</formula>
    </cfRule>
    <cfRule type="expression" dxfId="9561" priority="14218">
      <formula>AND(A108=B108,ISBLANK(J108))</formula>
    </cfRule>
  </conditionalFormatting>
  <conditionalFormatting sqref="K108">
    <cfRule type="cellIs" dxfId="9560" priority="14215" operator="notBetween">
      <formula>0</formula>
      <formula>2</formula>
    </cfRule>
    <cfRule type="expression" dxfId="9559" priority="14216">
      <formula>AND(A108=B108,ISBLANK(K108))</formula>
    </cfRule>
  </conditionalFormatting>
  <conditionalFormatting sqref="L108">
    <cfRule type="cellIs" dxfId="9558" priority="14213" operator="notBetween">
      <formula>0</formula>
      <formula>2</formula>
    </cfRule>
    <cfRule type="expression" dxfId="9557" priority="14214">
      <formula>AND(A108=B108,ISBLANK(L108))</formula>
    </cfRule>
  </conditionalFormatting>
  <conditionalFormatting sqref="M109">
    <cfRule type="expression" dxfId="9556" priority="14211">
      <formula>AND(A109=B109,ISBLANK(M109))</formula>
    </cfRule>
    <cfRule type="cellIs" dxfId="9555" priority="14212" operator="notBetween">
      <formula>0</formula>
      <formula>2</formula>
    </cfRule>
  </conditionalFormatting>
  <conditionalFormatting sqref="J109">
    <cfRule type="cellIs" dxfId="9554" priority="14209" operator="notBetween">
      <formula>0</formula>
      <formula>2</formula>
    </cfRule>
    <cfRule type="expression" dxfId="9553" priority="14210">
      <formula>AND(A109=B109,ISBLANK(J109))</formula>
    </cfRule>
  </conditionalFormatting>
  <conditionalFormatting sqref="K109">
    <cfRule type="cellIs" dxfId="9552" priority="14207" operator="notBetween">
      <formula>0</formula>
      <formula>2</formula>
    </cfRule>
    <cfRule type="expression" dxfId="9551" priority="14208">
      <formula>AND(A109=B109,ISBLANK(K109))</formula>
    </cfRule>
  </conditionalFormatting>
  <conditionalFormatting sqref="L109">
    <cfRule type="cellIs" dxfId="9550" priority="14205" operator="notBetween">
      <formula>0</formula>
      <formula>2</formula>
    </cfRule>
    <cfRule type="expression" dxfId="9549" priority="14206">
      <formula>AND(A109=B109,ISBLANK(L109))</formula>
    </cfRule>
  </conditionalFormatting>
  <conditionalFormatting sqref="M110">
    <cfRule type="expression" dxfId="9548" priority="14203">
      <formula>AND(A110=B110,ISBLANK(M110))</formula>
    </cfRule>
    <cfRule type="cellIs" dxfId="9547" priority="14204" operator="notBetween">
      <formula>0</formula>
      <formula>2</formula>
    </cfRule>
  </conditionalFormatting>
  <conditionalFormatting sqref="J110">
    <cfRule type="cellIs" dxfId="9546" priority="14201" operator="notBetween">
      <formula>0</formula>
      <formula>2</formula>
    </cfRule>
    <cfRule type="expression" dxfId="9545" priority="14202">
      <formula>AND(A110=B110,ISBLANK(J110))</formula>
    </cfRule>
  </conditionalFormatting>
  <conditionalFormatting sqref="K110">
    <cfRule type="cellIs" dxfId="9544" priority="14199" operator="notBetween">
      <formula>0</formula>
      <formula>2</formula>
    </cfRule>
    <cfRule type="expression" dxfId="9543" priority="14200">
      <formula>AND(A110=B110,ISBLANK(K110))</formula>
    </cfRule>
  </conditionalFormatting>
  <conditionalFormatting sqref="L110">
    <cfRule type="cellIs" dxfId="9542" priority="14197" operator="notBetween">
      <formula>0</formula>
      <formula>2</formula>
    </cfRule>
    <cfRule type="expression" dxfId="9541" priority="14198">
      <formula>AND(A110=B110,ISBLANK(L110))</formula>
    </cfRule>
  </conditionalFormatting>
  <conditionalFormatting sqref="M111">
    <cfRule type="expression" dxfId="9540" priority="14195">
      <formula>AND(A111=B111,ISBLANK(M111))</formula>
    </cfRule>
    <cfRule type="cellIs" dxfId="9539" priority="14196" operator="notBetween">
      <formula>0</formula>
      <formula>2</formula>
    </cfRule>
  </conditionalFormatting>
  <conditionalFormatting sqref="J111">
    <cfRule type="cellIs" dxfId="9538" priority="14193" operator="notBetween">
      <formula>0</formula>
      <formula>2</formula>
    </cfRule>
    <cfRule type="expression" dxfId="9537" priority="14194">
      <formula>AND(A111=B111,ISBLANK(J111))</formula>
    </cfRule>
  </conditionalFormatting>
  <conditionalFormatting sqref="K111">
    <cfRule type="cellIs" dxfId="9536" priority="14191" operator="notBetween">
      <formula>0</formula>
      <formula>2</formula>
    </cfRule>
    <cfRule type="expression" dxfId="9535" priority="14192">
      <formula>AND(A111=B111,ISBLANK(K111))</formula>
    </cfRule>
  </conditionalFormatting>
  <conditionalFormatting sqref="L111">
    <cfRule type="cellIs" dxfId="9534" priority="14189" operator="notBetween">
      <formula>0</formula>
      <formula>2</formula>
    </cfRule>
    <cfRule type="expression" dxfId="9533" priority="14190">
      <formula>AND(A111=B111,ISBLANK(L111))</formula>
    </cfRule>
  </conditionalFormatting>
  <conditionalFormatting sqref="M112">
    <cfRule type="expression" dxfId="9532" priority="14187">
      <formula>AND(A112=B112,ISBLANK(M112))</formula>
    </cfRule>
    <cfRule type="cellIs" dxfId="9531" priority="14188" operator="notBetween">
      <formula>0</formula>
      <formula>2</formula>
    </cfRule>
  </conditionalFormatting>
  <conditionalFormatting sqref="J112">
    <cfRule type="cellIs" dxfId="9530" priority="14185" operator="notBetween">
      <formula>0</formula>
      <formula>2</formula>
    </cfRule>
    <cfRule type="expression" dxfId="9529" priority="14186">
      <formula>AND(A112=B112,ISBLANK(J112))</formula>
    </cfRule>
  </conditionalFormatting>
  <conditionalFormatting sqref="K112">
    <cfRule type="cellIs" dxfId="9528" priority="14183" operator="notBetween">
      <formula>0</formula>
      <formula>2</formula>
    </cfRule>
    <cfRule type="expression" dxfId="9527" priority="14184">
      <formula>AND(A112=B112,ISBLANK(K112))</formula>
    </cfRule>
  </conditionalFormatting>
  <conditionalFormatting sqref="L112">
    <cfRule type="cellIs" dxfId="9526" priority="14181" operator="notBetween">
      <formula>0</formula>
      <formula>2</formula>
    </cfRule>
    <cfRule type="expression" dxfId="9525" priority="14182">
      <formula>AND(A112=B112,ISBLANK(L112))</formula>
    </cfRule>
  </conditionalFormatting>
  <conditionalFormatting sqref="M113">
    <cfRule type="expression" dxfId="9524" priority="14179">
      <formula>AND(A113=B113,ISBLANK(M113))</formula>
    </cfRule>
    <cfRule type="cellIs" dxfId="9523" priority="14180" operator="notBetween">
      <formula>0</formula>
      <formula>2</formula>
    </cfRule>
  </conditionalFormatting>
  <conditionalFormatting sqref="J113">
    <cfRule type="cellIs" dxfId="9522" priority="14177" operator="notBetween">
      <formula>0</formula>
      <formula>2</formula>
    </cfRule>
    <cfRule type="expression" dxfId="9521" priority="14178">
      <formula>AND(A113=B113,ISBLANK(J113))</formula>
    </cfRule>
  </conditionalFormatting>
  <conditionalFormatting sqref="K113">
    <cfRule type="cellIs" dxfId="9520" priority="14175" operator="notBetween">
      <formula>0</formula>
      <formula>2</formula>
    </cfRule>
    <cfRule type="expression" dxfId="9519" priority="14176">
      <formula>AND(A113=B113,ISBLANK(K113))</formula>
    </cfRule>
  </conditionalFormatting>
  <conditionalFormatting sqref="L113">
    <cfRule type="cellIs" dxfId="9518" priority="14173" operator="notBetween">
      <formula>0</formula>
      <formula>2</formula>
    </cfRule>
    <cfRule type="expression" dxfId="9517" priority="14174">
      <formula>AND(A113=B113,ISBLANK(L113))</formula>
    </cfRule>
  </conditionalFormatting>
  <conditionalFormatting sqref="M114">
    <cfRule type="expression" dxfId="9516" priority="14171">
      <formula>AND(A114=B114,ISBLANK(M114))</formula>
    </cfRule>
    <cfRule type="cellIs" dxfId="9515" priority="14172" operator="notBetween">
      <formula>0</formula>
      <formula>2</formula>
    </cfRule>
  </conditionalFormatting>
  <conditionalFormatting sqref="J114">
    <cfRule type="cellIs" dxfId="9514" priority="14169" operator="notBetween">
      <formula>0</formula>
      <formula>2</formula>
    </cfRule>
    <cfRule type="expression" dxfId="9513" priority="14170">
      <formula>AND(A114=B114,ISBLANK(J114))</formula>
    </cfRule>
  </conditionalFormatting>
  <conditionalFormatting sqref="K114">
    <cfRule type="cellIs" dxfId="9512" priority="14167" operator="notBetween">
      <formula>0</formula>
      <formula>2</formula>
    </cfRule>
    <cfRule type="expression" dxfId="9511" priority="14168">
      <formula>AND(A114=B114,ISBLANK(K114))</formula>
    </cfRule>
  </conditionalFormatting>
  <conditionalFormatting sqref="L114">
    <cfRule type="cellIs" dxfId="9510" priority="14165" operator="notBetween">
      <formula>0</formula>
      <formula>2</formula>
    </cfRule>
    <cfRule type="expression" dxfId="9509" priority="14166">
      <formula>AND(A114=B114,ISBLANK(L114))</formula>
    </cfRule>
  </conditionalFormatting>
  <conditionalFormatting sqref="M115">
    <cfRule type="expression" dxfId="9508" priority="14163">
      <formula>AND(A115=B115,ISBLANK(M115))</formula>
    </cfRule>
    <cfRule type="cellIs" dxfId="9507" priority="14164" operator="notBetween">
      <formula>0</formula>
      <formula>2</formula>
    </cfRule>
  </conditionalFormatting>
  <conditionalFormatting sqref="J115">
    <cfRule type="cellIs" dxfId="9506" priority="14161" operator="notBetween">
      <formula>0</formula>
      <formula>2</formula>
    </cfRule>
    <cfRule type="expression" dxfId="9505" priority="14162">
      <formula>AND(A115=B115,ISBLANK(J115))</formula>
    </cfRule>
  </conditionalFormatting>
  <conditionalFormatting sqref="K115">
    <cfRule type="cellIs" dxfId="9504" priority="14159" operator="notBetween">
      <formula>0</formula>
      <formula>2</formula>
    </cfRule>
    <cfRule type="expression" dxfId="9503" priority="14160">
      <formula>AND(A115=B115,ISBLANK(K115))</formula>
    </cfRule>
  </conditionalFormatting>
  <conditionalFormatting sqref="L115">
    <cfRule type="cellIs" dxfId="9502" priority="14157" operator="notBetween">
      <formula>0</formula>
      <formula>2</formula>
    </cfRule>
    <cfRule type="expression" dxfId="9501" priority="14158">
      <formula>AND(A115=B115,ISBLANK(L115))</formula>
    </cfRule>
  </conditionalFormatting>
  <conditionalFormatting sqref="M116">
    <cfRule type="expression" dxfId="9500" priority="14155">
      <formula>AND(A116=B116,ISBLANK(M116))</formula>
    </cfRule>
    <cfRule type="cellIs" dxfId="9499" priority="14156" operator="notBetween">
      <formula>0</formula>
      <formula>2</formula>
    </cfRule>
  </conditionalFormatting>
  <conditionalFormatting sqref="J116">
    <cfRule type="cellIs" dxfId="9498" priority="14153" operator="notBetween">
      <formula>0</formula>
      <formula>2</formula>
    </cfRule>
    <cfRule type="expression" dxfId="9497" priority="14154">
      <formula>AND(A116=B116,ISBLANK(J116))</formula>
    </cfRule>
  </conditionalFormatting>
  <conditionalFormatting sqref="K116">
    <cfRule type="cellIs" dxfId="9496" priority="14151" operator="notBetween">
      <formula>0</formula>
      <formula>2</formula>
    </cfRule>
    <cfRule type="expression" dxfId="9495" priority="14152">
      <formula>AND(A116=B116,ISBLANK(K116))</formula>
    </cfRule>
  </conditionalFormatting>
  <conditionalFormatting sqref="L116">
    <cfRule type="cellIs" dxfId="9494" priority="14149" operator="notBetween">
      <formula>0</formula>
      <formula>2</formula>
    </cfRule>
    <cfRule type="expression" dxfId="9493" priority="14150">
      <formula>AND(A116=B116,ISBLANK(L116))</formula>
    </cfRule>
  </conditionalFormatting>
  <conditionalFormatting sqref="M117">
    <cfRule type="expression" dxfId="9492" priority="14147">
      <formula>AND(A117=B117,ISBLANK(M117))</formula>
    </cfRule>
    <cfRule type="cellIs" dxfId="9491" priority="14148" operator="notBetween">
      <formula>0</formula>
      <formula>2</formula>
    </cfRule>
  </conditionalFormatting>
  <conditionalFormatting sqref="J117">
    <cfRule type="cellIs" dxfId="9490" priority="14145" operator="notBetween">
      <formula>0</formula>
      <formula>2</formula>
    </cfRule>
    <cfRule type="expression" dxfId="9489" priority="14146">
      <formula>AND(A117=B117,ISBLANK(J117))</formula>
    </cfRule>
  </conditionalFormatting>
  <conditionalFormatting sqref="K117">
    <cfRule type="cellIs" dxfId="9488" priority="14143" operator="notBetween">
      <formula>0</formula>
      <formula>2</formula>
    </cfRule>
    <cfRule type="expression" dxfId="9487" priority="14144">
      <formula>AND(A117=B117,ISBLANK(K117))</formula>
    </cfRule>
  </conditionalFormatting>
  <conditionalFormatting sqref="L117">
    <cfRule type="cellIs" dxfId="9486" priority="14141" operator="notBetween">
      <formula>0</formula>
      <formula>2</formula>
    </cfRule>
    <cfRule type="expression" dxfId="9485" priority="14142">
      <formula>AND(A117=B117,ISBLANK(L117))</formula>
    </cfRule>
  </conditionalFormatting>
  <conditionalFormatting sqref="M118">
    <cfRule type="expression" dxfId="9484" priority="14139">
      <formula>AND(A118=B118,ISBLANK(M118))</formula>
    </cfRule>
    <cfRule type="cellIs" dxfId="9483" priority="14140" operator="notBetween">
      <formula>0</formula>
      <formula>2</formula>
    </cfRule>
  </conditionalFormatting>
  <conditionalFormatting sqref="J118">
    <cfRule type="cellIs" dxfId="9482" priority="14137" operator="notBetween">
      <formula>0</formula>
      <formula>2</formula>
    </cfRule>
    <cfRule type="expression" dxfId="9481" priority="14138">
      <formula>AND(A118=B118,ISBLANK(J118))</formula>
    </cfRule>
  </conditionalFormatting>
  <conditionalFormatting sqref="K118">
    <cfRule type="cellIs" dxfId="9480" priority="14135" operator="notBetween">
      <formula>0</formula>
      <formula>2</formula>
    </cfRule>
    <cfRule type="expression" dxfId="9479" priority="14136">
      <formula>AND(A118=B118,ISBLANK(K118))</formula>
    </cfRule>
  </conditionalFormatting>
  <conditionalFormatting sqref="L118">
    <cfRule type="cellIs" dxfId="9478" priority="14133" operator="notBetween">
      <formula>0</formula>
      <formula>2</formula>
    </cfRule>
    <cfRule type="expression" dxfId="9477" priority="14134">
      <formula>AND(A118=B118,ISBLANK(L118))</formula>
    </cfRule>
  </conditionalFormatting>
  <conditionalFormatting sqref="M119">
    <cfRule type="expression" dxfId="9476" priority="14131">
      <formula>AND(A119=B119,ISBLANK(M119))</formula>
    </cfRule>
    <cfRule type="cellIs" dxfId="9475" priority="14132" operator="notBetween">
      <formula>0</formula>
      <formula>2</formula>
    </cfRule>
  </conditionalFormatting>
  <conditionalFormatting sqref="J119">
    <cfRule type="cellIs" dxfId="9474" priority="14129" operator="notBetween">
      <formula>0</formula>
      <formula>2</formula>
    </cfRule>
    <cfRule type="expression" dxfId="9473" priority="14130">
      <formula>AND(A119=B119,ISBLANK(J119))</formula>
    </cfRule>
  </conditionalFormatting>
  <conditionalFormatting sqref="K119">
    <cfRule type="cellIs" dxfId="9472" priority="14127" operator="notBetween">
      <formula>0</formula>
      <formula>2</formula>
    </cfRule>
    <cfRule type="expression" dxfId="9471" priority="14128">
      <formula>AND(A119=B119,ISBLANK(K119))</formula>
    </cfRule>
  </conditionalFormatting>
  <conditionalFormatting sqref="L119">
    <cfRule type="cellIs" dxfId="9470" priority="14125" operator="notBetween">
      <formula>0</formula>
      <formula>2</formula>
    </cfRule>
    <cfRule type="expression" dxfId="9469" priority="14126">
      <formula>AND(A119=B119,ISBLANK(L119))</formula>
    </cfRule>
  </conditionalFormatting>
  <conditionalFormatting sqref="M120">
    <cfRule type="expression" dxfId="9468" priority="14123">
      <formula>AND(A120=B120,ISBLANK(M120))</formula>
    </cfRule>
    <cfRule type="cellIs" dxfId="9467" priority="14124" operator="notBetween">
      <formula>0</formula>
      <formula>2</formula>
    </cfRule>
  </conditionalFormatting>
  <conditionalFormatting sqref="J120">
    <cfRule type="cellIs" dxfId="9466" priority="14121" operator="notBetween">
      <formula>0</formula>
      <formula>2</formula>
    </cfRule>
    <cfRule type="expression" dxfId="9465" priority="14122">
      <formula>AND(A120=B120,ISBLANK(J120))</formula>
    </cfRule>
  </conditionalFormatting>
  <conditionalFormatting sqref="K120">
    <cfRule type="cellIs" dxfId="9464" priority="14119" operator="notBetween">
      <formula>0</formula>
      <formula>2</formula>
    </cfRule>
    <cfRule type="expression" dxfId="9463" priority="14120">
      <formula>AND(A120=B120,ISBLANK(K120))</formula>
    </cfRule>
  </conditionalFormatting>
  <conditionalFormatting sqref="L120">
    <cfRule type="cellIs" dxfId="9462" priority="14117" operator="notBetween">
      <formula>0</formula>
      <formula>2</formula>
    </cfRule>
    <cfRule type="expression" dxfId="9461" priority="14118">
      <formula>AND(A120=B120,ISBLANK(L120))</formula>
    </cfRule>
  </conditionalFormatting>
  <conditionalFormatting sqref="M121">
    <cfRule type="expression" dxfId="9460" priority="14115">
      <formula>AND(A121=B121,ISBLANK(M121))</formula>
    </cfRule>
    <cfRule type="cellIs" dxfId="9459" priority="14116" operator="notBetween">
      <formula>0</formula>
      <formula>2</formula>
    </cfRule>
  </conditionalFormatting>
  <conditionalFormatting sqref="J121">
    <cfRule type="cellIs" dxfId="9458" priority="14113" operator="notBetween">
      <formula>0</formula>
      <formula>2</formula>
    </cfRule>
    <cfRule type="expression" dxfId="9457" priority="14114">
      <formula>AND(A121=B121,ISBLANK(J121))</formula>
    </cfRule>
  </conditionalFormatting>
  <conditionalFormatting sqref="K121">
    <cfRule type="cellIs" dxfId="9456" priority="14111" operator="notBetween">
      <formula>0</formula>
      <formula>2</formula>
    </cfRule>
    <cfRule type="expression" dxfId="9455" priority="14112">
      <formula>AND(A121=B121,ISBLANK(K121))</formula>
    </cfRule>
  </conditionalFormatting>
  <conditionalFormatting sqref="L121">
    <cfRule type="cellIs" dxfId="9454" priority="14109" operator="notBetween">
      <formula>0</formula>
      <formula>2</formula>
    </cfRule>
    <cfRule type="expression" dxfId="9453" priority="14110">
      <formula>AND(A121=B121,ISBLANK(L121))</formula>
    </cfRule>
  </conditionalFormatting>
  <conditionalFormatting sqref="M122">
    <cfRule type="expression" dxfId="9452" priority="14107">
      <formula>AND(A122=B122,ISBLANK(M122))</formula>
    </cfRule>
    <cfRule type="cellIs" dxfId="9451" priority="14108" operator="notBetween">
      <formula>0</formula>
      <formula>2</formula>
    </cfRule>
  </conditionalFormatting>
  <conditionalFormatting sqref="J122">
    <cfRule type="cellIs" dxfId="9450" priority="14105" operator="notBetween">
      <formula>0</formula>
      <formula>2</formula>
    </cfRule>
    <cfRule type="expression" dxfId="9449" priority="14106">
      <formula>AND(A122=B122,ISBLANK(J122))</formula>
    </cfRule>
  </conditionalFormatting>
  <conditionalFormatting sqref="K122">
    <cfRule type="cellIs" dxfId="9448" priority="14103" operator="notBetween">
      <formula>0</formula>
      <formula>2</formula>
    </cfRule>
    <cfRule type="expression" dxfId="9447" priority="14104">
      <formula>AND(A122=B122,ISBLANK(K122))</formula>
    </cfRule>
  </conditionalFormatting>
  <conditionalFormatting sqref="L122">
    <cfRule type="cellIs" dxfId="9446" priority="14101" operator="notBetween">
      <formula>0</formula>
      <formula>2</formula>
    </cfRule>
    <cfRule type="expression" dxfId="9445" priority="14102">
      <formula>AND(A122=B122,ISBLANK(L122))</formula>
    </cfRule>
  </conditionalFormatting>
  <conditionalFormatting sqref="M123">
    <cfRule type="expression" dxfId="9444" priority="14099">
      <formula>AND(A123=B123,ISBLANK(M123))</formula>
    </cfRule>
    <cfRule type="cellIs" dxfId="9443" priority="14100" operator="notBetween">
      <formula>0</formula>
      <formula>2</formula>
    </cfRule>
  </conditionalFormatting>
  <conditionalFormatting sqref="J123">
    <cfRule type="cellIs" dxfId="9442" priority="14097" operator="notBetween">
      <formula>0</formula>
      <formula>2</formula>
    </cfRule>
    <cfRule type="expression" dxfId="9441" priority="14098">
      <formula>AND(A123=B123,ISBLANK(J123))</formula>
    </cfRule>
  </conditionalFormatting>
  <conditionalFormatting sqref="K123">
    <cfRule type="cellIs" dxfId="9440" priority="14095" operator="notBetween">
      <formula>0</formula>
      <formula>2</formula>
    </cfRule>
    <cfRule type="expression" dxfId="9439" priority="14096">
      <formula>AND(A123=B123,ISBLANK(K123))</formula>
    </cfRule>
  </conditionalFormatting>
  <conditionalFormatting sqref="L123">
    <cfRule type="cellIs" dxfId="9438" priority="14093" operator="notBetween">
      <formula>0</formula>
      <formula>2</formula>
    </cfRule>
    <cfRule type="expression" dxfId="9437" priority="14094">
      <formula>AND(A123=B123,ISBLANK(L123))</formula>
    </cfRule>
  </conditionalFormatting>
  <conditionalFormatting sqref="M124">
    <cfRule type="expression" dxfId="9436" priority="14091">
      <formula>AND(A124=B124,ISBLANK(M124))</formula>
    </cfRule>
    <cfRule type="cellIs" dxfId="9435" priority="14092" operator="notBetween">
      <formula>0</formula>
      <formula>2</formula>
    </cfRule>
  </conditionalFormatting>
  <conditionalFormatting sqref="J124">
    <cfRule type="cellIs" dxfId="9434" priority="14089" operator="notBetween">
      <formula>0</formula>
      <formula>2</formula>
    </cfRule>
    <cfRule type="expression" dxfId="9433" priority="14090">
      <formula>AND(A124=B124,ISBLANK(J124))</formula>
    </cfRule>
  </conditionalFormatting>
  <conditionalFormatting sqref="K124">
    <cfRule type="cellIs" dxfId="9432" priority="14087" operator="notBetween">
      <formula>0</formula>
      <formula>2</formula>
    </cfRule>
    <cfRule type="expression" dxfId="9431" priority="14088">
      <formula>AND(A124=B124,ISBLANK(K124))</formula>
    </cfRule>
  </conditionalFormatting>
  <conditionalFormatting sqref="L124">
    <cfRule type="cellIs" dxfId="9430" priority="14085" operator="notBetween">
      <formula>0</formula>
      <formula>2</formula>
    </cfRule>
    <cfRule type="expression" dxfId="9429" priority="14086">
      <formula>AND(A124=B124,ISBLANK(L124))</formula>
    </cfRule>
  </conditionalFormatting>
  <conditionalFormatting sqref="M125">
    <cfRule type="expression" dxfId="9428" priority="14083">
      <formula>AND(A125=B125,ISBLANK(M125))</formula>
    </cfRule>
    <cfRule type="cellIs" dxfId="9427" priority="14084" operator="notBetween">
      <formula>0</formula>
      <formula>2</formula>
    </cfRule>
  </conditionalFormatting>
  <conditionalFormatting sqref="J125">
    <cfRule type="cellIs" dxfId="9426" priority="14081" operator="notBetween">
      <formula>0</formula>
      <formula>2</formula>
    </cfRule>
    <cfRule type="expression" dxfId="9425" priority="14082">
      <formula>AND(A125=B125,ISBLANK(J125))</formula>
    </cfRule>
  </conditionalFormatting>
  <conditionalFormatting sqref="K125">
    <cfRule type="cellIs" dxfId="9424" priority="14079" operator="notBetween">
      <formula>0</formula>
      <formula>2</formula>
    </cfRule>
    <cfRule type="expression" dxfId="9423" priority="14080">
      <formula>AND(A125=B125,ISBLANK(K125))</formula>
    </cfRule>
  </conditionalFormatting>
  <conditionalFormatting sqref="L125">
    <cfRule type="cellIs" dxfId="9422" priority="14077" operator="notBetween">
      <formula>0</formula>
      <formula>2</formula>
    </cfRule>
    <cfRule type="expression" dxfId="9421" priority="14078">
      <formula>AND(A125=B125,ISBLANK(L125))</formula>
    </cfRule>
  </conditionalFormatting>
  <conditionalFormatting sqref="M126">
    <cfRule type="expression" dxfId="9420" priority="14075">
      <formula>AND(A126=B126,ISBLANK(M126))</formula>
    </cfRule>
    <cfRule type="cellIs" dxfId="9419" priority="14076" operator="notBetween">
      <formula>0</formula>
      <formula>2</formula>
    </cfRule>
  </conditionalFormatting>
  <conditionalFormatting sqref="J126">
    <cfRule type="cellIs" dxfId="9418" priority="14073" operator="notBetween">
      <formula>0</formula>
      <formula>2</formula>
    </cfRule>
    <cfRule type="expression" dxfId="9417" priority="14074">
      <formula>AND(A126=B126,ISBLANK(J126))</formula>
    </cfRule>
  </conditionalFormatting>
  <conditionalFormatting sqref="K126">
    <cfRule type="cellIs" dxfId="9416" priority="14071" operator="notBetween">
      <formula>0</formula>
      <formula>2</formula>
    </cfRule>
    <cfRule type="expression" dxfId="9415" priority="14072">
      <formula>AND(A126=B126,ISBLANK(K126))</formula>
    </cfRule>
  </conditionalFormatting>
  <conditionalFormatting sqref="L126">
    <cfRule type="cellIs" dxfId="9414" priority="14069" operator="notBetween">
      <formula>0</formula>
      <formula>2</formula>
    </cfRule>
    <cfRule type="expression" dxfId="9413" priority="14070">
      <formula>AND(A126=B126,ISBLANK(L126))</formula>
    </cfRule>
  </conditionalFormatting>
  <conditionalFormatting sqref="M127">
    <cfRule type="expression" dxfId="9412" priority="14067">
      <formula>AND(A127=B127,ISBLANK(M127))</formula>
    </cfRule>
    <cfRule type="cellIs" dxfId="9411" priority="14068" operator="notBetween">
      <formula>0</formula>
      <formula>2</formula>
    </cfRule>
  </conditionalFormatting>
  <conditionalFormatting sqref="J127">
    <cfRule type="cellIs" dxfId="9410" priority="14065" operator="notBetween">
      <formula>0</formula>
      <formula>2</formula>
    </cfRule>
    <cfRule type="expression" dxfId="9409" priority="14066">
      <formula>AND(A127=B127,ISBLANK(J127))</formula>
    </cfRule>
  </conditionalFormatting>
  <conditionalFormatting sqref="K127">
    <cfRule type="cellIs" dxfId="9408" priority="14063" operator="notBetween">
      <formula>0</formula>
      <formula>2</formula>
    </cfRule>
    <cfRule type="expression" dxfId="9407" priority="14064">
      <formula>AND(A127=B127,ISBLANK(K127))</formula>
    </cfRule>
  </conditionalFormatting>
  <conditionalFormatting sqref="L127">
    <cfRule type="cellIs" dxfId="9406" priority="14061" operator="notBetween">
      <formula>0</formula>
      <formula>2</formula>
    </cfRule>
    <cfRule type="expression" dxfId="9405" priority="14062">
      <formula>AND(A127=B127,ISBLANK(L127))</formula>
    </cfRule>
  </conditionalFormatting>
  <conditionalFormatting sqref="M128">
    <cfRule type="expression" dxfId="9404" priority="14059">
      <formula>AND(A128=B128,ISBLANK(M128))</formula>
    </cfRule>
    <cfRule type="cellIs" dxfId="9403" priority="14060" operator="notBetween">
      <formula>0</formula>
      <formula>2</formula>
    </cfRule>
  </conditionalFormatting>
  <conditionalFormatting sqref="J128">
    <cfRule type="cellIs" dxfId="9402" priority="14057" operator="notBetween">
      <formula>0</formula>
      <formula>2</formula>
    </cfRule>
    <cfRule type="expression" dxfId="9401" priority="14058">
      <formula>AND(A128=B128,ISBLANK(J128))</formula>
    </cfRule>
  </conditionalFormatting>
  <conditionalFormatting sqref="K128">
    <cfRule type="cellIs" dxfId="9400" priority="14055" operator="notBetween">
      <formula>0</formula>
      <formula>2</formula>
    </cfRule>
    <cfRule type="expression" dxfId="9399" priority="14056">
      <formula>AND(A128=B128,ISBLANK(K128))</formula>
    </cfRule>
  </conditionalFormatting>
  <conditionalFormatting sqref="L128">
    <cfRule type="cellIs" dxfId="9398" priority="14053" operator="notBetween">
      <formula>0</formula>
      <formula>2</formula>
    </cfRule>
    <cfRule type="expression" dxfId="9397" priority="14054">
      <formula>AND(A128=B128,ISBLANK(L128))</formula>
    </cfRule>
  </conditionalFormatting>
  <conditionalFormatting sqref="M129">
    <cfRule type="expression" dxfId="9396" priority="14051">
      <formula>AND(A129=B129,ISBLANK(M129))</formula>
    </cfRule>
    <cfRule type="cellIs" dxfId="9395" priority="14052" operator="notBetween">
      <formula>0</formula>
      <formula>2</formula>
    </cfRule>
  </conditionalFormatting>
  <conditionalFormatting sqref="J129">
    <cfRule type="cellIs" dxfId="9394" priority="14049" operator="notBetween">
      <formula>0</formula>
      <formula>2</formula>
    </cfRule>
    <cfRule type="expression" dxfId="9393" priority="14050">
      <formula>AND(A129=B129,ISBLANK(J129))</formula>
    </cfRule>
  </conditionalFormatting>
  <conditionalFormatting sqref="K129">
    <cfRule type="cellIs" dxfId="9392" priority="14047" operator="notBetween">
      <formula>0</formula>
      <formula>2</formula>
    </cfRule>
    <cfRule type="expression" dxfId="9391" priority="14048">
      <formula>AND(A129=B129,ISBLANK(K129))</formula>
    </cfRule>
  </conditionalFormatting>
  <conditionalFormatting sqref="L129">
    <cfRule type="cellIs" dxfId="9390" priority="14045" operator="notBetween">
      <formula>0</formula>
      <formula>2</formula>
    </cfRule>
    <cfRule type="expression" dxfId="9389" priority="14046">
      <formula>AND(A129=B129,ISBLANK(L129))</formula>
    </cfRule>
  </conditionalFormatting>
  <conditionalFormatting sqref="M130">
    <cfRule type="expression" dxfId="9388" priority="14043">
      <formula>AND(A130=B130,ISBLANK(M130))</formula>
    </cfRule>
    <cfRule type="cellIs" dxfId="9387" priority="14044" operator="notBetween">
      <formula>0</formula>
      <formula>2</formula>
    </cfRule>
  </conditionalFormatting>
  <conditionalFormatting sqref="J130">
    <cfRule type="cellIs" dxfId="9386" priority="14041" operator="notBetween">
      <formula>0</formula>
      <formula>2</formula>
    </cfRule>
    <cfRule type="expression" dxfId="9385" priority="14042">
      <formula>AND(A130=B130,ISBLANK(J130))</formula>
    </cfRule>
  </conditionalFormatting>
  <conditionalFormatting sqref="K130">
    <cfRule type="cellIs" dxfId="9384" priority="14039" operator="notBetween">
      <formula>0</formula>
      <formula>2</formula>
    </cfRule>
    <cfRule type="expression" dxfId="9383" priority="14040">
      <formula>AND(A130=B130,ISBLANK(K130))</formula>
    </cfRule>
  </conditionalFormatting>
  <conditionalFormatting sqref="L130">
    <cfRule type="cellIs" dxfId="9382" priority="14037" operator="notBetween">
      <formula>0</formula>
      <formula>2</formula>
    </cfRule>
    <cfRule type="expression" dxfId="9381" priority="14038">
      <formula>AND(A130=B130,ISBLANK(L130))</formula>
    </cfRule>
  </conditionalFormatting>
  <conditionalFormatting sqref="M131">
    <cfRule type="expression" dxfId="9380" priority="14035">
      <formula>AND(A131=B131,ISBLANK(M131))</formula>
    </cfRule>
    <cfRule type="cellIs" dxfId="9379" priority="14036" operator="notBetween">
      <formula>0</formula>
      <formula>2</formula>
    </cfRule>
  </conditionalFormatting>
  <conditionalFormatting sqref="J131">
    <cfRule type="cellIs" dxfId="9378" priority="14033" operator="notBetween">
      <formula>0</formula>
      <formula>2</formula>
    </cfRule>
    <cfRule type="expression" dxfId="9377" priority="14034">
      <formula>AND(A131=B131,ISBLANK(J131))</formula>
    </cfRule>
  </conditionalFormatting>
  <conditionalFormatting sqref="K131">
    <cfRule type="cellIs" dxfId="9376" priority="14031" operator="notBetween">
      <formula>0</formula>
      <formula>2</formula>
    </cfRule>
    <cfRule type="expression" dxfId="9375" priority="14032">
      <formula>AND(A131=B131,ISBLANK(K131))</formula>
    </cfRule>
  </conditionalFormatting>
  <conditionalFormatting sqref="L131">
    <cfRule type="cellIs" dxfId="9374" priority="14029" operator="notBetween">
      <formula>0</formula>
      <formula>2</formula>
    </cfRule>
    <cfRule type="expression" dxfId="9373" priority="14030">
      <formula>AND(A131=B131,ISBLANK(L131))</formula>
    </cfRule>
  </conditionalFormatting>
  <conditionalFormatting sqref="M132">
    <cfRule type="expression" dxfId="9372" priority="14027">
      <formula>AND(A132=B132,ISBLANK(M132))</formula>
    </cfRule>
    <cfRule type="cellIs" dxfId="9371" priority="14028" operator="notBetween">
      <formula>0</formula>
      <formula>2</formula>
    </cfRule>
  </conditionalFormatting>
  <conditionalFormatting sqref="J132">
    <cfRule type="cellIs" dxfId="9370" priority="14025" operator="notBetween">
      <formula>0</formula>
      <formula>2</formula>
    </cfRule>
    <cfRule type="expression" dxfId="9369" priority="14026">
      <formula>AND(A132=B132,ISBLANK(J132))</formula>
    </cfRule>
  </conditionalFormatting>
  <conditionalFormatting sqref="K132">
    <cfRule type="cellIs" dxfId="9368" priority="14023" operator="notBetween">
      <formula>0</formula>
      <formula>2</formula>
    </cfRule>
    <cfRule type="expression" dxfId="9367" priority="14024">
      <formula>AND(A132=B132,ISBLANK(K132))</formula>
    </cfRule>
  </conditionalFormatting>
  <conditionalFormatting sqref="L132">
    <cfRule type="cellIs" dxfId="9366" priority="14021" operator="notBetween">
      <formula>0</formula>
      <formula>2</formula>
    </cfRule>
    <cfRule type="expression" dxfId="9365" priority="14022">
      <formula>AND(A132=B132,ISBLANK(L132))</formula>
    </cfRule>
  </conditionalFormatting>
  <conditionalFormatting sqref="M133">
    <cfRule type="expression" dxfId="9364" priority="14019">
      <formula>AND(A133=B133,ISBLANK(M133))</formula>
    </cfRule>
    <cfRule type="cellIs" dxfId="9363" priority="14020" operator="notBetween">
      <formula>0</formula>
      <formula>2</formula>
    </cfRule>
  </conditionalFormatting>
  <conditionalFormatting sqref="J133">
    <cfRule type="cellIs" dxfId="9362" priority="14017" operator="notBetween">
      <formula>0</formula>
      <formula>2</formula>
    </cfRule>
    <cfRule type="expression" dxfId="9361" priority="14018">
      <formula>AND(A133=B133,ISBLANK(J133))</formula>
    </cfRule>
  </conditionalFormatting>
  <conditionalFormatting sqref="K133">
    <cfRule type="cellIs" dxfId="9360" priority="14015" operator="notBetween">
      <formula>0</formula>
      <formula>2</formula>
    </cfRule>
    <cfRule type="expression" dxfId="9359" priority="14016">
      <formula>AND(A133=B133,ISBLANK(K133))</formula>
    </cfRule>
  </conditionalFormatting>
  <conditionalFormatting sqref="L133">
    <cfRule type="cellIs" dxfId="9358" priority="14013" operator="notBetween">
      <formula>0</formula>
      <formula>2</formula>
    </cfRule>
    <cfRule type="expression" dxfId="9357" priority="14014">
      <formula>AND(A133=B133,ISBLANK(L133))</formula>
    </cfRule>
  </conditionalFormatting>
  <conditionalFormatting sqref="M134">
    <cfRule type="expression" dxfId="9356" priority="14011">
      <formula>AND(A134=B134,ISBLANK(M134))</formula>
    </cfRule>
    <cfRule type="cellIs" dxfId="9355" priority="14012" operator="notBetween">
      <formula>0</formula>
      <formula>2</formula>
    </cfRule>
  </conditionalFormatting>
  <conditionalFormatting sqref="J134">
    <cfRule type="cellIs" dxfId="9354" priority="14009" operator="notBetween">
      <formula>0</formula>
      <formula>2</formula>
    </cfRule>
    <cfRule type="expression" dxfId="9353" priority="14010">
      <formula>AND(A134=B134,ISBLANK(J134))</formula>
    </cfRule>
  </conditionalFormatting>
  <conditionalFormatting sqref="K134">
    <cfRule type="cellIs" dxfId="9352" priority="14007" operator="notBetween">
      <formula>0</formula>
      <formula>2</formula>
    </cfRule>
    <cfRule type="expression" dxfId="9351" priority="14008">
      <formula>AND(A134=B134,ISBLANK(K134))</formula>
    </cfRule>
  </conditionalFormatting>
  <conditionalFormatting sqref="L134">
    <cfRule type="cellIs" dxfId="9350" priority="14005" operator="notBetween">
      <formula>0</formula>
      <formula>2</formula>
    </cfRule>
    <cfRule type="expression" dxfId="9349" priority="14006">
      <formula>AND(A134=B134,ISBLANK(L134))</formula>
    </cfRule>
  </conditionalFormatting>
  <conditionalFormatting sqref="M135">
    <cfRule type="expression" dxfId="9348" priority="14003">
      <formula>AND(A135=B135,ISBLANK(M135))</formula>
    </cfRule>
    <cfRule type="cellIs" dxfId="9347" priority="14004" operator="notBetween">
      <formula>0</formula>
      <formula>2</formula>
    </cfRule>
  </conditionalFormatting>
  <conditionalFormatting sqref="J135">
    <cfRule type="cellIs" dxfId="9346" priority="14001" operator="notBetween">
      <formula>0</formula>
      <formula>2</formula>
    </cfRule>
    <cfRule type="expression" dxfId="9345" priority="14002">
      <formula>AND(A135=B135,ISBLANK(J135))</formula>
    </cfRule>
  </conditionalFormatting>
  <conditionalFormatting sqref="K135">
    <cfRule type="cellIs" dxfId="9344" priority="13999" operator="notBetween">
      <formula>0</formula>
      <formula>2</formula>
    </cfRule>
    <cfRule type="expression" dxfId="9343" priority="14000">
      <formula>AND(A135=B135,ISBLANK(K135))</formula>
    </cfRule>
  </conditionalFormatting>
  <conditionalFormatting sqref="L135">
    <cfRule type="cellIs" dxfId="9342" priority="13997" operator="notBetween">
      <formula>0</formula>
      <formula>2</formula>
    </cfRule>
    <cfRule type="expression" dxfId="9341" priority="13998">
      <formula>AND(A135=B135,ISBLANK(L135))</formula>
    </cfRule>
  </conditionalFormatting>
  <conditionalFormatting sqref="M136">
    <cfRule type="expression" dxfId="9340" priority="13995">
      <formula>AND(A136=B136,ISBLANK(M136))</formula>
    </cfRule>
    <cfRule type="cellIs" dxfId="9339" priority="13996" operator="notBetween">
      <formula>0</formula>
      <formula>2</formula>
    </cfRule>
  </conditionalFormatting>
  <conditionalFormatting sqref="J136">
    <cfRule type="cellIs" dxfId="9338" priority="13993" operator="notBetween">
      <formula>0</formula>
      <formula>2</formula>
    </cfRule>
    <cfRule type="expression" dxfId="9337" priority="13994">
      <formula>AND(A136=B136,ISBLANK(J136))</formula>
    </cfRule>
  </conditionalFormatting>
  <conditionalFormatting sqref="K136">
    <cfRule type="cellIs" dxfId="9336" priority="13991" operator="notBetween">
      <formula>0</formula>
      <formula>2</formula>
    </cfRule>
    <cfRule type="expression" dxfId="9335" priority="13992">
      <formula>AND(A136=B136,ISBLANK(K136))</formula>
    </cfRule>
  </conditionalFormatting>
  <conditionalFormatting sqref="L136">
    <cfRule type="cellIs" dxfId="9334" priority="13989" operator="notBetween">
      <formula>0</formula>
      <formula>2</formula>
    </cfRule>
    <cfRule type="expression" dxfId="9333" priority="13990">
      <formula>AND(A136=B136,ISBLANK(L136))</formula>
    </cfRule>
  </conditionalFormatting>
  <conditionalFormatting sqref="M137">
    <cfRule type="expression" dxfId="9332" priority="13987">
      <formula>AND(A137=B137,ISBLANK(M137))</formula>
    </cfRule>
    <cfRule type="cellIs" dxfId="9331" priority="13988" operator="notBetween">
      <formula>0</formula>
      <formula>2</formula>
    </cfRule>
  </conditionalFormatting>
  <conditionalFormatting sqref="J137">
    <cfRule type="cellIs" dxfId="9330" priority="13985" operator="notBetween">
      <formula>0</formula>
      <formula>2</formula>
    </cfRule>
    <cfRule type="expression" dxfId="9329" priority="13986">
      <formula>AND(A137=B137,ISBLANK(J137))</formula>
    </cfRule>
  </conditionalFormatting>
  <conditionalFormatting sqref="K137">
    <cfRule type="cellIs" dxfId="9328" priority="13983" operator="notBetween">
      <formula>0</formula>
      <formula>2</formula>
    </cfRule>
    <cfRule type="expression" dxfId="9327" priority="13984">
      <formula>AND(A137=B137,ISBLANK(K137))</formula>
    </cfRule>
  </conditionalFormatting>
  <conditionalFormatting sqref="L137">
    <cfRule type="cellIs" dxfId="9326" priority="13981" operator="notBetween">
      <formula>0</formula>
      <formula>2</formula>
    </cfRule>
    <cfRule type="expression" dxfId="9325" priority="13982">
      <formula>AND(A137=B137,ISBLANK(L137))</formula>
    </cfRule>
  </conditionalFormatting>
  <conditionalFormatting sqref="M138">
    <cfRule type="expression" dxfId="9324" priority="13979">
      <formula>AND(A138=B138,ISBLANK(M138))</formula>
    </cfRule>
    <cfRule type="cellIs" dxfId="9323" priority="13980" operator="notBetween">
      <formula>0</formula>
      <formula>2</formula>
    </cfRule>
  </conditionalFormatting>
  <conditionalFormatting sqref="J138">
    <cfRule type="cellIs" dxfId="9322" priority="13977" operator="notBetween">
      <formula>0</formula>
      <formula>2</formula>
    </cfRule>
    <cfRule type="expression" dxfId="9321" priority="13978">
      <formula>AND(A138=B138,ISBLANK(J138))</formula>
    </cfRule>
  </conditionalFormatting>
  <conditionalFormatting sqref="K138">
    <cfRule type="cellIs" dxfId="9320" priority="13975" operator="notBetween">
      <formula>0</formula>
      <formula>2</formula>
    </cfRule>
    <cfRule type="expression" dxfId="9319" priority="13976">
      <formula>AND(A138=B138,ISBLANK(K138))</formula>
    </cfRule>
  </conditionalFormatting>
  <conditionalFormatting sqref="L138">
    <cfRule type="cellIs" dxfId="9318" priority="13973" operator="notBetween">
      <formula>0</formula>
      <formula>2</formula>
    </cfRule>
    <cfRule type="expression" dxfId="9317" priority="13974">
      <formula>AND(A138=B138,ISBLANK(L138))</formula>
    </cfRule>
  </conditionalFormatting>
  <conditionalFormatting sqref="M139">
    <cfRule type="expression" dxfId="9316" priority="13971">
      <formula>AND(A139=B139,ISBLANK(M139))</formula>
    </cfRule>
    <cfRule type="cellIs" dxfId="9315" priority="13972" operator="notBetween">
      <formula>0</formula>
      <formula>2</formula>
    </cfRule>
  </conditionalFormatting>
  <conditionalFormatting sqref="J139">
    <cfRule type="cellIs" dxfId="9314" priority="13969" operator="notBetween">
      <formula>0</formula>
      <formula>2</formula>
    </cfRule>
    <cfRule type="expression" dxfId="9313" priority="13970">
      <formula>AND(A139=B139,ISBLANK(J139))</formula>
    </cfRule>
  </conditionalFormatting>
  <conditionalFormatting sqref="K139">
    <cfRule type="cellIs" dxfId="9312" priority="13967" operator="notBetween">
      <formula>0</formula>
      <formula>2</formula>
    </cfRule>
    <cfRule type="expression" dxfId="9311" priority="13968">
      <formula>AND(A139=B139,ISBLANK(K139))</formula>
    </cfRule>
  </conditionalFormatting>
  <conditionalFormatting sqref="L139">
    <cfRule type="cellIs" dxfId="9310" priority="13965" operator="notBetween">
      <formula>0</formula>
      <formula>2</formula>
    </cfRule>
    <cfRule type="expression" dxfId="9309" priority="13966">
      <formula>AND(A139=B139,ISBLANK(L139))</formula>
    </cfRule>
  </conditionalFormatting>
  <conditionalFormatting sqref="M140">
    <cfRule type="expression" dxfId="9308" priority="13963">
      <formula>AND(A140=B140,ISBLANK(M140))</formula>
    </cfRule>
    <cfRule type="cellIs" dxfId="9307" priority="13964" operator="notBetween">
      <formula>0</formula>
      <formula>2</formula>
    </cfRule>
  </conditionalFormatting>
  <conditionalFormatting sqref="J140">
    <cfRule type="cellIs" dxfId="9306" priority="13961" operator="notBetween">
      <formula>0</formula>
      <formula>2</formula>
    </cfRule>
    <cfRule type="expression" dxfId="9305" priority="13962">
      <formula>AND(A140=B140,ISBLANK(J140))</formula>
    </cfRule>
  </conditionalFormatting>
  <conditionalFormatting sqref="K140">
    <cfRule type="cellIs" dxfId="9304" priority="13959" operator="notBetween">
      <formula>0</formula>
      <formula>2</formula>
    </cfRule>
    <cfRule type="expression" dxfId="9303" priority="13960">
      <formula>AND(A140=B140,ISBLANK(K140))</formula>
    </cfRule>
  </conditionalFormatting>
  <conditionalFormatting sqref="L140">
    <cfRule type="cellIs" dxfId="9302" priority="13957" operator="notBetween">
      <formula>0</formula>
      <formula>2</formula>
    </cfRule>
    <cfRule type="expression" dxfId="9301" priority="13958">
      <formula>AND(A140=B140,ISBLANK(L140))</formula>
    </cfRule>
  </conditionalFormatting>
  <conditionalFormatting sqref="M141">
    <cfRule type="expression" dxfId="9300" priority="13955">
      <formula>AND(A141=B141,ISBLANK(M141))</formula>
    </cfRule>
    <cfRule type="cellIs" dxfId="9299" priority="13956" operator="notBetween">
      <formula>0</formula>
      <formula>2</formula>
    </cfRule>
  </conditionalFormatting>
  <conditionalFormatting sqref="J141">
    <cfRule type="cellIs" dxfId="9298" priority="13953" operator="notBetween">
      <formula>0</formula>
      <formula>2</formula>
    </cfRule>
    <cfRule type="expression" dxfId="9297" priority="13954">
      <formula>AND(A141=B141,ISBLANK(J141))</formula>
    </cfRule>
  </conditionalFormatting>
  <conditionalFormatting sqref="K141">
    <cfRule type="cellIs" dxfId="9296" priority="13951" operator="notBetween">
      <formula>0</formula>
      <formula>2</formula>
    </cfRule>
    <cfRule type="expression" dxfId="9295" priority="13952">
      <formula>AND(A141=B141,ISBLANK(K141))</formula>
    </cfRule>
  </conditionalFormatting>
  <conditionalFormatting sqref="L141">
    <cfRule type="cellIs" dxfId="9294" priority="13949" operator="notBetween">
      <formula>0</formula>
      <formula>2</formula>
    </cfRule>
    <cfRule type="expression" dxfId="9293" priority="13950">
      <formula>AND(A141=B141,ISBLANK(L141))</formula>
    </cfRule>
  </conditionalFormatting>
  <conditionalFormatting sqref="M142">
    <cfRule type="expression" dxfId="9292" priority="13947">
      <formula>AND(A142=B142,ISBLANK(M142))</formula>
    </cfRule>
    <cfRule type="cellIs" dxfId="9291" priority="13948" operator="notBetween">
      <formula>0</formula>
      <formula>2</formula>
    </cfRule>
  </conditionalFormatting>
  <conditionalFormatting sqref="J142">
    <cfRule type="cellIs" dxfId="9290" priority="13945" operator="notBetween">
      <formula>0</formula>
      <formula>2</formula>
    </cfRule>
    <cfRule type="expression" dxfId="9289" priority="13946">
      <formula>AND(A142=B142,ISBLANK(J142))</formula>
    </cfRule>
  </conditionalFormatting>
  <conditionalFormatting sqref="K142">
    <cfRule type="cellIs" dxfId="9288" priority="13943" operator="notBetween">
      <formula>0</formula>
      <formula>2</formula>
    </cfRule>
    <cfRule type="expression" dxfId="9287" priority="13944">
      <formula>AND(A142=B142,ISBLANK(K142))</formula>
    </cfRule>
  </conditionalFormatting>
  <conditionalFormatting sqref="L142">
    <cfRule type="cellIs" dxfId="9286" priority="13941" operator="notBetween">
      <formula>0</formula>
      <formula>2</formula>
    </cfRule>
    <cfRule type="expression" dxfId="9285" priority="13942">
      <formula>AND(A142=B142,ISBLANK(L142))</formula>
    </cfRule>
  </conditionalFormatting>
  <conditionalFormatting sqref="M143">
    <cfRule type="expression" dxfId="9284" priority="13939">
      <formula>AND(A143=B143,ISBLANK(M143))</formula>
    </cfRule>
    <cfRule type="cellIs" dxfId="9283" priority="13940" operator="notBetween">
      <formula>0</formula>
      <formula>2</formula>
    </cfRule>
  </conditionalFormatting>
  <conditionalFormatting sqref="J143">
    <cfRule type="cellIs" dxfId="9282" priority="13937" operator="notBetween">
      <formula>0</formula>
      <formula>2</formula>
    </cfRule>
    <cfRule type="expression" dxfId="9281" priority="13938">
      <formula>AND(A143=B143,ISBLANK(J143))</formula>
    </cfRule>
  </conditionalFormatting>
  <conditionalFormatting sqref="K143">
    <cfRule type="cellIs" dxfId="9280" priority="13935" operator="notBetween">
      <formula>0</formula>
      <formula>2</formula>
    </cfRule>
    <cfRule type="expression" dxfId="9279" priority="13936">
      <formula>AND(A143=B143,ISBLANK(K143))</formula>
    </cfRule>
  </conditionalFormatting>
  <conditionalFormatting sqref="L143">
    <cfRule type="cellIs" dxfId="9278" priority="13933" operator="notBetween">
      <formula>0</formula>
      <formula>2</formula>
    </cfRule>
    <cfRule type="expression" dxfId="9277" priority="13934">
      <formula>AND(A143=B143,ISBLANK(L143))</formula>
    </cfRule>
  </conditionalFormatting>
  <conditionalFormatting sqref="M144">
    <cfRule type="expression" dxfId="9276" priority="13931">
      <formula>AND(A144=B144,ISBLANK(M144))</formula>
    </cfRule>
    <cfRule type="cellIs" dxfId="9275" priority="13932" operator="notBetween">
      <formula>0</formula>
      <formula>2</formula>
    </cfRule>
  </conditionalFormatting>
  <conditionalFormatting sqref="J144">
    <cfRule type="cellIs" dxfId="9274" priority="13929" operator="notBetween">
      <formula>0</formula>
      <formula>2</formula>
    </cfRule>
    <cfRule type="expression" dxfId="9273" priority="13930">
      <formula>AND(A144=B144,ISBLANK(J144))</formula>
    </cfRule>
  </conditionalFormatting>
  <conditionalFormatting sqref="K144">
    <cfRule type="cellIs" dxfId="9272" priority="13927" operator="notBetween">
      <formula>0</formula>
      <formula>2</formula>
    </cfRule>
    <cfRule type="expression" dxfId="9271" priority="13928">
      <formula>AND(A144=B144,ISBLANK(K144))</formula>
    </cfRule>
  </conditionalFormatting>
  <conditionalFormatting sqref="L144">
    <cfRule type="cellIs" dxfId="9270" priority="13925" operator="notBetween">
      <formula>0</formula>
      <formula>2</formula>
    </cfRule>
    <cfRule type="expression" dxfId="9269" priority="13926">
      <formula>AND(A144=B144,ISBLANK(L144))</formula>
    </cfRule>
  </conditionalFormatting>
  <conditionalFormatting sqref="M145">
    <cfRule type="expression" dxfId="9268" priority="13923">
      <formula>AND(A145=B145,ISBLANK(M145))</formula>
    </cfRule>
    <cfRule type="cellIs" dxfId="9267" priority="13924" operator="notBetween">
      <formula>0</formula>
      <formula>2</formula>
    </cfRule>
  </conditionalFormatting>
  <conditionalFormatting sqref="J145">
    <cfRule type="cellIs" dxfId="9266" priority="13921" operator="notBetween">
      <formula>0</formula>
      <formula>2</formula>
    </cfRule>
    <cfRule type="expression" dxfId="9265" priority="13922">
      <formula>AND(A145=B145,ISBLANK(J145))</formula>
    </cfRule>
  </conditionalFormatting>
  <conditionalFormatting sqref="K145">
    <cfRule type="cellIs" dxfId="9264" priority="13919" operator="notBetween">
      <formula>0</formula>
      <formula>2</formula>
    </cfRule>
    <cfRule type="expression" dxfId="9263" priority="13920">
      <formula>AND(A145=B145,ISBLANK(K145))</formula>
    </cfRule>
  </conditionalFormatting>
  <conditionalFormatting sqref="L145">
    <cfRule type="cellIs" dxfId="9262" priority="13917" operator="notBetween">
      <formula>0</formula>
      <formula>2</formula>
    </cfRule>
    <cfRule type="expression" dxfId="9261" priority="13918">
      <formula>AND(A145=B145,ISBLANK(L145))</formula>
    </cfRule>
  </conditionalFormatting>
  <conditionalFormatting sqref="M146">
    <cfRule type="expression" dxfId="9260" priority="13915">
      <formula>AND(A146=B146,ISBLANK(M146))</formula>
    </cfRule>
    <cfRule type="cellIs" dxfId="9259" priority="13916" operator="notBetween">
      <formula>0</formula>
      <formula>2</formula>
    </cfRule>
  </conditionalFormatting>
  <conditionalFormatting sqref="J146">
    <cfRule type="cellIs" dxfId="9258" priority="13913" operator="notBetween">
      <formula>0</formula>
      <formula>2</formula>
    </cfRule>
    <cfRule type="expression" dxfId="9257" priority="13914">
      <formula>AND(A146=B146,ISBLANK(J146))</formula>
    </cfRule>
  </conditionalFormatting>
  <conditionalFormatting sqref="K146">
    <cfRule type="cellIs" dxfId="9256" priority="13911" operator="notBetween">
      <formula>0</formula>
      <formula>2</formula>
    </cfRule>
    <cfRule type="expression" dxfId="9255" priority="13912">
      <formula>AND(A146=B146,ISBLANK(K146))</formula>
    </cfRule>
  </conditionalFormatting>
  <conditionalFormatting sqref="L146">
    <cfRule type="cellIs" dxfId="9254" priority="13909" operator="notBetween">
      <formula>0</formula>
      <formula>2</formula>
    </cfRule>
    <cfRule type="expression" dxfId="9253" priority="13910">
      <formula>AND(A146=B146,ISBLANK(L146))</formula>
    </cfRule>
  </conditionalFormatting>
  <conditionalFormatting sqref="M147">
    <cfRule type="expression" dxfId="9252" priority="13907">
      <formula>AND(A147=B147,ISBLANK(M147))</formula>
    </cfRule>
    <cfRule type="cellIs" dxfId="9251" priority="13908" operator="notBetween">
      <formula>0</formula>
      <formula>2</formula>
    </cfRule>
  </conditionalFormatting>
  <conditionalFormatting sqref="J147">
    <cfRule type="cellIs" dxfId="9250" priority="13905" operator="notBetween">
      <formula>0</formula>
      <formula>2</formula>
    </cfRule>
    <cfRule type="expression" dxfId="9249" priority="13906">
      <formula>AND(A147=B147,ISBLANK(J147))</formula>
    </cfRule>
  </conditionalFormatting>
  <conditionalFormatting sqref="K147">
    <cfRule type="cellIs" dxfId="9248" priority="13903" operator="notBetween">
      <formula>0</formula>
      <formula>2</formula>
    </cfRule>
    <cfRule type="expression" dxfId="9247" priority="13904">
      <formula>AND(A147=B147,ISBLANK(K147))</formula>
    </cfRule>
  </conditionalFormatting>
  <conditionalFormatting sqref="L147">
    <cfRule type="cellIs" dxfId="9246" priority="13901" operator="notBetween">
      <formula>0</formula>
      <formula>2</formula>
    </cfRule>
    <cfRule type="expression" dxfId="9245" priority="13902">
      <formula>AND(A147=B147,ISBLANK(L147))</formula>
    </cfRule>
  </conditionalFormatting>
  <conditionalFormatting sqref="M148">
    <cfRule type="expression" dxfId="9244" priority="13899">
      <formula>AND(A148=B148,ISBLANK(M148))</formula>
    </cfRule>
    <cfRule type="cellIs" dxfId="9243" priority="13900" operator="notBetween">
      <formula>0</formula>
      <formula>2</formula>
    </cfRule>
  </conditionalFormatting>
  <conditionalFormatting sqref="J148">
    <cfRule type="cellIs" dxfId="9242" priority="13897" operator="notBetween">
      <formula>0</formula>
      <formula>2</formula>
    </cfRule>
    <cfRule type="expression" dxfId="9241" priority="13898">
      <formula>AND(A148=B148,ISBLANK(J148))</formula>
    </cfRule>
  </conditionalFormatting>
  <conditionalFormatting sqref="K148">
    <cfRule type="cellIs" dxfId="9240" priority="13895" operator="notBetween">
      <formula>0</formula>
      <formula>2</formula>
    </cfRule>
    <cfRule type="expression" dxfId="9239" priority="13896">
      <formula>AND(A148=B148,ISBLANK(K148))</formula>
    </cfRule>
  </conditionalFormatting>
  <conditionalFormatting sqref="L148">
    <cfRule type="cellIs" dxfId="9238" priority="13893" operator="notBetween">
      <formula>0</formula>
      <formula>2</formula>
    </cfRule>
    <cfRule type="expression" dxfId="9237" priority="13894">
      <formula>AND(A148=B148,ISBLANK(L148))</formula>
    </cfRule>
  </conditionalFormatting>
  <conditionalFormatting sqref="M149">
    <cfRule type="expression" dxfId="9236" priority="13891">
      <formula>AND(A149=B149,ISBLANK(M149))</formula>
    </cfRule>
    <cfRule type="cellIs" dxfId="9235" priority="13892" operator="notBetween">
      <formula>0</formula>
      <formula>2</formula>
    </cfRule>
  </conditionalFormatting>
  <conditionalFormatting sqref="J149">
    <cfRule type="cellIs" dxfId="9234" priority="13889" operator="notBetween">
      <formula>0</formula>
      <formula>2</formula>
    </cfRule>
    <cfRule type="expression" dxfId="9233" priority="13890">
      <formula>AND(A149=B149,ISBLANK(J149))</formula>
    </cfRule>
  </conditionalFormatting>
  <conditionalFormatting sqref="K149">
    <cfRule type="cellIs" dxfId="9232" priority="13887" operator="notBetween">
      <formula>0</formula>
      <formula>2</formula>
    </cfRule>
    <cfRule type="expression" dxfId="9231" priority="13888">
      <formula>AND(A149=B149,ISBLANK(K149))</formula>
    </cfRule>
  </conditionalFormatting>
  <conditionalFormatting sqref="L149">
    <cfRule type="cellIs" dxfId="9230" priority="13885" operator="notBetween">
      <formula>0</formula>
      <formula>2</formula>
    </cfRule>
    <cfRule type="expression" dxfId="9229" priority="13886">
      <formula>AND(A149=B149,ISBLANK(L149))</formula>
    </cfRule>
  </conditionalFormatting>
  <conditionalFormatting sqref="M150">
    <cfRule type="expression" dxfId="9228" priority="13883">
      <formula>AND(A150=B150,ISBLANK(M150))</formula>
    </cfRule>
    <cfRule type="cellIs" dxfId="9227" priority="13884" operator="notBetween">
      <formula>0</formula>
      <formula>2</formula>
    </cfRule>
  </conditionalFormatting>
  <conditionalFormatting sqref="J150">
    <cfRule type="cellIs" dxfId="9226" priority="13881" operator="notBetween">
      <formula>0</formula>
      <formula>2</formula>
    </cfRule>
    <cfRule type="expression" dxfId="9225" priority="13882">
      <formula>AND(A150=B150,ISBLANK(J150))</formula>
    </cfRule>
  </conditionalFormatting>
  <conditionalFormatting sqref="K150">
    <cfRule type="cellIs" dxfId="9224" priority="13879" operator="notBetween">
      <formula>0</formula>
      <formula>2</formula>
    </cfRule>
    <cfRule type="expression" dxfId="9223" priority="13880">
      <formula>AND(A150=B150,ISBLANK(K150))</formula>
    </cfRule>
  </conditionalFormatting>
  <conditionalFormatting sqref="L150">
    <cfRule type="cellIs" dxfId="9222" priority="13877" operator="notBetween">
      <formula>0</formula>
      <formula>2</formula>
    </cfRule>
    <cfRule type="expression" dxfId="9221" priority="13878">
      <formula>AND(A150=B150,ISBLANK(L150))</formula>
    </cfRule>
  </conditionalFormatting>
  <conditionalFormatting sqref="M151">
    <cfRule type="expression" dxfId="9220" priority="13875">
      <formula>AND(A151=B151,ISBLANK(M151))</formula>
    </cfRule>
    <cfRule type="cellIs" dxfId="9219" priority="13876" operator="notBetween">
      <formula>0</formula>
      <formula>2</formula>
    </cfRule>
  </conditionalFormatting>
  <conditionalFormatting sqref="J151">
    <cfRule type="cellIs" dxfId="9218" priority="13873" operator="notBetween">
      <formula>0</formula>
      <formula>2</formula>
    </cfRule>
    <cfRule type="expression" dxfId="9217" priority="13874">
      <formula>AND(A151=B151,ISBLANK(J151))</formula>
    </cfRule>
  </conditionalFormatting>
  <conditionalFormatting sqref="K151">
    <cfRule type="cellIs" dxfId="9216" priority="13871" operator="notBetween">
      <formula>0</formula>
      <formula>2</formula>
    </cfRule>
    <cfRule type="expression" dxfId="9215" priority="13872">
      <formula>AND(A151=B151,ISBLANK(K151))</formula>
    </cfRule>
  </conditionalFormatting>
  <conditionalFormatting sqref="L151">
    <cfRule type="cellIs" dxfId="9214" priority="13869" operator="notBetween">
      <formula>0</formula>
      <formula>2</formula>
    </cfRule>
    <cfRule type="expression" dxfId="9213" priority="13870">
      <formula>AND(A151=B151,ISBLANK(L151))</formula>
    </cfRule>
  </conditionalFormatting>
  <conditionalFormatting sqref="M152">
    <cfRule type="expression" dxfId="9212" priority="13867">
      <formula>AND(A152=B152,ISBLANK(M152))</formula>
    </cfRule>
    <cfRule type="cellIs" dxfId="9211" priority="13868" operator="notBetween">
      <formula>0</formula>
      <formula>2</formula>
    </cfRule>
  </conditionalFormatting>
  <conditionalFormatting sqref="J152">
    <cfRule type="cellIs" dxfId="9210" priority="13865" operator="notBetween">
      <formula>0</formula>
      <formula>2</formula>
    </cfRule>
    <cfRule type="expression" dxfId="9209" priority="13866">
      <formula>AND(A152=B152,ISBLANK(J152))</formula>
    </cfRule>
  </conditionalFormatting>
  <conditionalFormatting sqref="K152">
    <cfRule type="cellIs" dxfId="9208" priority="13863" operator="notBetween">
      <formula>0</formula>
      <formula>2</formula>
    </cfRule>
    <cfRule type="expression" dxfId="9207" priority="13864">
      <formula>AND(A152=B152,ISBLANK(K152))</formula>
    </cfRule>
  </conditionalFormatting>
  <conditionalFormatting sqref="L152">
    <cfRule type="cellIs" dxfId="9206" priority="13861" operator="notBetween">
      <formula>0</formula>
      <formula>2</formula>
    </cfRule>
    <cfRule type="expression" dxfId="9205" priority="13862">
      <formula>AND(A152=B152,ISBLANK(L152))</formula>
    </cfRule>
  </conditionalFormatting>
  <conditionalFormatting sqref="M153">
    <cfRule type="expression" dxfId="9204" priority="13859">
      <formula>AND(A153=B153,ISBLANK(M153))</formula>
    </cfRule>
    <cfRule type="cellIs" dxfId="9203" priority="13860" operator="notBetween">
      <formula>0</formula>
      <formula>2</formula>
    </cfRule>
  </conditionalFormatting>
  <conditionalFormatting sqref="J153">
    <cfRule type="cellIs" dxfId="9202" priority="13857" operator="notBetween">
      <formula>0</formula>
      <formula>2</formula>
    </cfRule>
    <cfRule type="expression" dxfId="9201" priority="13858">
      <formula>AND(A153=B153,ISBLANK(J153))</formula>
    </cfRule>
  </conditionalFormatting>
  <conditionalFormatting sqref="K153">
    <cfRule type="cellIs" dxfId="9200" priority="13855" operator="notBetween">
      <formula>0</formula>
      <formula>2</formula>
    </cfRule>
    <cfRule type="expression" dxfId="9199" priority="13856">
      <formula>AND(A153=B153,ISBLANK(K153))</formula>
    </cfRule>
  </conditionalFormatting>
  <conditionalFormatting sqref="L153">
    <cfRule type="cellIs" dxfId="9198" priority="13853" operator="notBetween">
      <formula>0</formula>
      <formula>2</formula>
    </cfRule>
    <cfRule type="expression" dxfId="9197" priority="13854">
      <formula>AND(A153=B153,ISBLANK(L153))</formula>
    </cfRule>
  </conditionalFormatting>
  <conditionalFormatting sqref="M154">
    <cfRule type="expression" dxfId="9196" priority="13851">
      <formula>AND(A154=B154,ISBLANK(M154))</formula>
    </cfRule>
    <cfRule type="cellIs" dxfId="9195" priority="13852" operator="notBetween">
      <formula>0</formula>
      <formula>2</formula>
    </cfRule>
  </conditionalFormatting>
  <conditionalFormatting sqref="J154">
    <cfRule type="cellIs" dxfId="9194" priority="13849" operator="notBetween">
      <formula>0</formula>
      <formula>2</formula>
    </cfRule>
    <cfRule type="expression" dxfId="9193" priority="13850">
      <formula>AND(A154=B154,ISBLANK(J154))</formula>
    </cfRule>
  </conditionalFormatting>
  <conditionalFormatting sqref="K154">
    <cfRule type="cellIs" dxfId="9192" priority="13847" operator="notBetween">
      <formula>0</formula>
      <formula>2</formula>
    </cfRule>
    <cfRule type="expression" dxfId="9191" priority="13848">
      <formula>AND(A154=B154,ISBLANK(K154))</formula>
    </cfRule>
  </conditionalFormatting>
  <conditionalFormatting sqref="L154">
    <cfRule type="cellIs" dxfId="9190" priority="13845" operator="notBetween">
      <formula>0</formula>
      <formula>2</formula>
    </cfRule>
    <cfRule type="expression" dxfId="9189" priority="13846">
      <formula>AND(A154=B154,ISBLANK(L154))</formula>
    </cfRule>
  </conditionalFormatting>
  <conditionalFormatting sqref="M155">
    <cfRule type="expression" dxfId="9188" priority="13843">
      <formula>AND(A155=B155,ISBLANK(M155))</formula>
    </cfRule>
    <cfRule type="cellIs" dxfId="9187" priority="13844" operator="notBetween">
      <formula>0</formula>
      <formula>2</formula>
    </cfRule>
  </conditionalFormatting>
  <conditionalFormatting sqref="J155">
    <cfRule type="cellIs" dxfId="9186" priority="13841" operator="notBetween">
      <formula>0</formula>
      <formula>2</formula>
    </cfRule>
    <cfRule type="expression" dxfId="9185" priority="13842">
      <formula>AND(A155=B155,ISBLANK(J155))</formula>
    </cfRule>
  </conditionalFormatting>
  <conditionalFormatting sqref="K155">
    <cfRule type="cellIs" dxfId="9184" priority="13839" operator="notBetween">
      <formula>0</formula>
      <formula>2</formula>
    </cfRule>
    <cfRule type="expression" dxfId="9183" priority="13840">
      <formula>AND(A155=B155,ISBLANK(K155))</formula>
    </cfRule>
  </conditionalFormatting>
  <conditionalFormatting sqref="L155">
    <cfRule type="cellIs" dxfId="9182" priority="13837" operator="notBetween">
      <formula>0</formula>
      <formula>2</formula>
    </cfRule>
    <cfRule type="expression" dxfId="9181" priority="13838">
      <formula>AND(A155=B155,ISBLANK(L155))</formula>
    </cfRule>
  </conditionalFormatting>
  <conditionalFormatting sqref="M156">
    <cfRule type="expression" dxfId="9180" priority="13835">
      <formula>AND(A156=B156,ISBLANK(M156))</formula>
    </cfRule>
    <cfRule type="cellIs" dxfId="9179" priority="13836" operator="notBetween">
      <formula>0</formula>
      <formula>2</formula>
    </cfRule>
  </conditionalFormatting>
  <conditionalFormatting sqref="J156">
    <cfRule type="cellIs" dxfId="9178" priority="13833" operator="notBetween">
      <formula>0</formula>
      <formula>2</formula>
    </cfRule>
    <cfRule type="expression" dxfId="9177" priority="13834">
      <formula>AND(A156=B156,ISBLANK(J156))</formula>
    </cfRule>
  </conditionalFormatting>
  <conditionalFormatting sqref="K156">
    <cfRule type="cellIs" dxfId="9176" priority="13831" operator="notBetween">
      <formula>0</formula>
      <formula>2</formula>
    </cfRule>
    <cfRule type="expression" dxfId="9175" priority="13832">
      <formula>AND(A156=B156,ISBLANK(K156))</formula>
    </cfRule>
  </conditionalFormatting>
  <conditionalFormatting sqref="L156">
    <cfRule type="cellIs" dxfId="9174" priority="13829" operator="notBetween">
      <formula>0</formula>
      <formula>2</formula>
    </cfRule>
    <cfRule type="expression" dxfId="9173" priority="13830">
      <formula>AND(A156=B156,ISBLANK(L156))</formula>
    </cfRule>
  </conditionalFormatting>
  <conditionalFormatting sqref="M157">
    <cfRule type="expression" dxfId="9172" priority="13827">
      <formula>AND(A157=B157,ISBLANK(M157))</formula>
    </cfRule>
    <cfRule type="cellIs" dxfId="9171" priority="13828" operator="notBetween">
      <formula>0</formula>
      <formula>2</formula>
    </cfRule>
  </conditionalFormatting>
  <conditionalFormatting sqref="J157">
    <cfRule type="cellIs" dxfId="9170" priority="13825" operator="notBetween">
      <formula>0</formula>
      <formula>2</formula>
    </cfRule>
    <cfRule type="expression" dxfId="9169" priority="13826">
      <formula>AND(A157=B157,ISBLANK(J157))</formula>
    </cfRule>
  </conditionalFormatting>
  <conditionalFormatting sqref="K157">
    <cfRule type="cellIs" dxfId="9168" priority="13823" operator="notBetween">
      <formula>0</formula>
      <formula>2</formula>
    </cfRule>
    <cfRule type="expression" dxfId="9167" priority="13824">
      <formula>AND(A157=B157,ISBLANK(K157))</formula>
    </cfRule>
  </conditionalFormatting>
  <conditionalFormatting sqref="L157">
    <cfRule type="cellIs" dxfId="9166" priority="13821" operator="notBetween">
      <formula>0</formula>
      <formula>2</formula>
    </cfRule>
    <cfRule type="expression" dxfId="9165" priority="13822">
      <formula>AND(A157=B157,ISBLANK(L157))</formula>
    </cfRule>
  </conditionalFormatting>
  <conditionalFormatting sqref="M158">
    <cfRule type="expression" dxfId="9164" priority="13819">
      <formula>AND(A158=B158,ISBLANK(M158))</formula>
    </cfRule>
    <cfRule type="cellIs" dxfId="9163" priority="13820" operator="notBetween">
      <formula>0</formula>
      <formula>2</formula>
    </cfRule>
  </conditionalFormatting>
  <conditionalFormatting sqref="J158">
    <cfRule type="cellIs" dxfId="9162" priority="13817" operator="notBetween">
      <formula>0</formula>
      <formula>2</formula>
    </cfRule>
    <cfRule type="expression" dxfId="9161" priority="13818">
      <formula>AND(A158=B158,ISBLANK(J158))</formula>
    </cfRule>
  </conditionalFormatting>
  <conditionalFormatting sqref="K158">
    <cfRule type="cellIs" dxfId="9160" priority="13815" operator="notBetween">
      <formula>0</formula>
      <formula>2</formula>
    </cfRule>
    <cfRule type="expression" dxfId="9159" priority="13816">
      <formula>AND(A158=B158,ISBLANK(K158))</formula>
    </cfRule>
  </conditionalFormatting>
  <conditionalFormatting sqref="L158">
    <cfRule type="cellIs" dxfId="9158" priority="13813" operator="notBetween">
      <formula>0</formula>
      <formula>2</formula>
    </cfRule>
    <cfRule type="expression" dxfId="9157" priority="13814">
      <formula>AND(A158=B158,ISBLANK(L158))</formula>
    </cfRule>
  </conditionalFormatting>
  <conditionalFormatting sqref="M159">
    <cfRule type="expression" dxfId="9156" priority="13811">
      <formula>AND(A159=B159,ISBLANK(M159))</formula>
    </cfRule>
    <cfRule type="cellIs" dxfId="9155" priority="13812" operator="notBetween">
      <formula>0</formula>
      <formula>2</formula>
    </cfRule>
  </conditionalFormatting>
  <conditionalFormatting sqref="J159">
    <cfRule type="cellIs" dxfId="9154" priority="13809" operator="notBetween">
      <formula>0</formula>
      <formula>2</formula>
    </cfRule>
    <cfRule type="expression" dxfId="9153" priority="13810">
      <formula>AND(A159=B159,ISBLANK(J159))</formula>
    </cfRule>
  </conditionalFormatting>
  <conditionalFormatting sqref="K159">
    <cfRule type="cellIs" dxfId="9152" priority="13807" operator="notBetween">
      <formula>0</formula>
      <formula>2</formula>
    </cfRule>
    <cfRule type="expression" dxfId="9151" priority="13808">
      <formula>AND(A159=B159,ISBLANK(K159))</formula>
    </cfRule>
  </conditionalFormatting>
  <conditionalFormatting sqref="L159">
    <cfRule type="cellIs" dxfId="9150" priority="13805" operator="notBetween">
      <formula>0</formula>
      <formula>2</formula>
    </cfRule>
    <cfRule type="expression" dxfId="9149" priority="13806">
      <formula>AND(A159=B159,ISBLANK(L159))</formula>
    </cfRule>
  </conditionalFormatting>
  <conditionalFormatting sqref="M160">
    <cfRule type="expression" dxfId="9148" priority="13803">
      <formula>AND(A160=B160,ISBLANK(M160))</formula>
    </cfRule>
    <cfRule type="cellIs" dxfId="9147" priority="13804" operator="notBetween">
      <formula>0</formula>
      <formula>2</formula>
    </cfRule>
  </conditionalFormatting>
  <conditionalFormatting sqref="J160">
    <cfRule type="cellIs" dxfId="9146" priority="13801" operator="notBetween">
      <formula>0</formula>
      <formula>2</formula>
    </cfRule>
    <cfRule type="expression" dxfId="9145" priority="13802">
      <formula>AND(A160=B160,ISBLANK(J160))</formula>
    </cfRule>
  </conditionalFormatting>
  <conditionalFormatting sqref="K160">
    <cfRule type="cellIs" dxfId="9144" priority="13799" operator="notBetween">
      <formula>0</formula>
      <formula>2</formula>
    </cfRule>
    <cfRule type="expression" dxfId="9143" priority="13800">
      <formula>AND(A160=B160,ISBLANK(K160))</formula>
    </cfRule>
  </conditionalFormatting>
  <conditionalFormatting sqref="L160">
    <cfRule type="cellIs" dxfId="9142" priority="13797" operator="notBetween">
      <formula>0</formula>
      <formula>2</formula>
    </cfRule>
    <cfRule type="expression" dxfId="9141" priority="13798">
      <formula>AND(A160=B160,ISBLANK(L160))</formula>
    </cfRule>
  </conditionalFormatting>
  <conditionalFormatting sqref="M161">
    <cfRule type="expression" dxfId="9140" priority="13795">
      <formula>AND(A161=B161,ISBLANK(M161))</formula>
    </cfRule>
    <cfRule type="cellIs" dxfId="9139" priority="13796" operator="notBetween">
      <formula>0</formula>
      <formula>2</formula>
    </cfRule>
  </conditionalFormatting>
  <conditionalFormatting sqref="J161">
    <cfRule type="cellIs" dxfId="9138" priority="13793" operator="notBetween">
      <formula>0</formula>
      <formula>2</formula>
    </cfRule>
    <cfRule type="expression" dxfId="9137" priority="13794">
      <formula>AND(A161=B161,ISBLANK(J161))</formula>
    </cfRule>
  </conditionalFormatting>
  <conditionalFormatting sqref="K161">
    <cfRule type="cellIs" dxfId="9136" priority="13791" operator="notBetween">
      <formula>0</formula>
      <formula>2</formula>
    </cfRule>
    <cfRule type="expression" dxfId="9135" priority="13792">
      <formula>AND(A161=B161,ISBLANK(K161))</formula>
    </cfRule>
  </conditionalFormatting>
  <conditionalFormatting sqref="L161">
    <cfRule type="cellIs" dxfId="9134" priority="13789" operator="notBetween">
      <formula>0</formula>
      <formula>2</formula>
    </cfRule>
    <cfRule type="expression" dxfId="9133" priority="13790">
      <formula>AND(A161=B161,ISBLANK(L161))</formula>
    </cfRule>
  </conditionalFormatting>
  <conditionalFormatting sqref="M162">
    <cfRule type="expression" dxfId="9132" priority="13787">
      <formula>AND(A162=B162,ISBLANK(M162))</formula>
    </cfRule>
    <cfRule type="cellIs" dxfId="9131" priority="13788" operator="notBetween">
      <formula>0</formula>
      <formula>2</formula>
    </cfRule>
  </conditionalFormatting>
  <conditionalFormatting sqref="J162">
    <cfRule type="cellIs" dxfId="9130" priority="13785" operator="notBetween">
      <formula>0</formula>
      <formula>2</formula>
    </cfRule>
    <cfRule type="expression" dxfId="9129" priority="13786">
      <formula>AND(A162=B162,ISBLANK(J162))</formula>
    </cfRule>
  </conditionalFormatting>
  <conditionalFormatting sqref="K162">
    <cfRule type="cellIs" dxfId="9128" priority="13783" operator="notBetween">
      <formula>0</formula>
      <formula>2</formula>
    </cfRule>
    <cfRule type="expression" dxfId="9127" priority="13784">
      <formula>AND(A162=B162,ISBLANK(K162))</formula>
    </cfRule>
  </conditionalFormatting>
  <conditionalFormatting sqref="L162">
    <cfRule type="cellIs" dxfId="9126" priority="13781" operator="notBetween">
      <formula>0</formula>
      <formula>2</formula>
    </cfRule>
    <cfRule type="expression" dxfId="9125" priority="13782">
      <formula>AND(A162=B162,ISBLANK(L162))</formula>
    </cfRule>
  </conditionalFormatting>
  <conditionalFormatting sqref="M163">
    <cfRule type="expression" dxfId="9124" priority="13779">
      <formula>AND(A163=B163,ISBLANK(M163))</formula>
    </cfRule>
    <cfRule type="cellIs" dxfId="9123" priority="13780" operator="notBetween">
      <formula>0</formula>
      <formula>2</formula>
    </cfRule>
  </conditionalFormatting>
  <conditionalFormatting sqref="J163">
    <cfRule type="cellIs" dxfId="9122" priority="13777" operator="notBetween">
      <formula>0</formula>
      <formula>2</formula>
    </cfRule>
    <cfRule type="expression" dxfId="9121" priority="13778">
      <formula>AND(A163=B163,ISBLANK(J163))</formula>
    </cfRule>
  </conditionalFormatting>
  <conditionalFormatting sqref="K163">
    <cfRule type="cellIs" dxfId="9120" priority="13775" operator="notBetween">
      <formula>0</formula>
      <formula>2</formula>
    </cfRule>
    <cfRule type="expression" dxfId="9119" priority="13776">
      <formula>AND(A163=B163,ISBLANK(K163))</formula>
    </cfRule>
  </conditionalFormatting>
  <conditionalFormatting sqref="L163">
    <cfRule type="cellIs" dxfId="9118" priority="13773" operator="notBetween">
      <formula>0</formula>
      <formula>2</formula>
    </cfRule>
    <cfRule type="expression" dxfId="9117" priority="13774">
      <formula>AND(A163=B163,ISBLANK(L163))</formula>
    </cfRule>
  </conditionalFormatting>
  <conditionalFormatting sqref="M164">
    <cfRule type="expression" dxfId="9116" priority="13771">
      <formula>AND(A164=B164,ISBLANK(M164))</formula>
    </cfRule>
    <cfRule type="cellIs" dxfId="9115" priority="13772" operator="notBetween">
      <formula>0</formula>
      <formula>2</formula>
    </cfRule>
  </conditionalFormatting>
  <conditionalFormatting sqref="J164">
    <cfRule type="cellIs" dxfId="9114" priority="13769" operator="notBetween">
      <formula>0</formula>
      <formula>2</formula>
    </cfRule>
    <cfRule type="expression" dxfId="9113" priority="13770">
      <formula>AND(A164=B164,ISBLANK(J164))</formula>
    </cfRule>
  </conditionalFormatting>
  <conditionalFormatting sqref="K164">
    <cfRule type="cellIs" dxfId="9112" priority="13767" operator="notBetween">
      <formula>0</formula>
      <formula>2</formula>
    </cfRule>
    <cfRule type="expression" dxfId="9111" priority="13768">
      <formula>AND(A164=B164,ISBLANK(K164))</formula>
    </cfRule>
  </conditionalFormatting>
  <conditionalFormatting sqref="L164">
    <cfRule type="cellIs" dxfId="9110" priority="13765" operator="notBetween">
      <formula>0</formula>
      <formula>2</formula>
    </cfRule>
    <cfRule type="expression" dxfId="9109" priority="13766">
      <formula>AND(A164=B164,ISBLANK(L164))</formula>
    </cfRule>
  </conditionalFormatting>
  <conditionalFormatting sqref="M165">
    <cfRule type="expression" dxfId="9108" priority="13763">
      <formula>AND(A165=B165,ISBLANK(M165))</formula>
    </cfRule>
    <cfRule type="cellIs" dxfId="9107" priority="13764" operator="notBetween">
      <formula>0</formula>
      <formula>2</formula>
    </cfRule>
  </conditionalFormatting>
  <conditionalFormatting sqref="J165">
    <cfRule type="cellIs" dxfId="9106" priority="13761" operator="notBetween">
      <formula>0</formula>
      <formula>2</formula>
    </cfRule>
    <cfRule type="expression" dxfId="9105" priority="13762">
      <formula>AND(A165=B165,ISBLANK(J165))</formula>
    </cfRule>
  </conditionalFormatting>
  <conditionalFormatting sqref="K165">
    <cfRule type="cellIs" dxfId="9104" priority="13759" operator="notBetween">
      <formula>0</formula>
      <formula>2</formula>
    </cfRule>
    <cfRule type="expression" dxfId="9103" priority="13760">
      <formula>AND(A165=B165,ISBLANK(K165))</formula>
    </cfRule>
  </conditionalFormatting>
  <conditionalFormatting sqref="L165">
    <cfRule type="cellIs" dxfId="9102" priority="13757" operator="notBetween">
      <formula>0</formula>
      <formula>2</formula>
    </cfRule>
    <cfRule type="expression" dxfId="9101" priority="13758">
      <formula>AND(A165=B165,ISBLANK(L165))</formula>
    </cfRule>
  </conditionalFormatting>
  <conditionalFormatting sqref="M166">
    <cfRule type="expression" dxfId="9100" priority="13755">
      <formula>AND(A166=B166,ISBLANK(M166))</formula>
    </cfRule>
    <cfRule type="cellIs" dxfId="9099" priority="13756" operator="notBetween">
      <formula>0</formula>
      <formula>2</formula>
    </cfRule>
  </conditionalFormatting>
  <conditionalFormatting sqref="J166">
    <cfRule type="cellIs" dxfId="9098" priority="13753" operator="notBetween">
      <formula>0</formula>
      <formula>2</formula>
    </cfRule>
    <cfRule type="expression" dxfId="9097" priority="13754">
      <formula>AND(A166=B166,ISBLANK(J166))</formula>
    </cfRule>
  </conditionalFormatting>
  <conditionalFormatting sqref="K166">
    <cfRule type="cellIs" dxfId="9096" priority="13751" operator="notBetween">
      <formula>0</formula>
      <formula>2</formula>
    </cfRule>
    <cfRule type="expression" dxfId="9095" priority="13752">
      <formula>AND(A166=B166,ISBLANK(K166))</formula>
    </cfRule>
  </conditionalFormatting>
  <conditionalFormatting sqref="L166">
    <cfRule type="cellIs" dxfId="9094" priority="13749" operator="notBetween">
      <formula>0</formula>
      <formula>2</formula>
    </cfRule>
    <cfRule type="expression" dxfId="9093" priority="13750">
      <formula>AND(A166=B166,ISBLANK(L166))</formula>
    </cfRule>
  </conditionalFormatting>
  <conditionalFormatting sqref="M167">
    <cfRule type="expression" dxfId="9092" priority="13747">
      <formula>AND(A167=B167,ISBLANK(M167))</formula>
    </cfRule>
    <cfRule type="cellIs" dxfId="9091" priority="13748" operator="notBetween">
      <formula>0</formula>
      <formula>2</formula>
    </cfRule>
  </conditionalFormatting>
  <conditionalFormatting sqref="J167">
    <cfRule type="cellIs" dxfId="9090" priority="13745" operator="notBetween">
      <formula>0</formula>
      <formula>2</formula>
    </cfRule>
    <cfRule type="expression" dxfId="9089" priority="13746">
      <formula>AND(A167=B167,ISBLANK(J167))</formula>
    </cfRule>
  </conditionalFormatting>
  <conditionalFormatting sqref="K167">
    <cfRule type="cellIs" dxfId="9088" priority="13743" operator="notBetween">
      <formula>0</formula>
      <formula>2</formula>
    </cfRule>
    <cfRule type="expression" dxfId="9087" priority="13744">
      <formula>AND(A167=B167,ISBLANK(K167))</formula>
    </cfRule>
  </conditionalFormatting>
  <conditionalFormatting sqref="L167">
    <cfRule type="cellIs" dxfId="9086" priority="13741" operator="notBetween">
      <formula>0</formula>
      <formula>2</formula>
    </cfRule>
    <cfRule type="expression" dxfId="9085" priority="13742">
      <formula>AND(A167=B167,ISBLANK(L167))</formula>
    </cfRule>
  </conditionalFormatting>
  <conditionalFormatting sqref="M168">
    <cfRule type="expression" dxfId="9084" priority="13739">
      <formula>AND(A168=B168,ISBLANK(M168))</formula>
    </cfRule>
    <cfRule type="cellIs" dxfId="9083" priority="13740" operator="notBetween">
      <formula>0</formula>
      <formula>2</formula>
    </cfRule>
  </conditionalFormatting>
  <conditionalFormatting sqref="J168">
    <cfRule type="cellIs" dxfId="9082" priority="13737" operator="notBetween">
      <formula>0</formula>
      <formula>2</formula>
    </cfRule>
    <cfRule type="expression" dxfId="9081" priority="13738">
      <formula>AND(A168=B168,ISBLANK(J168))</formula>
    </cfRule>
  </conditionalFormatting>
  <conditionalFormatting sqref="K168">
    <cfRule type="cellIs" dxfId="9080" priority="13735" operator="notBetween">
      <formula>0</formula>
      <formula>2</formula>
    </cfRule>
    <cfRule type="expression" dxfId="9079" priority="13736">
      <formula>AND(A168=B168,ISBLANK(K168))</formula>
    </cfRule>
  </conditionalFormatting>
  <conditionalFormatting sqref="L168">
    <cfRule type="cellIs" dxfId="9078" priority="13733" operator="notBetween">
      <formula>0</formula>
      <formula>2</formula>
    </cfRule>
    <cfRule type="expression" dxfId="9077" priority="13734">
      <formula>AND(A168=B168,ISBLANK(L168))</formula>
    </cfRule>
  </conditionalFormatting>
  <conditionalFormatting sqref="O20">
    <cfRule type="expression" priority="13656" stopIfTrue="1">
      <formula>"ISBLANK($K$185)"</formula>
    </cfRule>
    <cfRule type="expression" dxfId="9076" priority="13723">
      <formula>AND(OR(AW20=0,ISBLANK(O20)),B20&lt;&gt;"")</formula>
    </cfRule>
    <cfRule type="expression" dxfId="9075" priority="13724">
      <formula>AND(O20="NA",NOT(ISTEXT(N20)))</formula>
    </cfRule>
    <cfRule type="expression" dxfId="9074" priority="13725">
      <formula>AND(AW20&gt;5,O20="NA")</formula>
    </cfRule>
    <cfRule type="expression" dxfId="9073" priority="13726">
      <formula>AND(AW20&lt;5,O20="NA")</formula>
    </cfRule>
    <cfRule type="expression" dxfId="9072" priority="13727">
      <formula>AND(O20&lt;&gt;"NA",O20&gt;$O$16)</formula>
    </cfRule>
  </conditionalFormatting>
  <conditionalFormatting sqref="P20">
    <cfRule type="expression" priority="13655" stopIfTrue="1">
      <formula>"ISBLANK($K$185)"</formula>
    </cfRule>
    <cfRule type="expression" dxfId="9071" priority="13718">
      <formula>AND(OR(AW20=0,ISBLANK(P20)),B20&lt;&gt;"")</formula>
    </cfRule>
    <cfRule type="expression" dxfId="9070" priority="13719">
      <formula>AND(P20="NA",NOT(ISTEXT(Q20)))</formula>
    </cfRule>
    <cfRule type="expression" dxfId="9069" priority="13720">
      <formula>AND(AW20&gt;5,P20="NA")</formula>
    </cfRule>
    <cfRule type="expression" dxfId="9068" priority="13721">
      <formula>AND(AW20&lt;5,P20="NA")</formula>
    </cfRule>
    <cfRule type="expression" dxfId="9067" priority="13722">
      <formula>AND(P20&lt;&gt;"NA",P20&gt;$P$16)</formula>
    </cfRule>
  </conditionalFormatting>
  <conditionalFormatting sqref="Q20">
    <cfRule type="expression" priority="13654" stopIfTrue="1">
      <formula>"ISBLANK($K$185)"</formula>
    </cfRule>
    <cfRule type="expression" dxfId="9066" priority="13713">
      <formula>AND(OR(AW20=0,ISBLANK(Q20)),B20&lt;&gt;"")</formula>
    </cfRule>
    <cfRule type="expression" dxfId="9065" priority="13714">
      <formula>AND(Q20="NA",NOT(ISTEXT(P20)))</formula>
    </cfRule>
    <cfRule type="expression" dxfId="9064" priority="13715">
      <formula>AND(AW20&gt;5,Q20="NA")</formula>
    </cfRule>
    <cfRule type="expression" dxfId="9063" priority="13716">
      <formula>AND(AW20&lt;5,Q20="NA")</formula>
    </cfRule>
    <cfRule type="expression" dxfId="9062" priority="13717">
      <formula>AND(Q20&lt;&gt;"NA",Q20&gt;$Q$16)</formula>
    </cfRule>
  </conditionalFormatting>
  <conditionalFormatting sqref="R20">
    <cfRule type="expression" priority="13653" stopIfTrue="1">
      <formula>"ISBLANK($K$185)"</formula>
    </cfRule>
    <cfRule type="expression" dxfId="9061" priority="13708">
      <formula>AND(OR(AW20=0,ISBLANK(R20)),B20&lt;&gt;"")</formula>
    </cfRule>
    <cfRule type="expression" dxfId="9060" priority="13709">
      <formula>AND(R20="NA",NOT(ISTEXT(S20)))</formula>
    </cfRule>
    <cfRule type="expression" dxfId="9059" priority="13710">
      <formula>AND(AW20&gt;5,R20="NA")</formula>
    </cfRule>
    <cfRule type="expression" dxfId="9058" priority="13711">
      <formula>AND(AW20&lt;5,R20="NA")</formula>
    </cfRule>
    <cfRule type="expression" dxfId="9057" priority="13712">
      <formula>AND(R20&lt;&gt;"NA",R20&gt;$R$16)</formula>
    </cfRule>
  </conditionalFormatting>
  <conditionalFormatting sqref="S20">
    <cfRule type="expression" priority="13652" stopIfTrue="1">
      <formula>"ISBLANK($K$185)"</formula>
    </cfRule>
    <cfRule type="expression" dxfId="9056" priority="13703">
      <formula>AND(OR(AW20=0,ISBLANK(S20)),B20&lt;&gt;"")</formula>
    </cfRule>
    <cfRule type="expression" dxfId="9055" priority="13704">
      <formula>AND(S20="NA",NOT(ISTEXT(R20)))</formula>
    </cfRule>
    <cfRule type="expression" dxfId="9054" priority="13705">
      <formula>AND(AW20&gt;5,S20="NA")</formula>
    </cfRule>
    <cfRule type="expression" dxfId="9053" priority="13706">
      <formula>AND(AW20&lt;5,S20="NA")</formula>
    </cfRule>
    <cfRule type="expression" dxfId="9052" priority="13707">
      <formula>AND(S20&lt;&gt;"NA",S20&gt;$S$16)</formula>
    </cfRule>
  </conditionalFormatting>
  <conditionalFormatting sqref="T20">
    <cfRule type="expression" priority="13651" stopIfTrue="1">
      <formula>"ISBLANK($K$185)"</formula>
    </cfRule>
    <cfRule type="expression" dxfId="9051" priority="13698">
      <formula>AND(OR(AW20=0,ISBLANK(T20)),B20&lt;&gt;"")</formula>
    </cfRule>
    <cfRule type="expression" dxfId="9050" priority="13699">
      <formula>AND(T20="NA",NOT(ISTEXT(U20)))</formula>
    </cfRule>
    <cfRule type="expression" dxfId="9049" priority="13700">
      <formula>AND(AW20&gt;5,T20="NA")</formula>
    </cfRule>
    <cfRule type="expression" dxfId="9048" priority="13701">
      <formula>AND(AW20&lt;5,T20="NA")</formula>
    </cfRule>
    <cfRule type="expression" dxfId="9047" priority="13702">
      <formula>AND(T20&lt;&gt;"NA",T20&gt;$T$16)</formula>
    </cfRule>
  </conditionalFormatting>
  <conditionalFormatting sqref="U20">
    <cfRule type="expression" priority="13650" stopIfTrue="1">
      <formula>"ISBLANK($K$185)"</formula>
    </cfRule>
    <cfRule type="expression" dxfId="9046" priority="13693">
      <formula>AND(OR(AW20=0,ISBLANK(U20)),B20&lt;&gt;"")</formula>
    </cfRule>
    <cfRule type="expression" dxfId="9045" priority="13694">
      <formula>AND(U20="NA",NOT(ISTEXT(T20)))</formula>
    </cfRule>
    <cfRule type="expression" dxfId="9044" priority="13695">
      <formula>AND(AW20&gt;5,U20="NA")</formula>
    </cfRule>
    <cfRule type="expression" dxfId="9043" priority="13696">
      <formula>AND(AW20&lt;5,U20="NA")</formula>
    </cfRule>
    <cfRule type="expression" dxfId="9042" priority="13697">
      <formula>AND(U20&lt;&gt;"NA",U20&gt;$U$16)</formula>
    </cfRule>
  </conditionalFormatting>
  <conditionalFormatting sqref="V20">
    <cfRule type="expression" priority="13649" stopIfTrue="1">
      <formula>"ISBLANK($K$185)"</formula>
    </cfRule>
    <cfRule type="expression" dxfId="9041" priority="13688">
      <formula>AND(OR(AW20=0,ISBLANK(V20)),B20&lt;&gt;"")</formula>
    </cfRule>
    <cfRule type="expression" dxfId="9040" priority="13689">
      <formula>AND(V20="NA",NOT(ISTEXT(W20)))</formula>
    </cfRule>
    <cfRule type="expression" dxfId="9039" priority="13690">
      <formula>AND(AW20&gt;5,V20="NA")</formula>
    </cfRule>
    <cfRule type="expression" dxfId="9038" priority="13691">
      <formula>AND(AW20&lt;5,V20="NA")</formula>
    </cfRule>
    <cfRule type="expression" dxfId="9037" priority="13692">
      <formula>AND(V20&lt;&gt;"NA",V20&gt;$V$16)</formula>
    </cfRule>
  </conditionalFormatting>
  <conditionalFormatting sqref="W20">
    <cfRule type="expression" priority="13648" stopIfTrue="1">
      <formula>"ISBLANK($K$185)"</formula>
    </cfRule>
    <cfRule type="expression" dxfId="9036" priority="13683">
      <formula>AND(OR(AW20=0,ISBLANK(W20)),B20&lt;&gt;"")</formula>
    </cfRule>
    <cfRule type="expression" dxfId="9035" priority="13684">
      <formula>AND(W20="NA",NOT(ISTEXT(V20)))</formula>
    </cfRule>
    <cfRule type="expression" dxfId="9034" priority="13685">
      <formula>AND(AW20&gt;5,W20="NA")</formula>
    </cfRule>
    <cfRule type="expression" dxfId="9033" priority="13686">
      <formula>AND(AW20&lt;5,W20="NA")</formula>
    </cfRule>
    <cfRule type="expression" dxfId="9032" priority="13687">
      <formula>AND(W20&lt;&gt;"NA",W20&gt;$W$16)</formula>
    </cfRule>
  </conditionalFormatting>
  <conditionalFormatting sqref="X20">
    <cfRule type="expression" priority="13647" stopIfTrue="1">
      <formula>"ISBLANK($K$185)"</formula>
    </cfRule>
    <cfRule type="expression" dxfId="9031" priority="13678">
      <formula>AND(OR(AW20=0,ISBLANK(X20)),B20&lt;&gt;"")</formula>
    </cfRule>
    <cfRule type="expression" dxfId="9030" priority="13679">
      <formula>AND(X20="NA",NOT(ISTEXT(Y20)))</formula>
    </cfRule>
    <cfRule type="expression" dxfId="9029" priority="13680">
      <formula>AND(AW20&gt;5,X20="NA")</formula>
    </cfRule>
    <cfRule type="expression" dxfId="9028" priority="13681">
      <formula>AND(AW20&lt;5,X20="NA")</formula>
    </cfRule>
    <cfRule type="expression" dxfId="9027" priority="13682">
      <formula>AND(X20&lt;&gt;"NA",X20&gt;$Y$16)</formula>
    </cfRule>
  </conditionalFormatting>
  <conditionalFormatting sqref="Y20">
    <cfRule type="expression" priority="13646" stopIfTrue="1">
      <formula>"ISBLANK($K$185)"</formula>
    </cfRule>
    <cfRule type="expression" dxfId="9026" priority="13673">
      <formula>AND(OR(AW20=0,ISBLANK(Y20)),B20&lt;&gt;"")</formula>
    </cfRule>
    <cfRule type="expression" dxfId="9025" priority="13674">
      <formula>AND(Y20="NA",NOT(ISTEXT(X20)))</formula>
    </cfRule>
    <cfRule type="expression" dxfId="9024" priority="13675">
      <formula>AND(AW20&gt;5,Y20="NA")</formula>
    </cfRule>
    <cfRule type="expression" dxfId="9023" priority="13676">
      <formula>AND(AW20&lt;5,Y20="NA")</formula>
    </cfRule>
    <cfRule type="expression" dxfId="9022" priority="13677">
      <formula>AND(Y20&lt;&gt;"NA",Y20&gt;$Y$16)</formula>
    </cfRule>
  </conditionalFormatting>
  <conditionalFormatting sqref="N20">
    <cfRule type="expression" priority="13657" stopIfTrue="1">
      <formula>"ISBLANK($K$185)"</formula>
    </cfRule>
    <cfRule type="expression" dxfId="9021" priority="13728">
      <formula>AND(OR(AW20=0,ISBLANK(N20)),B20&lt;&gt;"")</formula>
    </cfRule>
    <cfRule type="expression" dxfId="9020" priority="13729">
      <formula>AND(N20="NA",NOT(ISTEXT(O20)))</formula>
    </cfRule>
    <cfRule type="expression" dxfId="9019" priority="13730">
      <formula>AND(AW20&gt;5,N20="NA")</formula>
    </cfRule>
    <cfRule type="expression" dxfId="9018" priority="13731">
      <formula>AND(AW20&lt;5,N20="NA")</formula>
    </cfRule>
    <cfRule type="expression" dxfId="9017" priority="13732">
      <formula>AND(N20&lt;&gt;"NA",N20&gt;$N$16)</formula>
    </cfRule>
  </conditionalFormatting>
  <conditionalFormatting sqref="O21">
    <cfRule type="expression" priority="13565" stopIfTrue="1">
      <formula>"ISBLANK($K$185)"</formula>
    </cfRule>
    <cfRule type="expression" dxfId="9016" priority="13632">
      <formula>AND(OR(AW21=0,ISBLANK(O21)),B21&lt;&gt;"")</formula>
    </cfRule>
    <cfRule type="expression" dxfId="9015" priority="13633">
      <formula>AND(O21="NA",NOT(ISTEXT(N21)))</formula>
    </cfRule>
    <cfRule type="expression" dxfId="9014" priority="13634">
      <formula>AND(AW21&gt;5,O21="NA")</formula>
    </cfRule>
    <cfRule type="expression" dxfId="9013" priority="13635">
      <formula>AND(AW21&lt;5,O21="NA")</formula>
    </cfRule>
    <cfRule type="expression" dxfId="9012" priority="13636">
      <formula>AND(O21&lt;&gt;"NA",O21&gt;$O$16)</formula>
    </cfRule>
  </conditionalFormatting>
  <conditionalFormatting sqref="P21">
    <cfRule type="expression" priority="13564" stopIfTrue="1">
      <formula>"ISBLANK($K$185)"</formula>
    </cfRule>
    <cfRule type="expression" dxfId="9011" priority="13627">
      <formula>AND(OR(AW21=0,ISBLANK(P21)),B21&lt;&gt;"")</formula>
    </cfRule>
    <cfRule type="expression" dxfId="9010" priority="13628">
      <formula>AND(P21="NA",NOT(ISTEXT(Q21)))</formula>
    </cfRule>
    <cfRule type="expression" dxfId="9009" priority="13629">
      <formula>AND(AW21&gt;5,P21="NA")</formula>
    </cfRule>
    <cfRule type="expression" dxfId="9008" priority="13630">
      <formula>AND(AW21&lt;5,P21="NA")</formula>
    </cfRule>
    <cfRule type="expression" dxfId="9007" priority="13631">
      <formula>AND(P21&lt;&gt;"NA",P21&gt;$P$16)</formula>
    </cfRule>
  </conditionalFormatting>
  <conditionalFormatting sqref="Q21">
    <cfRule type="expression" priority="13563" stopIfTrue="1">
      <formula>"ISBLANK($K$185)"</formula>
    </cfRule>
    <cfRule type="expression" dxfId="9006" priority="13622">
      <formula>AND(OR(AW21=0,ISBLANK(Q21)),B21&lt;&gt;"")</formula>
    </cfRule>
    <cfRule type="expression" dxfId="9005" priority="13623">
      <formula>AND(Q21="NA",NOT(ISTEXT(P21)))</formula>
    </cfRule>
    <cfRule type="expression" dxfId="9004" priority="13624">
      <formula>AND(AW21&gt;5,Q21="NA")</formula>
    </cfRule>
    <cfRule type="expression" dxfId="9003" priority="13625">
      <formula>AND(AW21&lt;5,Q21="NA")</formula>
    </cfRule>
    <cfRule type="expression" dxfId="9002" priority="13626">
      <formula>AND(Q21&lt;&gt;"NA",Q21&gt;$Q$16)</formula>
    </cfRule>
  </conditionalFormatting>
  <conditionalFormatting sqref="R21">
    <cfRule type="expression" priority="13562" stopIfTrue="1">
      <formula>"ISBLANK($K$185)"</formula>
    </cfRule>
    <cfRule type="expression" dxfId="9001" priority="13617">
      <formula>AND(OR(AW21=0,ISBLANK(R21)),B21&lt;&gt;"")</formula>
    </cfRule>
    <cfRule type="expression" dxfId="9000" priority="13618">
      <formula>AND(R21="NA",NOT(ISTEXT(S21)))</formula>
    </cfRule>
    <cfRule type="expression" dxfId="8999" priority="13619">
      <formula>AND(AW21&gt;5,R21="NA")</formula>
    </cfRule>
    <cfRule type="expression" dxfId="8998" priority="13620">
      <formula>AND(AW21&lt;5,R21="NA")</formula>
    </cfRule>
    <cfRule type="expression" dxfId="8997" priority="13621">
      <formula>AND(R21&lt;&gt;"NA",R21&gt;$R$16)</formula>
    </cfRule>
  </conditionalFormatting>
  <conditionalFormatting sqref="S21">
    <cfRule type="expression" priority="13561" stopIfTrue="1">
      <formula>"ISBLANK($K$185)"</formula>
    </cfRule>
    <cfRule type="expression" dxfId="8996" priority="13612">
      <formula>AND(OR(AW21=0,ISBLANK(S21)),B21&lt;&gt;"")</formula>
    </cfRule>
    <cfRule type="expression" dxfId="8995" priority="13613">
      <formula>AND(S21="NA",NOT(ISTEXT(R21)))</formula>
    </cfRule>
    <cfRule type="expression" dxfId="8994" priority="13614">
      <formula>AND(AW21&gt;5,S21="NA")</formula>
    </cfRule>
    <cfRule type="expression" dxfId="8993" priority="13615">
      <formula>AND(AW21&lt;5,S21="NA")</formula>
    </cfRule>
    <cfRule type="expression" dxfId="8992" priority="13616">
      <formula>AND(S21&lt;&gt;"NA",S21&gt;$S$16)</formula>
    </cfRule>
  </conditionalFormatting>
  <conditionalFormatting sqref="T21">
    <cfRule type="expression" priority="13560" stopIfTrue="1">
      <formula>"ISBLANK($K$185)"</formula>
    </cfRule>
    <cfRule type="expression" dxfId="8991" priority="13607">
      <formula>AND(OR(AW21=0,ISBLANK(T21)),B21&lt;&gt;"")</formula>
    </cfRule>
    <cfRule type="expression" dxfId="8990" priority="13608">
      <formula>AND(T21="NA",NOT(ISTEXT(U21)))</formula>
    </cfRule>
    <cfRule type="expression" dxfId="8989" priority="13609">
      <formula>AND(AW21&gt;5,T21="NA")</formula>
    </cfRule>
    <cfRule type="expression" dxfId="8988" priority="13610">
      <formula>AND(AW21&lt;5,T21="NA")</formula>
    </cfRule>
    <cfRule type="expression" dxfId="8987" priority="13611">
      <formula>AND(T21&lt;&gt;"NA",T21&gt;$T$16)</formula>
    </cfRule>
  </conditionalFormatting>
  <conditionalFormatting sqref="U21">
    <cfRule type="expression" priority="13559" stopIfTrue="1">
      <formula>"ISBLANK($K$185)"</formula>
    </cfRule>
    <cfRule type="expression" dxfId="8986" priority="13602">
      <formula>AND(OR(AW21=0,ISBLANK(U21)),B21&lt;&gt;"")</formula>
    </cfRule>
    <cfRule type="expression" dxfId="8985" priority="13603">
      <formula>AND(U21="NA",NOT(ISTEXT(T21)))</formula>
    </cfRule>
    <cfRule type="expression" dxfId="8984" priority="13604">
      <formula>AND(AW21&gt;5,U21="NA")</formula>
    </cfRule>
    <cfRule type="expression" dxfId="8983" priority="13605">
      <formula>AND(AW21&lt;5,U21="NA")</formula>
    </cfRule>
    <cfRule type="expression" dxfId="8982" priority="13606">
      <formula>AND(U21&lt;&gt;"NA",U21&gt;$U$16)</formula>
    </cfRule>
  </conditionalFormatting>
  <conditionalFormatting sqref="V21">
    <cfRule type="expression" priority="13558" stopIfTrue="1">
      <formula>"ISBLANK($K$185)"</formula>
    </cfRule>
    <cfRule type="expression" dxfId="8981" priority="13597">
      <formula>AND(OR(AW21=0,ISBLANK(V21)),B21&lt;&gt;"")</formula>
    </cfRule>
    <cfRule type="expression" dxfId="8980" priority="13598">
      <formula>AND(V21="NA",NOT(ISTEXT(W21)))</formula>
    </cfRule>
    <cfRule type="expression" dxfId="8979" priority="13599">
      <formula>AND(AW21&gt;5,V21="NA")</formula>
    </cfRule>
    <cfRule type="expression" dxfId="8978" priority="13600">
      <formula>AND(AW21&lt;5,V21="NA")</formula>
    </cfRule>
    <cfRule type="expression" dxfId="8977" priority="13601">
      <formula>AND(V21&lt;&gt;"NA",V21&gt;$V$16)</formula>
    </cfRule>
  </conditionalFormatting>
  <conditionalFormatting sqref="W21">
    <cfRule type="expression" priority="13557" stopIfTrue="1">
      <formula>"ISBLANK($K$185)"</formula>
    </cfRule>
    <cfRule type="expression" dxfId="8976" priority="13592">
      <formula>AND(OR(AW21=0,ISBLANK(W21)),B21&lt;&gt;"")</formula>
    </cfRule>
    <cfRule type="expression" dxfId="8975" priority="13593">
      <formula>AND(W21="NA",NOT(ISTEXT(V21)))</formula>
    </cfRule>
    <cfRule type="expression" dxfId="8974" priority="13594">
      <formula>AND(AW21&gt;5,W21="NA")</formula>
    </cfRule>
    <cfRule type="expression" dxfId="8973" priority="13595">
      <formula>AND(AW21&lt;5,W21="NA")</formula>
    </cfRule>
    <cfRule type="expression" dxfId="8972" priority="13596">
      <formula>AND(W21&lt;&gt;"NA",W21&gt;$W$16)</formula>
    </cfRule>
  </conditionalFormatting>
  <conditionalFormatting sqref="X21">
    <cfRule type="expression" priority="13556" stopIfTrue="1">
      <formula>"ISBLANK($K$185)"</formula>
    </cfRule>
    <cfRule type="expression" dxfId="8971" priority="13587">
      <formula>AND(OR(AW21=0,ISBLANK(X21)),B21&lt;&gt;"")</formula>
    </cfRule>
    <cfRule type="expression" dxfId="8970" priority="13588">
      <formula>AND(X21="NA",NOT(ISTEXT(Y21)))</formula>
    </cfRule>
    <cfRule type="expression" dxfId="8969" priority="13589">
      <formula>AND(AW21&gt;5,X21="NA")</formula>
    </cfRule>
    <cfRule type="expression" dxfId="8968" priority="13590">
      <formula>AND(AW21&lt;5,X21="NA")</formula>
    </cfRule>
    <cfRule type="expression" dxfId="8967" priority="13591">
      <formula>AND(X21&lt;&gt;"NA",X21&gt;$Y$16)</formula>
    </cfRule>
  </conditionalFormatting>
  <conditionalFormatting sqref="Y21">
    <cfRule type="expression" priority="13555" stopIfTrue="1">
      <formula>"ISBLANK($K$185)"</formula>
    </cfRule>
    <cfRule type="expression" dxfId="8966" priority="13582">
      <formula>AND(OR(AW21=0,ISBLANK(Y21)),B21&lt;&gt;"")</formula>
    </cfRule>
    <cfRule type="expression" dxfId="8965" priority="13583">
      <formula>AND(Y21="NA",NOT(ISTEXT(X21)))</formula>
    </cfRule>
    <cfRule type="expression" dxfId="8964" priority="13584">
      <formula>AND(AW21&gt;5,Y21="NA")</formula>
    </cfRule>
    <cfRule type="expression" dxfId="8963" priority="13585">
      <formula>AND(AW21&lt;5,Y21="NA")</formula>
    </cfRule>
    <cfRule type="expression" dxfId="8962" priority="13586">
      <formula>AND(Y21&lt;&gt;"NA",Y21&gt;$Y$16)</formula>
    </cfRule>
  </conditionalFormatting>
  <conditionalFormatting sqref="N21">
    <cfRule type="expression" priority="13566" stopIfTrue="1">
      <formula>"ISBLANK($K$185)"</formula>
    </cfRule>
    <cfRule type="expression" dxfId="8961" priority="13637">
      <formula>AND(OR(AW21=0,ISBLANK(N21)),B21&lt;&gt;"")</formula>
    </cfRule>
    <cfRule type="expression" dxfId="8960" priority="13638">
      <formula>AND(N21="NA",NOT(ISTEXT(O21)))</formula>
    </cfRule>
    <cfRule type="expression" dxfId="8959" priority="13639">
      <formula>AND(AW21&gt;5,N21="NA")</formula>
    </cfRule>
    <cfRule type="expression" dxfId="8958" priority="13640">
      <formula>AND(AW21&lt;5,N21="NA")</formula>
    </cfRule>
    <cfRule type="expression" dxfId="8957" priority="13641">
      <formula>AND(N21&lt;&gt;"NA",N21&gt;$N$16)</formula>
    </cfRule>
  </conditionalFormatting>
  <conditionalFormatting sqref="O22">
    <cfRule type="expression" priority="13474" stopIfTrue="1">
      <formula>"ISBLANK($K$185)"</formula>
    </cfRule>
    <cfRule type="expression" dxfId="8956" priority="13541">
      <formula>AND(OR(AW22=0,ISBLANK(O22)),B22&lt;&gt;"")</formula>
    </cfRule>
    <cfRule type="expression" dxfId="8955" priority="13542">
      <formula>AND(O22="NA",NOT(ISTEXT(N22)))</formula>
    </cfRule>
    <cfRule type="expression" dxfId="8954" priority="13543">
      <formula>AND(AW22&gt;5,O22="NA")</formula>
    </cfRule>
    <cfRule type="expression" dxfId="8953" priority="13544">
      <formula>AND(AW22&lt;5,O22="NA")</formula>
    </cfRule>
    <cfRule type="expression" dxfId="8952" priority="13545">
      <formula>AND(O22&lt;&gt;"NA",O22&gt;$O$16)</formula>
    </cfRule>
  </conditionalFormatting>
  <conditionalFormatting sqref="P22">
    <cfRule type="expression" priority="13473" stopIfTrue="1">
      <formula>"ISBLANK($K$185)"</formula>
    </cfRule>
    <cfRule type="expression" dxfId="8951" priority="13536">
      <formula>AND(OR(AW22=0,ISBLANK(P22)),B22&lt;&gt;"")</formula>
    </cfRule>
    <cfRule type="expression" dxfId="8950" priority="13537">
      <formula>AND(P22="NA",NOT(ISTEXT(Q22)))</formula>
    </cfRule>
    <cfRule type="expression" dxfId="8949" priority="13538">
      <formula>AND(AW22&gt;5,P22="NA")</formula>
    </cfRule>
    <cfRule type="expression" dxfId="8948" priority="13539">
      <formula>AND(AW22&lt;5,P22="NA")</formula>
    </cfRule>
    <cfRule type="expression" dxfId="8947" priority="13540">
      <formula>AND(P22&lt;&gt;"NA",P22&gt;$P$16)</formula>
    </cfRule>
  </conditionalFormatting>
  <conditionalFormatting sqref="Q22">
    <cfRule type="expression" priority="13472" stopIfTrue="1">
      <formula>"ISBLANK($K$185)"</formula>
    </cfRule>
    <cfRule type="expression" dxfId="8946" priority="13531">
      <formula>AND(OR(AW22=0,ISBLANK(Q22)),B22&lt;&gt;"")</formula>
    </cfRule>
    <cfRule type="expression" dxfId="8945" priority="13532">
      <formula>AND(Q22="NA",NOT(ISTEXT(P22)))</formula>
    </cfRule>
    <cfRule type="expression" dxfId="8944" priority="13533">
      <formula>AND(AW22&gt;5,Q22="NA")</formula>
    </cfRule>
    <cfRule type="expression" dxfId="8943" priority="13534">
      <formula>AND(AW22&lt;5,Q22="NA")</formula>
    </cfRule>
    <cfRule type="expression" dxfId="8942" priority="13535">
      <formula>AND(Q22&lt;&gt;"NA",Q22&gt;$Q$16)</formula>
    </cfRule>
  </conditionalFormatting>
  <conditionalFormatting sqref="R22">
    <cfRule type="expression" priority="13471" stopIfTrue="1">
      <formula>"ISBLANK($K$185)"</formula>
    </cfRule>
    <cfRule type="expression" dxfId="8941" priority="13526">
      <formula>AND(OR(AW22=0,ISBLANK(R22)),B22&lt;&gt;"")</formula>
    </cfRule>
    <cfRule type="expression" dxfId="8940" priority="13527">
      <formula>AND(R22="NA",NOT(ISTEXT(S22)))</formula>
    </cfRule>
    <cfRule type="expression" dxfId="8939" priority="13528">
      <formula>AND(AW22&gt;5,R22="NA")</formula>
    </cfRule>
    <cfRule type="expression" dxfId="8938" priority="13529">
      <formula>AND(AW22&lt;5,R22="NA")</formula>
    </cfRule>
    <cfRule type="expression" dxfId="8937" priority="13530">
      <formula>AND(R22&lt;&gt;"NA",R22&gt;$R$16)</formula>
    </cfRule>
  </conditionalFormatting>
  <conditionalFormatting sqref="S22">
    <cfRule type="expression" priority="13470" stopIfTrue="1">
      <formula>"ISBLANK($K$185)"</formula>
    </cfRule>
    <cfRule type="expression" dxfId="8936" priority="13521">
      <formula>AND(OR(AW22=0,ISBLANK(S22)),B22&lt;&gt;"")</formula>
    </cfRule>
    <cfRule type="expression" dxfId="8935" priority="13522">
      <formula>AND(S22="NA",NOT(ISTEXT(R22)))</formula>
    </cfRule>
    <cfRule type="expression" dxfId="8934" priority="13523">
      <formula>AND(AW22&gt;5,S22="NA")</formula>
    </cfRule>
    <cfRule type="expression" dxfId="8933" priority="13524">
      <formula>AND(AW22&lt;5,S22="NA")</formula>
    </cfRule>
    <cfRule type="expression" dxfId="8932" priority="13525">
      <formula>AND(S22&lt;&gt;"NA",S22&gt;$S$16)</formula>
    </cfRule>
  </conditionalFormatting>
  <conditionalFormatting sqref="T22">
    <cfRule type="expression" priority="13469" stopIfTrue="1">
      <formula>"ISBLANK($K$185)"</formula>
    </cfRule>
    <cfRule type="expression" dxfId="8931" priority="13516">
      <formula>AND(OR(AW22=0,ISBLANK(T22)),B22&lt;&gt;"")</formula>
    </cfRule>
    <cfRule type="expression" dxfId="8930" priority="13517">
      <formula>AND(T22="NA",NOT(ISTEXT(U22)))</formula>
    </cfRule>
    <cfRule type="expression" dxfId="8929" priority="13518">
      <formula>AND(AW22&gt;5,T22="NA")</formula>
    </cfRule>
    <cfRule type="expression" dxfId="8928" priority="13519">
      <formula>AND(AW22&lt;5,T22="NA")</formula>
    </cfRule>
    <cfRule type="expression" dxfId="8927" priority="13520">
      <formula>AND(T22&lt;&gt;"NA",T22&gt;$T$16)</formula>
    </cfRule>
  </conditionalFormatting>
  <conditionalFormatting sqref="U22">
    <cfRule type="expression" priority="13468" stopIfTrue="1">
      <formula>"ISBLANK($K$185)"</formula>
    </cfRule>
    <cfRule type="expression" dxfId="8926" priority="13511">
      <formula>AND(OR(AW22=0,ISBLANK(U22)),B22&lt;&gt;"")</formula>
    </cfRule>
    <cfRule type="expression" dxfId="8925" priority="13512">
      <formula>AND(U22="NA",NOT(ISTEXT(T22)))</formula>
    </cfRule>
    <cfRule type="expression" dxfId="8924" priority="13513">
      <formula>AND(AW22&gt;5,U22="NA")</formula>
    </cfRule>
    <cfRule type="expression" dxfId="8923" priority="13514">
      <formula>AND(AW22&lt;5,U22="NA")</formula>
    </cfRule>
    <cfRule type="expression" dxfId="8922" priority="13515">
      <formula>AND(U22&lt;&gt;"NA",U22&gt;$U$16)</formula>
    </cfRule>
  </conditionalFormatting>
  <conditionalFormatting sqref="V22">
    <cfRule type="expression" priority="13467" stopIfTrue="1">
      <formula>"ISBLANK($K$185)"</formula>
    </cfRule>
    <cfRule type="expression" dxfId="8921" priority="13506">
      <formula>AND(OR(AW22=0,ISBLANK(V22)),B22&lt;&gt;"")</formula>
    </cfRule>
    <cfRule type="expression" dxfId="8920" priority="13507">
      <formula>AND(V22="NA",NOT(ISTEXT(W22)))</formula>
    </cfRule>
    <cfRule type="expression" dxfId="8919" priority="13508">
      <formula>AND(AW22&gt;5,V22="NA")</formula>
    </cfRule>
    <cfRule type="expression" dxfId="8918" priority="13509">
      <formula>AND(AW22&lt;5,V22="NA")</formula>
    </cfRule>
    <cfRule type="expression" dxfId="8917" priority="13510">
      <formula>AND(V22&lt;&gt;"NA",V22&gt;$V$16)</formula>
    </cfRule>
  </conditionalFormatting>
  <conditionalFormatting sqref="W22">
    <cfRule type="expression" priority="13466" stopIfTrue="1">
      <formula>"ISBLANK($K$185)"</formula>
    </cfRule>
    <cfRule type="expression" dxfId="8916" priority="13501">
      <formula>AND(OR(AW22=0,ISBLANK(W22)),B22&lt;&gt;"")</formula>
    </cfRule>
    <cfRule type="expression" dxfId="8915" priority="13502">
      <formula>AND(W22="NA",NOT(ISTEXT(V22)))</formula>
    </cfRule>
    <cfRule type="expression" dxfId="8914" priority="13503">
      <formula>AND(AW22&gt;5,W22="NA")</formula>
    </cfRule>
    <cfRule type="expression" dxfId="8913" priority="13504">
      <formula>AND(AW22&lt;5,W22="NA")</formula>
    </cfRule>
    <cfRule type="expression" dxfId="8912" priority="13505">
      <formula>AND(W22&lt;&gt;"NA",W22&gt;$W$16)</formula>
    </cfRule>
  </conditionalFormatting>
  <conditionalFormatting sqref="X22">
    <cfRule type="expression" priority="13465" stopIfTrue="1">
      <formula>"ISBLANK($K$185)"</formula>
    </cfRule>
    <cfRule type="expression" dxfId="8911" priority="13496">
      <formula>AND(OR(AW22=0,ISBLANK(X22)),B22&lt;&gt;"")</formula>
    </cfRule>
    <cfRule type="expression" dxfId="8910" priority="13497">
      <formula>AND(X22="NA",NOT(ISTEXT(Y22)))</formula>
    </cfRule>
    <cfRule type="expression" dxfId="8909" priority="13498">
      <formula>AND(AW22&gt;5,X22="NA")</formula>
    </cfRule>
    <cfRule type="expression" dxfId="8908" priority="13499">
      <formula>AND(AW22&lt;5,X22="NA")</formula>
    </cfRule>
    <cfRule type="expression" dxfId="8907" priority="13500">
      <formula>AND(X22&lt;&gt;"NA",X22&gt;$Y$16)</formula>
    </cfRule>
  </conditionalFormatting>
  <conditionalFormatting sqref="Y22">
    <cfRule type="expression" priority="13464" stopIfTrue="1">
      <formula>"ISBLANK($K$185)"</formula>
    </cfRule>
    <cfRule type="expression" dxfId="8906" priority="13491">
      <formula>AND(OR(AW22=0,ISBLANK(Y22)),B22&lt;&gt;"")</formula>
    </cfRule>
    <cfRule type="expression" dxfId="8905" priority="13492">
      <formula>AND(Y22="NA",NOT(ISTEXT(X22)))</formula>
    </cfRule>
    <cfRule type="expression" dxfId="8904" priority="13493">
      <formula>AND(AW22&gt;5,Y22="NA")</formula>
    </cfRule>
    <cfRule type="expression" dxfId="8903" priority="13494">
      <formula>AND(AW22&lt;5,Y22="NA")</formula>
    </cfRule>
    <cfRule type="expression" dxfId="8902" priority="13495">
      <formula>AND(Y22&lt;&gt;"NA",Y22&gt;$Y$16)</formula>
    </cfRule>
  </conditionalFormatting>
  <conditionalFormatting sqref="N22">
    <cfRule type="expression" priority="13475" stopIfTrue="1">
      <formula>"ISBLANK($K$185)"</formula>
    </cfRule>
    <cfRule type="expression" dxfId="8901" priority="13546">
      <formula>AND(OR(AW22=0,ISBLANK(N22)),B22&lt;&gt;"")</formula>
    </cfRule>
    <cfRule type="expression" dxfId="8900" priority="13547">
      <formula>AND(N22="NA",NOT(ISTEXT(O22)))</formula>
    </cfRule>
    <cfRule type="expression" dxfId="8899" priority="13548">
      <formula>AND(AW22&gt;5,N22="NA")</formula>
    </cfRule>
    <cfRule type="expression" dxfId="8898" priority="13549">
      <formula>AND(AW22&lt;5,N22="NA")</formula>
    </cfRule>
    <cfRule type="expression" dxfId="8897" priority="13550">
      <formula>AND(N22&lt;&gt;"NA",N22&gt;$N$16)</formula>
    </cfRule>
  </conditionalFormatting>
  <conditionalFormatting sqref="O23">
    <cfRule type="expression" priority="13383" stopIfTrue="1">
      <formula>"ISBLANK($K$185)"</formula>
    </cfRule>
    <cfRule type="expression" dxfId="8896" priority="13450">
      <formula>AND(OR(AW23=0,ISBLANK(O23)),B23&lt;&gt;"")</formula>
    </cfRule>
    <cfRule type="expression" dxfId="8895" priority="13451">
      <formula>AND(O23="NA",NOT(ISTEXT(N23)))</formula>
    </cfRule>
    <cfRule type="expression" dxfId="8894" priority="13452">
      <formula>AND(AW23&gt;5,O23="NA")</formula>
    </cfRule>
    <cfRule type="expression" dxfId="8893" priority="13453">
      <formula>AND(AW23&lt;5,O23="NA")</formula>
    </cfRule>
    <cfRule type="expression" dxfId="8892" priority="13454">
      <formula>AND(O23&lt;&gt;"NA",O23&gt;$O$16)</formula>
    </cfRule>
  </conditionalFormatting>
  <conditionalFormatting sqref="P23">
    <cfRule type="expression" priority="13382" stopIfTrue="1">
      <formula>"ISBLANK($K$185)"</formula>
    </cfRule>
    <cfRule type="expression" dxfId="8891" priority="13445">
      <formula>AND(OR(AW23=0,ISBLANK(P23)),B23&lt;&gt;"")</formula>
    </cfRule>
    <cfRule type="expression" dxfId="8890" priority="13446">
      <formula>AND(P23="NA",NOT(ISTEXT(Q23)))</formula>
    </cfRule>
    <cfRule type="expression" dxfId="8889" priority="13447">
      <formula>AND(AW23&gt;5,P23="NA")</formula>
    </cfRule>
    <cfRule type="expression" dxfId="8888" priority="13448">
      <formula>AND(AW23&lt;5,P23="NA")</formula>
    </cfRule>
    <cfRule type="expression" dxfId="8887" priority="13449">
      <formula>AND(P23&lt;&gt;"NA",P23&gt;$P$16)</formula>
    </cfRule>
  </conditionalFormatting>
  <conditionalFormatting sqref="Q23">
    <cfRule type="expression" priority="13381" stopIfTrue="1">
      <formula>"ISBLANK($K$185)"</formula>
    </cfRule>
    <cfRule type="expression" dxfId="8886" priority="13440">
      <formula>AND(OR(AW23=0,ISBLANK(Q23)),B23&lt;&gt;"")</formula>
    </cfRule>
    <cfRule type="expression" dxfId="8885" priority="13441">
      <formula>AND(Q23="NA",NOT(ISTEXT(P23)))</formula>
    </cfRule>
    <cfRule type="expression" dxfId="8884" priority="13442">
      <formula>AND(AW23&gt;5,Q23="NA")</formula>
    </cfRule>
    <cfRule type="expression" dxfId="8883" priority="13443">
      <formula>AND(AW23&lt;5,Q23="NA")</formula>
    </cfRule>
    <cfRule type="expression" dxfId="8882" priority="13444">
      <formula>AND(Q23&lt;&gt;"NA",Q23&gt;$Q$16)</formula>
    </cfRule>
  </conditionalFormatting>
  <conditionalFormatting sqref="R23">
    <cfRule type="expression" priority="13380" stopIfTrue="1">
      <formula>"ISBLANK($K$185)"</formula>
    </cfRule>
    <cfRule type="expression" dxfId="8881" priority="13435">
      <formula>AND(OR(AW23=0,ISBLANK(R23)),B23&lt;&gt;"")</formula>
    </cfRule>
    <cfRule type="expression" dxfId="8880" priority="13436">
      <formula>AND(R23="NA",NOT(ISTEXT(S23)))</formula>
    </cfRule>
    <cfRule type="expression" dxfId="8879" priority="13437">
      <formula>AND(AW23&gt;5,R23="NA")</formula>
    </cfRule>
    <cfRule type="expression" dxfId="8878" priority="13438">
      <formula>AND(AW23&lt;5,R23="NA")</formula>
    </cfRule>
    <cfRule type="expression" dxfId="8877" priority="13439">
      <formula>AND(R23&lt;&gt;"NA",R23&gt;$R$16)</formula>
    </cfRule>
  </conditionalFormatting>
  <conditionalFormatting sqref="S23">
    <cfRule type="expression" priority="13379" stopIfTrue="1">
      <formula>"ISBLANK($K$185)"</formula>
    </cfRule>
    <cfRule type="expression" dxfId="8876" priority="13430">
      <formula>AND(OR(AW23=0,ISBLANK(S23)),B23&lt;&gt;"")</formula>
    </cfRule>
    <cfRule type="expression" dxfId="8875" priority="13431">
      <formula>AND(S23="NA",NOT(ISTEXT(R23)))</formula>
    </cfRule>
    <cfRule type="expression" dxfId="8874" priority="13432">
      <formula>AND(AW23&gt;5,S23="NA")</formula>
    </cfRule>
    <cfRule type="expression" dxfId="8873" priority="13433">
      <formula>AND(AW23&lt;5,S23="NA")</formula>
    </cfRule>
    <cfRule type="expression" dxfId="8872" priority="13434">
      <formula>AND(S23&lt;&gt;"NA",S23&gt;$S$16)</formula>
    </cfRule>
  </conditionalFormatting>
  <conditionalFormatting sqref="T23">
    <cfRule type="expression" priority="13378" stopIfTrue="1">
      <formula>"ISBLANK($K$185)"</formula>
    </cfRule>
    <cfRule type="expression" dxfId="8871" priority="13425">
      <formula>AND(OR(AW23=0,ISBLANK(T23)),B23&lt;&gt;"")</formula>
    </cfRule>
    <cfRule type="expression" dxfId="8870" priority="13426">
      <formula>AND(T23="NA",NOT(ISTEXT(U23)))</formula>
    </cfRule>
    <cfRule type="expression" dxfId="8869" priority="13427">
      <formula>AND(AW23&gt;5,T23="NA")</formula>
    </cfRule>
    <cfRule type="expression" dxfId="8868" priority="13428">
      <formula>AND(AW23&lt;5,T23="NA")</formula>
    </cfRule>
    <cfRule type="expression" dxfId="8867" priority="13429">
      <formula>AND(T23&lt;&gt;"NA",T23&gt;$T$16)</formula>
    </cfRule>
  </conditionalFormatting>
  <conditionalFormatting sqref="U23">
    <cfRule type="expression" priority="13377" stopIfTrue="1">
      <formula>"ISBLANK($K$185)"</formula>
    </cfRule>
    <cfRule type="expression" dxfId="8866" priority="13420">
      <formula>AND(OR(AW23=0,ISBLANK(U23)),B23&lt;&gt;"")</formula>
    </cfRule>
    <cfRule type="expression" dxfId="8865" priority="13421">
      <formula>AND(U23="NA",NOT(ISTEXT(T23)))</formula>
    </cfRule>
    <cfRule type="expression" dxfId="8864" priority="13422">
      <formula>AND(AW23&gt;5,U23="NA")</formula>
    </cfRule>
    <cfRule type="expression" dxfId="8863" priority="13423">
      <formula>AND(AW23&lt;5,U23="NA")</formula>
    </cfRule>
    <cfRule type="expression" dxfId="8862" priority="13424">
      <formula>AND(U23&lt;&gt;"NA",U23&gt;$U$16)</formula>
    </cfRule>
  </conditionalFormatting>
  <conditionalFormatting sqref="V23">
    <cfRule type="expression" priority="13376" stopIfTrue="1">
      <formula>"ISBLANK($K$185)"</formula>
    </cfRule>
    <cfRule type="expression" dxfId="8861" priority="13415">
      <formula>AND(OR(AW23=0,ISBLANK(V23)),B23&lt;&gt;"")</formula>
    </cfRule>
    <cfRule type="expression" dxfId="8860" priority="13416">
      <formula>AND(V23="NA",NOT(ISTEXT(W23)))</formula>
    </cfRule>
    <cfRule type="expression" dxfId="8859" priority="13417">
      <formula>AND(AW23&gt;5,V23="NA")</formula>
    </cfRule>
    <cfRule type="expression" dxfId="8858" priority="13418">
      <formula>AND(AW23&lt;5,V23="NA")</formula>
    </cfRule>
    <cfRule type="expression" dxfId="8857" priority="13419">
      <formula>AND(V23&lt;&gt;"NA",V23&gt;$V$16)</formula>
    </cfRule>
  </conditionalFormatting>
  <conditionalFormatting sqref="W23">
    <cfRule type="expression" priority="13375" stopIfTrue="1">
      <formula>"ISBLANK($K$185)"</formula>
    </cfRule>
    <cfRule type="expression" dxfId="8856" priority="13410">
      <formula>AND(OR(AW23=0,ISBLANK(W23)),B23&lt;&gt;"")</formula>
    </cfRule>
    <cfRule type="expression" dxfId="8855" priority="13411">
      <formula>AND(W23="NA",NOT(ISTEXT(V23)))</formula>
    </cfRule>
    <cfRule type="expression" dxfId="8854" priority="13412">
      <formula>AND(AW23&gt;5,W23="NA")</formula>
    </cfRule>
    <cfRule type="expression" dxfId="8853" priority="13413">
      <formula>AND(AW23&lt;5,W23="NA")</formula>
    </cfRule>
    <cfRule type="expression" dxfId="8852" priority="13414">
      <formula>AND(W23&lt;&gt;"NA",W23&gt;$W$16)</formula>
    </cfRule>
  </conditionalFormatting>
  <conditionalFormatting sqref="X23">
    <cfRule type="expression" priority="13374" stopIfTrue="1">
      <formula>"ISBLANK($K$185)"</formula>
    </cfRule>
    <cfRule type="expression" dxfId="8851" priority="13405">
      <formula>AND(OR(AW23=0,ISBLANK(X23)),B23&lt;&gt;"")</formula>
    </cfRule>
    <cfRule type="expression" dxfId="8850" priority="13406">
      <formula>AND(X23="NA",NOT(ISTEXT(Y23)))</formula>
    </cfRule>
    <cfRule type="expression" dxfId="8849" priority="13407">
      <formula>AND(AW23&gt;5,X23="NA")</formula>
    </cfRule>
    <cfRule type="expression" dxfId="8848" priority="13408">
      <formula>AND(AW23&lt;5,X23="NA")</formula>
    </cfRule>
    <cfRule type="expression" dxfId="8847" priority="13409">
      <formula>AND(X23&lt;&gt;"NA",X23&gt;$Y$16)</formula>
    </cfRule>
  </conditionalFormatting>
  <conditionalFormatting sqref="Y23">
    <cfRule type="expression" priority="13373" stopIfTrue="1">
      <formula>"ISBLANK($K$185)"</formula>
    </cfRule>
    <cfRule type="expression" dxfId="8846" priority="13400">
      <formula>AND(OR(AW23=0,ISBLANK(Y23)),B23&lt;&gt;"")</formula>
    </cfRule>
    <cfRule type="expression" dxfId="8845" priority="13401">
      <formula>AND(Y23="NA",NOT(ISTEXT(X23)))</formula>
    </cfRule>
    <cfRule type="expression" dxfId="8844" priority="13402">
      <formula>AND(AW23&gt;5,Y23="NA")</formula>
    </cfRule>
    <cfRule type="expression" dxfId="8843" priority="13403">
      <formula>AND(AW23&lt;5,Y23="NA")</formula>
    </cfRule>
    <cfRule type="expression" dxfId="8842" priority="13404">
      <formula>AND(Y23&lt;&gt;"NA",Y23&gt;$Y$16)</formula>
    </cfRule>
  </conditionalFormatting>
  <conditionalFormatting sqref="N23">
    <cfRule type="expression" priority="13384" stopIfTrue="1">
      <formula>"ISBLANK($K$185)"</formula>
    </cfRule>
    <cfRule type="expression" dxfId="8841" priority="13455">
      <formula>AND(OR(AW23=0,ISBLANK(N23)),B23&lt;&gt;"")</formula>
    </cfRule>
    <cfRule type="expression" dxfId="8840" priority="13456">
      <formula>AND(N23="NA",NOT(ISTEXT(O23)))</formula>
    </cfRule>
    <cfRule type="expression" dxfId="8839" priority="13457">
      <formula>AND(AW23&gt;5,N23="NA")</formula>
    </cfRule>
    <cfRule type="expression" dxfId="8838" priority="13458">
      <formula>AND(AW23&lt;5,N23="NA")</formula>
    </cfRule>
    <cfRule type="expression" dxfId="8837" priority="13459">
      <formula>AND(N23&lt;&gt;"NA",N23&gt;$N$16)</formula>
    </cfRule>
  </conditionalFormatting>
  <conditionalFormatting sqref="O24">
    <cfRule type="expression" priority="13292" stopIfTrue="1">
      <formula>"ISBLANK($K$185)"</formula>
    </cfRule>
    <cfRule type="expression" dxfId="8836" priority="13359">
      <formula>AND(OR(AW24=0,ISBLANK(O24)),B24&lt;&gt;"")</formula>
    </cfRule>
    <cfRule type="expression" dxfId="8835" priority="13360">
      <formula>AND(O24="NA",NOT(ISTEXT(N24)))</formula>
    </cfRule>
    <cfRule type="expression" dxfId="8834" priority="13361">
      <formula>AND(AW24&gt;5,O24="NA")</formula>
    </cfRule>
    <cfRule type="expression" dxfId="8833" priority="13362">
      <formula>AND(AW24&lt;5,O24="NA")</formula>
    </cfRule>
    <cfRule type="expression" dxfId="8832" priority="13363">
      <formula>AND(O24&lt;&gt;"NA",O24&gt;$O$16)</formula>
    </cfRule>
  </conditionalFormatting>
  <conditionalFormatting sqref="P24">
    <cfRule type="expression" priority="13291" stopIfTrue="1">
      <formula>"ISBLANK($K$185)"</formula>
    </cfRule>
    <cfRule type="expression" dxfId="8831" priority="13354">
      <formula>AND(OR(AW24=0,ISBLANK(P24)),B24&lt;&gt;"")</formula>
    </cfRule>
    <cfRule type="expression" dxfId="8830" priority="13355">
      <formula>AND(P24="NA",NOT(ISTEXT(Q24)))</formula>
    </cfRule>
    <cfRule type="expression" dxfId="8829" priority="13356">
      <formula>AND(AW24&gt;5,P24="NA")</formula>
    </cfRule>
    <cfRule type="expression" dxfId="8828" priority="13357">
      <formula>AND(AW24&lt;5,P24="NA")</formula>
    </cfRule>
    <cfRule type="expression" dxfId="8827" priority="13358">
      <formula>AND(P24&lt;&gt;"NA",P24&gt;$P$16)</formula>
    </cfRule>
  </conditionalFormatting>
  <conditionalFormatting sqref="Q24">
    <cfRule type="expression" priority="13290" stopIfTrue="1">
      <formula>"ISBLANK($K$185)"</formula>
    </cfRule>
    <cfRule type="expression" dxfId="8826" priority="13349">
      <formula>AND(OR(AW24=0,ISBLANK(Q24)),B24&lt;&gt;"")</formula>
    </cfRule>
    <cfRule type="expression" dxfId="8825" priority="13350">
      <formula>AND(Q24="NA",NOT(ISTEXT(P24)))</formula>
    </cfRule>
    <cfRule type="expression" dxfId="8824" priority="13351">
      <formula>AND(AW24&gt;5,Q24="NA")</formula>
    </cfRule>
    <cfRule type="expression" dxfId="8823" priority="13352">
      <formula>AND(AW24&lt;5,Q24="NA")</formula>
    </cfRule>
    <cfRule type="expression" dxfId="8822" priority="13353">
      <formula>AND(Q24&lt;&gt;"NA",Q24&gt;$Q$16)</formula>
    </cfRule>
  </conditionalFormatting>
  <conditionalFormatting sqref="R24">
    <cfRule type="expression" priority="13289" stopIfTrue="1">
      <formula>"ISBLANK($K$185)"</formula>
    </cfRule>
    <cfRule type="expression" dxfId="8821" priority="13344">
      <formula>AND(OR(AW24=0,ISBLANK(R24)),B24&lt;&gt;"")</formula>
    </cfRule>
    <cfRule type="expression" dxfId="8820" priority="13345">
      <formula>AND(R24="NA",NOT(ISTEXT(S24)))</formula>
    </cfRule>
    <cfRule type="expression" dxfId="8819" priority="13346">
      <formula>AND(AW24&gt;5,R24="NA")</formula>
    </cfRule>
    <cfRule type="expression" dxfId="8818" priority="13347">
      <formula>AND(AW24&lt;5,R24="NA")</formula>
    </cfRule>
    <cfRule type="expression" dxfId="8817" priority="13348">
      <formula>AND(R24&lt;&gt;"NA",R24&gt;$R$16)</formula>
    </cfRule>
  </conditionalFormatting>
  <conditionalFormatting sqref="S24">
    <cfRule type="expression" priority="13288" stopIfTrue="1">
      <formula>"ISBLANK($K$185)"</formula>
    </cfRule>
    <cfRule type="expression" dxfId="8816" priority="13339">
      <formula>AND(OR(AW24=0,ISBLANK(S24)),B24&lt;&gt;"")</formula>
    </cfRule>
    <cfRule type="expression" dxfId="8815" priority="13340">
      <formula>AND(S24="NA",NOT(ISTEXT(R24)))</formula>
    </cfRule>
    <cfRule type="expression" dxfId="8814" priority="13341">
      <formula>AND(AW24&gt;5,S24="NA")</formula>
    </cfRule>
    <cfRule type="expression" dxfId="8813" priority="13342">
      <formula>AND(AW24&lt;5,S24="NA")</formula>
    </cfRule>
    <cfRule type="expression" dxfId="8812" priority="13343">
      <formula>AND(S24&lt;&gt;"NA",S24&gt;$S$16)</formula>
    </cfRule>
  </conditionalFormatting>
  <conditionalFormatting sqref="T24">
    <cfRule type="expression" priority="13287" stopIfTrue="1">
      <formula>"ISBLANK($K$185)"</formula>
    </cfRule>
    <cfRule type="expression" dxfId="8811" priority="13334">
      <formula>AND(OR(AW24=0,ISBLANK(T24)),B24&lt;&gt;"")</formula>
    </cfRule>
    <cfRule type="expression" dxfId="8810" priority="13335">
      <formula>AND(T24="NA",NOT(ISTEXT(U24)))</formula>
    </cfRule>
    <cfRule type="expression" dxfId="8809" priority="13336">
      <formula>AND(AW24&gt;5,T24="NA")</formula>
    </cfRule>
    <cfRule type="expression" dxfId="8808" priority="13337">
      <formula>AND(AW24&lt;5,T24="NA")</formula>
    </cfRule>
    <cfRule type="expression" dxfId="8807" priority="13338">
      <formula>AND(T24&lt;&gt;"NA",T24&gt;$T$16)</formula>
    </cfRule>
  </conditionalFormatting>
  <conditionalFormatting sqref="U24">
    <cfRule type="expression" priority="13286" stopIfTrue="1">
      <formula>"ISBLANK($K$185)"</formula>
    </cfRule>
    <cfRule type="expression" dxfId="8806" priority="13329">
      <formula>AND(OR(AW24=0,ISBLANK(U24)),B24&lt;&gt;"")</formula>
    </cfRule>
    <cfRule type="expression" dxfId="8805" priority="13330">
      <formula>AND(U24="NA",NOT(ISTEXT(T24)))</formula>
    </cfRule>
    <cfRule type="expression" dxfId="8804" priority="13331">
      <formula>AND(AW24&gt;5,U24="NA")</formula>
    </cfRule>
    <cfRule type="expression" dxfId="8803" priority="13332">
      <formula>AND(AW24&lt;5,U24="NA")</formula>
    </cfRule>
    <cfRule type="expression" dxfId="8802" priority="13333">
      <formula>AND(U24&lt;&gt;"NA",U24&gt;$U$16)</formula>
    </cfRule>
  </conditionalFormatting>
  <conditionalFormatting sqref="V24">
    <cfRule type="expression" priority="13285" stopIfTrue="1">
      <formula>"ISBLANK($K$185)"</formula>
    </cfRule>
    <cfRule type="expression" dxfId="8801" priority="13324">
      <formula>AND(OR(AW24=0,ISBLANK(V24)),B24&lt;&gt;"")</formula>
    </cfRule>
    <cfRule type="expression" dxfId="8800" priority="13325">
      <formula>AND(V24="NA",NOT(ISTEXT(W24)))</formula>
    </cfRule>
    <cfRule type="expression" dxfId="8799" priority="13326">
      <formula>AND(AW24&gt;5,V24="NA")</formula>
    </cfRule>
    <cfRule type="expression" dxfId="8798" priority="13327">
      <formula>AND(AW24&lt;5,V24="NA")</formula>
    </cfRule>
    <cfRule type="expression" dxfId="8797" priority="13328">
      <formula>AND(V24&lt;&gt;"NA",V24&gt;$V$16)</formula>
    </cfRule>
  </conditionalFormatting>
  <conditionalFormatting sqref="W24">
    <cfRule type="expression" priority="13284" stopIfTrue="1">
      <formula>"ISBLANK($K$185)"</formula>
    </cfRule>
    <cfRule type="expression" dxfId="8796" priority="13319">
      <formula>AND(OR(AW24=0,ISBLANK(W24)),B24&lt;&gt;"")</formula>
    </cfRule>
    <cfRule type="expression" dxfId="8795" priority="13320">
      <formula>AND(W24="NA",NOT(ISTEXT(V24)))</formula>
    </cfRule>
    <cfRule type="expression" dxfId="8794" priority="13321">
      <formula>AND(AW24&gt;5,W24="NA")</formula>
    </cfRule>
    <cfRule type="expression" dxfId="8793" priority="13322">
      <formula>AND(AW24&lt;5,W24="NA")</formula>
    </cfRule>
    <cfRule type="expression" dxfId="8792" priority="13323">
      <formula>AND(W24&lt;&gt;"NA",W24&gt;$W$16)</formula>
    </cfRule>
  </conditionalFormatting>
  <conditionalFormatting sqref="X24">
    <cfRule type="expression" priority="13283" stopIfTrue="1">
      <formula>"ISBLANK($K$185)"</formula>
    </cfRule>
    <cfRule type="expression" dxfId="8791" priority="13314">
      <formula>AND(OR(AW24=0,ISBLANK(X24)),B24&lt;&gt;"")</formula>
    </cfRule>
    <cfRule type="expression" dxfId="8790" priority="13315">
      <formula>AND(X24="NA",NOT(ISTEXT(Y24)))</formula>
    </cfRule>
    <cfRule type="expression" dxfId="8789" priority="13316">
      <formula>AND(AW24&gt;5,X24="NA")</formula>
    </cfRule>
    <cfRule type="expression" dxfId="8788" priority="13317">
      <formula>AND(AW24&lt;5,X24="NA")</formula>
    </cfRule>
    <cfRule type="expression" dxfId="8787" priority="13318">
      <formula>AND(X24&lt;&gt;"NA",X24&gt;$Y$16)</formula>
    </cfRule>
  </conditionalFormatting>
  <conditionalFormatting sqref="Y24">
    <cfRule type="expression" priority="13282" stopIfTrue="1">
      <formula>"ISBLANK($K$185)"</formula>
    </cfRule>
    <cfRule type="expression" dxfId="8786" priority="13309">
      <formula>AND(OR(AW24=0,ISBLANK(Y24)),B24&lt;&gt;"")</formula>
    </cfRule>
    <cfRule type="expression" dxfId="8785" priority="13310">
      <formula>AND(Y24="NA",NOT(ISTEXT(X24)))</formula>
    </cfRule>
    <cfRule type="expression" dxfId="8784" priority="13311">
      <formula>AND(AW24&gt;5,Y24="NA")</formula>
    </cfRule>
    <cfRule type="expression" dxfId="8783" priority="13312">
      <formula>AND(AW24&lt;5,Y24="NA")</formula>
    </cfRule>
    <cfRule type="expression" dxfId="8782" priority="13313">
      <formula>AND(Y24&lt;&gt;"NA",Y24&gt;$Y$16)</formula>
    </cfRule>
  </conditionalFormatting>
  <conditionalFormatting sqref="N24">
    <cfRule type="expression" priority="13293" stopIfTrue="1">
      <formula>"ISBLANK($K$185)"</formula>
    </cfRule>
    <cfRule type="expression" dxfId="8781" priority="13364">
      <formula>AND(OR(AW24=0,ISBLANK(N24)),B24&lt;&gt;"")</formula>
    </cfRule>
    <cfRule type="expression" dxfId="8780" priority="13365">
      <formula>AND(N24="NA",NOT(ISTEXT(O24)))</formula>
    </cfRule>
    <cfRule type="expression" dxfId="8779" priority="13366">
      <formula>AND(AW24&gt;5,N24="NA")</formula>
    </cfRule>
    <cfRule type="expression" dxfId="8778" priority="13367">
      <formula>AND(AW24&lt;5,N24="NA")</formula>
    </cfRule>
    <cfRule type="expression" dxfId="8777" priority="13368">
      <formula>AND(N24&lt;&gt;"NA",N24&gt;$N$16)</formula>
    </cfRule>
  </conditionalFormatting>
  <conditionalFormatting sqref="O25">
    <cfRule type="expression" priority="13201" stopIfTrue="1">
      <formula>"ISBLANK($K$185)"</formula>
    </cfRule>
    <cfRule type="expression" dxfId="8776" priority="13268">
      <formula>AND(OR(AW25=0,ISBLANK(O25)),B25&lt;&gt;"")</formula>
    </cfRule>
    <cfRule type="expression" dxfId="8775" priority="13269">
      <formula>AND(O25="NA",NOT(ISTEXT(N25)))</formula>
    </cfRule>
    <cfRule type="expression" dxfId="8774" priority="13270">
      <formula>AND(AW25&gt;5,O25="NA")</formula>
    </cfRule>
    <cfRule type="expression" dxfId="8773" priority="13271">
      <formula>AND(AW25&lt;5,O25="NA")</formula>
    </cfRule>
    <cfRule type="expression" dxfId="8772" priority="13272">
      <formula>AND(O25&lt;&gt;"NA",O25&gt;$O$16)</formula>
    </cfRule>
  </conditionalFormatting>
  <conditionalFormatting sqref="P25">
    <cfRule type="expression" priority="13200" stopIfTrue="1">
      <formula>"ISBLANK($K$185)"</formula>
    </cfRule>
    <cfRule type="expression" dxfId="8771" priority="13263">
      <formula>AND(OR(AW25=0,ISBLANK(P25)),B25&lt;&gt;"")</formula>
    </cfRule>
    <cfRule type="expression" dxfId="8770" priority="13264">
      <formula>AND(P25="NA",NOT(ISTEXT(Q25)))</formula>
    </cfRule>
    <cfRule type="expression" dxfId="8769" priority="13265">
      <formula>AND(AW25&gt;5,P25="NA")</formula>
    </cfRule>
    <cfRule type="expression" dxfId="8768" priority="13266">
      <formula>AND(AW25&lt;5,P25="NA")</formula>
    </cfRule>
    <cfRule type="expression" dxfId="8767" priority="13267">
      <formula>AND(P25&lt;&gt;"NA",P25&gt;$P$16)</formula>
    </cfRule>
  </conditionalFormatting>
  <conditionalFormatting sqref="Q25">
    <cfRule type="expression" priority="13199" stopIfTrue="1">
      <formula>"ISBLANK($K$185)"</formula>
    </cfRule>
    <cfRule type="expression" dxfId="8766" priority="13258">
      <formula>AND(OR(AW25=0,ISBLANK(Q25)),B25&lt;&gt;"")</formula>
    </cfRule>
    <cfRule type="expression" dxfId="8765" priority="13259">
      <formula>AND(Q25="NA",NOT(ISTEXT(P25)))</formula>
    </cfRule>
    <cfRule type="expression" dxfId="8764" priority="13260">
      <formula>AND(AW25&gt;5,Q25="NA")</formula>
    </cfRule>
    <cfRule type="expression" dxfId="8763" priority="13261">
      <formula>AND(AW25&lt;5,Q25="NA")</formula>
    </cfRule>
    <cfRule type="expression" dxfId="8762" priority="13262">
      <formula>AND(Q25&lt;&gt;"NA",Q25&gt;$Q$16)</formula>
    </cfRule>
  </conditionalFormatting>
  <conditionalFormatting sqref="R25">
    <cfRule type="expression" priority="13198" stopIfTrue="1">
      <formula>"ISBLANK($K$185)"</formula>
    </cfRule>
    <cfRule type="expression" dxfId="8761" priority="13253">
      <formula>AND(OR(AW25=0,ISBLANK(R25)),B25&lt;&gt;"")</formula>
    </cfRule>
    <cfRule type="expression" dxfId="8760" priority="13254">
      <formula>AND(R25="NA",NOT(ISTEXT(S25)))</formula>
    </cfRule>
    <cfRule type="expression" dxfId="8759" priority="13255">
      <formula>AND(AW25&gt;5,R25="NA")</formula>
    </cfRule>
    <cfRule type="expression" dxfId="8758" priority="13256">
      <formula>AND(AW25&lt;5,R25="NA")</formula>
    </cfRule>
    <cfRule type="expression" dxfId="8757" priority="13257">
      <formula>AND(R25&lt;&gt;"NA",R25&gt;$R$16)</formula>
    </cfRule>
  </conditionalFormatting>
  <conditionalFormatting sqref="S25">
    <cfRule type="expression" priority="13197" stopIfTrue="1">
      <formula>"ISBLANK($K$185)"</formula>
    </cfRule>
    <cfRule type="expression" dxfId="8756" priority="13248">
      <formula>AND(OR(AW25=0,ISBLANK(S25)),B25&lt;&gt;"")</formula>
    </cfRule>
    <cfRule type="expression" dxfId="8755" priority="13249">
      <formula>AND(S25="NA",NOT(ISTEXT(R25)))</formula>
    </cfRule>
    <cfRule type="expression" dxfId="8754" priority="13250">
      <formula>AND(AW25&gt;5,S25="NA")</formula>
    </cfRule>
    <cfRule type="expression" dxfId="8753" priority="13251">
      <formula>AND(AW25&lt;5,S25="NA")</formula>
    </cfRule>
    <cfRule type="expression" dxfId="8752" priority="13252">
      <formula>AND(S25&lt;&gt;"NA",S25&gt;$S$16)</formula>
    </cfRule>
  </conditionalFormatting>
  <conditionalFormatting sqref="T25">
    <cfRule type="expression" priority="13196" stopIfTrue="1">
      <formula>"ISBLANK($K$185)"</formula>
    </cfRule>
    <cfRule type="expression" dxfId="8751" priority="13243">
      <formula>AND(OR(AW25=0,ISBLANK(T25)),B25&lt;&gt;"")</formula>
    </cfRule>
    <cfRule type="expression" dxfId="8750" priority="13244">
      <formula>AND(T25="NA",NOT(ISTEXT(U25)))</formula>
    </cfRule>
    <cfRule type="expression" dxfId="8749" priority="13245">
      <formula>AND(AW25&gt;5,T25="NA")</formula>
    </cfRule>
    <cfRule type="expression" dxfId="8748" priority="13246">
      <formula>AND(AW25&lt;5,T25="NA")</formula>
    </cfRule>
    <cfRule type="expression" dxfId="8747" priority="13247">
      <formula>AND(T25&lt;&gt;"NA",T25&gt;$T$16)</formula>
    </cfRule>
  </conditionalFormatting>
  <conditionalFormatting sqref="U25">
    <cfRule type="expression" priority="13195" stopIfTrue="1">
      <formula>"ISBLANK($K$185)"</formula>
    </cfRule>
    <cfRule type="expression" dxfId="8746" priority="13238">
      <formula>AND(OR(AW25=0,ISBLANK(U25)),B25&lt;&gt;"")</formula>
    </cfRule>
    <cfRule type="expression" dxfId="8745" priority="13239">
      <formula>AND(U25="NA",NOT(ISTEXT(T25)))</formula>
    </cfRule>
    <cfRule type="expression" dxfId="8744" priority="13240">
      <formula>AND(AW25&gt;5,U25="NA")</formula>
    </cfRule>
    <cfRule type="expression" dxfId="8743" priority="13241">
      <formula>AND(AW25&lt;5,U25="NA")</formula>
    </cfRule>
    <cfRule type="expression" dxfId="8742" priority="13242">
      <formula>AND(U25&lt;&gt;"NA",U25&gt;$U$16)</formula>
    </cfRule>
  </conditionalFormatting>
  <conditionalFormatting sqref="V25">
    <cfRule type="expression" priority="13194" stopIfTrue="1">
      <formula>"ISBLANK($K$185)"</formula>
    </cfRule>
    <cfRule type="expression" dxfId="8741" priority="13233">
      <formula>AND(OR(AW25=0,ISBLANK(V25)),B25&lt;&gt;"")</formula>
    </cfRule>
    <cfRule type="expression" dxfId="8740" priority="13234">
      <formula>AND(V25="NA",NOT(ISTEXT(W25)))</formula>
    </cfRule>
    <cfRule type="expression" dxfId="8739" priority="13235">
      <formula>AND(AW25&gt;5,V25="NA")</formula>
    </cfRule>
    <cfRule type="expression" dxfId="8738" priority="13236">
      <formula>AND(AW25&lt;5,V25="NA")</formula>
    </cfRule>
    <cfRule type="expression" dxfId="8737" priority="13237">
      <formula>AND(V25&lt;&gt;"NA",V25&gt;$V$16)</formula>
    </cfRule>
  </conditionalFormatting>
  <conditionalFormatting sqref="W25">
    <cfRule type="expression" priority="13193" stopIfTrue="1">
      <formula>"ISBLANK($K$185)"</formula>
    </cfRule>
    <cfRule type="expression" dxfId="8736" priority="13228">
      <formula>AND(OR(AW25=0,ISBLANK(W25)),B25&lt;&gt;"")</formula>
    </cfRule>
    <cfRule type="expression" dxfId="8735" priority="13229">
      <formula>AND(W25="NA",NOT(ISTEXT(V25)))</formula>
    </cfRule>
    <cfRule type="expression" dxfId="8734" priority="13230">
      <formula>AND(AW25&gt;5,W25="NA")</formula>
    </cfRule>
    <cfRule type="expression" dxfId="8733" priority="13231">
      <formula>AND(AW25&lt;5,W25="NA")</formula>
    </cfRule>
    <cfRule type="expression" dxfId="8732" priority="13232">
      <formula>AND(W25&lt;&gt;"NA",W25&gt;$W$16)</formula>
    </cfRule>
  </conditionalFormatting>
  <conditionalFormatting sqref="X25">
    <cfRule type="expression" priority="13192" stopIfTrue="1">
      <formula>"ISBLANK($K$185)"</formula>
    </cfRule>
    <cfRule type="expression" dxfId="8731" priority="13223">
      <formula>AND(OR(AW25=0,ISBLANK(X25)),B25&lt;&gt;"")</formula>
    </cfRule>
    <cfRule type="expression" dxfId="8730" priority="13224">
      <formula>AND(X25="NA",NOT(ISTEXT(Y25)))</formula>
    </cfRule>
    <cfRule type="expression" dxfId="8729" priority="13225">
      <formula>AND(AW25&gt;5,X25="NA")</formula>
    </cfRule>
    <cfRule type="expression" dxfId="8728" priority="13226">
      <formula>AND(AW25&lt;5,X25="NA")</formula>
    </cfRule>
    <cfRule type="expression" dxfId="8727" priority="13227">
      <formula>AND(X25&lt;&gt;"NA",X25&gt;$Y$16)</formula>
    </cfRule>
  </conditionalFormatting>
  <conditionalFormatting sqref="Y25">
    <cfRule type="expression" priority="13191" stopIfTrue="1">
      <formula>"ISBLANK($K$185)"</formula>
    </cfRule>
    <cfRule type="expression" dxfId="8726" priority="13218">
      <formula>AND(OR(AW25=0,ISBLANK(Y25)),B25&lt;&gt;"")</formula>
    </cfRule>
    <cfRule type="expression" dxfId="8725" priority="13219">
      <formula>AND(Y25="NA",NOT(ISTEXT(X25)))</formula>
    </cfRule>
    <cfRule type="expression" dxfId="8724" priority="13220">
      <formula>AND(AW25&gt;5,Y25="NA")</formula>
    </cfRule>
    <cfRule type="expression" dxfId="8723" priority="13221">
      <formula>AND(AW25&lt;5,Y25="NA")</formula>
    </cfRule>
    <cfRule type="expression" dxfId="8722" priority="13222">
      <formula>AND(Y25&lt;&gt;"NA",Y25&gt;$Y$16)</formula>
    </cfRule>
  </conditionalFormatting>
  <conditionalFormatting sqref="N25">
    <cfRule type="expression" priority="13202" stopIfTrue="1">
      <formula>"ISBLANK($K$185)"</formula>
    </cfRule>
    <cfRule type="expression" dxfId="8721" priority="13273">
      <formula>AND(OR(AW25=0,ISBLANK(N25)),B25&lt;&gt;"")</formula>
    </cfRule>
    <cfRule type="expression" dxfId="8720" priority="13274">
      <formula>AND(N25="NA",NOT(ISTEXT(O25)))</formula>
    </cfRule>
    <cfRule type="expression" dxfId="8719" priority="13275">
      <formula>AND(AW25&gt;5,N25="NA")</formula>
    </cfRule>
    <cfRule type="expression" dxfId="8718" priority="13276">
      <formula>AND(AW25&lt;5,N25="NA")</formula>
    </cfRule>
    <cfRule type="expression" dxfId="8717" priority="13277">
      <formula>AND(N25&lt;&gt;"NA",N25&gt;$N$16)</formula>
    </cfRule>
  </conditionalFormatting>
  <conditionalFormatting sqref="O26">
    <cfRule type="expression" priority="13110" stopIfTrue="1">
      <formula>"ISBLANK($K$185)"</formula>
    </cfRule>
    <cfRule type="expression" dxfId="8716" priority="13177">
      <formula>AND(OR(AW26=0,ISBLANK(O26)),B26&lt;&gt;"")</formula>
    </cfRule>
    <cfRule type="expression" dxfId="8715" priority="13178">
      <formula>AND(O26="NA",NOT(ISTEXT(N26)))</formula>
    </cfRule>
    <cfRule type="expression" dxfId="8714" priority="13179">
      <formula>AND(AW26&gt;5,O26="NA")</formula>
    </cfRule>
    <cfRule type="expression" dxfId="8713" priority="13180">
      <formula>AND(AW26&lt;5,O26="NA")</formula>
    </cfRule>
    <cfRule type="expression" dxfId="8712" priority="13181">
      <formula>AND(O26&lt;&gt;"NA",O26&gt;$O$16)</formula>
    </cfRule>
  </conditionalFormatting>
  <conditionalFormatting sqref="P26">
    <cfRule type="expression" priority="13109" stopIfTrue="1">
      <formula>"ISBLANK($K$185)"</formula>
    </cfRule>
    <cfRule type="expression" dxfId="8711" priority="13172">
      <formula>AND(OR(AW26=0,ISBLANK(P26)),B26&lt;&gt;"")</formula>
    </cfRule>
    <cfRule type="expression" dxfId="8710" priority="13173">
      <formula>AND(P26="NA",NOT(ISTEXT(Q26)))</formula>
    </cfRule>
    <cfRule type="expression" dxfId="8709" priority="13174">
      <formula>AND(AW26&gt;5,P26="NA")</formula>
    </cfRule>
    <cfRule type="expression" dxfId="8708" priority="13175">
      <formula>AND(AW26&lt;5,P26="NA")</formula>
    </cfRule>
    <cfRule type="expression" dxfId="8707" priority="13176">
      <formula>AND(P26&lt;&gt;"NA",P26&gt;$P$16)</formula>
    </cfRule>
  </conditionalFormatting>
  <conditionalFormatting sqref="Q26">
    <cfRule type="expression" priority="13108" stopIfTrue="1">
      <formula>"ISBLANK($K$185)"</formula>
    </cfRule>
    <cfRule type="expression" dxfId="8706" priority="13167">
      <formula>AND(OR(AW26=0,ISBLANK(Q26)),B26&lt;&gt;"")</formula>
    </cfRule>
    <cfRule type="expression" dxfId="8705" priority="13168">
      <formula>AND(Q26="NA",NOT(ISTEXT(P26)))</formula>
    </cfRule>
    <cfRule type="expression" dxfId="8704" priority="13169">
      <formula>AND(AW26&gt;5,Q26="NA")</formula>
    </cfRule>
    <cfRule type="expression" dxfId="8703" priority="13170">
      <formula>AND(AW26&lt;5,Q26="NA")</formula>
    </cfRule>
    <cfRule type="expression" dxfId="8702" priority="13171">
      <formula>AND(Q26&lt;&gt;"NA",Q26&gt;$Q$16)</formula>
    </cfRule>
  </conditionalFormatting>
  <conditionalFormatting sqref="R26">
    <cfRule type="expression" priority="13107" stopIfTrue="1">
      <formula>"ISBLANK($K$185)"</formula>
    </cfRule>
    <cfRule type="expression" dxfId="8701" priority="13162">
      <formula>AND(OR(AW26=0,ISBLANK(R26)),B26&lt;&gt;"")</formula>
    </cfRule>
    <cfRule type="expression" dxfId="8700" priority="13163">
      <formula>AND(R26="NA",NOT(ISTEXT(S26)))</formula>
    </cfRule>
    <cfRule type="expression" dxfId="8699" priority="13164">
      <formula>AND(AW26&gt;5,R26="NA")</formula>
    </cfRule>
    <cfRule type="expression" dxfId="8698" priority="13165">
      <formula>AND(AW26&lt;5,R26="NA")</formula>
    </cfRule>
    <cfRule type="expression" dxfId="8697" priority="13166">
      <formula>AND(R26&lt;&gt;"NA",R26&gt;$R$16)</formula>
    </cfRule>
  </conditionalFormatting>
  <conditionalFormatting sqref="S26">
    <cfRule type="expression" priority="13106" stopIfTrue="1">
      <formula>"ISBLANK($K$185)"</formula>
    </cfRule>
    <cfRule type="expression" dxfId="8696" priority="13157">
      <formula>AND(OR(AW26=0,ISBLANK(S26)),B26&lt;&gt;"")</formula>
    </cfRule>
    <cfRule type="expression" dxfId="8695" priority="13158">
      <formula>AND(S26="NA",NOT(ISTEXT(R26)))</formula>
    </cfRule>
    <cfRule type="expression" dxfId="8694" priority="13159">
      <formula>AND(AW26&gt;5,S26="NA")</formula>
    </cfRule>
    <cfRule type="expression" dxfId="8693" priority="13160">
      <formula>AND(AW26&lt;5,S26="NA")</formula>
    </cfRule>
    <cfRule type="expression" dxfId="8692" priority="13161">
      <formula>AND(S26&lt;&gt;"NA",S26&gt;$S$16)</formula>
    </cfRule>
  </conditionalFormatting>
  <conditionalFormatting sqref="T26">
    <cfRule type="expression" priority="13105" stopIfTrue="1">
      <formula>"ISBLANK($K$185)"</formula>
    </cfRule>
    <cfRule type="expression" dxfId="8691" priority="13152">
      <formula>AND(OR(AW26=0,ISBLANK(T26)),B26&lt;&gt;"")</formula>
    </cfRule>
    <cfRule type="expression" dxfId="8690" priority="13153">
      <formula>AND(T26="NA",NOT(ISTEXT(U26)))</formula>
    </cfRule>
    <cfRule type="expression" dxfId="8689" priority="13154">
      <formula>AND(AW26&gt;5,T26="NA")</formula>
    </cfRule>
    <cfRule type="expression" dxfId="8688" priority="13155">
      <formula>AND(AW26&lt;5,T26="NA")</formula>
    </cfRule>
    <cfRule type="expression" dxfId="8687" priority="13156">
      <formula>AND(T26&lt;&gt;"NA",T26&gt;$T$16)</formula>
    </cfRule>
  </conditionalFormatting>
  <conditionalFormatting sqref="U26">
    <cfRule type="expression" priority="13104" stopIfTrue="1">
      <formula>"ISBLANK($K$185)"</formula>
    </cfRule>
    <cfRule type="expression" dxfId="8686" priority="13147">
      <formula>AND(OR(AW26=0,ISBLANK(U26)),B26&lt;&gt;"")</formula>
    </cfRule>
    <cfRule type="expression" dxfId="8685" priority="13148">
      <formula>AND(U26="NA",NOT(ISTEXT(T26)))</formula>
    </cfRule>
    <cfRule type="expression" dxfId="8684" priority="13149">
      <formula>AND(AW26&gt;5,U26="NA")</formula>
    </cfRule>
    <cfRule type="expression" dxfId="8683" priority="13150">
      <formula>AND(AW26&lt;5,U26="NA")</formula>
    </cfRule>
    <cfRule type="expression" dxfId="8682" priority="13151">
      <formula>AND(U26&lt;&gt;"NA",U26&gt;$U$16)</formula>
    </cfRule>
  </conditionalFormatting>
  <conditionalFormatting sqref="V26">
    <cfRule type="expression" priority="13103" stopIfTrue="1">
      <formula>"ISBLANK($K$185)"</formula>
    </cfRule>
    <cfRule type="expression" dxfId="8681" priority="13142">
      <formula>AND(OR(AW26=0,ISBLANK(V26)),B26&lt;&gt;"")</formula>
    </cfRule>
    <cfRule type="expression" dxfId="8680" priority="13143">
      <formula>AND(V26="NA",NOT(ISTEXT(W26)))</formula>
    </cfRule>
    <cfRule type="expression" dxfId="8679" priority="13144">
      <formula>AND(AW26&gt;5,V26="NA")</formula>
    </cfRule>
    <cfRule type="expression" dxfId="8678" priority="13145">
      <formula>AND(AW26&lt;5,V26="NA")</formula>
    </cfRule>
    <cfRule type="expression" dxfId="8677" priority="13146">
      <formula>AND(V26&lt;&gt;"NA",V26&gt;$V$16)</formula>
    </cfRule>
  </conditionalFormatting>
  <conditionalFormatting sqref="W26">
    <cfRule type="expression" priority="13102" stopIfTrue="1">
      <formula>"ISBLANK($K$185)"</formula>
    </cfRule>
    <cfRule type="expression" dxfId="8676" priority="13137">
      <formula>AND(OR(AW26=0,ISBLANK(W26)),B26&lt;&gt;"")</formula>
    </cfRule>
    <cfRule type="expression" dxfId="8675" priority="13138">
      <formula>AND(W26="NA",NOT(ISTEXT(V26)))</formula>
    </cfRule>
    <cfRule type="expression" dxfId="8674" priority="13139">
      <formula>AND(AW26&gt;5,W26="NA")</formula>
    </cfRule>
    <cfRule type="expression" dxfId="8673" priority="13140">
      <formula>AND(AW26&lt;5,W26="NA")</formula>
    </cfRule>
    <cfRule type="expression" dxfId="8672" priority="13141">
      <formula>AND(W26&lt;&gt;"NA",W26&gt;$W$16)</formula>
    </cfRule>
  </conditionalFormatting>
  <conditionalFormatting sqref="X26">
    <cfRule type="expression" priority="13101" stopIfTrue="1">
      <formula>"ISBLANK($K$185)"</formula>
    </cfRule>
    <cfRule type="expression" dxfId="8671" priority="13132">
      <formula>AND(OR(AW26=0,ISBLANK(X26)),B26&lt;&gt;"")</formula>
    </cfRule>
    <cfRule type="expression" dxfId="8670" priority="13133">
      <formula>AND(X26="NA",NOT(ISTEXT(Y26)))</formula>
    </cfRule>
    <cfRule type="expression" dxfId="8669" priority="13134">
      <formula>AND(AW26&gt;5,X26="NA")</formula>
    </cfRule>
    <cfRule type="expression" dxfId="8668" priority="13135">
      <formula>AND(AW26&lt;5,X26="NA")</formula>
    </cfRule>
    <cfRule type="expression" dxfId="8667" priority="13136">
      <formula>AND(X26&lt;&gt;"NA",X26&gt;$Y$16)</formula>
    </cfRule>
  </conditionalFormatting>
  <conditionalFormatting sqref="Y26">
    <cfRule type="expression" priority="13100" stopIfTrue="1">
      <formula>"ISBLANK($K$185)"</formula>
    </cfRule>
    <cfRule type="expression" dxfId="8666" priority="13127">
      <formula>AND(OR(AW26=0,ISBLANK(Y26)),B26&lt;&gt;"")</formula>
    </cfRule>
    <cfRule type="expression" dxfId="8665" priority="13128">
      <formula>AND(Y26="NA",NOT(ISTEXT(X26)))</formula>
    </cfRule>
    <cfRule type="expression" dxfId="8664" priority="13129">
      <formula>AND(AW26&gt;5,Y26="NA")</formula>
    </cfRule>
    <cfRule type="expression" dxfId="8663" priority="13130">
      <formula>AND(AW26&lt;5,Y26="NA")</formula>
    </cfRule>
    <cfRule type="expression" dxfId="8662" priority="13131">
      <formula>AND(Y26&lt;&gt;"NA",Y26&gt;$Y$16)</formula>
    </cfRule>
  </conditionalFormatting>
  <conditionalFormatting sqref="N26">
    <cfRule type="expression" priority="13111" stopIfTrue="1">
      <formula>"ISBLANK($K$185)"</formula>
    </cfRule>
    <cfRule type="expression" dxfId="8661" priority="13182">
      <formula>AND(OR(AW26=0,ISBLANK(N26)),B26&lt;&gt;"")</formula>
    </cfRule>
    <cfRule type="expression" dxfId="8660" priority="13183">
      <formula>AND(N26="NA",NOT(ISTEXT(O26)))</formula>
    </cfRule>
    <cfRule type="expression" dxfId="8659" priority="13184">
      <formula>AND(AW26&gt;5,N26="NA")</formula>
    </cfRule>
    <cfRule type="expression" dxfId="8658" priority="13185">
      <formula>AND(AW26&lt;5,N26="NA")</formula>
    </cfRule>
    <cfRule type="expression" dxfId="8657" priority="13186">
      <formula>AND(N26&lt;&gt;"NA",N26&gt;$N$16)</formula>
    </cfRule>
  </conditionalFormatting>
  <conditionalFormatting sqref="O27">
    <cfRule type="expression" priority="13019" stopIfTrue="1">
      <formula>"ISBLANK($K$185)"</formula>
    </cfRule>
    <cfRule type="expression" dxfId="8656" priority="13086">
      <formula>AND(OR(AW27=0,ISBLANK(O27)),B27&lt;&gt;"")</formula>
    </cfRule>
    <cfRule type="expression" dxfId="8655" priority="13087">
      <formula>AND(O27="NA",NOT(ISTEXT(N27)))</formula>
    </cfRule>
    <cfRule type="expression" dxfId="8654" priority="13088">
      <formula>AND(AW27&gt;5,O27="NA")</formula>
    </cfRule>
    <cfRule type="expression" dxfId="8653" priority="13089">
      <formula>AND(AW27&lt;5,O27="NA")</formula>
    </cfRule>
    <cfRule type="expression" dxfId="8652" priority="13090">
      <formula>AND(O27&lt;&gt;"NA",O27&gt;$O$16)</formula>
    </cfRule>
  </conditionalFormatting>
  <conditionalFormatting sqref="P27">
    <cfRule type="expression" priority="13018" stopIfTrue="1">
      <formula>"ISBLANK($K$185)"</formula>
    </cfRule>
    <cfRule type="expression" dxfId="8651" priority="13081">
      <formula>AND(OR(AW27=0,ISBLANK(P27)),B27&lt;&gt;"")</formula>
    </cfRule>
    <cfRule type="expression" dxfId="8650" priority="13082">
      <formula>AND(P27="NA",NOT(ISTEXT(Q27)))</formula>
    </cfRule>
    <cfRule type="expression" dxfId="8649" priority="13083">
      <formula>AND(AW27&gt;5,P27="NA")</formula>
    </cfRule>
    <cfRule type="expression" dxfId="8648" priority="13084">
      <formula>AND(AW27&lt;5,P27="NA")</formula>
    </cfRule>
    <cfRule type="expression" dxfId="8647" priority="13085">
      <formula>AND(P27&lt;&gt;"NA",P27&gt;$P$16)</formula>
    </cfRule>
  </conditionalFormatting>
  <conditionalFormatting sqref="Q27">
    <cfRule type="expression" priority="13017" stopIfTrue="1">
      <formula>"ISBLANK($K$185)"</formula>
    </cfRule>
    <cfRule type="expression" dxfId="8646" priority="13076">
      <formula>AND(OR(AW27=0,ISBLANK(Q27)),B27&lt;&gt;"")</formula>
    </cfRule>
    <cfRule type="expression" dxfId="8645" priority="13077">
      <formula>AND(Q27="NA",NOT(ISTEXT(P27)))</formula>
    </cfRule>
    <cfRule type="expression" dxfId="8644" priority="13078">
      <formula>AND(AW27&gt;5,Q27="NA")</formula>
    </cfRule>
    <cfRule type="expression" dxfId="8643" priority="13079">
      <formula>AND(AW27&lt;5,Q27="NA")</formula>
    </cfRule>
    <cfRule type="expression" dxfId="8642" priority="13080">
      <formula>AND(Q27&lt;&gt;"NA",Q27&gt;$Q$16)</formula>
    </cfRule>
  </conditionalFormatting>
  <conditionalFormatting sqref="R27">
    <cfRule type="expression" priority="13016" stopIfTrue="1">
      <formula>"ISBLANK($K$185)"</formula>
    </cfRule>
    <cfRule type="expression" dxfId="8641" priority="13071">
      <formula>AND(OR(AW27=0,ISBLANK(R27)),B27&lt;&gt;"")</formula>
    </cfRule>
    <cfRule type="expression" dxfId="8640" priority="13072">
      <formula>AND(R27="NA",NOT(ISTEXT(S27)))</formula>
    </cfRule>
    <cfRule type="expression" dxfId="8639" priority="13073">
      <formula>AND(AW27&gt;5,R27="NA")</formula>
    </cfRule>
    <cfRule type="expression" dxfId="8638" priority="13074">
      <formula>AND(AW27&lt;5,R27="NA")</formula>
    </cfRule>
    <cfRule type="expression" dxfId="8637" priority="13075">
      <formula>AND(R27&lt;&gt;"NA",R27&gt;$R$16)</formula>
    </cfRule>
  </conditionalFormatting>
  <conditionalFormatting sqref="S27">
    <cfRule type="expression" priority="13015" stopIfTrue="1">
      <formula>"ISBLANK($K$185)"</formula>
    </cfRule>
    <cfRule type="expression" dxfId="8636" priority="13066">
      <formula>AND(OR(AW27=0,ISBLANK(S27)),B27&lt;&gt;"")</formula>
    </cfRule>
    <cfRule type="expression" dxfId="8635" priority="13067">
      <formula>AND(S27="NA",NOT(ISTEXT(R27)))</formula>
    </cfRule>
    <cfRule type="expression" dxfId="8634" priority="13068">
      <formula>AND(AW27&gt;5,S27="NA")</formula>
    </cfRule>
    <cfRule type="expression" dxfId="8633" priority="13069">
      <formula>AND(AW27&lt;5,S27="NA")</formula>
    </cfRule>
    <cfRule type="expression" dxfId="8632" priority="13070">
      <formula>AND(S27&lt;&gt;"NA",S27&gt;$S$16)</formula>
    </cfRule>
  </conditionalFormatting>
  <conditionalFormatting sqref="T27">
    <cfRule type="expression" priority="13014" stopIfTrue="1">
      <formula>"ISBLANK($K$185)"</formula>
    </cfRule>
    <cfRule type="expression" dxfId="8631" priority="13061">
      <formula>AND(OR(AW27=0,ISBLANK(T27)),B27&lt;&gt;"")</formula>
    </cfRule>
    <cfRule type="expression" dxfId="8630" priority="13062">
      <formula>AND(T27="NA",NOT(ISTEXT(U27)))</formula>
    </cfRule>
    <cfRule type="expression" dxfId="8629" priority="13063">
      <formula>AND(AW27&gt;5,T27="NA")</formula>
    </cfRule>
    <cfRule type="expression" dxfId="8628" priority="13064">
      <formula>AND(AW27&lt;5,T27="NA")</formula>
    </cfRule>
    <cfRule type="expression" dxfId="8627" priority="13065">
      <formula>AND(T27&lt;&gt;"NA",T27&gt;$T$16)</formula>
    </cfRule>
  </conditionalFormatting>
  <conditionalFormatting sqref="U27">
    <cfRule type="expression" priority="13013" stopIfTrue="1">
      <formula>"ISBLANK($K$185)"</formula>
    </cfRule>
    <cfRule type="expression" dxfId="8626" priority="13056">
      <formula>AND(OR(AW27=0,ISBLANK(U27)),B27&lt;&gt;"")</formula>
    </cfRule>
    <cfRule type="expression" dxfId="8625" priority="13057">
      <formula>AND(U27="NA",NOT(ISTEXT(T27)))</formula>
    </cfRule>
    <cfRule type="expression" dxfId="8624" priority="13058">
      <formula>AND(AW27&gt;5,U27="NA")</formula>
    </cfRule>
    <cfRule type="expression" dxfId="8623" priority="13059">
      <formula>AND(AW27&lt;5,U27="NA")</formula>
    </cfRule>
    <cfRule type="expression" dxfId="8622" priority="13060">
      <formula>AND(U27&lt;&gt;"NA",U27&gt;$U$16)</formula>
    </cfRule>
  </conditionalFormatting>
  <conditionalFormatting sqref="V27">
    <cfRule type="expression" priority="13012" stopIfTrue="1">
      <formula>"ISBLANK($K$185)"</formula>
    </cfRule>
    <cfRule type="expression" dxfId="8621" priority="13051">
      <formula>AND(OR(AW27=0,ISBLANK(V27)),B27&lt;&gt;"")</formula>
    </cfRule>
    <cfRule type="expression" dxfId="8620" priority="13052">
      <formula>AND(V27="NA",NOT(ISTEXT(W27)))</formula>
    </cfRule>
    <cfRule type="expression" dxfId="8619" priority="13053">
      <formula>AND(AW27&gt;5,V27="NA")</formula>
    </cfRule>
    <cfRule type="expression" dxfId="8618" priority="13054">
      <formula>AND(AW27&lt;5,V27="NA")</formula>
    </cfRule>
    <cfRule type="expression" dxfId="8617" priority="13055">
      <formula>AND(V27&lt;&gt;"NA",V27&gt;$V$16)</formula>
    </cfRule>
  </conditionalFormatting>
  <conditionalFormatting sqref="W27">
    <cfRule type="expression" priority="13011" stopIfTrue="1">
      <formula>"ISBLANK($K$185)"</formula>
    </cfRule>
    <cfRule type="expression" dxfId="8616" priority="13046">
      <formula>AND(OR(AW27=0,ISBLANK(W27)),B27&lt;&gt;"")</formula>
    </cfRule>
    <cfRule type="expression" dxfId="8615" priority="13047">
      <formula>AND(W27="NA",NOT(ISTEXT(V27)))</formula>
    </cfRule>
    <cfRule type="expression" dxfId="8614" priority="13048">
      <formula>AND(AW27&gt;5,W27="NA")</formula>
    </cfRule>
    <cfRule type="expression" dxfId="8613" priority="13049">
      <formula>AND(AW27&lt;5,W27="NA")</formula>
    </cfRule>
    <cfRule type="expression" dxfId="8612" priority="13050">
      <formula>AND(W27&lt;&gt;"NA",W27&gt;$W$16)</formula>
    </cfRule>
  </conditionalFormatting>
  <conditionalFormatting sqref="X27">
    <cfRule type="expression" priority="13010" stopIfTrue="1">
      <formula>"ISBLANK($K$185)"</formula>
    </cfRule>
    <cfRule type="expression" dxfId="8611" priority="13041">
      <formula>AND(OR(AW27=0,ISBLANK(X27)),B27&lt;&gt;"")</formula>
    </cfRule>
    <cfRule type="expression" dxfId="8610" priority="13042">
      <formula>AND(X27="NA",NOT(ISTEXT(Y27)))</formula>
    </cfRule>
    <cfRule type="expression" dxfId="8609" priority="13043">
      <formula>AND(AW27&gt;5,X27="NA")</formula>
    </cfRule>
    <cfRule type="expression" dxfId="8608" priority="13044">
      <formula>AND(AW27&lt;5,X27="NA")</formula>
    </cfRule>
    <cfRule type="expression" dxfId="8607" priority="13045">
      <formula>AND(X27&lt;&gt;"NA",X27&gt;$Y$16)</formula>
    </cfRule>
  </conditionalFormatting>
  <conditionalFormatting sqref="Y27">
    <cfRule type="expression" priority="13009" stopIfTrue="1">
      <formula>"ISBLANK($K$185)"</formula>
    </cfRule>
    <cfRule type="expression" dxfId="8606" priority="13036">
      <formula>AND(OR(AW27=0,ISBLANK(Y27)),B27&lt;&gt;"")</formula>
    </cfRule>
    <cfRule type="expression" dxfId="8605" priority="13037">
      <formula>AND(Y27="NA",NOT(ISTEXT(X27)))</formula>
    </cfRule>
    <cfRule type="expression" dxfId="8604" priority="13038">
      <formula>AND(AW27&gt;5,Y27="NA")</formula>
    </cfRule>
    <cfRule type="expression" dxfId="8603" priority="13039">
      <formula>AND(AW27&lt;5,Y27="NA")</formula>
    </cfRule>
    <cfRule type="expression" dxfId="8602" priority="13040">
      <formula>AND(Y27&lt;&gt;"NA",Y27&gt;$Y$16)</formula>
    </cfRule>
  </conditionalFormatting>
  <conditionalFormatting sqref="N27">
    <cfRule type="expression" priority="13020" stopIfTrue="1">
      <formula>"ISBLANK($K$185)"</formula>
    </cfRule>
    <cfRule type="expression" dxfId="8601" priority="13091">
      <formula>AND(OR(AW27=0,ISBLANK(N27)),B27&lt;&gt;"")</formula>
    </cfRule>
    <cfRule type="expression" dxfId="8600" priority="13092">
      <formula>AND(N27="NA",NOT(ISTEXT(O27)))</formula>
    </cfRule>
    <cfRule type="expression" dxfId="8599" priority="13093">
      <formula>AND(AW27&gt;5,N27="NA")</formula>
    </cfRule>
    <cfRule type="expression" dxfId="8598" priority="13094">
      <formula>AND(AW27&lt;5,N27="NA")</formula>
    </cfRule>
    <cfRule type="expression" dxfId="8597" priority="13095">
      <formula>AND(N27&lt;&gt;"NA",N27&gt;$N$16)</formula>
    </cfRule>
  </conditionalFormatting>
  <conditionalFormatting sqref="O28">
    <cfRule type="expression" priority="12928" stopIfTrue="1">
      <formula>"ISBLANK($K$185)"</formula>
    </cfRule>
    <cfRule type="expression" dxfId="8596" priority="12995">
      <formula>AND(OR(AW28=0,ISBLANK(O28)),B28&lt;&gt;"")</formula>
    </cfRule>
    <cfRule type="expression" dxfId="8595" priority="12996">
      <formula>AND(O28="NA",NOT(ISTEXT(N28)))</formula>
    </cfRule>
    <cfRule type="expression" dxfId="8594" priority="12997">
      <formula>AND(AW28&gt;5,O28="NA")</formula>
    </cfRule>
    <cfRule type="expression" dxfId="8593" priority="12998">
      <formula>AND(AW28&lt;5,O28="NA")</formula>
    </cfRule>
    <cfRule type="expression" dxfId="8592" priority="12999">
      <formula>AND(O28&lt;&gt;"NA",O28&gt;$O$16)</formula>
    </cfRule>
  </conditionalFormatting>
  <conditionalFormatting sqref="P28">
    <cfRule type="expression" priority="12927" stopIfTrue="1">
      <formula>"ISBLANK($K$185)"</formula>
    </cfRule>
    <cfRule type="expression" dxfId="8591" priority="12990">
      <formula>AND(OR(AW28=0,ISBLANK(P28)),B28&lt;&gt;"")</formula>
    </cfRule>
    <cfRule type="expression" dxfId="8590" priority="12991">
      <formula>AND(P28="NA",NOT(ISTEXT(Q28)))</formula>
    </cfRule>
    <cfRule type="expression" dxfId="8589" priority="12992">
      <formula>AND(AW28&gt;5,P28="NA")</formula>
    </cfRule>
    <cfRule type="expression" dxfId="8588" priority="12993">
      <formula>AND(AW28&lt;5,P28="NA")</formula>
    </cfRule>
    <cfRule type="expression" dxfId="8587" priority="12994">
      <formula>AND(P28&lt;&gt;"NA",P28&gt;$P$16)</formula>
    </cfRule>
  </conditionalFormatting>
  <conditionalFormatting sqref="Q28">
    <cfRule type="expression" priority="12926" stopIfTrue="1">
      <formula>"ISBLANK($K$185)"</formula>
    </cfRule>
    <cfRule type="expression" dxfId="8586" priority="12985">
      <formula>AND(OR(AW28=0,ISBLANK(Q28)),B28&lt;&gt;"")</formula>
    </cfRule>
    <cfRule type="expression" dxfId="8585" priority="12986">
      <formula>AND(Q28="NA",NOT(ISTEXT(P28)))</formula>
    </cfRule>
    <cfRule type="expression" dxfId="8584" priority="12987">
      <formula>AND(AW28&gt;5,Q28="NA")</formula>
    </cfRule>
    <cfRule type="expression" dxfId="8583" priority="12988">
      <formula>AND(AW28&lt;5,Q28="NA")</formula>
    </cfRule>
    <cfRule type="expression" dxfId="8582" priority="12989">
      <formula>AND(Q28&lt;&gt;"NA",Q28&gt;$Q$16)</formula>
    </cfRule>
  </conditionalFormatting>
  <conditionalFormatting sqref="R28">
    <cfRule type="expression" priority="12925" stopIfTrue="1">
      <formula>"ISBLANK($K$185)"</formula>
    </cfRule>
    <cfRule type="expression" dxfId="8581" priority="12980">
      <formula>AND(OR(AW28=0,ISBLANK(R28)),B28&lt;&gt;"")</formula>
    </cfRule>
    <cfRule type="expression" dxfId="8580" priority="12981">
      <formula>AND(R28="NA",NOT(ISTEXT(S28)))</formula>
    </cfRule>
    <cfRule type="expression" dxfId="8579" priority="12982">
      <formula>AND(AW28&gt;5,R28="NA")</formula>
    </cfRule>
    <cfRule type="expression" dxfId="8578" priority="12983">
      <formula>AND(AW28&lt;5,R28="NA")</formula>
    </cfRule>
    <cfRule type="expression" dxfId="8577" priority="12984">
      <formula>AND(R28&lt;&gt;"NA",R28&gt;$R$16)</formula>
    </cfRule>
  </conditionalFormatting>
  <conditionalFormatting sqref="S28">
    <cfRule type="expression" priority="12924" stopIfTrue="1">
      <formula>"ISBLANK($K$185)"</formula>
    </cfRule>
    <cfRule type="expression" dxfId="8576" priority="12975">
      <formula>AND(OR(AW28=0,ISBLANK(S28)),B28&lt;&gt;"")</formula>
    </cfRule>
    <cfRule type="expression" dxfId="8575" priority="12976">
      <formula>AND(S28="NA",NOT(ISTEXT(R28)))</formula>
    </cfRule>
    <cfRule type="expression" dxfId="8574" priority="12977">
      <formula>AND(AW28&gt;5,S28="NA")</formula>
    </cfRule>
    <cfRule type="expression" dxfId="8573" priority="12978">
      <formula>AND(AW28&lt;5,S28="NA")</formula>
    </cfRule>
    <cfRule type="expression" dxfId="8572" priority="12979">
      <formula>AND(S28&lt;&gt;"NA",S28&gt;$S$16)</formula>
    </cfRule>
  </conditionalFormatting>
  <conditionalFormatting sqref="T28">
    <cfRule type="expression" priority="12923" stopIfTrue="1">
      <formula>"ISBLANK($K$185)"</formula>
    </cfRule>
    <cfRule type="expression" dxfId="8571" priority="12970">
      <formula>AND(OR(AW28=0,ISBLANK(T28)),B28&lt;&gt;"")</formula>
    </cfRule>
    <cfRule type="expression" dxfId="8570" priority="12971">
      <formula>AND(T28="NA",NOT(ISTEXT(U28)))</formula>
    </cfRule>
    <cfRule type="expression" dxfId="8569" priority="12972">
      <formula>AND(AW28&gt;5,T28="NA")</formula>
    </cfRule>
    <cfRule type="expression" dxfId="8568" priority="12973">
      <formula>AND(AW28&lt;5,T28="NA")</formula>
    </cfRule>
    <cfRule type="expression" dxfId="8567" priority="12974">
      <formula>AND(T28&lt;&gt;"NA",T28&gt;$T$16)</formula>
    </cfRule>
  </conditionalFormatting>
  <conditionalFormatting sqref="U28">
    <cfRule type="expression" priority="12922" stopIfTrue="1">
      <formula>"ISBLANK($K$185)"</formula>
    </cfRule>
    <cfRule type="expression" dxfId="8566" priority="12965">
      <formula>AND(OR(AW28=0,ISBLANK(U28)),B28&lt;&gt;"")</formula>
    </cfRule>
    <cfRule type="expression" dxfId="8565" priority="12966">
      <formula>AND(U28="NA",NOT(ISTEXT(T28)))</formula>
    </cfRule>
    <cfRule type="expression" dxfId="8564" priority="12967">
      <formula>AND(AW28&gt;5,U28="NA")</formula>
    </cfRule>
    <cfRule type="expression" dxfId="8563" priority="12968">
      <formula>AND(AW28&lt;5,U28="NA")</formula>
    </cfRule>
    <cfRule type="expression" dxfId="8562" priority="12969">
      <formula>AND(U28&lt;&gt;"NA",U28&gt;$U$16)</formula>
    </cfRule>
  </conditionalFormatting>
  <conditionalFormatting sqref="V28">
    <cfRule type="expression" priority="12921" stopIfTrue="1">
      <formula>"ISBLANK($K$185)"</formula>
    </cfRule>
    <cfRule type="expression" dxfId="8561" priority="12960">
      <formula>AND(OR(AW28=0,ISBLANK(V28)),B28&lt;&gt;"")</formula>
    </cfRule>
    <cfRule type="expression" dxfId="8560" priority="12961">
      <formula>AND(V28="NA",NOT(ISTEXT(W28)))</formula>
    </cfRule>
    <cfRule type="expression" dxfId="8559" priority="12962">
      <formula>AND(AW28&gt;5,V28="NA")</formula>
    </cfRule>
    <cfRule type="expression" dxfId="8558" priority="12963">
      <formula>AND(AW28&lt;5,V28="NA")</formula>
    </cfRule>
    <cfRule type="expression" dxfId="8557" priority="12964">
      <formula>AND(V28&lt;&gt;"NA",V28&gt;$V$16)</formula>
    </cfRule>
  </conditionalFormatting>
  <conditionalFormatting sqref="W28">
    <cfRule type="expression" priority="12920" stopIfTrue="1">
      <formula>"ISBLANK($K$185)"</formula>
    </cfRule>
    <cfRule type="expression" dxfId="8556" priority="12955">
      <formula>AND(OR(AW28=0,ISBLANK(W28)),B28&lt;&gt;"")</formula>
    </cfRule>
    <cfRule type="expression" dxfId="8555" priority="12956">
      <formula>AND(W28="NA",NOT(ISTEXT(V28)))</formula>
    </cfRule>
    <cfRule type="expression" dxfId="8554" priority="12957">
      <formula>AND(AW28&gt;5,W28="NA")</formula>
    </cfRule>
    <cfRule type="expression" dxfId="8553" priority="12958">
      <formula>AND(AW28&lt;5,W28="NA")</formula>
    </cfRule>
    <cfRule type="expression" dxfId="8552" priority="12959">
      <formula>AND(W28&lt;&gt;"NA",W28&gt;$W$16)</formula>
    </cfRule>
  </conditionalFormatting>
  <conditionalFormatting sqref="X28">
    <cfRule type="expression" priority="12919" stopIfTrue="1">
      <formula>"ISBLANK($K$185)"</formula>
    </cfRule>
    <cfRule type="expression" dxfId="8551" priority="12950">
      <formula>AND(OR(AW28=0,ISBLANK(X28)),B28&lt;&gt;"")</formula>
    </cfRule>
    <cfRule type="expression" dxfId="8550" priority="12951">
      <formula>AND(X28="NA",NOT(ISTEXT(Y28)))</formula>
    </cfRule>
    <cfRule type="expression" dxfId="8549" priority="12952">
      <formula>AND(AW28&gt;5,X28="NA")</formula>
    </cfRule>
    <cfRule type="expression" dxfId="8548" priority="12953">
      <formula>AND(AW28&lt;5,X28="NA")</formula>
    </cfRule>
    <cfRule type="expression" dxfId="8547" priority="12954">
      <formula>AND(X28&lt;&gt;"NA",X28&gt;$Y$16)</formula>
    </cfRule>
  </conditionalFormatting>
  <conditionalFormatting sqref="Y28">
    <cfRule type="expression" priority="12918" stopIfTrue="1">
      <formula>"ISBLANK($K$185)"</formula>
    </cfRule>
    <cfRule type="expression" dxfId="8546" priority="12945">
      <formula>AND(OR(AW28=0,ISBLANK(Y28)),B28&lt;&gt;"")</formula>
    </cfRule>
    <cfRule type="expression" dxfId="8545" priority="12946">
      <formula>AND(Y28="NA",NOT(ISTEXT(X28)))</formula>
    </cfRule>
    <cfRule type="expression" dxfId="8544" priority="12947">
      <formula>AND(AW28&gt;5,Y28="NA")</formula>
    </cfRule>
    <cfRule type="expression" dxfId="8543" priority="12948">
      <formula>AND(AW28&lt;5,Y28="NA")</formula>
    </cfRule>
    <cfRule type="expression" dxfId="8542" priority="12949">
      <formula>AND(Y28&lt;&gt;"NA",Y28&gt;$Y$16)</formula>
    </cfRule>
  </conditionalFormatting>
  <conditionalFormatting sqref="N28">
    <cfRule type="expression" priority="12929" stopIfTrue="1">
      <formula>"ISBLANK($K$185)"</formula>
    </cfRule>
    <cfRule type="expression" dxfId="8541" priority="13000">
      <formula>AND(OR(AW28=0,ISBLANK(N28)),B28&lt;&gt;"")</formula>
    </cfRule>
    <cfRule type="expression" dxfId="8540" priority="13001">
      <formula>AND(N28="NA",NOT(ISTEXT(O28)))</formula>
    </cfRule>
    <cfRule type="expression" dxfId="8539" priority="13002">
      <formula>AND(AW28&gt;5,N28="NA")</formula>
    </cfRule>
    <cfRule type="expression" dxfId="8538" priority="13003">
      <formula>AND(AW28&lt;5,N28="NA")</formula>
    </cfRule>
    <cfRule type="expression" dxfId="8537" priority="13004">
      <formula>AND(N28&lt;&gt;"NA",N28&gt;$N$16)</formula>
    </cfRule>
  </conditionalFormatting>
  <conditionalFormatting sqref="O29">
    <cfRule type="expression" priority="12837" stopIfTrue="1">
      <formula>"ISBLANK($K$185)"</formula>
    </cfRule>
    <cfRule type="expression" dxfId="8536" priority="12904">
      <formula>AND(OR(AW29=0,ISBLANK(O29)),B29&lt;&gt;"")</formula>
    </cfRule>
    <cfRule type="expression" dxfId="8535" priority="12905">
      <formula>AND(O29="NA",NOT(ISTEXT(N29)))</formula>
    </cfRule>
    <cfRule type="expression" dxfId="8534" priority="12906">
      <formula>AND(AW29&gt;5,O29="NA")</formula>
    </cfRule>
    <cfRule type="expression" dxfId="8533" priority="12907">
      <formula>AND(AW29&lt;5,O29="NA")</formula>
    </cfRule>
    <cfRule type="expression" dxfId="8532" priority="12908">
      <formula>AND(O29&lt;&gt;"NA",O29&gt;$O$16)</formula>
    </cfRule>
  </conditionalFormatting>
  <conditionalFormatting sqref="P29">
    <cfRule type="expression" priority="12836" stopIfTrue="1">
      <formula>"ISBLANK($K$185)"</formula>
    </cfRule>
    <cfRule type="expression" dxfId="8531" priority="12899">
      <formula>AND(OR(AW29=0,ISBLANK(P29)),B29&lt;&gt;"")</formula>
    </cfRule>
    <cfRule type="expression" dxfId="8530" priority="12900">
      <formula>AND(P29="NA",NOT(ISTEXT(Q29)))</formula>
    </cfRule>
    <cfRule type="expression" dxfId="8529" priority="12901">
      <formula>AND(AW29&gt;5,P29="NA")</formula>
    </cfRule>
    <cfRule type="expression" dxfId="8528" priority="12902">
      <formula>AND(AW29&lt;5,P29="NA")</formula>
    </cfRule>
    <cfRule type="expression" dxfId="8527" priority="12903">
      <formula>AND(P29&lt;&gt;"NA",P29&gt;$P$16)</formula>
    </cfRule>
  </conditionalFormatting>
  <conditionalFormatting sqref="Q29">
    <cfRule type="expression" priority="12835" stopIfTrue="1">
      <formula>"ISBLANK($K$185)"</formula>
    </cfRule>
    <cfRule type="expression" dxfId="8526" priority="12894">
      <formula>AND(OR(AW29=0,ISBLANK(Q29)),B29&lt;&gt;"")</formula>
    </cfRule>
    <cfRule type="expression" dxfId="8525" priority="12895">
      <formula>AND(Q29="NA",NOT(ISTEXT(P29)))</formula>
    </cfRule>
    <cfRule type="expression" dxfId="8524" priority="12896">
      <formula>AND(AW29&gt;5,Q29="NA")</formula>
    </cfRule>
    <cfRule type="expression" dxfId="8523" priority="12897">
      <formula>AND(AW29&lt;5,Q29="NA")</formula>
    </cfRule>
    <cfRule type="expression" dxfId="8522" priority="12898">
      <formula>AND(Q29&lt;&gt;"NA",Q29&gt;$Q$16)</formula>
    </cfRule>
  </conditionalFormatting>
  <conditionalFormatting sqref="R29">
    <cfRule type="expression" priority="12834" stopIfTrue="1">
      <formula>"ISBLANK($K$185)"</formula>
    </cfRule>
    <cfRule type="expression" dxfId="8521" priority="12889">
      <formula>AND(OR(AW29=0,ISBLANK(R29)),B29&lt;&gt;"")</formula>
    </cfRule>
    <cfRule type="expression" dxfId="8520" priority="12890">
      <formula>AND(R29="NA",NOT(ISTEXT(S29)))</formula>
    </cfRule>
    <cfRule type="expression" dxfId="8519" priority="12891">
      <formula>AND(AW29&gt;5,R29="NA")</formula>
    </cfRule>
    <cfRule type="expression" dxfId="8518" priority="12892">
      <formula>AND(AW29&lt;5,R29="NA")</formula>
    </cfRule>
    <cfRule type="expression" dxfId="8517" priority="12893">
      <formula>AND(R29&lt;&gt;"NA",R29&gt;$R$16)</formula>
    </cfRule>
  </conditionalFormatting>
  <conditionalFormatting sqref="S29">
    <cfRule type="expression" priority="12833" stopIfTrue="1">
      <formula>"ISBLANK($K$185)"</formula>
    </cfRule>
    <cfRule type="expression" dxfId="8516" priority="12884">
      <formula>AND(OR(AW29=0,ISBLANK(S29)),B29&lt;&gt;"")</formula>
    </cfRule>
    <cfRule type="expression" dxfId="8515" priority="12885">
      <formula>AND(S29="NA",NOT(ISTEXT(R29)))</formula>
    </cfRule>
    <cfRule type="expression" dxfId="8514" priority="12886">
      <formula>AND(AW29&gt;5,S29="NA")</formula>
    </cfRule>
    <cfRule type="expression" dxfId="8513" priority="12887">
      <formula>AND(AW29&lt;5,S29="NA")</formula>
    </cfRule>
    <cfRule type="expression" dxfId="8512" priority="12888">
      <formula>AND(S29&lt;&gt;"NA",S29&gt;$S$16)</formula>
    </cfRule>
  </conditionalFormatting>
  <conditionalFormatting sqref="T29">
    <cfRule type="expression" priority="12832" stopIfTrue="1">
      <formula>"ISBLANK($K$185)"</formula>
    </cfRule>
    <cfRule type="expression" dxfId="8511" priority="12879">
      <formula>AND(OR(AW29=0,ISBLANK(T29)),B29&lt;&gt;"")</formula>
    </cfRule>
    <cfRule type="expression" dxfId="8510" priority="12880">
      <formula>AND(T29="NA",NOT(ISTEXT(U29)))</formula>
    </cfRule>
    <cfRule type="expression" dxfId="8509" priority="12881">
      <formula>AND(AW29&gt;5,T29="NA")</formula>
    </cfRule>
    <cfRule type="expression" dxfId="8508" priority="12882">
      <formula>AND(AW29&lt;5,T29="NA")</formula>
    </cfRule>
    <cfRule type="expression" dxfId="8507" priority="12883">
      <formula>AND(T29&lt;&gt;"NA",T29&gt;$T$16)</formula>
    </cfRule>
  </conditionalFormatting>
  <conditionalFormatting sqref="U29">
    <cfRule type="expression" priority="12831" stopIfTrue="1">
      <formula>"ISBLANK($K$185)"</formula>
    </cfRule>
    <cfRule type="expression" dxfId="8506" priority="12874">
      <formula>AND(OR(AW29=0,ISBLANK(U29)),B29&lt;&gt;"")</formula>
    </cfRule>
    <cfRule type="expression" dxfId="8505" priority="12875">
      <formula>AND(U29="NA",NOT(ISTEXT(T29)))</formula>
    </cfRule>
    <cfRule type="expression" dxfId="8504" priority="12876">
      <formula>AND(AW29&gt;5,U29="NA")</formula>
    </cfRule>
    <cfRule type="expression" dxfId="8503" priority="12877">
      <formula>AND(AW29&lt;5,U29="NA")</formula>
    </cfRule>
    <cfRule type="expression" dxfId="8502" priority="12878">
      <formula>AND(U29&lt;&gt;"NA",U29&gt;$U$16)</formula>
    </cfRule>
  </conditionalFormatting>
  <conditionalFormatting sqref="V29">
    <cfRule type="expression" priority="12830" stopIfTrue="1">
      <formula>"ISBLANK($K$185)"</formula>
    </cfRule>
    <cfRule type="expression" dxfId="8501" priority="12869">
      <formula>AND(OR(AW29=0,ISBLANK(V29)),B29&lt;&gt;"")</formula>
    </cfRule>
    <cfRule type="expression" dxfId="8500" priority="12870">
      <formula>AND(V29="NA",NOT(ISTEXT(W29)))</formula>
    </cfRule>
    <cfRule type="expression" dxfId="8499" priority="12871">
      <formula>AND(AW29&gt;5,V29="NA")</formula>
    </cfRule>
    <cfRule type="expression" dxfId="8498" priority="12872">
      <formula>AND(AW29&lt;5,V29="NA")</formula>
    </cfRule>
    <cfRule type="expression" dxfId="8497" priority="12873">
      <formula>AND(V29&lt;&gt;"NA",V29&gt;$V$16)</formula>
    </cfRule>
  </conditionalFormatting>
  <conditionalFormatting sqref="W29">
    <cfRule type="expression" priority="12829" stopIfTrue="1">
      <formula>"ISBLANK($K$185)"</formula>
    </cfRule>
    <cfRule type="expression" dxfId="8496" priority="12864">
      <formula>AND(OR(AW29=0,ISBLANK(W29)),B29&lt;&gt;"")</formula>
    </cfRule>
    <cfRule type="expression" dxfId="8495" priority="12865">
      <formula>AND(W29="NA",NOT(ISTEXT(V29)))</formula>
    </cfRule>
    <cfRule type="expression" dxfId="8494" priority="12866">
      <formula>AND(AW29&gt;5,W29="NA")</formula>
    </cfRule>
    <cfRule type="expression" dxfId="8493" priority="12867">
      <formula>AND(AW29&lt;5,W29="NA")</formula>
    </cfRule>
    <cfRule type="expression" dxfId="8492" priority="12868">
      <formula>AND(W29&lt;&gt;"NA",W29&gt;$W$16)</formula>
    </cfRule>
  </conditionalFormatting>
  <conditionalFormatting sqref="X29">
    <cfRule type="expression" priority="12828" stopIfTrue="1">
      <formula>"ISBLANK($K$185)"</formula>
    </cfRule>
    <cfRule type="expression" dxfId="8491" priority="12859">
      <formula>AND(OR(AW29=0,ISBLANK(X29)),B29&lt;&gt;"")</formula>
    </cfRule>
    <cfRule type="expression" dxfId="8490" priority="12860">
      <formula>AND(X29="NA",NOT(ISTEXT(Y29)))</formula>
    </cfRule>
    <cfRule type="expression" dxfId="8489" priority="12861">
      <formula>AND(AW29&gt;5,X29="NA")</formula>
    </cfRule>
    <cfRule type="expression" dxfId="8488" priority="12862">
      <formula>AND(AW29&lt;5,X29="NA")</formula>
    </cfRule>
    <cfRule type="expression" dxfId="8487" priority="12863">
      <formula>AND(X29&lt;&gt;"NA",X29&gt;$Y$16)</formula>
    </cfRule>
  </conditionalFormatting>
  <conditionalFormatting sqref="Y29">
    <cfRule type="expression" priority="12827" stopIfTrue="1">
      <formula>"ISBLANK($K$185)"</formula>
    </cfRule>
    <cfRule type="expression" dxfId="8486" priority="12854">
      <formula>AND(OR(AW29=0,ISBLANK(Y29)),B29&lt;&gt;"")</formula>
    </cfRule>
    <cfRule type="expression" dxfId="8485" priority="12855">
      <formula>AND(Y29="NA",NOT(ISTEXT(X29)))</formula>
    </cfRule>
    <cfRule type="expression" dxfId="8484" priority="12856">
      <formula>AND(AW29&gt;5,Y29="NA")</formula>
    </cfRule>
    <cfRule type="expression" dxfId="8483" priority="12857">
      <formula>AND(AW29&lt;5,Y29="NA")</formula>
    </cfRule>
    <cfRule type="expression" dxfId="8482" priority="12858">
      <formula>AND(Y29&lt;&gt;"NA",Y29&gt;$Y$16)</formula>
    </cfRule>
  </conditionalFormatting>
  <conditionalFormatting sqref="N29">
    <cfRule type="expression" priority="12838" stopIfTrue="1">
      <formula>"ISBLANK($K$185)"</formula>
    </cfRule>
    <cfRule type="expression" dxfId="8481" priority="12909">
      <formula>AND(OR(AW29=0,ISBLANK(N29)),B29&lt;&gt;"")</formula>
    </cfRule>
    <cfRule type="expression" dxfId="8480" priority="12910">
      <formula>AND(N29="NA",NOT(ISTEXT(O29)))</formula>
    </cfRule>
    <cfRule type="expression" dxfId="8479" priority="12911">
      <formula>AND(AW29&gt;5,N29="NA")</formula>
    </cfRule>
    <cfRule type="expression" dxfId="8478" priority="12912">
      <formula>AND(AW29&lt;5,N29="NA")</formula>
    </cfRule>
    <cfRule type="expression" dxfId="8477" priority="12913">
      <formula>AND(N29&lt;&gt;"NA",N29&gt;$N$16)</formula>
    </cfRule>
  </conditionalFormatting>
  <conditionalFormatting sqref="O30">
    <cfRule type="expression" priority="12746" stopIfTrue="1">
      <formula>"ISBLANK($K$185)"</formula>
    </cfRule>
    <cfRule type="expression" dxfId="8476" priority="12813">
      <formula>AND(OR(AW30=0,ISBLANK(O30)),B30&lt;&gt;"")</formula>
    </cfRule>
    <cfRule type="expression" dxfId="8475" priority="12814">
      <formula>AND(O30="NA",NOT(ISTEXT(N30)))</formula>
    </cfRule>
    <cfRule type="expression" dxfId="8474" priority="12815">
      <formula>AND(AW30&gt;5,O30="NA")</formula>
    </cfRule>
    <cfRule type="expression" dxfId="8473" priority="12816">
      <formula>AND(AW30&lt;5,O30="NA")</formula>
    </cfRule>
    <cfRule type="expression" dxfId="8472" priority="12817">
      <formula>AND(O30&lt;&gt;"NA",O30&gt;$O$16)</formula>
    </cfRule>
  </conditionalFormatting>
  <conditionalFormatting sqref="P30">
    <cfRule type="expression" priority="12745" stopIfTrue="1">
      <formula>"ISBLANK($K$185)"</formula>
    </cfRule>
    <cfRule type="expression" dxfId="8471" priority="12808">
      <formula>AND(OR(AW30=0,ISBLANK(P30)),B30&lt;&gt;"")</formula>
    </cfRule>
    <cfRule type="expression" dxfId="8470" priority="12809">
      <formula>AND(P30="NA",NOT(ISTEXT(Q30)))</formula>
    </cfRule>
    <cfRule type="expression" dxfId="8469" priority="12810">
      <formula>AND(AW30&gt;5,P30="NA")</formula>
    </cfRule>
    <cfRule type="expression" dxfId="8468" priority="12811">
      <formula>AND(AW30&lt;5,P30="NA")</formula>
    </cfRule>
    <cfRule type="expression" dxfId="8467" priority="12812">
      <formula>AND(P30&lt;&gt;"NA",P30&gt;$P$16)</formula>
    </cfRule>
  </conditionalFormatting>
  <conditionalFormatting sqref="Q30">
    <cfRule type="expression" priority="12744" stopIfTrue="1">
      <formula>"ISBLANK($K$185)"</formula>
    </cfRule>
    <cfRule type="expression" dxfId="8466" priority="12803">
      <formula>AND(OR(AW30=0,ISBLANK(Q30)),B30&lt;&gt;"")</formula>
    </cfRule>
    <cfRule type="expression" dxfId="8465" priority="12804">
      <formula>AND(Q30="NA",NOT(ISTEXT(P30)))</formula>
    </cfRule>
    <cfRule type="expression" dxfId="8464" priority="12805">
      <formula>AND(AW30&gt;5,Q30="NA")</formula>
    </cfRule>
    <cfRule type="expression" dxfId="8463" priority="12806">
      <formula>AND(AW30&lt;5,Q30="NA")</formula>
    </cfRule>
    <cfRule type="expression" dxfId="8462" priority="12807">
      <formula>AND(Q30&lt;&gt;"NA",Q30&gt;$Q$16)</formula>
    </cfRule>
  </conditionalFormatting>
  <conditionalFormatting sqref="R30">
    <cfRule type="expression" priority="12743" stopIfTrue="1">
      <formula>"ISBLANK($K$185)"</formula>
    </cfRule>
    <cfRule type="expression" dxfId="8461" priority="12798">
      <formula>AND(OR(AW30=0,ISBLANK(R30)),B30&lt;&gt;"")</formula>
    </cfRule>
    <cfRule type="expression" dxfId="8460" priority="12799">
      <formula>AND(R30="NA",NOT(ISTEXT(S30)))</formula>
    </cfRule>
    <cfRule type="expression" dxfId="8459" priority="12800">
      <formula>AND(AW30&gt;5,R30="NA")</formula>
    </cfRule>
    <cfRule type="expression" dxfId="8458" priority="12801">
      <formula>AND(AW30&lt;5,R30="NA")</formula>
    </cfRule>
    <cfRule type="expression" dxfId="8457" priority="12802">
      <formula>AND(R30&lt;&gt;"NA",R30&gt;$R$16)</formula>
    </cfRule>
  </conditionalFormatting>
  <conditionalFormatting sqref="S30">
    <cfRule type="expression" priority="12742" stopIfTrue="1">
      <formula>"ISBLANK($K$185)"</formula>
    </cfRule>
    <cfRule type="expression" dxfId="8456" priority="12793">
      <formula>AND(OR(AW30=0,ISBLANK(S30)),B30&lt;&gt;"")</formula>
    </cfRule>
    <cfRule type="expression" dxfId="8455" priority="12794">
      <formula>AND(S30="NA",NOT(ISTEXT(R30)))</formula>
    </cfRule>
    <cfRule type="expression" dxfId="8454" priority="12795">
      <formula>AND(AW30&gt;5,S30="NA")</formula>
    </cfRule>
    <cfRule type="expression" dxfId="8453" priority="12796">
      <formula>AND(AW30&lt;5,S30="NA")</formula>
    </cfRule>
    <cfRule type="expression" dxfId="8452" priority="12797">
      <formula>AND(S30&lt;&gt;"NA",S30&gt;$S$16)</formula>
    </cfRule>
  </conditionalFormatting>
  <conditionalFormatting sqref="T30">
    <cfRule type="expression" priority="12741" stopIfTrue="1">
      <formula>"ISBLANK($K$185)"</formula>
    </cfRule>
    <cfRule type="expression" dxfId="8451" priority="12788">
      <formula>AND(OR(AW30=0,ISBLANK(T30)),B30&lt;&gt;"")</formula>
    </cfRule>
    <cfRule type="expression" dxfId="8450" priority="12789">
      <formula>AND(T30="NA",NOT(ISTEXT(U30)))</formula>
    </cfRule>
    <cfRule type="expression" dxfId="8449" priority="12790">
      <formula>AND(AW30&gt;5,T30="NA")</formula>
    </cfRule>
    <cfRule type="expression" dxfId="8448" priority="12791">
      <formula>AND(AW30&lt;5,T30="NA")</formula>
    </cfRule>
    <cfRule type="expression" dxfId="8447" priority="12792">
      <formula>AND(T30&lt;&gt;"NA",T30&gt;$T$16)</formula>
    </cfRule>
  </conditionalFormatting>
  <conditionalFormatting sqref="U30">
    <cfRule type="expression" priority="12740" stopIfTrue="1">
      <formula>"ISBLANK($K$185)"</formula>
    </cfRule>
    <cfRule type="expression" dxfId="8446" priority="12783">
      <formula>AND(OR(AW30=0,ISBLANK(U30)),B30&lt;&gt;"")</formula>
    </cfRule>
    <cfRule type="expression" dxfId="8445" priority="12784">
      <formula>AND(U30="NA",NOT(ISTEXT(T30)))</formula>
    </cfRule>
    <cfRule type="expression" dxfId="8444" priority="12785">
      <formula>AND(AW30&gt;5,U30="NA")</formula>
    </cfRule>
    <cfRule type="expression" dxfId="8443" priority="12786">
      <formula>AND(AW30&lt;5,U30="NA")</formula>
    </cfRule>
    <cfRule type="expression" dxfId="8442" priority="12787">
      <formula>AND(U30&lt;&gt;"NA",U30&gt;$U$16)</formula>
    </cfRule>
  </conditionalFormatting>
  <conditionalFormatting sqref="V30">
    <cfRule type="expression" priority="12739" stopIfTrue="1">
      <formula>"ISBLANK($K$185)"</formula>
    </cfRule>
    <cfRule type="expression" dxfId="8441" priority="12778">
      <formula>AND(OR(AW30=0,ISBLANK(V30)),B30&lt;&gt;"")</formula>
    </cfRule>
    <cfRule type="expression" dxfId="8440" priority="12779">
      <formula>AND(V30="NA",NOT(ISTEXT(W30)))</formula>
    </cfRule>
    <cfRule type="expression" dxfId="8439" priority="12780">
      <formula>AND(AW30&gt;5,V30="NA")</formula>
    </cfRule>
    <cfRule type="expression" dxfId="8438" priority="12781">
      <formula>AND(AW30&lt;5,V30="NA")</formula>
    </cfRule>
    <cfRule type="expression" dxfId="8437" priority="12782">
      <formula>AND(V30&lt;&gt;"NA",V30&gt;$V$16)</formula>
    </cfRule>
  </conditionalFormatting>
  <conditionalFormatting sqref="W30">
    <cfRule type="expression" priority="12738" stopIfTrue="1">
      <formula>"ISBLANK($K$185)"</formula>
    </cfRule>
    <cfRule type="expression" dxfId="8436" priority="12773">
      <formula>AND(OR(AW30=0,ISBLANK(W30)),B30&lt;&gt;"")</formula>
    </cfRule>
    <cfRule type="expression" dxfId="8435" priority="12774">
      <formula>AND(W30="NA",NOT(ISTEXT(V30)))</formula>
    </cfRule>
    <cfRule type="expression" dxfId="8434" priority="12775">
      <formula>AND(AW30&gt;5,W30="NA")</formula>
    </cfRule>
    <cfRule type="expression" dxfId="8433" priority="12776">
      <formula>AND(AW30&lt;5,W30="NA")</formula>
    </cfRule>
    <cfRule type="expression" dxfId="8432" priority="12777">
      <formula>AND(W30&lt;&gt;"NA",W30&gt;$W$16)</formula>
    </cfRule>
  </conditionalFormatting>
  <conditionalFormatting sqref="X30">
    <cfRule type="expression" priority="12737" stopIfTrue="1">
      <formula>"ISBLANK($K$185)"</formula>
    </cfRule>
    <cfRule type="expression" dxfId="8431" priority="12768">
      <formula>AND(OR(AW30=0,ISBLANK(X30)),B30&lt;&gt;"")</formula>
    </cfRule>
    <cfRule type="expression" dxfId="8430" priority="12769">
      <formula>AND(X30="NA",NOT(ISTEXT(Y30)))</formula>
    </cfRule>
    <cfRule type="expression" dxfId="8429" priority="12770">
      <formula>AND(AW30&gt;5,X30="NA")</formula>
    </cfRule>
    <cfRule type="expression" dxfId="8428" priority="12771">
      <formula>AND(AW30&lt;5,X30="NA")</formula>
    </cfRule>
    <cfRule type="expression" dxfId="8427" priority="12772">
      <formula>AND(X30&lt;&gt;"NA",X30&gt;$Y$16)</formula>
    </cfRule>
  </conditionalFormatting>
  <conditionalFormatting sqref="Y30">
    <cfRule type="expression" priority="12736" stopIfTrue="1">
      <formula>"ISBLANK($K$185)"</formula>
    </cfRule>
    <cfRule type="expression" dxfId="8426" priority="12763">
      <formula>AND(OR(AW30=0,ISBLANK(Y30)),B30&lt;&gt;"")</formula>
    </cfRule>
    <cfRule type="expression" dxfId="8425" priority="12764">
      <formula>AND(Y30="NA",NOT(ISTEXT(X30)))</formula>
    </cfRule>
    <cfRule type="expression" dxfId="8424" priority="12765">
      <formula>AND(AW30&gt;5,Y30="NA")</formula>
    </cfRule>
    <cfRule type="expression" dxfId="8423" priority="12766">
      <formula>AND(AW30&lt;5,Y30="NA")</formula>
    </cfRule>
    <cfRule type="expression" dxfId="8422" priority="12767">
      <formula>AND(Y30&lt;&gt;"NA",Y30&gt;$Y$16)</formula>
    </cfRule>
  </conditionalFormatting>
  <conditionalFormatting sqref="N30">
    <cfRule type="expression" priority="12747" stopIfTrue="1">
      <formula>"ISBLANK($K$185)"</formula>
    </cfRule>
    <cfRule type="expression" dxfId="8421" priority="12818">
      <formula>AND(OR(AW30=0,ISBLANK(N30)),B30&lt;&gt;"")</formula>
    </cfRule>
    <cfRule type="expression" dxfId="8420" priority="12819">
      <formula>AND(N30="NA",NOT(ISTEXT(O30)))</formula>
    </cfRule>
    <cfRule type="expression" dxfId="8419" priority="12820">
      <formula>AND(AW30&gt;5,N30="NA")</formula>
    </cfRule>
    <cfRule type="expression" dxfId="8418" priority="12821">
      <formula>AND(AW30&lt;5,N30="NA")</formula>
    </cfRule>
    <cfRule type="expression" dxfId="8417" priority="12822">
      <formula>AND(N30&lt;&gt;"NA",N30&gt;$N$16)</formula>
    </cfRule>
  </conditionalFormatting>
  <conditionalFormatting sqref="O31">
    <cfRule type="expression" priority="12655" stopIfTrue="1">
      <formula>"ISBLANK($K$185)"</formula>
    </cfRule>
    <cfRule type="expression" dxfId="8416" priority="12722">
      <formula>AND(OR(AW31=0,ISBLANK(O31)),B31&lt;&gt;"")</formula>
    </cfRule>
    <cfRule type="expression" dxfId="8415" priority="12723">
      <formula>AND(O31="NA",NOT(ISTEXT(N31)))</formula>
    </cfRule>
    <cfRule type="expression" dxfId="8414" priority="12724">
      <formula>AND(AW31&gt;5,O31="NA")</formula>
    </cfRule>
    <cfRule type="expression" dxfId="8413" priority="12725">
      <formula>AND(AW31&lt;5,O31="NA")</formula>
    </cfRule>
    <cfRule type="expression" dxfId="8412" priority="12726">
      <formula>AND(O31&lt;&gt;"NA",O31&gt;$O$16)</formula>
    </cfRule>
  </conditionalFormatting>
  <conditionalFormatting sqref="P31">
    <cfRule type="expression" priority="12654" stopIfTrue="1">
      <formula>"ISBLANK($K$185)"</formula>
    </cfRule>
    <cfRule type="expression" dxfId="8411" priority="12717">
      <formula>AND(OR(AW31=0,ISBLANK(P31)),B31&lt;&gt;"")</formula>
    </cfRule>
    <cfRule type="expression" dxfId="8410" priority="12718">
      <formula>AND(P31="NA",NOT(ISTEXT(Q31)))</formula>
    </cfRule>
    <cfRule type="expression" dxfId="8409" priority="12719">
      <formula>AND(AW31&gt;5,P31="NA")</formula>
    </cfRule>
    <cfRule type="expression" dxfId="8408" priority="12720">
      <formula>AND(AW31&lt;5,P31="NA")</formula>
    </cfRule>
    <cfRule type="expression" dxfId="8407" priority="12721">
      <formula>AND(P31&lt;&gt;"NA",P31&gt;$P$16)</formula>
    </cfRule>
  </conditionalFormatting>
  <conditionalFormatting sqref="Q31">
    <cfRule type="expression" priority="12653" stopIfTrue="1">
      <formula>"ISBLANK($K$185)"</formula>
    </cfRule>
    <cfRule type="expression" dxfId="8406" priority="12712">
      <formula>AND(OR(AW31=0,ISBLANK(Q31)),B31&lt;&gt;"")</formula>
    </cfRule>
    <cfRule type="expression" dxfId="8405" priority="12713">
      <formula>AND(Q31="NA",NOT(ISTEXT(P31)))</formula>
    </cfRule>
    <cfRule type="expression" dxfId="8404" priority="12714">
      <formula>AND(AW31&gt;5,Q31="NA")</formula>
    </cfRule>
    <cfRule type="expression" dxfId="8403" priority="12715">
      <formula>AND(AW31&lt;5,Q31="NA")</formula>
    </cfRule>
    <cfRule type="expression" dxfId="8402" priority="12716">
      <formula>AND(Q31&lt;&gt;"NA",Q31&gt;$Q$16)</formula>
    </cfRule>
  </conditionalFormatting>
  <conditionalFormatting sqref="R31">
    <cfRule type="expression" priority="12652" stopIfTrue="1">
      <formula>"ISBLANK($K$185)"</formula>
    </cfRule>
    <cfRule type="expression" dxfId="8401" priority="12707">
      <formula>AND(OR(AW31=0,ISBLANK(R31)),B31&lt;&gt;"")</formula>
    </cfRule>
    <cfRule type="expression" dxfId="8400" priority="12708">
      <formula>AND(R31="NA",NOT(ISTEXT(S31)))</formula>
    </cfRule>
    <cfRule type="expression" dxfId="8399" priority="12709">
      <formula>AND(AW31&gt;5,R31="NA")</formula>
    </cfRule>
    <cfRule type="expression" dxfId="8398" priority="12710">
      <formula>AND(AW31&lt;5,R31="NA")</formula>
    </cfRule>
    <cfRule type="expression" dxfId="8397" priority="12711">
      <formula>AND(R31&lt;&gt;"NA",R31&gt;$R$16)</formula>
    </cfRule>
  </conditionalFormatting>
  <conditionalFormatting sqref="S31">
    <cfRule type="expression" priority="12651" stopIfTrue="1">
      <formula>"ISBLANK($K$185)"</formula>
    </cfRule>
    <cfRule type="expression" dxfId="8396" priority="12702">
      <formula>AND(OR(AW31=0,ISBLANK(S31)),B31&lt;&gt;"")</formula>
    </cfRule>
    <cfRule type="expression" dxfId="8395" priority="12703">
      <formula>AND(S31="NA",NOT(ISTEXT(R31)))</formula>
    </cfRule>
    <cfRule type="expression" dxfId="8394" priority="12704">
      <formula>AND(AW31&gt;5,S31="NA")</formula>
    </cfRule>
    <cfRule type="expression" dxfId="8393" priority="12705">
      <formula>AND(AW31&lt;5,S31="NA")</formula>
    </cfRule>
    <cfRule type="expression" dxfId="8392" priority="12706">
      <formula>AND(S31&lt;&gt;"NA",S31&gt;$S$16)</formula>
    </cfRule>
  </conditionalFormatting>
  <conditionalFormatting sqref="T31">
    <cfRule type="expression" priority="12650" stopIfTrue="1">
      <formula>"ISBLANK($K$185)"</formula>
    </cfRule>
    <cfRule type="expression" dxfId="8391" priority="12697">
      <formula>AND(OR(AW31=0,ISBLANK(T31)),B31&lt;&gt;"")</formula>
    </cfRule>
    <cfRule type="expression" dxfId="8390" priority="12698">
      <formula>AND(T31="NA",NOT(ISTEXT(U31)))</formula>
    </cfRule>
    <cfRule type="expression" dxfId="8389" priority="12699">
      <formula>AND(AW31&gt;5,T31="NA")</formula>
    </cfRule>
    <cfRule type="expression" dxfId="8388" priority="12700">
      <formula>AND(AW31&lt;5,T31="NA")</formula>
    </cfRule>
    <cfRule type="expression" dxfId="8387" priority="12701">
      <formula>AND(T31&lt;&gt;"NA",T31&gt;$T$16)</formula>
    </cfRule>
  </conditionalFormatting>
  <conditionalFormatting sqref="U31">
    <cfRule type="expression" priority="12649" stopIfTrue="1">
      <formula>"ISBLANK($K$185)"</formula>
    </cfRule>
    <cfRule type="expression" dxfId="8386" priority="12692">
      <formula>AND(OR(AW31=0,ISBLANK(U31)),B31&lt;&gt;"")</formula>
    </cfRule>
    <cfRule type="expression" dxfId="8385" priority="12693">
      <formula>AND(U31="NA",NOT(ISTEXT(T31)))</formula>
    </cfRule>
    <cfRule type="expression" dxfId="8384" priority="12694">
      <formula>AND(AW31&gt;5,U31="NA")</formula>
    </cfRule>
    <cfRule type="expression" dxfId="8383" priority="12695">
      <formula>AND(AW31&lt;5,U31="NA")</formula>
    </cfRule>
    <cfRule type="expression" dxfId="8382" priority="12696">
      <formula>AND(U31&lt;&gt;"NA",U31&gt;$U$16)</formula>
    </cfRule>
  </conditionalFormatting>
  <conditionalFormatting sqref="V31">
    <cfRule type="expression" priority="12648" stopIfTrue="1">
      <formula>"ISBLANK($K$185)"</formula>
    </cfRule>
    <cfRule type="expression" dxfId="8381" priority="12687">
      <formula>AND(OR(AW31=0,ISBLANK(V31)),B31&lt;&gt;"")</formula>
    </cfRule>
    <cfRule type="expression" dxfId="8380" priority="12688">
      <formula>AND(V31="NA",NOT(ISTEXT(W31)))</formula>
    </cfRule>
    <cfRule type="expression" dxfId="8379" priority="12689">
      <formula>AND(AW31&gt;5,V31="NA")</formula>
    </cfRule>
    <cfRule type="expression" dxfId="8378" priority="12690">
      <formula>AND(AW31&lt;5,V31="NA")</formula>
    </cfRule>
    <cfRule type="expression" dxfId="8377" priority="12691">
      <formula>AND(V31&lt;&gt;"NA",V31&gt;$V$16)</formula>
    </cfRule>
  </conditionalFormatting>
  <conditionalFormatting sqref="W31">
    <cfRule type="expression" priority="12647" stopIfTrue="1">
      <formula>"ISBLANK($K$185)"</formula>
    </cfRule>
    <cfRule type="expression" dxfId="8376" priority="12682">
      <formula>AND(OR(AW31=0,ISBLANK(W31)),B31&lt;&gt;"")</formula>
    </cfRule>
    <cfRule type="expression" dxfId="8375" priority="12683">
      <formula>AND(W31="NA",NOT(ISTEXT(V31)))</formula>
    </cfRule>
    <cfRule type="expression" dxfId="8374" priority="12684">
      <formula>AND(AW31&gt;5,W31="NA")</formula>
    </cfRule>
    <cfRule type="expression" dxfId="8373" priority="12685">
      <formula>AND(AW31&lt;5,W31="NA")</formula>
    </cfRule>
    <cfRule type="expression" dxfId="8372" priority="12686">
      <formula>AND(W31&lt;&gt;"NA",W31&gt;$W$16)</formula>
    </cfRule>
  </conditionalFormatting>
  <conditionalFormatting sqref="X31">
    <cfRule type="expression" priority="12646" stopIfTrue="1">
      <formula>"ISBLANK($K$185)"</formula>
    </cfRule>
    <cfRule type="expression" dxfId="8371" priority="12677">
      <formula>AND(OR(AW31=0,ISBLANK(X31)),B31&lt;&gt;"")</formula>
    </cfRule>
    <cfRule type="expression" dxfId="8370" priority="12678">
      <formula>AND(X31="NA",NOT(ISTEXT(Y31)))</formula>
    </cfRule>
    <cfRule type="expression" dxfId="8369" priority="12679">
      <formula>AND(AW31&gt;5,X31="NA")</formula>
    </cfRule>
    <cfRule type="expression" dxfId="8368" priority="12680">
      <formula>AND(AW31&lt;5,X31="NA")</formula>
    </cfRule>
    <cfRule type="expression" dxfId="8367" priority="12681">
      <formula>AND(X31&lt;&gt;"NA",X31&gt;$Y$16)</formula>
    </cfRule>
  </conditionalFormatting>
  <conditionalFormatting sqref="Y31">
    <cfRule type="expression" priority="12645" stopIfTrue="1">
      <formula>"ISBLANK($K$185)"</formula>
    </cfRule>
    <cfRule type="expression" dxfId="8366" priority="12672">
      <formula>AND(OR(AW31=0,ISBLANK(Y31)),B31&lt;&gt;"")</formula>
    </cfRule>
    <cfRule type="expression" dxfId="8365" priority="12673">
      <formula>AND(Y31="NA",NOT(ISTEXT(X31)))</formula>
    </cfRule>
    <cfRule type="expression" dxfId="8364" priority="12674">
      <formula>AND(AW31&gt;5,Y31="NA")</formula>
    </cfRule>
    <cfRule type="expression" dxfId="8363" priority="12675">
      <formula>AND(AW31&lt;5,Y31="NA")</formula>
    </cfRule>
    <cfRule type="expression" dxfId="8362" priority="12676">
      <formula>AND(Y31&lt;&gt;"NA",Y31&gt;$Y$16)</formula>
    </cfRule>
  </conditionalFormatting>
  <conditionalFormatting sqref="N31">
    <cfRule type="expression" priority="12656" stopIfTrue="1">
      <formula>"ISBLANK($K$185)"</formula>
    </cfRule>
    <cfRule type="expression" dxfId="8361" priority="12727">
      <formula>AND(OR(AW31=0,ISBLANK(N31)),B31&lt;&gt;"")</formula>
    </cfRule>
    <cfRule type="expression" dxfId="8360" priority="12728">
      <formula>AND(N31="NA",NOT(ISTEXT(O31)))</formula>
    </cfRule>
    <cfRule type="expression" dxfId="8359" priority="12729">
      <formula>AND(AW31&gt;5,N31="NA")</formula>
    </cfRule>
    <cfRule type="expression" dxfId="8358" priority="12730">
      <formula>AND(AW31&lt;5,N31="NA")</formula>
    </cfRule>
    <cfRule type="expression" dxfId="8357" priority="12731">
      <formula>AND(N31&lt;&gt;"NA",N31&gt;$N$16)</formula>
    </cfRule>
  </conditionalFormatting>
  <conditionalFormatting sqref="O32">
    <cfRule type="expression" priority="12564" stopIfTrue="1">
      <formula>"ISBLANK($K$185)"</formula>
    </cfRule>
    <cfRule type="expression" dxfId="8356" priority="12631">
      <formula>AND(OR(AW32=0,ISBLANK(O32)),B32&lt;&gt;"")</formula>
    </cfRule>
    <cfRule type="expression" dxfId="8355" priority="12632">
      <formula>AND(O32="NA",NOT(ISTEXT(N32)))</formula>
    </cfRule>
    <cfRule type="expression" dxfId="8354" priority="12633">
      <formula>AND(AW32&gt;5,O32="NA")</formula>
    </cfRule>
    <cfRule type="expression" dxfId="8353" priority="12634">
      <formula>AND(AW32&lt;5,O32="NA")</formula>
    </cfRule>
    <cfRule type="expression" dxfId="8352" priority="12635">
      <formula>AND(O32&lt;&gt;"NA",O32&gt;$O$16)</formula>
    </cfRule>
  </conditionalFormatting>
  <conditionalFormatting sqref="P32">
    <cfRule type="expression" priority="12563" stopIfTrue="1">
      <formula>"ISBLANK($K$185)"</formula>
    </cfRule>
    <cfRule type="expression" dxfId="8351" priority="12626">
      <formula>AND(OR(AW32=0,ISBLANK(P32)),B32&lt;&gt;"")</formula>
    </cfRule>
    <cfRule type="expression" dxfId="8350" priority="12627">
      <formula>AND(P32="NA",NOT(ISTEXT(Q32)))</formula>
    </cfRule>
    <cfRule type="expression" dxfId="8349" priority="12628">
      <formula>AND(AW32&gt;5,P32="NA")</formula>
    </cfRule>
    <cfRule type="expression" dxfId="8348" priority="12629">
      <formula>AND(AW32&lt;5,P32="NA")</formula>
    </cfRule>
    <cfRule type="expression" dxfId="8347" priority="12630">
      <formula>AND(P32&lt;&gt;"NA",P32&gt;$P$16)</formula>
    </cfRule>
  </conditionalFormatting>
  <conditionalFormatting sqref="Q32">
    <cfRule type="expression" priority="12562" stopIfTrue="1">
      <formula>"ISBLANK($K$185)"</formula>
    </cfRule>
    <cfRule type="expression" dxfId="8346" priority="12621">
      <formula>AND(OR(AW32=0,ISBLANK(Q32)),B32&lt;&gt;"")</formula>
    </cfRule>
    <cfRule type="expression" dxfId="8345" priority="12622">
      <formula>AND(Q32="NA",NOT(ISTEXT(P32)))</formula>
    </cfRule>
    <cfRule type="expression" dxfId="8344" priority="12623">
      <formula>AND(AW32&gt;5,Q32="NA")</formula>
    </cfRule>
    <cfRule type="expression" dxfId="8343" priority="12624">
      <formula>AND(AW32&lt;5,Q32="NA")</formula>
    </cfRule>
    <cfRule type="expression" dxfId="8342" priority="12625">
      <formula>AND(Q32&lt;&gt;"NA",Q32&gt;$Q$16)</formula>
    </cfRule>
  </conditionalFormatting>
  <conditionalFormatting sqref="R32">
    <cfRule type="expression" priority="12561" stopIfTrue="1">
      <formula>"ISBLANK($K$185)"</formula>
    </cfRule>
    <cfRule type="expression" dxfId="8341" priority="12616">
      <formula>AND(OR(AW32=0,ISBLANK(R32)),B32&lt;&gt;"")</formula>
    </cfRule>
    <cfRule type="expression" dxfId="8340" priority="12617">
      <formula>AND(R32="NA",NOT(ISTEXT(S32)))</formula>
    </cfRule>
    <cfRule type="expression" dxfId="8339" priority="12618">
      <formula>AND(AW32&gt;5,R32="NA")</formula>
    </cfRule>
    <cfRule type="expression" dxfId="8338" priority="12619">
      <formula>AND(AW32&lt;5,R32="NA")</formula>
    </cfRule>
    <cfRule type="expression" dxfId="8337" priority="12620">
      <formula>AND(R32&lt;&gt;"NA",R32&gt;$R$16)</formula>
    </cfRule>
  </conditionalFormatting>
  <conditionalFormatting sqref="S32">
    <cfRule type="expression" priority="12560" stopIfTrue="1">
      <formula>"ISBLANK($K$185)"</formula>
    </cfRule>
    <cfRule type="expression" dxfId="8336" priority="12611">
      <formula>AND(OR(AW32=0,ISBLANK(S32)),B32&lt;&gt;"")</formula>
    </cfRule>
    <cfRule type="expression" dxfId="8335" priority="12612">
      <formula>AND(S32="NA",NOT(ISTEXT(R32)))</formula>
    </cfRule>
    <cfRule type="expression" dxfId="8334" priority="12613">
      <formula>AND(AW32&gt;5,S32="NA")</formula>
    </cfRule>
    <cfRule type="expression" dxfId="8333" priority="12614">
      <formula>AND(AW32&lt;5,S32="NA")</formula>
    </cfRule>
    <cfRule type="expression" dxfId="8332" priority="12615">
      <formula>AND(S32&lt;&gt;"NA",S32&gt;$S$16)</formula>
    </cfRule>
  </conditionalFormatting>
  <conditionalFormatting sqref="T32">
    <cfRule type="expression" priority="12559" stopIfTrue="1">
      <formula>"ISBLANK($K$185)"</formula>
    </cfRule>
    <cfRule type="expression" dxfId="8331" priority="12606">
      <formula>AND(OR(AW32=0,ISBLANK(T32)),B32&lt;&gt;"")</formula>
    </cfRule>
    <cfRule type="expression" dxfId="8330" priority="12607">
      <formula>AND(T32="NA",NOT(ISTEXT(U32)))</formula>
    </cfRule>
    <cfRule type="expression" dxfId="8329" priority="12608">
      <formula>AND(AW32&gt;5,T32="NA")</formula>
    </cfRule>
    <cfRule type="expression" dxfId="8328" priority="12609">
      <formula>AND(AW32&lt;5,T32="NA")</formula>
    </cfRule>
    <cfRule type="expression" dxfId="8327" priority="12610">
      <formula>AND(T32&lt;&gt;"NA",T32&gt;$T$16)</formula>
    </cfRule>
  </conditionalFormatting>
  <conditionalFormatting sqref="U32">
    <cfRule type="expression" priority="12558" stopIfTrue="1">
      <formula>"ISBLANK($K$185)"</formula>
    </cfRule>
    <cfRule type="expression" dxfId="8326" priority="12601">
      <formula>AND(OR(AW32=0,ISBLANK(U32)),B32&lt;&gt;"")</formula>
    </cfRule>
    <cfRule type="expression" dxfId="8325" priority="12602">
      <formula>AND(U32="NA",NOT(ISTEXT(T32)))</formula>
    </cfRule>
    <cfRule type="expression" dxfId="8324" priority="12603">
      <formula>AND(AW32&gt;5,U32="NA")</formula>
    </cfRule>
    <cfRule type="expression" dxfId="8323" priority="12604">
      <formula>AND(AW32&lt;5,U32="NA")</formula>
    </cfRule>
    <cfRule type="expression" dxfId="8322" priority="12605">
      <formula>AND(U32&lt;&gt;"NA",U32&gt;$U$16)</formula>
    </cfRule>
  </conditionalFormatting>
  <conditionalFormatting sqref="V32">
    <cfRule type="expression" priority="12557" stopIfTrue="1">
      <formula>"ISBLANK($K$185)"</formula>
    </cfRule>
    <cfRule type="expression" dxfId="8321" priority="12596">
      <formula>AND(OR(AW32=0,ISBLANK(V32)),B32&lt;&gt;"")</formula>
    </cfRule>
    <cfRule type="expression" dxfId="8320" priority="12597">
      <formula>AND(V32="NA",NOT(ISTEXT(W32)))</formula>
    </cfRule>
    <cfRule type="expression" dxfId="8319" priority="12598">
      <formula>AND(AW32&gt;5,V32="NA")</formula>
    </cfRule>
    <cfRule type="expression" dxfId="8318" priority="12599">
      <formula>AND(AW32&lt;5,V32="NA")</formula>
    </cfRule>
    <cfRule type="expression" dxfId="8317" priority="12600">
      <formula>AND(V32&lt;&gt;"NA",V32&gt;$V$16)</formula>
    </cfRule>
  </conditionalFormatting>
  <conditionalFormatting sqref="W32">
    <cfRule type="expression" priority="12556" stopIfTrue="1">
      <formula>"ISBLANK($K$185)"</formula>
    </cfRule>
    <cfRule type="expression" dxfId="8316" priority="12591">
      <formula>AND(OR(AW32=0,ISBLANK(W32)),B32&lt;&gt;"")</formula>
    </cfRule>
    <cfRule type="expression" dxfId="8315" priority="12592">
      <formula>AND(W32="NA",NOT(ISTEXT(V32)))</formula>
    </cfRule>
    <cfRule type="expression" dxfId="8314" priority="12593">
      <formula>AND(AW32&gt;5,W32="NA")</formula>
    </cfRule>
    <cfRule type="expression" dxfId="8313" priority="12594">
      <formula>AND(AW32&lt;5,W32="NA")</formula>
    </cfRule>
    <cfRule type="expression" dxfId="8312" priority="12595">
      <formula>AND(W32&lt;&gt;"NA",W32&gt;$W$16)</formula>
    </cfRule>
  </conditionalFormatting>
  <conditionalFormatting sqref="X32">
    <cfRule type="expression" priority="12555" stopIfTrue="1">
      <formula>"ISBLANK($K$185)"</formula>
    </cfRule>
    <cfRule type="expression" dxfId="8311" priority="12586">
      <formula>AND(OR(AW32=0,ISBLANK(X32)),B32&lt;&gt;"")</formula>
    </cfRule>
    <cfRule type="expression" dxfId="8310" priority="12587">
      <formula>AND(X32="NA",NOT(ISTEXT(Y32)))</formula>
    </cfRule>
    <cfRule type="expression" dxfId="8309" priority="12588">
      <formula>AND(AW32&gt;5,X32="NA")</formula>
    </cfRule>
    <cfRule type="expression" dxfId="8308" priority="12589">
      <formula>AND(AW32&lt;5,X32="NA")</formula>
    </cfRule>
    <cfRule type="expression" dxfId="8307" priority="12590">
      <formula>AND(X32&lt;&gt;"NA",X32&gt;$Y$16)</formula>
    </cfRule>
  </conditionalFormatting>
  <conditionalFormatting sqref="Y32">
    <cfRule type="expression" priority="12554" stopIfTrue="1">
      <formula>"ISBLANK($K$185)"</formula>
    </cfRule>
    <cfRule type="expression" dxfId="8306" priority="12581">
      <formula>AND(OR(AW32=0,ISBLANK(Y32)),B32&lt;&gt;"")</formula>
    </cfRule>
    <cfRule type="expression" dxfId="8305" priority="12582">
      <formula>AND(Y32="NA",NOT(ISTEXT(X32)))</formula>
    </cfRule>
    <cfRule type="expression" dxfId="8304" priority="12583">
      <formula>AND(AW32&gt;5,Y32="NA")</formula>
    </cfRule>
    <cfRule type="expression" dxfId="8303" priority="12584">
      <formula>AND(AW32&lt;5,Y32="NA")</formula>
    </cfRule>
    <cfRule type="expression" dxfId="8302" priority="12585">
      <formula>AND(Y32&lt;&gt;"NA",Y32&gt;$Y$16)</formula>
    </cfRule>
  </conditionalFormatting>
  <conditionalFormatting sqref="N32">
    <cfRule type="expression" priority="12565" stopIfTrue="1">
      <formula>"ISBLANK($K$185)"</formula>
    </cfRule>
    <cfRule type="expression" dxfId="8301" priority="12636">
      <formula>AND(OR(AW32=0,ISBLANK(N32)),B32&lt;&gt;"")</formula>
    </cfRule>
    <cfRule type="expression" dxfId="8300" priority="12637">
      <formula>AND(N32="NA",NOT(ISTEXT(O32)))</formula>
    </cfRule>
    <cfRule type="expression" dxfId="8299" priority="12638">
      <formula>AND(AW32&gt;5,N32="NA")</formula>
    </cfRule>
    <cfRule type="expression" dxfId="8298" priority="12639">
      <formula>AND(AW32&lt;5,N32="NA")</formula>
    </cfRule>
    <cfRule type="expression" dxfId="8297" priority="12640">
      <formula>AND(N32&lt;&gt;"NA",N32&gt;$N$16)</formula>
    </cfRule>
  </conditionalFormatting>
  <conditionalFormatting sqref="O33">
    <cfRule type="expression" priority="12473" stopIfTrue="1">
      <formula>"ISBLANK($K$185)"</formula>
    </cfRule>
    <cfRule type="expression" dxfId="8296" priority="12540">
      <formula>AND(OR(AW33=0,ISBLANK(O33)),B33&lt;&gt;"")</formula>
    </cfRule>
    <cfRule type="expression" dxfId="8295" priority="12541">
      <formula>AND(O33="NA",NOT(ISTEXT(N33)))</formula>
    </cfRule>
    <cfRule type="expression" dxfId="8294" priority="12542">
      <formula>AND(AW33&gt;5,O33="NA")</formula>
    </cfRule>
    <cfRule type="expression" dxfId="8293" priority="12543">
      <formula>AND(AW33&lt;5,O33="NA")</formula>
    </cfRule>
    <cfRule type="expression" dxfId="8292" priority="12544">
      <formula>AND(O33&lt;&gt;"NA",O33&gt;$O$16)</formula>
    </cfRule>
  </conditionalFormatting>
  <conditionalFormatting sqref="P33">
    <cfRule type="expression" priority="12472" stopIfTrue="1">
      <formula>"ISBLANK($K$185)"</formula>
    </cfRule>
    <cfRule type="expression" dxfId="8291" priority="12535">
      <formula>AND(OR(AW33=0,ISBLANK(P33)),B33&lt;&gt;"")</formula>
    </cfRule>
    <cfRule type="expression" dxfId="8290" priority="12536">
      <formula>AND(P33="NA",NOT(ISTEXT(Q33)))</formula>
    </cfRule>
    <cfRule type="expression" dxfId="8289" priority="12537">
      <formula>AND(AW33&gt;5,P33="NA")</formula>
    </cfRule>
    <cfRule type="expression" dxfId="8288" priority="12538">
      <formula>AND(AW33&lt;5,P33="NA")</formula>
    </cfRule>
    <cfRule type="expression" dxfId="8287" priority="12539">
      <formula>AND(P33&lt;&gt;"NA",P33&gt;$P$16)</formula>
    </cfRule>
  </conditionalFormatting>
  <conditionalFormatting sqref="Q33">
    <cfRule type="expression" priority="12471" stopIfTrue="1">
      <formula>"ISBLANK($K$185)"</formula>
    </cfRule>
    <cfRule type="expression" dxfId="8286" priority="12530">
      <formula>AND(OR(AW33=0,ISBLANK(Q33)),B33&lt;&gt;"")</formula>
    </cfRule>
    <cfRule type="expression" dxfId="8285" priority="12531">
      <formula>AND(Q33="NA",NOT(ISTEXT(P33)))</formula>
    </cfRule>
    <cfRule type="expression" dxfId="8284" priority="12532">
      <formula>AND(AW33&gt;5,Q33="NA")</formula>
    </cfRule>
    <cfRule type="expression" dxfId="8283" priority="12533">
      <formula>AND(AW33&lt;5,Q33="NA")</formula>
    </cfRule>
    <cfRule type="expression" dxfId="8282" priority="12534">
      <formula>AND(Q33&lt;&gt;"NA",Q33&gt;$Q$16)</formula>
    </cfRule>
  </conditionalFormatting>
  <conditionalFormatting sqref="R33">
    <cfRule type="expression" priority="12470" stopIfTrue="1">
      <formula>"ISBLANK($K$185)"</formula>
    </cfRule>
    <cfRule type="expression" dxfId="8281" priority="12525">
      <formula>AND(OR(AW33=0,ISBLANK(R33)),B33&lt;&gt;"")</formula>
    </cfRule>
    <cfRule type="expression" dxfId="8280" priority="12526">
      <formula>AND(R33="NA",NOT(ISTEXT(S33)))</formula>
    </cfRule>
    <cfRule type="expression" dxfId="8279" priority="12527">
      <formula>AND(AW33&gt;5,R33="NA")</formula>
    </cfRule>
    <cfRule type="expression" dxfId="8278" priority="12528">
      <formula>AND(AW33&lt;5,R33="NA")</formula>
    </cfRule>
    <cfRule type="expression" dxfId="8277" priority="12529">
      <formula>AND(R33&lt;&gt;"NA",R33&gt;$R$16)</formula>
    </cfRule>
  </conditionalFormatting>
  <conditionalFormatting sqref="S33">
    <cfRule type="expression" priority="12469" stopIfTrue="1">
      <formula>"ISBLANK($K$185)"</formula>
    </cfRule>
    <cfRule type="expression" dxfId="8276" priority="12520">
      <formula>AND(OR(AW33=0,ISBLANK(S33)),B33&lt;&gt;"")</formula>
    </cfRule>
    <cfRule type="expression" dxfId="8275" priority="12521">
      <formula>AND(S33="NA",NOT(ISTEXT(R33)))</formula>
    </cfRule>
    <cfRule type="expression" dxfId="8274" priority="12522">
      <formula>AND(AW33&gt;5,S33="NA")</formula>
    </cfRule>
    <cfRule type="expression" dxfId="8273" priority="12523">
      <formula>AND(AW33&lt;5,S33="NA")</formula>
    </cfRule>
    <cfRule type="expression" dxfId="8272" priority="12524">
      <formula>AND(S33&lt;&gt;"NA",S33&gt;$S$16)</formula>
    </cfRule>
  </conditionalFormatting>
  <conditionalFormatting sqref="T33">
    <cfRule type="expression" priority="12468" stopIfTrue="1">
      <formula>"ISBLANK($K$185)"</formula>
    </cfRule>
    <cfRule type="expression" dxfId="8271" priority="12515">
      <formula>AND(OR(AW33=0,ISBLANK(T33)),B33&lt;&gt;"")</formula>
    </cfRule>
    <cfRule type="expression" dxfId="8270" priority="12516">
      <formula>AND(T33="NA",NOT(ISTEXT(U33)))</formula>
    </cfRule>
    <cfRule type="expression" dxfId="8269" priority="12517">
      <formula>AND(AW33&gt;5,T33="NA")</formula>
    </cfRule>
    <cfRule type="expression" dxfId="8268" priority="12518">
      <formula>AND(AW33&lt;5,T33="NA")</formula>
    </cfRule>
    <cfRule type="expression" dxfId="8267" priority="12519">
      <formula>AND(T33&lt;&gt;"NA",T33&gt;$T$16)</formula>
    </cfRule>
  </conditionalFormatting>
  <conditionalFormatting sqref="U33">
    <cfRule type="expression" priority="12467" stopIfTrue="1">
      <formula>"ISBLANK($K$185)"</formula>
    </cfRule>
    <cfRule type="expression" dxfId="8266" priority="12510">
      <formula>AND(OR(AW33=0,ISBLANK(U33)),B33&lt;&gt;"")</formula>
    </cfRule>
    <cfRule type="expression" dxfId="8265" priority="12511">
      <formula>AND(U33="NA",NOT(ISTEXT(T33)))</formula>
    </cfRule>
    <cfRule type="expression" dxfId="8264" priority="12512">
      <formula>AND(AW33&gt;5,U33="NA")</formula>
    </cfRule>
    <cfRule type="expression" dxfId="8263" priority="12513">
      <formula>AND(AW33&lt;5,U33="NA")</formula>
    </cfRule>
    <cfRule type="expression" dxfId="8262" priority="12514">
      <formula>AND(U33&lt;&gt;"NA",U33&gt;$U$16)</formula>
    </cfRule>
  </conditionalFormatting>
  <conditionalFormatting sqref="V33">
    <cfRule type="expression" priority="12466" stopIfTrue="1">
      <formula>"ISBLANK($K$185)"</formula>
    </cfRule>
    <cfRule type="expression" dxfId="8261" priority="12505">
      <formula>AND(OR(AW33=0,ISBLANK(V33)),B33&lt;&gt;"")</formula>
    </cfRule>
    <cfRule type="expression" dxfId="8260" priority="12506">
      <formula>AND(V33="NA",NOT(ISTEXT(W33)))</formula>
    </cfRule>
    <cfRule type="expression" dxfId="8259" priority="12507">
      <formula>AND(AW33&gt;5,V33="NA")</formula>
    </cfRule>
    <cfRule type="expression" dxfId="8258" priority="12508">
      <formula>AND(AW33&lt;5,V33="NA")</formula>
    </cfRule>
    <cfRule type="expression" dxfId="8257" priority="12509">
      <formula>AND(V33&lt;&gt;"NA",V33&gt;$V$16)</formula>
    </cfRule>
  </conditionalFormatting>
  <conditionalFormatting sqref="W33">
    <cfRule type="expression" priority="12465" stopIfTrue="1">
      <formula>"ISBLANK($K$185)"</formula>
    </cfRule>
    <cfRule type="expression" dxfId="8256" priority="12500">
      <formula>AND(OR(AW33=0,ISBLANK(W33)),B33&lt;&gt;"")</formula>
    </cfRule>
    <cfRule type="expression" dxfId="8255" priority="12501">
      <formula>AND(W33="NA",NOT(ISTEXT(V33)))</formula>
    </cfRule>
    <cfRule type="expression" dxfId="8254" priority="12502">
      <formula>AND(AW33&gt;5,W33="NA")</formula>
    </cfRule>
    <cfRule type="expression" dxfId="8253" priority="12503">
      <formula>AND(AW33&lt;5,W33="NA")</formula>
    </cfRule>
    <cfRule type="expression" dxfId="8252" priority="12504">
      <formula>AND(W33&lt;&gt;"NA",W33&gt;$W$16)</formula>
    </cfRule>
  </conditionalFormatting>
  <conditionalFormatting sqref="X33">
    <cfRule type="expression" priority="12464" stopIfTrue="1">
      <formula>"ISBLANK($K$185)"</formula>
    </cfRule>
    <cfRule type="expression" dxfId="8251" priority="12495">
      <formula>AND(OR(AW33=0,ISBLANK(X33)),B33&lt;&gt;"")</formula>
    </cfRule>
    <cfRule type="expression" dxfId="8250" priority="12496">
      <formula>AND(X33="NA",NOT(ISTEXT(Y33)))</formula>
    </cfRule>
    <cfRule type="expression" dxfId="8249" priority="12497">
      <formula>AND(AW33&gt;5,X33="NA")</formula>
    </cfRule>
    <cfRule type="expression" dxfId="8248" priority="12498">
      <formula>AND(AW33&lt;5,X33="NA")</formula>
    </cfRule>
    <cfRule type="expression" dxfId="8247" priority="12499">
      <formula>AND(X33&lt;&gt;"NA",X33&gt;$Y$16)</formula>
    </cfRule>
  </conditionalFormatting>
  <conditionalFormatting sqref="Y33">
    <cfRule type="expression" priority="12463" stopIfTrue="1">
      <formula>"ISBLANK($K$185)"</formula>
    </cfRule>
    <cfRule type="expression" dxfId="8246" priority="12490">
      <formula>AND(OR(AW33=0,ISBLANK(Y33)),B33&lt;&gt;"")</formula>
    </cfRule>
    <cfRule type="expression" dxfId="8245" priority="12491">
      <formula>AND(Y33="NA",NOT(ISTEXT(X33)))</formula>
    </cfRule>
    <cfRule type="expression" dxfId="8244" priority="12492">
      <formula>AND(AW33&gt;5,Y33="NA")</formula>
    </cfRule>
    <cfRule type="expression" dxfId="8243" priority="12493">
      <formula>AND(AW33&lt;5,Y33="NA")</formula>
    </cfRule>
    <cfRule type="expression" dxfId="8242" priority="12494">
      <formula>AND(Y33&lt;&gt;"NA",Y33&gt;$Y$16)</formula>
    </cfRule>
  </conditionalFormatting>
  <conditionalFormatting sqref="N33">
    <cfRule type="expression" priority="12474" stopIfTrue="1">
      <formula>"ISBLANK($K$185)"</formula>
    </cfRule>
    <cfRule type="expression" dxfId="8241" priority="12545">
      <formula>AND(OR(AW33=0,ISBLANK(N33)),B33&lt;&gt;"")</formula>
    </cfRule>
    <cfRule type="expression" dxfId="8240" priority="12546">
      <formula>AND(N33="NA",NOT(ISTEXT(O33)))</formula>
    </cfRule>
    <cfRule type="expression" dxfId="8239" priority="12547">
      <formula>AND(AW33&gt;5,N33="NA")</formula>
    </cfRule>
    <cfRule type="expression" dxfId="8238" priority="12548">
      <formula>AND(AW33&lt;5,N33="NA")</formula>
    </cfRule>
    <cfRule type="expression" dxfId="8237" priority="12549">
      <formula>AND(N33&lt;&gt;"NA",N33&gt;$N$16)</formula>
    </cfRule>
  </conditionalFormatting>
  <conditionalFormatting sqref="O34">
    <cfRule type="expression" priority="12382" stopIfTrue="1">
      <formula>"ISBLANK($K$185)"</formula>
    </cfRule>
    <cfRule type="expression" dxfId="8236" priority="12449">
      <formula>AND(OR(AW34=0,ISBLANK(O34)),B34&lt;&gt;"")</formula>
    </cfRule>
    <cfRule type="expression" dxfId="8235" priority="12450">
      <formula>AND(O34="NA",NOT(ISTEXT(N34)))</formula>
    </cfRule>
    <cfRule type="expression" dxfId="8234" priority="12451">
      <formula>AND(AW34&gt;5,O34="NA")</formula>
    </cfRule>
    <cfRule type="expression" dxfId="8233" priority="12452">
      <formula>AND(AW34&lt;5,O34="NA")</formula>
    </cfRule>
    <cfRule type="expression" dxfId="8232" priority="12453">
      <formula>AND(O34&lt;&gt;"NA",O34&gt;$O$16)</formula>
    </cfRule>
  </conditionalFormatting>
  <conditionalFormatting sqref="P34">
    <cfRule type="expression" priority="12381" stopIfTrue="1">
      <formula>"ISBLANK($K$185)"</formula>
    </cfRule>
    <cfRule type="expression" dxfId="8231" priority="12444">
      <formula>AND(OR(AW34=0,ISBLANK(P34)),B34&lt;&gt;"")</formula>
    </cfRule>
    <cfRule type="expression" dxfId="8230" priority="12445">
      <formula>AND(P34="NA",NOT(ISTEXT(Q34)))</formula>
    </cfRule>
    <cfRule type="expression" dxfId="8229" priority="12446">
      <formula>AND(AW34&gt;5,P34="NA")</formula>
    </cfRule>
    <cfRule type="expression" dxfId="8228" priority="12447">
      <formula>AND(AW34&lt;5,P34="NA")</formula>
    </cfRule>
    <cfRule type="expression" dxfId="8227" priority="12448">
      <formula>AND(P34&lt;&gt;"NA",P34&gt;$P$16)</formula>
    </cfRule>
  </conditionalFormatting>
  <conditionalFormatting sqref="Q34">
    <cfRule type="expression" priority="12380" stopIfTrue="1">
      <formula>"ISBLANK($K$185)"</formula>
    </cfRule>
    <cfRule type="expression" dxfId="8226" priority="12439">
      <formula>AND(OR(AW34=0,ISBLANK(Q34)),B34&lt;&gt;"")</formula>
    </cfRule>
    <cfRule type="expression" dxfId="8225" priority="12440">
      <formula>AND(Q34="NA",NOT(ISTEXT(P34)))</formula>
    </cfRule>
    <cfRule type="expression" dxfId="8224" priority="12441">
      <formula>AND(AW34&gt;5,Q34="NA")</formula>
    </cfRule>
    <cfRule type="expression" dxfId="8223" priority="12442">
      <formula>AND(AW34&lt;5,Q34="NA")</formula>
    </cfRule>
    <cfRule type="expression" dxfId="8222" priority="12443">
      <formula>AND(Q34&lt;&gt;"NA",Q34&gt;$Q$16)</formula>
    </cfRule>
  </conditionalFormatting>
  <conditionalFormatting sqref="R34">
    <cfRule type="expression" priority="12379" stopIfTrue="1">
      <formula>"ISBLANK($K$185)"</formula>
    </cfRule>
    <cfRule type="expression" dxfId="8221" priority="12434">
      <formula>AND(OR(AW34=0,ISBLANK(R34)),B34&lt;&gt;"")</formula>
    </cfRule>
    <cfRule type="expression" dxfId="8220" priority="12435">
      <formula>AND(R34="NA",NOT(ISTEXT(S34)))</formula>
    </cfRule>
    <cfRule type="expression" dxfId="8219" priority="12436">
      <formula>AND(AW34&gt;5,R34="NA")</formula>
    </cfRule>
    <cfRule type="expression" dxfId="8218" priority="12437">
      <formula>AND(AW34&lt;5,R34="NA")</formula>
    </cfRule>
    <cfRule type="expression" dxfId="8217" priority="12438">
      <formula>AND(R34&lt;&gt;"NA",R34&gt;$R$16)</formula>
    </cfRule>
  </conditionalFormatting>
  <conditionalFormatting sqref="S34">
    <cfRule type="expression" priority="12378" stopIfTrue="1">
      <formula>"ISBLANK($K$185)"</formula>
    </cfRule>
    <cfRule type="expression" dxfId="8216" priority="12429">
      <formula>AND(OR(AW34=0,ISBLANK(S34)),B34&lt;&gt;"")</formula>
    </cfRule>
    <cfRule type="expression" dxfId="8215" priority="12430">
      <formula>AND(S34="NA",NOT(ISTEXT(R34)))</formula>
    </cfRule>
    <cfRule type="expression" dxfId="8214" priority="12431">
      <formula>AND(AW34&gt;5,S34="NA")</formula>
    </cfRule>
    <cfRule type="expression" dxfId="8213" priority="12432">
      <formula>AND(AW34&lt;5,S34="NA")</formula>
    </cfRule>
    <cfRule type="expression" dxfId="8212" priority="12433">
      <formula>AND(S34&lt;&gt;"NA",S34&gt;$S$16)</formula>
    </cfRule>
  </conditionalFormatting>
  <conditionalFormatting sqref="T34">
    <cfRule type="expression" priority="12377" stopIfTrue="1">
      <formula>"ISBLANK($K$185)"</formula>
    </cfRule>
    <cfRule type="expression" dxfId="8211" priority="12424">
      <formula>AND(OR(AW34=0,ISBLANK(T34)),B34&lt;&gt;"")</formula>
    </cfRule>
    <cfRule type="expression" dxfId="8210" priority="12425">
      <formula>AND(T34="NA",NOT(ISTEXT(U34)))</formula>
    </cfRule>
    <cfRule type="expression" dxfId="8209" priority="12426">
      <formula>AND(AW34&gt;5,T34="NA")</formula>
    </cfRule>
    <cfRule type="expression" dxfId="8208" priority="12427">
      <formula>AND(AW34&lt;5,T34="NA")</formula>
    </cfRule>
    <cfRule type="expression" dxfId="8207" priority="12428">
      <formula>AND(T34&lt;&gt;"NA",T34&gt;$T$16)</formula>
    </cfRule>
  </conditionalFormatting>
  <conditionalFormatting sqref="U34">
    <cfRule type="expression" priority="12376" stopIfTrue="1">
      <formula>"ISBLANK($K$185)"</formula>
    </cfRule>
    <cfRule type="expression" dxfId="8206" priority="12419">
      <formula>AND(OR(AW34=0,ISBLANK(U34)),B34&lt;&gt;"")</formula>
    </cfRule>
    <cfRule type="expression" dxfId="8205" priority="12420">
      <formula>AND(U34="NA",NOT(ISTEXT(T34)))</formula>
    </cfRule>
    <cfRule type="expression" dxfId="8204" priority="12421">
      <formula>AND(AW34&gt;5,U34="NA")</formula>
    </cfRule>
    <cfRule type="expression" dxfId="8203" priority="12422">
      <formula>AND(AW34&lt;5,U34="NA")</formula>
    </cfRule>
    <cfRule type="expression" dxfId="8202" priority="12423">
      <formula>AND(U34&lt;&gt;"NA",U34&gt;$U$16)</formula>
    </cfRule>
  </conditionalFormatting>
  <conditionalFormatting sqref="V34">
    <cfRule type="expression" priority="12375" stopIfTrue="1">
      <formula>"ISBLANK($K$185)"</formula>
    </cfRule>
    <cfRule type="expression" dxfId="8201" priority="12414">
      <formula>AND(OR(AW34=0,ISBLANK(V34)),B34&lt;&gt;"")</formula>
    </cfRule>
    <cfRule type="expression" dxfId="8200" priority="12415">
      <formula>AND(V34="NA",NOT(ISTEXT(W34)))</formula>
    </cfRule>
    <cfRule type="expression" dxfId="8199" priority="12416">
      <formula>AND(AW34&gt;5,V34="NA")</formula>
    </cfRule>
    <cfRule type="expression" dxfId="8198" priority="12417">
      <formula>AND(AW34&lt;5,V34="NA")</formula>
    </cfRule>
    <cfRule type="expression" dxfId="8197" priority="12418">
      <formula>AND(V34&lt;&gt;"NA",V34&gt;$V$16)</formula>
    </cfRule>
  </conditionalFormatting>
  <conditionalFormatting sqref="W34">
    <cfRule type="expression" priority="12374" stopIfTrue="1">
      <formula>"ISBLANK($K$185)"</formula>
    </cfRule>
    <cfRule type="expression" dxfId="8196" priority="12409">
      <formula>AND(OR(AW34=0,ISBLANK(W34)),B34&lt;&gt;"")</formula>
    </cfRule>
    <cfRule type="expression" dxfId="8195" priority="12410">
      <formula>AND(W34="NA",NOT(ISTEXT(V34)))</formula>
    </cfRule>
    <cfRule type="expression" dxfId="8194" priority="12411">
      <formula>AND(AW34&gt;5,W34="NA")</formula>
    </cfRule>
    <cfRule type="expression" dxfId="8193" priority="12412">
      <formula>AND(AW34&lt;5,W34="NA")</formula>
    </cfRule>
    <cfRule type="expression" dxfId="8192" priority="12413">
      <formula>AND(W34&lt;&gt;"NA",W34&gt;$W$16)</formula>
    </cfRule>
  </conditionalFormatting>
  <conditionalFormatting sqref="X34">
    <cfRule type="expression" priority="12373" stopIfTrue="1">
      <formula>"ISBLANK($K$185)"</formula>
    </cfRule>
    <cfRule type="expression" dxfId="8191" priority="12404">
      <formula>AND(OR(AW34=0,ISBLANK(X34)),B34&lt;&gt;"")</formula>
    </cfRule>
    <cfRule type="expression" dxfId="8190" priority="12405">
      <formula>AND(X34="NA",NOT(ISTEXT(Y34)))</formula>
    </cfRule>
    <cfRule type="expression" dxfId="8189" priority="12406">
      <formula>AND(AW34&gt;5,X34="NA")</formula>
    </cfRule>
    <cfRule type="expression" dxfId="8188" priority="12407">
      <formula>AND(AW34&lt;5,X34="NA")</formula>
    </cfRule>
    <cfRule type="expression" dxfId="8187" priority="12408">
      <formula>AND(X34&lt;&gt;"NA",X34&gt;$Y$16)</formula>
    </cfRule>
  </conditionalFormatting>
  <conditionalFormatting sqref="Y34">
    <cfRule type="expression" priority="12372" stopIfTrue="1">
      <formula>"ISBLANK($K$185)"</formula>
    </cfRule>
    <cfRule type="expression" dxfId="8186" priority="12399">
      <formula>AND(OR(AW34=0,ISBLANK(Y34)),B34&lt;&gt;"")</formula>
    </cfRule>
    <cfRule type="expression" dxfId="8185" priority="12400">
      <formula>AND(Y34="NA",NOT(ISTEXT(X34)))</formula>
    </cfRule>
    <cfRule type="expression" dxfId="8184" priority="12401">
      <formula>AND(AW34&gt;5,Y34="NA")</formula>
    </cfRule>
    <cfRule type="expression" dxfId="8183" priority="12402">
      <formula>AND(AW34&lt;5,Y34="NA")</formula>
    </cfRule>
    <cfRule type="expression" dxfId="8182" priority="12403">
      <formula>AND(Y34&lt;&gt;"NA",Y34&gt;$Y$16)</formula>
    </cfRule>
  </conditionalFormatting>
  <conditionalFormatting sqref="N34">
    <cfRule type="expression" priority="12383" stopIfTrue="1">
      <formula>"ISBLANK($K$185)"</formula>
    </cfRule>
    <cfRule type="expression" dxfId="8181" priority="12454">
      <formula>AND(OR(AW34=0,ISBLANK(N34)),B34&lt;&gt;"")</formula>
    </cfRule>
    <cfRule type="expression" dxfId="8180" priority="12455">
      <formula>AND(N34="NA",NOT(ISTEXT(O34)))</formula>
    </cfRule>
    <cfRule type="expression" dxfId="8179" priority="12456">
      <formula>AND(AW34&gt;5,N34="NA")</formula>
    </cfRule>
    <cfRule type="expression" dxfId="8178" priority="12457">
      <formula>AND(AW34&lt;5,N34="NA")</formula>
    </cfRule>
    <cfRule type="expression" dxfId="8177" priority="12458">
      <formula>AND(N34&lt;&gt;"NA",N34&gt;$N$16)</formula>
    </cfRule>
  </conditionalFormatting>
  <conditionalFormatting sqref="O35">
    <cfRule type="expression" priority="12291" stopIfTrue="1">
      <formula>"ISBLANK($K$185)"</formula>
    </cfRule>
    <cfRule type="expression" dxfId="8176" priority="12358">
      <formula>AND(OR(AW35=0,ISBLANK(O35)),B35&lt;&gt;"")</formula>
    </cfRule>
    <cfRule type="expression" dxfId="8175" priority="12359">
      <formula>AND(O35="NA",NOT(ISTEXT(N35)))</formula>
    </cfRule>
    <cfRule type="expression" dxfId="8174" priority="12360">
      <formula>AND(AW35&gt;5,O35="NA")</formula>
    </cfRule>
    <cfRule type="expression" dxfId="8173" priority="12361">
      <formula>AND(AW35&lt;5,O35="NA")</formula>
    </cfRule>
    <cfRule type="expression" dxfId="8172" priority="12362">
      <formula>AND(O35&lt;&gt;"NA",O35&gt;$O$16)</formula>
    </cfRule>
  </conditionalFormatting>
  <conditionalFormatting sqref="P35">
    <cfRule type="expression" priority="12290" stopIfTrue="1">
      <formula>"ISBLANK($K$185)"</formula>
    </cfRule>
    <cfRule type="expression" dxfId="8171" priority="12353">
      <formula>AND(OR(AW35=0,ISBLANK(P35)),B35&lt;&gt;"")</formula>
    </cfRule>
    <cfRule type="expression" dxfId="8170" priority="12354">
      <formula>AND(P35="NA",NOT(ISTEXT(Q35)))</formula>
    </cfRule>
    <cfRule type="expression" dxfId="8169" priority="12355">
      <formula>AND(AW35&gt;5,P35="NA")</formula>
    </cfRule>
    <cfRule type="expression" dxfId="8168" priority="12356">
      <formula>AND(AW35&lt;5,P35="NA")</formula>
    </cfRule>
    <cfRule type="expression" dxfId="8167" priority="12357">
      <formula>AND(P35&lt;&gt;"NA",P35&gt;$P$16)</formula>
    </cfRule>
  </conditionalFormatting>
  <conditionalFormatting sqref="Q35">
    <cfRule type="expression" priority="12289" stopIfTrue="1">
      <formula>"ISBLANK($K$185)"</formula>
    </cfRule>
    <cfRule type="expression" dxfId="8166" priority="12348">
      <formula>AND(OR(AW35=0,ISBLANK(Q35)),B35&lt;&gt;"")</formula>
    </cfRule>
    <cfRule type="expression" dxfId="8165" priority="12349">
      <formula>AND(Q35="NA",NOT(ISTEXT(P35)))</formula>
    </cfRule>
    <cfRule type="expression" dxfId="8164" priority="12350">
      <formula>AND(AW35&gt;5,Q35="NA")</formula>
    </cfRule>
    <cfRule type="expression" dxfId="8163" priority="12351">
      <formula>AND(AW35&lt;5,Q35="NA")</formula>
    </cfRule>
    <cfRule type="expression" dxfId="8162" priority="12352">
      <formula>AND(Q35&lt;&gt;"NA",Q35&gt;$Q$16)</formula>
    </cfRule>
  </conditionalFormatting>
  <conditionalFormatting sqref="R35">
    <cfRule type="expression" priority="12288" stopIfTrue="1">
      <formula>"ISBLANK($K$185)"</formula>
    </cfRule>
    <cfRule type="expression" dxfId="8161" priority="12343">
      <formula>AND(OR(AW35=0,ISBLANK(R35)),B35&lt;&gt;"")</formula>
    </cfRule>
    <cfRule type="expression" dxfId="8160" priority="12344">
      <formula>AND(R35="NA",NOT(ISTEXT(S35)))</formula>
    </cfRule>
    <cfRule type="expression" dxfId="8159" priority="12345">
      <formula>AND(AW35&gt;5,R35="NA")</formula>
    </cfRule>
    <cfRule type="expression" dxfId="8158" priority="12346">
      <formula>AND(AW35&lt;5,R35="NA")</formula>
    </cfRule>
    <cfRule type="expression" dxfId="8157" priority="12347">
      <formula>AND(R35&lt;&gt;"NA",R35&gt;$R$16)</formula>
    </cfRule>
  </conditionalFormatting>
  <conditionalFormatting sqref="S35">
    <cfRule type="expression" priority="12287" stopIfTrue="1">
      <formula>"ISBLANK($K$185)"</formula>
    </cfRule>
    <cfRule type="expression" dxfId="8156" priority="12338">
      <formula>AND(OR(AW35=0,ISBLANK(S35)),B35&lt;&gt;"")</formula>
    </cfRule>
    <cfRule type="expression" dxfId="8155" priority="12339">
      <formula>AND(S35="NA",NOT(ISTEXT(R35)))</formula>
    </cfRule>
    <cfRule type="expression" dxfId="8154" priority="12340">
      <formula>AND(AW35&gt;5,S35="NA")</formula>
    </cfRule>
    <cfRule type="expression" dxfId="8153" priority="12341">
      <formula>AND(AW35&lt;5,S35="NA")</formula>
    </cfRule>
    <cfRule type="expression" dxfId="8152" priority="12342">
      <formula>AND(S35&lt;&gt;"NA",S35&gt;$S$16)</formula>
    </cfRule>
  </conditionalFormatting>
  <conditionalFormatting sqref="T35">
    <cfRule type="expression" priority="12286" stopIfTrue="1">
      <formula>"ISBLANK($K$185)"</formula>
    </cfRule>
    <cfRule type="expression" dxfId="8151" priority="12333">
      <formula>AND(OR(AW35=0,ISBLANK(T35)),B35&lt;&gt;"")</formula>
    </cfRule>
    <cfRule type="expression" dxfId="8150" priority="12334">
      <formula>AND(T35="NA",NOT(ISTEXT(U35)))</formula>
    </cfRule>
    <cfRule type="expression" dxfId="8149" priority="12335">
      <formula>AND(AW35&gt;5,T35="NA")</formula>
    </cfRule>
    <cfRule type="expression" dxfId="8148" priority="12336">
      <formula>AND(AW35&lt;5,T35="NA")</formula>
    </cfRule>
    <cfRule type="expression" dxfId="8147" priority="12337">
      <formula>AND(T35&lt;&gt;"NA",T35&gt;$T$16)</formula>
    </cfRule>
  </conditionalFormatting>
  <conditionalFormatting sqref="U35">
    <cfRule type="expression" priority="12285" stopIfTrue="1">
      <formula>"ISBLANK($K$185)"</formula>
    </cfRule>
    <cfRule type="expression" dxfId="8146" priority="12328">
      <formula>AND(OR(AW35=0,ISBLANK(U35)),B35&lt;&gt;"")</formula>
    </cfRule>
    <cfRule type="expression" dxfId="8145" priority="12329">
      <formula>AND(U35="NA",NOT(ISTEXT(T35)))</formula>
    </cfRule>
    <cfRule type="expression" dxfId="8144" priority="12330">
      <formula>AND(AW35&gt;5,U35="NA")</formula>
    </cfRule>
    <cfRule type="expression" dxfId="8143" priority="12331">
      <formula>AND(AW35&lt;5,U35="NA")</formula>
    </cfRule>
    <cfRule type="expression" dxfId="8142" priority="12332">
      <formula>AND(U35&lt;&gt;"NA",U35&gt;$U$16)</formula>
    </cfRule>
  </conditionalFormatting>
  <conditionalFormatting sqref="V35">
    <cfRule type="expression" priority="12284" stopIfTrue="1">
      <formula>"ISBLANK($K$185)"</formula>
    </cfRule>
    <cfRule type="expression" dxfId="8141" priority="12323">
      <formula>AND(OR(AW35=0,ISBLANK(V35)),B35&lt;&gt;"")</formula>
    </cfRule>
    <cfRule type="expression" dxfId="8140" priority="12324">
      <formula>AND(V35="NA",NOT(ISTEXT(W35)))</formula>
    </cfRule>
    <cfRule type="expression" dxfId="8139" priority="12325">
      <formula>AND(AW35&gt;5,V35="NA")</formula>
    </cfRule>
    <cfRule type="expression" dxfId="8138" priority="12326">
      <formula>AND(AW35&lt;5,V35="NA")</formula>
    </cfRule>
    <cfRule type="expression" dxfId="8137" priority="12327">
      <formula>AND(V35&lt;&gt;"NA",V35&gt;$V$16)</formula>
    </cfRule>
  </conditionalFormatting>
  <conditionalFormatting sqref="W35">
    <cfRule type="expression" priority="12283" stopIfTrue="1">
      <formula>"ISBLANK($K$185)"</formula>
    </cfRule>
    <cfRule type="expression" dxfId="8136" priority="12318">
      <formula>AND(OR(AW35=0,ISBLANK(W35)),B35&lt;&gt;"")</formula>
    </cfRule>
    <cfRule type="expression" dxfId="8135" priority="12319">
      <formula>AND(W35="NA",NOT(ISTEXT(V35)))</formula>
    </cfRule>
    <cfRule type="expression" dxfId="8134" priority="12320">
      <formula>AND(AW35&gt;5,W35="NA")</formula>
    </cfRule>
    <cfRule type="expression" dxfId="8133" priority="12321">
      <formula>AND(AW35&lt;5,W35="NA")</formula>
    </cfRule>
    <cfRule type="expression" dxfId="8132" priority="12322">
      <formula>AND(W35&lt;&gt;"NA",W35&gt;$W$16)</formula>
    </cfRule>
  </conditionalFormatting>
  <conditionalFormatting sqref="X35">
    <cfRule type="expression" priority="12282" stopIfTrue="1">
      <formula>"ISBLANK($K$185)"</formula>
    </cfRule>
    <cfRule type="expression" dxfId="8131" priority="12313">
      <formula>AND(OR(AW35=0,ISBLANK(X35)),B35&lt;&gt;"")</formula>
    </cfRule>
    <cfRule type="expression" dxfId="8130" priority="12314">
      <formula>AND(X35="NA",NOT(ISTEXT(Y35)))</formula>
    </cfRule>
    <cfRule type="expression" dxfId="8129" priority="12315">
      <formula>AND(AW35&gt;5,X35="NA")</formula>
    </cfRule>
    <cfRule type="expression" dxfId="8128" priority="12316">
      <formula>AND(AW35&lt;5,X35="NA")</formula>
    </cfRule>
    <cfRule type="expression" dxfId="8127" priority="12317">
      <formula>AND(X35&lt;&gt;"NA",X35&gt;$Y$16)</formula>
    </cfRule>
  </conditionalFormatting>
  <conditionalFormatting sqref="Y35">
    <cfRule type="expression" priority="12281" stopIfTrue="1">
      <formula>"ISBLANK($K$185)"</formula>
    </cfRule>
    <cfRule type="expression" dxfId="8126" priority="12308">
      <formula>AND(OR(AW35=0,ISBLANK(Y35)),B35&lt;&gt;"")</formula>
    </cfRule>
    <cfRule type="expression" dxfId="8125" priority="12309">
      <formula>AND(Y35="NA",NOT(ISTEXT(X35)))</formula>
    </cfRule>
    <cfRule type="expression" dxfId="8124" priority="12310">
      <formula>AND(AW35&gt;5,Y35="NA")</formula>
    </cfRule>
    <cfRule type="expression" dxfId="8123" priority="12311">
      <formula>AND(AW35&lt;5,Y35="NA")</formula>
    </cfRule>
    <cfRule type="expression" dxfId="8122" priority="12312">
      <formula>AND(Y35&lt;&gt;"NA",Y35&gt;$Y$16)</formula>
    </cfRule>
  </conditionalFormatting>
  <conditionalFormatting sqref="N35">
    <cfRule type="expression" priority="12292" stopIfTrue="1">
      <formula>"ISBLANK($K$185)"</formula>
    </cfRule>
    <cfRule type="expression" dxfId="8121" priority="12363">
      <formula>AND(OR(AW35=0,ISBLANK(N35)),B35&lt;&gt;"")</formula>
    </cfRule>
    <cfRule type="expression" dxfId="8120" priority="12364">
      <formula>AND(N35="NA",NOT(ISTEXT(O35)))</formula>
    </cfRule>
    <cfRule type="expression" dxfId="8119" priority="12365">
      <formula>AND(AW35&gt;5,N35="NA")</formula>
    </cfRule>
    <cfRule type="expression" dxfId="8118" priority="12366">
      <formula>AND(AW35&lt;5,N35="NA")</formula>
    </cfRule>
    <cfRule type="expression" dxfId="8117" priority="12367">
      <formula>AND(N35&lt;&gt;"NA",N35&gt;$N$16)</formula>
    </cfRule>
  </conditionalFormatting>
  <conditionalFormatting sqref="O36">
    <cfRule type="expression" priority="12200" stopIfTrue="1">
      <formula>"ISBLANK($K$185)"</formula>
    </cfRule>
    <cfRule type="expression" dxfId="8116" priority="12267">
      <formula>AND(OR(AW36=0,ISBLANK(O36)),B36&lt;&gt;"")</formula>
    </cfRule>
    <cfRule type="expression" dxfId="8115" priority="12268">
      <formula>AND(O36="NA",NOT(ISTEXT(N36)))</formula>
    </cfRule>
    <cfRule type="expression" dxfId="8114" priority="12269">
      <formula>AND(AW36&gt;5,O36="NA")</formula>
    </cfRule>
    <cfRule type="expression" dxfId="8113" priority="12270">
      <formula>AND(AW36&lt;5,O36="NA")</formula>
    </cfRule>
    <cfRule type="expression" dxfId="8112" priority="12271">
      <formula>AND(O36&lt;&gt;"NA",O36&gt;$O$16)</formula>
    </cfRule>
  </conditionalFormatting>
  <conditionalFormatting sqref="P36">
    <cfRule type="expression" priority="12199" stopIfTrue="1">
      <formula>"ISBLANK($K$185)"</formula>
    </cfRule>
    <cfRule type="expression" dxfId="8111" priority="12262">
      <formula>AND(OR(AW36=0,ISBLANK(P36)),B36&lt;&gt;"")</formula>
    </cfRule>
    <cfRule type="expression" dxfId="8110" priority="12263">
      <formula>AND(P36="NA",NOT(ISTEXT(Q36)))</formula>
    </cfRule>
    <cfRule type="expression" dxfId="8109" priority="12264">
      <formula>AND(AW36&gt;5,P36="NA")</formula>
    </cfRule>
    <cfRule type="expression" dxfId="8108" priority="12265">
      <formula>AND(AW36&lt;5,P36="NA")</formula>
    </cfRule>
    <cfRule type="expression" dxfId="8107" priority="12266">
      <formula>AND(P36&lt;&gt;"NA",P36&gt;$P$16)</formula>
    </cfRule>
  </conditionalFormatting>
  <conditionalFormatting sqref="Q36">
    <cfRule type="expression" priority="12198" stopIfTrue="1">
      <formula>"ISBLANK($K$185)"</formula>
    </cfRule>
    <cfRule type="expression" dxfId="8106" priority="12257">
      <formula>AND(OR(AW36=0,ISBLANK(Q36)),B36&lt;&gt;"")</formula>
    </cfRule>
    <cfRule type="expression" dxfId="8105" priority="12258">
      <formula>AND(Q36="NA",NOT(ISTEXT(P36)))</formula>
    </cfRule>
    <cfRule type="expression" dxfId="8104" priority="12259">
      <formula>AND(AW36&gt;5,Q36="NA")</formula>
    </cfRule>
    <cfRule type="expression" dxfId="8103" priority="12260">
      <formula>AND(AW36&lt;5,Q36="NA")</formula>
    </cfRule>
    <cfRule type="expression" dxfId="8102" priority="12261">
      <formula>AND(Q36&lt;&gt;"NA",Q36&gt;$Q$16)</formula>
    </cfRule>
  </conditionalFormatting>
  <conditionalFormatting sqref="R36">
    <cfRule type="expression" priority="12197" stopIfTrue="1">
      <formula>"ISBLANK($K$185)"</formula>
    </cfRule>
    <cfRule type="expression" dxfId="8101" priority="12252">
      <formula>AND(OR(AW36=0,ISBLANK(R36)),B36&lt;&gt;"")</formula>
    </cfRule>
    <cfRule type="expression" dxfId="8100" priority="12253">
      <formula>AND(R36="NA",NOT(ISTEXT(S36)))</formula>
    </cfRule>
    <cfRule type="expression" dxfId="8099" priority="12254">
      <formula>AND(AW36&gt;5,R36="NA")</formula>
    </cfRule>
    <cfRule type="expression" dxfId="8098" priority="12255">
      <formula>AND(AW36&lt;5,R36="NA")</formula>
    </cfRule>
    <cfRule type="expression" dxfId="8097" priority="12256">
      <formula>AND(R36&lt;&gt;"NA",R36&gt;$R$16)</formula>
    </cfRule>
  </conditionalFormatting>
  <conditionalFormatting sqref="S36">
    <cfRule type="expression" priority="12196" stopIfTrue="1">
      <formula>"ISBLANK($K$185)"</formula>
    </cfRule>
    <cfRule type="expression" dxfId="8096" priority="12247">
      <formula>AND(OR(AW36=0,ISBLANK(S36)),B36&lt;&gt;"")</formula>
    </cfRule>
    <cfRule type="expression" dxfId="8095" priority="12248">
      <formula>AND(S36="NA",NOT(ISTEXT(R36)))</formula>
    </cfRule>
    <cfRule type="expression" dxfId="8094" priority="12249">
      <formula>AND(AW36&gt;5,S36="NA")</formula>
    </cfRule>
    <cfRule type="expression" dxfId="8093" priority="12250">
      <formula>AND(AW36&lt;5,S36="NA")</formula>
    </cfRule>
    <cfRule type="expression" dxfId="8092" priority="12251">
      <formula>AND(S36&lt;&gt;"NA",S36&gt;$S$16)</formula>
    </cfRule>
  </conditionalFormatting>
  <conditionalFormatting sqref="T36">
    <cfRule type="expression" priority="12195" stopIfTrue="1">
      <formula>"ISBLANK($K$185)"</formula>
    </cfRule>
    <cfRule type="expression" dxfId="8091" priority="12242">
      <formula>AND(OR(AW36=0,ISBLANK(T36)),B36&lt;&gt;"")</formula>
    </cfRule>
    <cfRule type="expression" dxfId="8090" priority="12243">
      <formula>AND(T36="NA",NOT(ISTEXT(U36)))</formula>
    </cfRule>
    <cfRule type="expression" dxfId="8089" priority="12244">
      <formula>AND(AW36&gt;5,T36="NA")</formula>
    </cfRule>
    <cfRule type="expression" dxfId="8088" priority="12245">
      <formula>AND(AW36&lt;5,T36="NA")</formula>
    </cfRule>
    <cfRule type="expression" dxfId="8087" priority="12246">
      <formula>AND(T36&lt;&gt;"NA",T36&gt;$T$16)</formula>
    </cfRule>
  </conditionalFormatting>
  <conditionalFormatting sqref="U36">
    <cfRule type="expression" priority="12194" stopIfTrue="1">
      <formula>"ISBLANK($K$185)"</formula>
    </cfRule>
    <cfRule type="expression" dxfId="8086" priority="12237">
      <formula>AND(OR(AW36=0,ISBLANK(U36)),B36&lt;&gt;"")</formula>
    </cfRule>
    <cfRule type="expression" dxfId="8085" priority="12238">
      <formula>AND(U36="NA",NOT(ISTEXT(T36)))</formula>
    </cfRule>
    <cfRule type="expression" dxfId="8084" priority="12239">
      <formula>AND(AW36&gt;5,U36="NA")</formula>
    </cfRule>
    <cfRule type="expression" dxfId="8083" priority="12240">
      <formula>AND(AW36&lt;5,U36="NA")</formula>
    </cfRule>
    <cfRule type="expression" dxfId="8082" priority="12241">
      <formula>AND(U36&lt;&gt;"NA",U36&gt;$U$16)</formula>
    </cfRule>
  </conditionalFormatting>
  <conditionalFormatting sqref="V36">
    <cfRule type="expression" priority="12193" stopIfTrue="1">
      <formula>"ISBLANK($K$185)"</formula>
    </cfRule>
    <cfRule type="expression" dxfId="8081" priority="12232">
      <formula>AND(OR(AW36=0,ISBLANK(V36)),B36&lt;&gt;"")</formula>
    </cfRule>
    <cfRule type="expression" dxfId="8080" priority="12233">
      <formula>AND(V36="NA",NOT(ISTEXT(W36)))</formula>
    </cfRule>
    <cfRule type="expression" dxfId="8079" priority="12234">
      <formula>AND(AW36&gt;5,V36="NA")</formula>
    </cfRule>
    <cfRule type="expression" dxfId="8078" priority="12235">
      <formula>AND(AW36&lt;5,V36="NA")</formula>
    </cfRule>
    <cfRule type="expression" dxfId="8077" priority="12236">
      <formula>AND(V36&lt;&gt;"NA",V36&gt;$V$16)</formula>
    </cfRule>
  </conditionalFormatting>
  <conditionalFormatting sqref="W36">
    <cfRule type="expression" priority="12192" stopIfTrue="1">
      <formula>"ISBLANK($K$185)"</formula>
    </cfRule>
    <cfRule type="expression" dxfId="8076" priority="12227">
      <formula>AND(OR(AW36=0,ISBLANK(W36)),B36&lt;&gt;"")</formula>
    </cfRule>
    <cfRule type="expression" dxfId="8075" priority="12228">
      <formula>AND(W36="NA",NOT(ISTEXT(V36)))</formula>
    </cfRule>
    <cfRule type="expression" dxfId="8074" priority="12229">
      <formula>AND(AW36&gt;5,W36="NA")</formula>
    </cfRule>
    <cfRule type="expression" dxfId="8073" priority="12230">
      <formula>AND(AW36&lt;5,W36="NA")</formula>
    </cfRule>
    <cfRule type="expression" dxfId="8072" priority="12231">
      <formula>AND(W36&lt;&gt;"NA",W36&gt;$W$16)</formula>
    </cfRule>
  </conditionalFormatting>
  <conditionalFormatting sqref="X36">
    <cfRule type="expression" priority="12191" stopIfTrue="1">
      <formula>"ISBLANK($K$185)"</formula>
    </cfRule>
    <cfRule type="expression" dxfId="8071" priority="12222">
      <formula>AND(OR(AW36=0,ISBLANK(X36)),B36&lt;&gt;"")</formula>
    </cfRule>
    <cfRule type="expression" dxfId="8070" priority="12223">
      <formula>AND(X36="NA",NOT(ISTEXT(Y36)))</formula>
    </cfRule>
    <cfRule type="expression" dxfId="8069" priority="12224">
      <formula>AND(AW36&gt;5,X36="NA")</formula>
    </cfRule>
    <cfRule type="expression" dxfId="8068" priority="12225">
      <formula>AND(AW36&lt;5,X36="NA")</formula>
    </cfRule>
    <cfRule type="expression" dxfId="8067" priority="12226">
      <formula>AND(X36&lt;&gt;"NA",X36&gt;$Y$16)</formula>
    </cfRule>
  </conditionalFormatting>
  <conditionalFormatting sqref="Y36">
    <cfRule type="expression" priority="12190" stopIfTrue="1">
      <formula>"ISBLANK($K$185)"</formula>
    </cfRule>
    <cfRule type="expression" dxfId="8066" priority="12217">
      <formula>AND(OR(AW36=0,ISBLANK(Y36)),B36&lt;&gt;"")</formula>
    </cfRule>
    <cfRule type="expression" dxfId="8065" priority="12218">
      <formula>AND(Y36="NA",NOT(ISTEXT(X36)))</formula>
    </cfRule>
    <cfRule type="expression" dxfId="8064" priority="12219">
      <formula>AND(AW36&gt;5,Y36="NA")</formula>
    </cfRule>
    <cfRule type="expression" dxfId="8063" priority="12220">
      <formula>AND(AW36&lt;5,Y36="NA")</formula>
    </cfRule>
    <cfRule type="expression" dxfId="8062" priority="12221">
      <formula>AND(Y36&lt;&gt;"NA",Y36&gt;$Y$16)</formula>
    </cfRule>
  </conditionalFormatting>
  <conditionalFormatting sqref="N36">
    <cfRule type="expression" priority="12201" stopIfTrue="1">
      <formula>"ISBLANK($K$185)"</formula>
    </cfRule>
    <cfRule type="expression" dxfId="8061" priority="12272">
      <formula>AND(OR(AW36=0,ISBLANK(N36)),B36&lt;&gt;"")</formula>
    </cfRule>
    <cfRule type="expression" dxfId="8060" priority="12273">
      <formula>AND(N36="NA",NOT(ISTEXT(O36)))</formula>
    </cfRule>
    <cfRule type="expression" dxfId="8059" priority="12274">
      <formula>AND(AW36&gt;5,N36="NA")</formula>
    </cfRule>
    <cfRule type="expression" dxfId="8058" priority="12275">
      <formula>AND(AW36&lt;5,N36="NA")</formula>
    </cfRule>
    <cfRule type="expression" dxfId="8057" priority="12276">
      <formula>AND(N36&lt;&gt;"NA",N36&gt;$N$16)</formula>
    </cfRule>
  </conditionalFormatting>
  <conditionalFormatting sqref="O37">
    <cfRule type="expression" priority="12109" stopIfTrue="1">
      <formula>"ISBLANK($K$185)"</formula>
    </cfRule>
    <cfRule type="expression" dxfId="8056" priority="12176">
      <formula>AND(OR(AW37=0,ISBLANK(O37)),B37&lt;&gt;"")</formula>
    </cfRule>
    <cfRule type="expression" dxfId="8055" priority="12177">
      <formula>AND(O37="NA",NOT(ISTEXT(N37)))</formula>
    </cfRule>
    <cfRule type="expression" dxfId="8054" priority="12178">
      <formula>AND(AW37&gt;5,O37="NA")</formula>
    </cfRule>
    <cfRule type="expression" dxfId="8053" priority="12179">
      <formula>AND(AW37&lt;5,O37="NA")</formula>
    </cfRule>
    <cfRule type="expression" dxfId="8052" priority="12180">
      <formula>AND(O37&lt;&gt;"NA",O37&gt;$O$16)</formula>
    </cfRule>
  </conditionalFormatting>
  <conditionalFormatting sqref="P37">
    <cfRule type="expression" priority="12108" stopIfTrue="1">
      <formula>"ISBLANK($K$185)"</formula>
    </cfRule>
    <cfRule type="expression" dxfId="8051" priority="12171">
      <formula>AND(OR(AW37=0,ISBLANK(P37)),B37&lt;&gt;"")</formula>
    </cfRule>
    <cfRule type="expression" dxfId="8050" priority="12172">
      <formula>AND(P37="NA",NOT(ISTEXT(Q37)))</formula>
    </cfRule>
    <cfRule type="expression" dxfId="8049" priority="12173">
      <formula>AND(AW37&gt;5,P37="NA")</formula>
    </cfRule>
    <cfRule type="expression" dxfId="8048" priority="12174">
      <formula>AND(AW37&lt;5,P37="NA")</formula>
    </cfRule>
    <cfRule type="expression" dxfId="8047" priority="12175">
      <formula>AND(P37&lt;&gt;"NA",P37&gt;$P$16)</formula>
    </cfRule>
  </conditionalFormatting>
  <conditionalFormatting sqref="Q37">
    <cfRule type="expression" priority="12107" stopIfTrue="1">
      <formula>"ISBLANK($K$185)"</formula>
    </cfRule>
    <cfRule type="expression" dxfId="8046" priority="12166">
      <formula>AND(OR(AW37=0,ISBLANK(Q37)),B37&lt;&gt;"")</formula>
    </cfRule>
    <cfRule type="expression" dxfId="8045" priority="12167">
      <formula>AND(Q37="NA",NOT(ISTEXT(P37)))</formula>
    </cfRule>
    <cfRule type="expression" dxfId="8044" priority="12168">
      <formula>AND(AW37&gt;5,Q37="NA")</formula>
    </cfRule>
    <cfRule type="expression" dxfId="8043" priority="12169">
      <formula>AND(AW37&lt;5,Q37="NA")</formula>
    </cfRule>
    <cfRule type="expression" dxfId="8042" priority="12170">
      <formula>AND(Q37&lt;&gt;"NA",Q37&gt;$Q$16)</formula>
    </cfRule>
  </conditionalFormatting>
  <conditionalFormatting sqref="R37">
    <cfRule type="expression" priority="12106" stopIfTrue="1">
      <formula>"ISBLANK($K$185)"</formula>
    </cfRule>
    <cfRule type="expression" dxfId="8041" priority="12161">
      <formula>AND(OR(AW37=0,ISBLANK(R37)),B37&lt;&gt;"")</formula>
    </cfRule>
    <cfRule type="expression" dxfId="8040" priority="12162">
      <formula>AND(R37="NA",NOT(ISTEXT(S37)))</formula>
    </cfRule>
    <cfRule type="expression" dxfId="8039" priority="12163">
      <formula>AND(AW37&gt;5,R37="NA")</formula>
    </cfRule>
    <cfRule type="expression" dxfId="8038" priority="12164">
      <formula>AND(AW37&lt;5,R37="NA")</formula>
    </cfRule>
    <cfRule type="expression" dxfId="8037" priority="12165">
      <formula>AND(R37&lt;&gt;"NA",R37&gt;$R$16)</formula>
    </cfRule>
  </conditionalFormatting>
  <conditionalFormatting sqref="S37">
    <cfRule type="expression" priority="12105" stopIfTrue="1">
      <formula>"ISBLANK($K$185)"</formula>
    </cfRule>
    <cfRule type="expression" dxfId="8036" priority="12156">
      <formula>AND(OR(AW37=0,ISBLANK(S37)),B37&lt;&gt;"")</formula>
    </cfRule>
    <cfRule type="expression" dxfId="8035" priority="12157">
      <formula>AND(S37="NA",NOT(ISTEXT(R37)))</formula>
    </cfRule>
    <cfRule type="expression" dxfId="8034" priority="12158">
      <formula>AND(AW37&gt;5,S37="NA")</formula>
    </cfRule>
    <cfRule type="expression" dxfId="8033" priority="12159">
      <formula>AND(AW37&lt;5,S37="NA")</formula>
    </cfRule>
    <cfRule type="expression" dxfId="8032" priority="12160">
      <formula>AND(S37&lt;&gt;"NA",S37&gt;$S$16)</formula>
    </cfRule>
  </conditionalFormatting>
  <conditionalFormatting sqref="T37">
    <cfRule type="expression" priority="12104" stopIfTrue="1">
      <formula>"ISBLANK($K$185)"</formula>
    </cfRule>
    <cfRule type="expression" dxfId="8031" priority="12151">
      <formula>AND(OR(AW37=0,ISBLANK(T37)),B37&lt;&gt;"")</formula>
    </cfRule>
    <cfRule type="expression" dxfId="8030" priority="12152">
      <formula>AND(T37="NA",NOT(ISTEXT(U37)))</formula>
    </cfRule>
    <cfRule type="expression" dxfId="8029" priority="12153">
      <formula>AND(AW37&gt;5,T37="NA")</formula>
    </cfRule>
    <cfRule type="expression" dxfId="8028" priority="12154">
      <formula>AND(AW37&lt;5,T37="NA")</formula>
    </cfRule>
    <cfRule type="expression" dxfId="8027" priority="12155">
      <formula>AND(T37&lt;&gt;"NA",T37&gt;$T$16)</formula>
    </cfRule>
  </conditionalFormatting>
  <conditionalFormatting sqref="U37">
    <cfRule type="expression" priority="12103" stopIfTrue="1">
      <formula>"ISBLANK($K$185)"</formula>
    </cfRule>
    <cfRule type="expression" dxfId="8026" priority="12146">
      <formula>AND(OR(AW37=0,ISBLANK(U37)),B37&lt;&gt;"")</formula>
    </cfRule>
    <cfRule type="expression" dxfId="8025" priority="12147">
      <formula>AND(U37="NA",NOT(ISTEXT(T37)))</formula>
    </cfRule>
    <cfRule type="expression" dxfId="8024" priority="12148">
      <formula>AND(AW37&gt;5,U37="NA")</formula>
    </cfRule>
    <cfRule type="expression" dxfId="8023" priority="12149">
      <formula>AND(AW37&lt;5,U37="NA")</formula>
    </cfRule>
    <cfRule type="expression" dxfId="8022" priority="12150">
      <formula>AND(U37&lt;&gt;"NA",U37&gt;$U$16)</formula>
    </cfRule>
  </conditionalFormatting>
  <conditionalFormatting sqref="V37">
    <cfRule type="expression" priority="12102" stopIfTrue="1">
      <formula>"ISBLANK($K$185)"</formula>
    </cfRule>
    <cfRule type="expression" dxfId="8021" priority="12141">
      <formula>AND(OR(AW37=0,ISBLANK(V37)),B37&lt;&gt;"")</formula>
    </cfRule>
    <cfRule type="expression" dxfId="8020" priority="12142">
      <formula>AND(V37="NA",NOT(ISTEXT(W37)))</formula>
    </cfRule>
    <cfRule type="expression" dxfId="8019" priority="12143">
      <formula>AND(AW37&gt;5,V37="NA")</formula>
    </cfRule>
    <cfRule type="expression" dxfId="8018" priority="12144">
      <formula>AND(AW37&lt;5,V37="NA")</formula>
    </cfRule>
    <cfRule type="expression" dxfId="8017" priority="12145">
      <formula>AND(V37&lt;&gt;"NA",V37&gt;$V$16)</formula>
    </cfRule>
  </conditionalFormatting>
  <conditionalFormatting sqref="W37">
    <cfRule type="expression" priority="12101" stopIfTrue="1">
      <formula>"ISBLANK($K$185)"</formula>
    </cfRule>
    <cfRule type="expression" dxfId="8016" priority="12136">
      <formula>AND(OR(AW37=0,ISBLANK(W37)),B37&lt;&gt;"")</formula>
    </cfRule>
    <cfRule type="expression" dxfId="8015" priority="12137">
      <formula>AND(W37="NA",NOT(ISTEXT(V37)))</formula>
    </cfRule>
    <cfRule type="expression" dxfId="8014" priority="12138">
      <formula>AND(AW37&gt;5,W37="NA")</formula>
    </cfRule>
    <cfRule type="expression" dxfId="8013" priority="12139">
      <formula>AND(AW37&lt;5,W37="NA")</formula>
    </cfRule>
    <cfRule type="expression" dxfId="8012" priority="12140">
      <formula>AND(W37&lt;&gt;"NA",W37&gt;$W$16)</formula>
    </cfRule>
  </conditionalFormatting>
  <conditionalFormatting sqref="X37">
    <cfRule type="expression" priority="12100" stopIfTrue="1">
      <formula>"ISBLANK($K$185)"</formula>
    </cfRule>
    <cfRule type="expression" dxfId="8011" priority="12131">
      <formula>AND(OR(AW37=0,ISBLANK(X37)),B37&lt;&gt;"")</formula>
    </cfRule>
    <cfRule type="expression" dxfId="8010" priority="12132">
      <formula>AND(X37="NA",NOT(ISTEXT(Y37)))</formula>
    </cfRule>
    <cfRule type="expression" dxfId="8009" priority="12133">
      <formula>AND(AW37&gt;5,X37="NA")</formula>
    </cfRule>
    <cfRule type="expression" dxfId="8008" priority="12134">
      <formula>AND(AW37&lt;5,X37="NA")</formula>
    </cfRule>
    <cfRule type="expression" dxfId="8007" priority="12135">
      <formula>AND(X37&lt;&gt;"NA",X37&gt;$Y$16)</formula>
    </cfRule>
  </conditionalFormatting>
  <conditionalFormatting sqref="Y37">
    <cfRule type="expression" priority="12099" stopIfTrue="1">
      <formula>"ISBLANK($K$185)"</formula>
    </cfRule>
    <cfRule type="expression" dxfId="8006" priority="12126">
      <formula>AND(OR(AW37=0,ISBLANK(Y37)),B37&lt;&gt;"")</formula>
    </cfRule>
    <cfRule type="expression" dxfId="8005" priority="12127">
      <formula>AND(Y37="NA",NOT(ISTEXT(X37)))</formula>
    </cfRule>
    <cfRule type="expression" dxfId="8004" priority="12128">
      <formula>AND(AW37&gt;5,Y37="NA")</formula>
    </cfRule>
    <cfRule type="expression" dxfId="8003" priority="12129">
      <formula>AND(AW37&lt;5,Y37="NA")</formula>
    </cfRule>
    <cfRule type="expression" dxfId="8002" priority="12130">
      <formula>AND(Y37&lt;&gt;"NA",Y37&gt;$Y$16)</formula>
    </cfRule>
  </conditionalFormatting>
  <conditionalFormatting sqref="N37">
    <cfRule type="expression" priority="12110" stopIfTrue="1">
      <formula>"ISBLANK($K$185)"</formula>
    </cfRule>
    <cfRule type="expression" dxfId="8001" priority="12181">
      <formula>AND(OR(AW37=0,ISBLANK(N37)),B37&lt;&gt;"")</formula>
    </cfRule>
    <cfRule type="expression" dxfId="8000" priority="12182">
      <formula>AND(N37="NA",NOT(ISTEXT(O37)))</formula>
    </cfRule>
    <cfRule type="expression" dxfId="7999" priority="12183">
      <formula>AND(AW37&gt;5,N37="NA")</formula>
    </cfRule>
    <cfRule type="expression" dxfId="7998" priority="12184">
      <formula>AND(AW37&lt;5,N37="NA")</formula>
    </cfRule>
    <cfRule type="expression" dxfId="7997" priority="12185">
      <formula>AND(N37&lt;&gt;"NA",N37&gt;$N$16)</formula>
    </cfRule>
  </conditionalFormatting>
  <conditionalFormatting sqref="O38">
    <cfRule type="expression" priority="12018" stopIfTrue="1">
      <formula>"ISBLANK($K$185)"</formula>
    </cfRule>
    <cfRule type="expression" dxfId="7996" priority="12085">
      <formula>AND(OR(AW38=0,ISBLANK(O38)),B38&lt;&gt;"")</formula>
    </cfRule>
    <cfRule type="expression" dxfId="7995" priority="12086">
      <formula>AND(O38="NA",NOT(ISTEXT(N38)))</formula>
    </cfRule>
    <cfRule type="expression" dxfId="7994" priority="12087">
      <formula>AND(AW38&gt;5,O38="NA")</formula>
    </cfRule>
    <cfRule type="expression" dxfId="7993" priority="12088">
      <formula>AND(AW38&lt;5,O38="NA")</formula>
    </cfRule>
    <cfRule type="expression" dxfId="7992" priority="12089">
      <formula>AND(O38&lt;&gt;"NA",O38&gt;$O$16)</formula>
    </cfRule>
  </conditionalFormatting>
  <conditionalFormatting sqref="P38">
    <cfRule type="expression" priority="12017" stopIfTrue="1">
      <formula>"ISBLANK($K$185)"</formula>
    </cfRule>
    <cfRule type="expression" dxfId="7991" priority="12080">
      <formula>AND(OR(AW38=0,ISBLANK(P38)),B38&lt;&gt;"")</formula>
    </cfRule>
    <cfRule type="expression" dxfId="7990" priority="12081">
      <formula>AND(P38="NA",NOT(ISTEXT(Q38)))</formula>
    </cfRule>
    <cfRule type="expression" dxfId="7989" priority="12082">
      <formula>AND(AW38&gt;5,P38="NA")</formula>
    </cfRule>
    <cfRule type="expression" dxfId="7988" priority="12083">
      <formula>AND(AW38&lt;5,P38="NA")</formula>
    </cfRule>
    <cfRule type="expression" dxfId="7987" priority="12084">
      <formula>AND(P38&lt;&gt;"NA",P38&gt;$P$16)</formula>
    </cfRule>
  </conditionalFormatting>
  <conditionalFormatting sqref="Q38">
    <cfRule type="expression" priority="12016" stopIfTrue="1">
      <formula>"ISBLANK($K$185)"</formula>
    </cfRule>
    <cfRule type="expression" dxfId="7986" priority="12075">
      <formula>AND(OR(AW38=0,ISBLANK(Q38)),B38&lt;&gt;"")</formula>
    </cfRule>
    <cfRule type="expression" dxfId="7985" priority="12076">
      <formula>AND(Q38="NA",NOT(ISTEXT(P38)))</formula>
    </cfRule>
    <cfRule type="expression" dxfId="7984" priority="12077">
      <formula>AND(AW38&gt;5,Q38="NA")</formula>
    </cfRule>
    <cfRule type="expression" dxfId="7983" priority="12078">
      <formula>AND(AW38&lt;5,Q38="NA")</formula>
    </cfRule>
    <cfRule type="expression" dxfId="7982" priority="12079">
      <formula>AND(Q38&lt;&gt;"NA",Q38&gt;$Q$16)</formula>
    </cfRule>
  </conditionalFormatting>
  <conditionalFormatting sqref="R38">
    <cfRule type="expression" priority="12015" stopIfTrue="1">
      <formula>"ISBLANK($K$185)"</formula>
    </cfRule>
    <cfRule type="expression" dxfId="7981" priority="12070">
      <formula>AND(OR(AW38=0,ISBLANK(R38)),B38&lt;&gt;"")</formula>
    </cfRule>
    <cfRule type="expression" dxfId="7980" priority="12071">
      <formula>AND(R38="NA",NOT(ISTEXT(S38)))</formula>
    </cfRule>
    <cfRule type="expression" dxfId="7979" priority="12072">
      <formula>AND(AW38&gt;5,R38="NA")</formula>
    </cfRule>
    <cfRule type="expression" dxfId="7978" priority="12073">
      <formula>AND(AW38&lt;5,R38="NA")</formula>
    </cfRule>
    <cfRule type="expression" dxfId="7977" priority="12074">
      <formula>AND(R38&lt;&gt;"NA",R38&gt;$R$16)</formula>
    </cfRule>
  </conditionalFormatting>
  <conditionalFormatting sqref="S38">
    <cfRule type="expression" priority="12014" stopIfTrue="1">
      <formula>"ISBLANK($K$185)"</formula>
    </cfRule>
    <cfRule type="expression" dxfId="7976" priority="12065">
      <formula>AND(OR(AW38=0,ISBLANK(S38)),B38&lt;&gt;"")</formula>
    </cfRule>
    <cfRule type="expression" dxfId="7975" priority="12066">
      <formula>AND(S38="NA",NOT(ISTEXT(R38)))</formula>
    </cfRule>
    <cfRule type="expression" dxfId="7974" priority="12067">
      <formula>AND(AW38&gt;5,S38="NA")</formula>
    </cfRule>
    <cfRule type="expression" dxfId="7973" priority="12068">
      <formula>AND(AW38&lt;5,S38="NA")</formula>
    </cfRule>
    <cfRule type="expression" dxfId="7972" priority="12069">
      <formula>AND(S38&lt;&gt;"NA",S38&gt;$S$16)</formula>
    </cfRule>
  </conditionalFormatting>
  <conditionalFormatting sqref="T38">
    <cfRule type="expression" priority="12013" stopIfTrue="1">
      <formula>"ISBLANK($K$185)"</formula>
    </cfRule>
    <cfRule type="expression" dxfId="7971" priority="12060">
      <formula>AND(OR(AW38=0,ISBLANK(T38)),B38&lt;&gt;"")</formula>
    </cfRule>
    <cfRule type="expression" dxfId="7970" priority="12061">
      <formula>AND(T38="NA",NOT(ISTEXT(U38)))</formula>
    </cfRule>
    <cfRule type="expression" dxfId="7969" priority="12062">
      <formula>AND(AW38&gt;5,T38="NA")</formula>
    </cfRule>
    <cfRule type="expression" dxfId="7968" priority="12063">
      <formula>AND(AW38&lt;5,T38="NA")</formula>
    </cfRule>
    <cfRule type="expression" dxfId="7967" priority="12064">
      <formula>AND(T38&lt;&gt;"NA",T38&gt;$T$16)</formula>
    </cfRule>
  </conditionalFormatting>
  <conditionalFormatting sqref="U38">
    <cfRule type="expression" priority="12012" stopIfTrue="1">
      <formula>"ISBLANK($K$185)"</formula>
    </cfRule>
    <cfRule type="expression" dxfId="7966" priority="12055">
      <formula>AND(OR(AW38=0,ISBLANK(U38)),B38&lt;&gt;"")</formula>
    </cfRule>
    <cfRule type="expression" dxfId="7965" priority="12056">
      <formula>AND(U38="NA",NOT(ISTEXT(T38)))</formula>
    </cfRule>
    <cfRule type="expression" dxfId="7964" priority="12057">
      <formula>AND(AW38&gt;5,U38="NA")</formula>
    </cfRule>
    <cfRule type="expression" dxfId="7963" priority="12058">
      <formula>AND(AW38&lt;5,U38="NA")</formula>
    </cfRule>
    <cfRule type="expression" dxfId="7962" priority="12059">
      <formula>AND(U38&lt;&gt;"NA",U38&gt;$U$16)</formula>
    </cfRule>
  </conditionalFormatting>
  <conditionalFormatting sqref="V38">
    <cfRule type="expression" priority="12011" stopIfTrue="1">
      <formula>"ISBLANK($K$185)"</formula>
    </cfRule>
    <cfRule type="expression" dxfId="7961" priority="12050">
      <formula>AND(OR(AW38=0,ISBLANK(V38)),B38&lt;&gt;"")</formula>
    </cfRule>
    <cfRule type="expression" dxfId="7960" priority="12051">
      <formula>AND(V38="NA",NOT(ISTEXT(W38)))</formula>
    </cfRule>
    <cfRule type="expression" dxfId="7959" priority="12052">
      <formula>AND(AW38&gt;5,V38="NA")</formula>
    </cfRule>
    <cfRule type="expression" dxfId="7958" priority="12053">
      <formula>AND(AW38&lt;5,V38="NA")</formula>
    </cfRule>
    <cfRule type="expression" dxfId="7957" priority="12054">
      <formula>AND(V38&lt;&gt;"NA",V38&gt;$V$16)</formula>
    </cfRule>
  </conditionalFormatting>
  <conditionalFormatting sqref="W38">
    <cfRule type="expression" priority="12010" stopIfTrue="1">
      <formula>"ISBLANK($K$185)"</formula>
    </cfRule>
    <cfRule type="expression" dxfId="7956" priority="12045">
      <formula>AND(OR(AW38=0,ISBLANK(W38)),B38&lt;&gt;"")</formula>
    </cfRule>
    <cfRule type="expression" dxfId="7955" priority="12046">
      <formula>AND(W38="NA",NOT(ISTEXT(V38)))</formula>
    </cfRule>
    <cfRule type="expression" dxfId="7954" priority="12047">
      <formula>AND(AW38&gt;5,W38="NA")</formula>
    </cfRule>
    <cfRule type="expression" dxfId="7953" priority="12048">
      <formula>AND(AW38&lt;5,W38="NA")</formula>
    </cfRule>
    <cfRule type="expression" dxfId="7952" priority="12049">
      <formula>AND(W38&lt;&gt;"NA",W38&gt;$W$16)</formula>
    </cfRule>
  </conditionalFormatting>
  <conditionalFormatting sqref="X38">
    <cfRule type="expression" priority="12009" stopIfTrue="1">
      <formula>"ISBLANK($K$185)"</formula>
    </cfRule>
    <cfRule type="expression" dxfId="7951" priority="12040">
      <formula>AND(OR(AW38=0,ISBLANK(X38)),B38&lt;&gt;"")</formula>
    </cfRule>
    <cfRule type="expression" dxfId="7950" priority="12041">
      <formula>AND(X38="NA",NOT(ISTEXT(Y38)))</formula>
    </cfRule>
    <cfRule type="expression" dxfId="7949" priority="12042">
      <formula>AND(AW38&gt;5,X38="NA")</formula>
    </cfRule>
    <cfRule type="expression" dxfId="7948" priority="12043">
      <formula>AND(AW38&lt;5,X38="NA")</formula>
    </cfRule>
    <cfRule type="expression" dxfId="7947" priority="12044">
      <formula>AND(X38&lt;&gt;"NA",X38&gt;$Y$16)</formula>
    </cfRule>
  </conditionalFormatting>
  <conditionalFormatting sqref="Y38">
    <cfRule type="expression" priority="12008" stopIfTrue="1">
      <formula>"ISBLANK($K$185)"</formula>
    </cfRule>
    <cfRule type="expression" dxfId="7946" priority="12035">
      <formula>AND(OR(AW38=0,ISBLANK(Y38)),B38&lt;&gt;"")</formula>
    </cfRule>
    <cfRule type="expression" dxfId="7945" priority="12036">
      <formula>AND(Y38="NA",NOT(ISTEXT(X38)))</formula>
    </cfRule>
    <cfRule type="expression" dxfId="7944" priority="12037">
      <formula>AND(AW38&gt;5,Y38="NA")</formula>
    </cfRule>
    <cfRule type="expression" dxfId="7943" priority="12038">
      <formula>AND(AW38&lt;5,Y38="NA")</formula>
    </cfRule>
    <cfRule type="expression" dxfId="7942" priority="12039">
      <formula>AND(Y38&lt;&gt;"NA",Y38&gt;$Y$16)</formula>
    </cfRule>
  </conditionalFormatting>
  <conditionalFormatting sqref="N38">
    <cfRule type="expression" priority="12019" stopIfTrue="1">
      <formula>"ISBLANK($K$185)"</formula>
    </cfRule>
    <cfRule type="expression" dxfId="7941" priority="12090">
      <formula>AND(OR(AW38=0,ISBLANK(N38)),B38&lt;&gt;"")</formula>
    </cfRule>
    <cfRule type="expression" dxfId="7940" priority="12091">
      <formula>AND(N38="NA",NOT(ISTEXT(O38)))</formula>
    </cfRule>
    <cfRule type="expression" dxfId="7939" priority="12092">
      <formula>AND(AW38&gt;5,N38="NA")</formula>
    </cfRule>
    <cfRule type="expression" dxfId="7938" priority="12093">
      <formula>AND(AW38&lt;5,N38="NA")</formula>
    </cfRule>
    <cfRule type="expression" dxfId="7937" priority="12094">
      <formula>AND(N38&lt;&gt;"NA",N38&gt;$N$16)</formula>
    </cfRule>
  </conditionalFormatting>
  <conditionalFormatting sqref="O39">
    <cfRule type="expression" priority="11927" stopIfTrue="1">
      <formula>"ISBLANK($K$185)"</formula>
    </cfRule>
    <cfRule type="expression" dxfId="7936" priority="11994">
      <formula>AND(OR(AW39=0,ISBLANK(O39)),B39&lt;&gt;"")</formula>
    </cfRule>
    <cfRule type="expression" dxfId="7935" priority="11995">
      <formula>AND(O39="NA",NOT(ISTEXT(N39)))</formula>
    </cfRule>
    <cfRule type="expression" dxfId="7934" priority="11996">
      <formula>AND(AW39&gt;5,O39="NA")</formula>
    </cfRule>
    <cfRule type="expression" dxfId="7933" priority="11997">
      <formula>AND(AW39&lt;5,O39="NA")</formula>
    </cfRule>
    <cfRule type="expression" dxfId="7932" priority="11998">
      <formula>AND(O39&lt;&gt;"NA",O39&gt;$O$16)</formula>
    </cfRule>
  </conditionalFormatting>
  <conditionalFormatting sqref="P39">
    <cfRule type="expression" priority="11926" stopIfTrue="1">
      <formula>"ISBLANK($K$185)"</formula>
    </cfRule>
    <cfRule type="expression" dxfId="7931" priority="11989">
      <formula>AND(OR(AW39=0,ISBLANK(P39)),B39&lt;&gt;"")</formula>
    </cfRule>
    <cfRule type="expression" dxfId="7930" priority="11990">
      <formula>AND(P39="NA",NOT(ISTEXT(Q39)))</formula>
    </cfRule>
    <cfRule type="expression" dxfId="7929" priority="11991">
      <formula>AND(AW39&gt;5,P39="NA")</formula>
    </cfRule>
    <cfRule type="expression" dxfId="7928" priority="11992">
      <formula>AND(AW39&lt;5,P39="NA")</formula>
    </cfRule>
    <cfRule type="expression" dxfId="7927" priority="11993">
      <formula>AND(P39&lt;&gt;"NA",P39&gt;$P$16)</formula>
    </cfRule>
  </conditionalFormatting>
  <conditionalFormatting sqref="Q39">
    <cfRule type="expression" priority="11925" stopIfTrue="1">
      <formula>"ISBLANK($K$185)"</formula>
    </cfRule>
    <cfRule type="expression" dxfId="7926" priority="11984">
      <formula>AND(OR(AW39=0,ISBLANK(Q39)),B39&lt;&gt;"")</formula>
    </cfRule>
    <cfRule type="expression" dxfId="7925" priority="11985">
      <formula>AND(Q39="NA",NOT(ISTEXT(P39)))</formula>
    </cfRule>
    <cfRule type="expression" dxfId="7924" priority="11986">
      <formula>AND(AW39&gt;5,Q39="NA")</formula>
    </cfRule>
    <cfRule type="expression" dxfId="7923" priority="11987">
      <formula>AND(AW39&lt;5,Q39="NA")</formula>
    </cfRule>
    <cfRule type="expression" dxfId="7922" priority="11988">
      <formula>AND(Q39&lt;&gt;"NA",Q39&gt;$Q$16)</formula>
    </cfRule>
  </conditionalFormatting>
  <conditionalFormatting sqref="R39">
    <cfRule type="expression" priority="11924" stopIfTrue="1">
      <formula>"ISBLANK($K$185)"</formula>
    </cfRule>
    <cfRule type="expression" dxfId="7921" priority="11979">
      <formula>AND(OR(AW39=0,ISBLANK(R39)),B39&lt;&gt;"")</formula>
    </cfRule>
    <cfRule type="expression" dxfId="7920" priority="11980">
      <formula>AND(R39="NA",NOT(ISTEXT(S39)))</formula>
    </cfRule>
    <cfRule type="expression" dxfId="7919" priority="11981">
      <formula>AND(AW39&gt;5,R39="NA")</formula>
    </cfRule>
    <cfRule type="expression" dxfId="7918" priority="11982">
      <formula>AND(AW39&lt;5,R39="NA")</formula>
    </cfRule>
    <cfRule type="expression" dxfId="7917" priority="11983">
      <formula>AND(R39&lt;&gt;"NA",R39&gt;$R$16)</formula>
    </cfRule>
  </conditionalFormatting>
  <conditionalFormatting sqref="S39">
    <cfRule type="expression" priority="11923" stopIfTrue="1">
      <formula>"ISBLANK($K$185)"</formula>
    </cfRule>
    <cfRule type="expression" dxfId="7916" priority="11974">
      <formula>AND(OR(AW39=0,ISBLANK(S39)),B39&lt;&gt;"")</formula>
    </cfRule>
    <cfRule type="expression" dxfId="7915" priority="11975">
      <formula>AND(S39="NA",NOT(ISTEXT(R39)))</formula>
    </cfRule>
    <cfRule type="expression" dxfId="7914" priority="11976">
      <formula>AND(AW39&gt;5,S39="NA")</formula>
    </cfRule>
    <cfRule type="expression" dxfId="7913" priority="11977">
      <formula>AND(AW39&lt;5,S39="NA")</formula>
    </cfRule>
    <cfRule type="expression" dxfId="7912" priority="11978">
      <formula>AND(S39&lt;&gt;"NA",S39&gt;$S$16)</formula>
    </cfRule>
  </conditionalFormatting>
  <conditionalFormatting sqref="T39">
    <cfRule type="expression" priority="11922" stopIfTrue="1">
      <formula>"ISBLANK($K$185)"</formula>
    </cfRule>
    <cfRule type="expression" dxfId="7911" priority="11969">
      <formula>AND(OR(AW39=0,ISBLANK(T39)),B39&lt;&gt;"")</formula>
    </cfRule>
    <cfRule type="expression" dxfId="7910" priority="11970">
      <formula>AND(T39="NA",NOT(ISTEXT(U39)))</formula>
    </cfRule>
    <cfRule type="expression" dxfId="7909" priority="11971">
      <formula>AND(AW39&gt;5,T39="NA")</formula>
    </cfRule>
    <cfRule type="expression" dxfId="7908" priority="11972">
      <formula>AND(AW39&lt;5,T39="NA")</formula>
    </cfRule>
    <cfRule type="expression" dxfId="7907" priority="11973">
      <formula>AND(T39&lt;&gt;"NA",T39&gt;$T$16)</formula>
    </cfRule>
  </conditionalFormatting>
  <conditionalFormatting sqref="U39">
    <cfRule type="expression" priority="11921" stopIfTrue="1">
      <formula>"ISBLANK($K$185)"</formula>
    </cfRule>
    <cfRule type="expression" dxfId="7906" priority="11964">
      <formula>AND(OR(AW39=0,ISBLANK(U39)),B39&lt;&gt;"")</formula>
    </cfRule>
    <cfRule type="expression" dxfId="7905" priority="11965">
      <formula>AND(U39="NA",NOT(ISTEXT(T39)))</formula>
    </cfRule>
    <cfRule type="expression" dxfId="7904" priority="11966">
      <formula>AND(AW39&gt;5,U39="NA")</formula>
    </cfRule>
    <cfRule type="expression" dxfId="7903" priority="11967">
      <formula>AND(AW39&lt;5,U39="NA")</formula>
    </cfRule>
    <cfRule type="expression" dxfId="7902" priority="11968">
      <formula>AND(U39&lt;&gt;"NA",U39&gt;$U$16)</formula>
    </cfRule>
  </conditionalFormatting>
  <conditionalFormatting sqref="V39">
    <cfRule type="expression" priority="11920" stopIfTrue="1">
      <formula>"ISBLANK($K$185)"</formula>
    </cfRule>
    <cfRule type="expression" dxfId="7901" priority="11959">
      <formula>AND(OR(AW39=0,ISBLANK(V39)),B39&lt;&gt;"")</formula>
    </cfRule>
    <cfRule type="expression" dxfId="7900" priority="11960">
      <formula>AND(V39="NA",NOT(ISTEXT(W39)))</formula>
    </cfRule>
    <cfRule type="expression" dxfId="7899" priority="11961">
      <formula>AND(AW39&gt;5,V39="NA")</formula>
    </cfRule>
    <cfRule type="expression" dxfId="7898" priority="11962">
      <formula>AND(AW39&lt;5,V39="NA")</formula>
    </cfRule>
    <cfRule type="expression" dxfId="7897" priority="11963">
      <formula>AND(V39&lt;&gt;"NA",V39&gt;$V$16)</formula>
    </cfRule>
  </conditionalFormatting>
  <conditionalFormatting sqref="W39">
    <cfRule type="expression" priority="11919" stopIfTrue="1">
      <formula>"ISBLANK($K$185)"</formula>
    </cfRule>
    <cfRule type="expression" dxfId="7896" priority="11954">
      <formula>AND(OR(AW39=0,ISBLANK(W39)),B39&lt;&gt;"")</formula>
    </cfRule>
    <cfRule type="expression" dxfId="7895" priority="11955">
      <formula>AND(W39="NA",NOT(ISTEXT(V39)))</formula>
    </cfRule>
    <cfRule type="expression" dxfId="7894" priority="11956">
      <formula>AND(AW39&gt;5,W39="NA")</formula>
    </cfRule>
    <cfRule type="expression" dxfId="7893" priority="11957">
      <formula>AND(AW39&lt;5,W39="NA")</formula>
    </cfRule>
    <cfRule type="expression" dxfId="7892" priority="11958">
      <formula>AND(W39&lt;&gt;"NA",W39&gt;$W$16)</formula>
    </cfRule>
  </conditionalFormatting>
  <conditionalFormatting sqref="X39">
    <cfRule type="expression" priority="11918" stopIfTrue="1">
      <formula>"ISBLANK($K$185)"</formula>
    </cfRule>
    <cfRule type="expression" dxfId="7891" priority="11949">
      <formula>AND(OR(AW39=0,ISBLANK(X39)),B39&lt;&gt;"")</formula>
    </cfRule>
    <cfRule type="expression" dxfId="7890" priority="11950">
      <formula>AND(X39="NA",NOT(ISTEXT(Y39)))</formula>
    </cfRule>
    <cfRule type="expression" dxfId="7889" priority="11951">
      <formula>AND(AW39&gt;5,X39="NA")</formula>
    </cfRule>
    <cfRule type="expression" dxfId="7888" priority="11952">
      <formula>AND(AW39&lt;5,X39="NA")</formula>
    </cfRule>
    <cfRule type="expression" dxfId="7887" priority="11953">
      <formula>AND(X39&lt;&gt;"NA",X39&gt;$Y$16)</formula>
    </cfRule>
  </conditionalFormatting>
  <conditionalFormatting sqref="Y39">
    <cfRule type="expression" priority="11917" stopIfTrue="1">
      <formula>"ISBLANK($K$185)"</formula>
    </cfRule>
    <cfRule type="expression" dxfId="7886" priority="11944">
      <formula>AND(OR(AW39=0,ISBLANK(Y39)),B39&lt;&gt;"")</formula>
    </cfRule>
    <cfRule type="expression" dxfId="7885" priority="11945">
      <formula>AND(Y39="NA",NOT(ISTEXT(X39)))</formula>
    </cfRule>
    <cfRule type="expression" dxfId="7884" priority="11946">
      <formula>AND(AW39&gt;5,Y39="NA")</formula>
    </cfRule>
    <cfRule type="expression" dxfId="7883" priority="11947">
      <formula>AND(AW39&lt;5,Y39="NA")</formula>
    </cfRule>
    <cfRule type="expression" dxfId="7882" priority="11948">
      <formula>AND(Y39&lt;&gt;"NA",Y39&gt;$Y$16)</formula>
    </cfRule>
  </conditionalFormatting>
  <conditionalFormatting sqref="N39">
    <cfRule type="expression" priority="11928" stopIfTrue="1">
      <formula>"ISBLANK($K$185)"</formula>
    </cfRule>
    <cfRule type="expression" dxfId="7881" priority="11999">
      <formula>AND(OR(AW39=0,ISBLANK(N39)),B39&lt;&gt;"")</formula>
    </cfRule>
    <cfRule type="expression" dxfId="7880" priority="12000">
      <formula>AND(N39="NA",NOT(ISTEXT(O39)))</formula>
    </cfRule>
    <cfRule type="expression" dxfId="7879" priority="12001">
      <formula>AND(AW39&gt;5,N39="NA")</formula>
    </cfRule>
    <cfRule type="expression" dxfId="7878" priority="12002">
      <formula>AND(AW39&lt;5,N39="NA")</formula>
    </cfRule>
    <cfRule type="expression" dxfId="7877" priority="12003">
      <formula>AND(N39&lt;&gt;"NA",N39&gt;$N$16)</formula>
    </cfRule>
  </conditionalFormatting>
  <conditionalFormatting sqref="O40">
    <cfRule type="expression" priority="11836" stopIfTrue="1">
      <formula>"ISBLANK($K$185)"</formula>
    </cfRule>
    <cfRule type="expression" dxfId="7876" priority="11903">
      <formula>AND(OR(AW40=0,ISBLANK(O40)),B40&lt;&gt;"")</formula>
    </cfRule>
    <cfRule type="expression" dxfId="7875" priority="11904">
      <formula>AND(O40="NA",NOT(ISTEXT(N40)))</formula>
    </cfRule>
    <cfRule type="expression" dxfId="7874" priority="11905">
      <formula>AND(AW40&gt;5,O40="NA")</formula>
    </cfRule>
    <cfRule type="expression" dxfId="7873" priority="11906">
      <formula>AND(AW40&lt;5,O40="NA")</formula>
    </cfRule>
    <cfRule type="expression" dxfId="7872" priority="11907">
      <formula>AND(O40&lt;&gt;"NA",O40&gt;$O$16)</formula>
    </cfRule>
  </conditionalFormatting>
  <conditionalFormatting sqref="P40">
    <cfRule type="expression" priority="11835" stopIfTrue="1">
      <formula>"ISBLANK($K$185)"</formula>
    </cfRule>
    <cfRule type="expression" dxfId="7871" priority="11898">
      <formula>AND(OR(AW40=0,ISBLANK(P40)),B40&lt;&gt;"")</formula>
    </cfRule>
    <cfRule type="expression" dxfId="7870" priority="11899">
      <formula>AND(P40="NA",NOT(ISTEXT(Q40)))</formula>
    </cfRule>
    <cfRule type="expression" dxfId="7869" priority="11900">
      <formula>AND(AW40&gt;5,P40="NA")</formula>
    </cfRule>
    <cfRule type="expression" dxfId="7868" priority="11901">
      <formula>AND(AW40&lt;5,P40="NA")</formula>
    </cfRule>
    <cfRule type="expression" dxfId="7867" priority="11902">
      <formula>AND(P40&lt;&gt;"NA",P40&gt;$P$16)</formula>
    </cfRule>
  </conditionalFormatting>
  <conditionalFormatting sqref="Q40">
    <cfRule type="expression" priority="11834" stopIfTrue="1">
      <formula>"ISBLANK($K$185)"</formula>
    </cfRule>
    <cfRule type="expression" dxfId="7866" priority="11893">
      <formula>AND(OR(AW40=0,ISBLANK(Q40)),B40&lt;&gt;"")</formula>
    </cfRule>
    <cfRule type="expression" dxfId="7865" priority="11894">
      <formula>AND(Q40="NA",NOT(ISTEXT(P40)))</formula>
    </cfRule>
    <cfRule type="expression" dxfId="7864" priority="11895">
      <formula>AND(AW40&gt;5,Q40="NA")</formula>
    </cfRule>
    <cfRule type="expression" dxfId="7863" priority="11896">
      <formula>AND(AW40&lt;5,Q40="NA")</formula>
    </cfRule>
    <cfRule type="expression" dxfId="7862" priority="11897">
      <formula>AND(Q40&lt;&gt;"NA",Q40&gt;$Q$16)</formula>
    </cfRule>
  </conditionalFormatting>
  <conditionalFormatting sqref="R40">
    <cfRule type="expression" priority="11833" stopIfTrue="1">
      <formula>"ISBLANK($K$185)"</formula>
    </cfRule>
    <cfRule type="expression" dxfId="7861" priority="11888">
      <formula>AND(OR(AW40=0,ISBLANK(R40)),B40&lt;&gt;"")</formula>
    </cfRule>
    <cfRule type="expression" dxfId="7860" priority="11889">
      <formula>AND(R40="NA",NOT(ISTEXT(S40)))</formula>
    </cfRule>
    <cfRule type="expression" dxfId="7859" priority="11890">
      <formula>AND(AW40&gt;5,R40="NA")</formula>
    </cfRule>
    <cfRule type="expression" dxfId="7858" priority="11891">
      <formula>AND(AW40&lt;5,R40="NA")</formula>
    </cfRule>
    <cfRule type="expression" dxfId="7857" priority="11892">
      <formula>AND(R40&lt;&gt;"NA",R40&gt;$R$16)</formula>
    </cfRule>
  </conditionalFormatting>
  <conditionalFormatting sqref="S40">
    <cfRule type="expression" priority="11832" stopIfTrue="1">
      <formula>"ISBLANK($K$185)"</formula>
    </cfRule>
    <cfRule type="expression" dxfId="7856" priority="11883">
      <formula>AND(OR(AW40=0,ISBLANK(S40)),B40&lt;&gt;"")</formula>
    </cfRule>
    <cfRule type="expression" dxfId="7855" priority="11884">
      <formula>AND(S40="NA",NOT(ISTEXT(R40)))</formula>
    </cfRule>
    <cfRule type="expression" dxfId="7854" priority="11885">
      <formula>AND(AW40&gt;5,S40="NA")</formula>
    </cfRule>
    <cfRule type="expression" dxfId="7853" priority="11886">
      <formula>AND(AW40&lt;5,S40="NA")</formula>
    </cfRule>
    <cfRule type="expression" dxfId="7852" priority="11887">
      <formula>AND(S40&lt;&gt;"NA",S40&gt;$S$16)</formula>
    </cfRule>
  </conditionalFormatting>
  <conditionalFormatting sqref="T40">
    <cfRule type="expression" priority="11831" stopIfTrue="1">
      <formula>"ISBLANK($K$185)"</formula>
    </cfRule>
    <cfRule type="expression" dxfId="7851" priority="11878">
      <formula>AND(OR(AW40=0,ISBLANK(T40)),B40&lt;&gt;"")</formula>
    </cfRule>
    <cfRule type="expression" dxfId="7850" priority="11879">
      <formula>AND(T40="NA",NOT(ISTEXT(U40)))</formula>
    </cfRule>
    <cfRule type="expression" dxfId="7849" priority="11880">
      <formula>AND(AW40&gt;5,T40="NA")</formula>
    </cfRule>
    <cfRule type="expression" dxfId="7848" priority="11881">
      <formula>AND(AW40&lt;5,T40="NA")</formula>
    </cfRule>
    <cfRule type="expression" dxfId="7847" priority="11882">
      <formula>AND(T40&lt;&gt;"NA",T40&gt;$T$16)</formula>
    </cfRule>
  </conditionalFormatting>
  <conditionalFormatting sqref="U40">
    <cfRule type="expression" priority="11830" stopIfTrue="1">
      <formula>"ISBLANK($K$185)"</formula>
    </cfRule>
    <cfRule type="expression" dxfId="7846" priority="11873">
      <formula>AND(OR(AW40=0,ISBLANK(U40)),B40&lt;&gt;"")</formula>
    </cfRule>
    <cfRule type="expression" dxfId="7845" priority="11874">
      <formula>AND(U40="NA",NOT(ISTEXT(T40)))</formula>
    </cfRule>
    <cfRule type="expression" dxfId="7844" priority="11875">
      <formula>AND(AW40&gt;5,U40="NA")</formula>
    </cfRule>
    <cfRule type="expression" dxfId="7843" priority="11876">
      <formula>AND(AW40&lt;5,U40="NA")</formula>
    </cfRule>
    <cfRule type="expression" dxfId="7842" priority="11877">
      <formula>AND(U40&lt;&gt;"NA",U40&gt;$U$16)</formula>
    </cfRule>
  </conditionalFormatting>
  <conditionalFormatting sqref="V40">
    <cfRule type="expression" priority="11829" stopIfTrue="1">
      <formula>"ISBLANK($K$185)"</formula>
    </cfRule>
    <cfRule type="expression" dxfId="7841" priority="11868">
      <formula>AND(OR(AW40=0,ISBLANK(V40)),B40&lt;&gt;"")</formula>
    </cfRule>
    <cfRule type="expression" dxfId="7840" priority="11869">
      <formula>AND(V40="NA",NOT(ISTEXT(W40)))</formula>
    </cfRule>
    <cfRule type="expression" dxfId="7839" priority="11870">
      <formula>AND(AW40&gt;5,V40="NA")</formula>
    </cfRule>
    <cfRule type="expression" dxfId="7838" priority="11871">
      <formula>AND(AW40&lt;5,V40="NA")</formula>
    </cfRule>
    <cfRule type="expression" dxfId="7837" priority="11872">
      <formula>AND(V40&lt;&gt;"NA",V40&gt;$V$16)</formula>
    </cfRule>
  </conditionalFormatting>
  <conditionalFormatting sqref="W40">
    <cfRule type="expression" priority="11828" stopIfTrue="1">
      <formula>"ISBLANK($K$185)"</formula>
    </cfRule>
    <cfRule type="expression" dxfId="7836" priority="11863">
      <formula>AND(OR(AW40=0,ISBLANK(W40)),B40&lt;&gt;"")</formula>
    </cfRule>
    <cfRule type="expression" dxfId="7835" priority="11864">
      <formula>AND(W40="NA",NOT(ISTEXT(V40)))</formula>
    </cfRule>
    <cfRule type="expression" dxfId="7834" priority="11865">
      <formula>AND(AW40&gt;5,W40="NA")</formula>
    </cfRule>
    <cfRule type="expression" dxfId="7833" priority="11866">
      <formula>AND(AW40&lt;5,W40="NA")</formula>
    </cfRule>
    <cfRule type="expression" dxfId="7832" priority="11867">
      <formula>AND(W40&lt;&gt;"NA",W40&gt;$W$16)</formula>
    </cfRule>
  </conditionalFormatting>
  <conditionalFormatting sqref="X40">
    <cfRule type="expression" priority="11827" stopIfTrue="1">
      <formula>"ISBLANK($K$185)"</formula>
    </cfRule>
    <cfRule type="expression" dxfId="7831" priority="11858">
      <formula>AND(OR(AW40=0,ISBLANK(X40)),B40&lt;&gt;"")</formula>
    </cfRule>
    <cfRule type="expression" dxfId="7830" priority="11859">
      <formula>AND(X40="NA",NOT(ISTEXT(Y40)))</formula>
    </cfRule>
    <cfRule type="expression" dxfId="7829" priority="11860">
      <formula>AND(AW40&gt;5,X40="NA")</formula>
    </cfRule>
    <cfRule type="expression" dxfId="7828" priority="11861">
      <formula>AND(AW40&lt;5,X40="NA")</formula>
    </cfRule>
    <cfRule type="expression" dxfId="7827" priority="11862">
      <formula>AND(X40&lt;&gt;"NA",X40&gt;$Y$16)</formula>
    </cfRule>
  </conditionalFormatting>
  <conditionalFormatting sqref="Y40">
    <cfRule type="expression" priority="11826" stopIfTrue="1">
      <formula>"ISBLANK($K$185)"</formula>
    </cfRule>
    <cfRule type="expression" dxfId="7826" priority="11853">
      <formula>AND(OR(AW40=0,ISBLANK(Y40)),B40&lt;&gt;"")</formula>
    </cfRule>
    <cfRule type="expression" dxfId="7825" priority="11854">
      <formula>AND(Y40="NA",NOT(ISTEXT(X40)))</formula>
    </cfRule>
    <cfRule type="expression" dxfId="7824" priority="11855">
      <formula>AND(AW40&gt;5,Y40="NA")</formula>
    </cfRule>
    <cfRule type="expression" dxfId="7823" priority="11856">
      <formula>AND(AW40&lt;5,Y40="NA")</formula>
    </cfRule>
    <cfRule type="expression" dxfId="7822" priority="11857">
      <formula>AND(Y40&lt;&gt;"NA",Y40&gt;$Y$16)</formula>
    </cfRule>
  </conditionalFormatting>
  <conditionalFormatting sqref="N40">
    <cfRule type="expression" priority="11837" stopIfTrue="1">
      <formula>"ISBLANK($K$185)"</formula>
    </cfRule>
    <cfRule type="expression" dxfId="7821" priority="11908">
      <formula>AND(OR(AW40=0,ISBLANK(N40)),B40&lt;&gt;"")</formula>
    </cfRule>
    <cfRule type="expression" dxfId="7820" priority="11909">
      <formula>AND(N40="NA",NOT(ISTEXT(O40)))</formula>
    </cfRule>
    <cfRule type="expression" dxfId="7819" priority="11910">
      <formula>AND(AW40&gt;5,N40="NA")</formula>
    </cfRule>
    <cfRule type="expression" dxfId="7818" priority="11911">
      <formula>AND(AW40&lt;5,N40="NA")</formula>
    </cfRule>
    <cfRule type="expression" dxfId="7817" priority="11912">
      <formula>AND(N40&lt;&gt;"NA",N40&gt;$N$16)</formula>
    </cfRule>
  </conditionalFormatting>
  <conditionalFormatting sqref="O41">
    <cfRule type="expression" priority="11745" stopIfTrue="1">
      <formula>"ISBLANK($K$185)"</formula>
    </cfRule>
    <cfRule type="expression" dxfId="7816" priority="11812">
      <formula>AND(OR(AW41=0,ISBLANK(O41)),B41&lt;&gt;"")</formula>
    </cfRule>
    <cfRule type="expression" dxfId="7815" priority="11813">
      <formula>AND(O41="NA",NOT(ISTEXT(N41)))</formula>
    </cfRule>
    <cfRule type="expression" dxfId="7814" priority="11814">
      <formula>AND(AW41&gt;5,O41="NA")</formula>
    </cfRule>
    <cfRule type="expression" dxfId="7813" priority="11815">
      <formula>AND(AW41&lt;5,O41="NA")</formula>
    </cfRule>
    <cfRule type="expression" dxfId="7812" priority="11816">
      <formula>AND(O41&lt;&gt;"NA",O41&gt;$O$16)</formula>
    </cfRule>
  </conditionalFormatting>
  <conditionalFormatting sqref="P41">
    <cfRule type="expression" priority="11744" stopIfTrue="1">
      <formula>"ISBLANK($K$185)"</formula>
    </cfRule>
    <cfRule type="expression" dxfId="7811" priority="11807">
      <formula>AND(OR(AW41=0,ISBLANK(P41)),B41&lt;&gt;"")</formula>
    </cfRule>
    <cfRule type="expression" dxfId="7810" priority="11808">
      <formula>AND(P41="NA",NOT(ISTEXT(Q41)))</formula>
    </cfRule>
    <cfRule type="expression" dxfId="7809" priority="11809">
      <formula>AND(AW41&gt;5,P41="NA")</formula>
    </cfRule>
    <cfRule type="expression" dxfId="7808" priority="11810">
      <formula>AND(AW41&lt;5,P41="NA")</formula>
    </cfRule>
    <cfRule type="expression" dxfId="7807" priority="11811">
      <formula>AND(P41&lt;&gt;"NA",P41&gt;$P$16)</formula>
    </cfRule>
  </conditionalFormatting>
  <conditionalFormatting sqref="Q41">
    <cfRule type="expression" priority="11743" stopIfTrue="1">
      <formula>"ISBLANK($K$185)"</formula>
    </cfRule>
    <cfRule type="expression" dxfId="7806" priority="11802">
      <formula>AND(OR(AW41=0,ISBLANK(Q41)),B41&lt;&gt;"")</formula>
    </cfRule>
    <cfRule type="expression" dxfId="7805" priority="11803">
      <formula>AND(Q41="NA",NOT(ISTEXT(P41)))</formula>
    </cfRule>
    <cfRule type="expression" dxfId="7804" priority="11804">
      <formula>AND(AW41&gt;5,Q41="NA")</formula>
    </cfRule>
    <cfRule type="expression" dxfId="7803" priority="11805">
      <formula>AND(AW41&lt;5,Q41="NA")</formula>
    </cfRule>
    <cfRule type="expression" dxfId="7802" priority="11806">
      <formula>AND(Q41&lt;&gt;"NA",Q41&gt;$Q$16)</formula>
    </cfRule>
  </conditionalFormatting>
  <conditionalFormatting sqref="R41">
    <cfRule type="expression" priority="11742" stopIfTrue="1">
      <formula>"ISBLANK($K$185)"</formula>
    </cfRule>
    <cfRule type="expression" dxfId="7801" priority="11797">
      <formula>AND(OR(AW41=0,ISBLANK(R41)),B41&lt;&gt;"")</formula>
    </cfRule>
    <cfRule type="expression" dxfId="7800" priority="11798">
      <formula>AND(R41="NA",NOT(ISTEXT(S41)))</formula>
    </cfRule>
    <cfRule type="expression" dxfId="7799" priority="11799">
      <formula>AND(AW41&gt;5,R41="NA")</formula>
    </cfRule>
    <cfRule type="expression" dxfId="7798" priority="11800">
      <formula>AND(AW41&lt;5,R41="NA")</formula>
    </cfRule>
    <cfRule type="expression" dxfId="7797" priority="11801">
      <formula>AND(R41&lt;&gt;"NA",R41&gt;$R$16)</formula>
    </cfRule>
  </conditionalFormatting>
  <conditionalFormatting sqref="S41">
    <cfRule type="expression" priority="11741" stopIfTrue="1">
      <formula>"ISBLANK($K$185)"</formula>
    </cfRule>
    <cfRule type="expression" dxfId="7796" priority="11792">
      <formula>AND(OR(AW41=0,ISBLANK(S41)),B41&lt;&gt;"")</formula>
    </cfRule>
    <cfRule type="expression" dxfId="7795" priority="11793">
      <formula>AND(S41="NA",NOT(ISTEXT(R41)))</formula>
    </cfRule>
    <cfRule type="expression" dxfId="7794" priority="11794">
      <formula>AND(AW41&gt;5,S41="NA")</formula>
    </cfRule>
    <cfRule type="expression" dxfId="7793" priority="11795">
      <formula>AND(AW41&lt;5,S41="NA")</formula>
    </cfRule>
    <cfRule type="expression" dxfId="7792" priority="11796">
      <formula>AND(S41&lt;&gt;"NA",S41&gt;$S$16)</formula>
    </cfRule>
  </conditionalFormatting>
  <conditionalFormatting sqref="T41">
    <cfRule type="expression" priority="11740" stopIfTrue="1">
      <formula>"ISBLANK($K$185)"</formula>
    </cfRule>
    <cfRule type="expression" dxfId="7791" priority="11787">
      <formula>AND(OR(AW41=0,ISBLANK(T41)),B41&lt;&gt;"")</formula>
    </cfRule>
    <cfRule type="expression" dxfId="7790" priority="11788">
      <formula>AND(T41="NA",NOT(ISTEXT(U41)))</formula>
    </cfRule>
    <cfRule type="expression" dxfId="7789" priority="11789">
      <formula>AND(AW41&gt;5,T41="NA")</formula>
    </cfRule>
    <cfRule type="expression" dxfId="7788" priority="11790">
      <formula>AND(AW41&lt;5,T41="NA")</formula>
    </cfRule>
    <cfRule type="expression" dxfId="7787" priority="11791">
      <formula>AND(T41&lt;&gt;"NA",T41&gt;$T$16)</formula>
    </cfRule>
  </conditionalFormatting>
  <conditionalFormatting sqref="U41">
    <cfRule type="expression" priority="11739" stopIfTrue="1">
      <formula>"ISBLANK($K$185)"</formula>
    </cfRule>
    <cfRule type="expression" dxfId="7786" priority="11782">
      <formula>AND(OR(AW41=0,ISBLANK(U41)),B41&lt;&gt;"")</formula>
    </cfRule>
    <cfRule type="expression" dxfId="7785" priority="11783">
      <formula>AND(U41="NA",NOT(ISTEXT(T41)))</formula>
    </cfRule>
    <cfRule type="expression" dxfId="7784" priority="11784">
      <formula>AND(AW41&gt;5,U41="NA")</formula>
    </cfRule>
    <cfRule type="expression" dxfId="7783" priority="11785">
      <formula>AND(AW41&lt;5,U41="NA")</formula>
    </cfRule>
    <cfRule type="expression" dxfId="7782" priority="11786">
      <formula>AND(U41&lt;&gt;"NA",U41&gt;$U$16)</formula>
    </cfRule>
  </conditionalFormatting>
  <conditionalFormatting sqref="V41">
    <cfRule type="expression" priority="11738" stopIfTrue="1">
      <formula>"ISBLANK($K$185)"</formula>
    </cfRule>
    <cfRule type="expression" dxfId="7781" priority="11777">
      <formula>AND(OR(AW41=0,ISBLANK(V41)),B41&lt;&gt;"")</formula>
    </cfRule>
    <cfRule type="expression" dxfId="7780" priority="11778">
      <formula>AND(V41="NA",NOT(ISTEXT(W41)))</formula>
    </cfRule>
    <cfRule type="expression" dxfId="7779" priority="11779">
      <formula>AND(AW41&gt;5,V41="NA")</formula>
    </cfRule>
    <cfRule type="expression" dxfId="7778" priority="11780">
      <formula>AND(AW41&lt;5,V41="NA")</formula>
    </cfRule>
    <cfRule type="expression" dxfId="7777" priority="11781">
      <formula>AND(V41&lt;&gt;"NA",V41&gt;$V$16)</formula>
    </cfRule>
  </conditionalFormatting>
  <conditionalFormatting sqref="W41">
    <cfRule type="expression" priority="11737" stopIfTrue="1">
      <formula>"ISBLANK($K$185)"</formula>
    </cfRule>
    <cfRule type="expression" dxfId="7776" priority="11772">
      <formula>AND(OR(AW41=0,ISBLANK(W41)),B41&lt;&gt;"")</formula>
    </cfRule>
    <cfRule type="expression" dxfId="7775" priority="11773">
      <formula>AND(W41="NA",NOT(ISTEXT(V41)))</formula>
    </cfRule>
    <cfRule type="expression" dxfId="7774" priority="11774">
      <formula>AND(AW41&gt;5,W41="NA")</formula>
    </cfRule>
    <cfRule type="expression" dxfId="7773" priority="11775">
      <formula>AND(AW41&lt;5,W41="NA")</formula>
    </cfRule>
    <cfRule type="expression" dxfId="7772" priority="11776">
      <formula>AND(W41&lt;&gt;"NA",W41&gt;$W$16)</formula>
    </cfRule>
  </conditionalFormatting>
  <conditionalFormatting sqref="X41">
    <cfRule type="expression" priority="11736" stopIfTrue="1">
      <formula>"ISBLANK($K$185)"</formula>
    </cfRule>
    <cfRule type="expression" dxfId="7771" priority="11767">
      <formula>AND(OR(AW41=0,ISBLANK(X41)),B41&lt;&gt;"")</formula>
    </cfRule>
    <cfRule type="expression" dxfId="7770" priority="11768">
      <formula>AND(X41="NA",NOT(ISTEXT(Y41)))</formula>
    </cfRule>
    <cfRule type="expression" dxfId="7769" priority="11769">
      <formula>AND(AW41&gt;5,X41="NA")</formula>
    </cfRule>
    <cfRule type="expression" dxfId="7768" priority="11770">
      <formula>AND(AW41&lt;5,X41="NA")</formula>
    </cfRule>
    <cfRule type="expression" dxfId="7767" priority="11771">
      <formula>AND(X41&lt;&gt;"NA",X41&gt;$Y$16)</formula>
    </cfRule>
  </conditionalFormatting>
  <conditionalFormatting sqref="Y41">
    <cfRule type="expression" priority="11735" stopIfTrue="1">
      <formula>"ISBLANK($K$185)"</formula>
    </cfRule>
    <cfRule type="expression" dxfId="7766" priority="11762">
      <formula>AND(OR(AW41=0,ISBLANK(Y41)),B41&lt;&gt;"")</formula>
    </cfRule>
    <cfRule type="expression" dxfId="7765" priority="11763">
      <formula>AND(Y41="NA",NOT(ISTEXT(X41)))</formula>
    </cfRule>
    <cfRule type="expression" dxfId="7764" priority="11764">
      <formula>AND(AW41&gt;5,Y41="NA")</formula>
    </cfRule>
    <cfRule type="expression" dxfId="7763" priority="11765">
      <formula>AND(AW41&lt;5,Y41="NA")</formula>
    </cfRule>
    <cfRule type="expression" dxfId="7762" priority="11766">
      <formula>AND(Y41&lt;&gt;"NA",Y41&gt;$Y$16)</formula>
    </cfRule>
  </conditionalFormatting>
  <conditionalFormatting sqref="N41">
    <cfRule type="expression" priority="11746" stopIfTrue="1">
      <formula>"ISBLANK($K$185)"</formula>
    </cfRule>
    <cfRule type="expression" dxfId="7761" priority="11817">
      <formula>AND(OR(AW41=0,ISBLANK(N41)),B41&lt;&gt;"")</formula>
    </cfRule>
    <cfRule type="expression" dxfId="7760" priority="11818">
      <formula>AND(N41="NA",NOT(ISTEXT(O41)))</formula>
    </cfRule>
    <cfRule type="expression" dxfId="7759" priority="11819">
      <formula>AND(AW41&gt;5,N41="NA")</formula>
    </cfRule>
    <cfRule type="expression" dxfId="7758" priority="11820">
      <formula>AND(AW41&lt;5,N41="NA")</formula>
    </cfRule>
    <cfRule type="expression" dxfId="7757" priority="11821">
      <formula>AND(N41&lt;&gt;"NA",N41&gt;$N$16)</formula>
    </cfRule>
  </conditionalFormatting>
  <conditionalFormatting sqref="O42">
    <cfRule type="expression" priority="11654" stopIfTrue="1">
      <formula>"ISBLANK($K$185)"</formula>
    </cfRule>
    <cfRule type="expression" dxfId="7756" priority="11721">
      <formula>AND(OR(AW42=0,ISBLANK(O42)),B42&lt;&gt;"")</formula>
    </cfRule>
    <cfRule type="expression" dxfId="7755" priority="11722">
      <formula>AND(O42="NA",NOT(ISTEXT(N42)))</formula>
    </cfRule>
    <cfRule type="expression" dxfId="7754" priority="11723">
      <formula>AND(AW42&gt;5,O42="NA")</formula>
    </cfRule>
    <cfRule type="expression" dxfId="7753" priority="11724">
      <formula>AND(AW42&lt;5,O42="NA")</formula>
    </cfRule>
    <cfRule type="expression" dxfId="7752" priority="11725">
      <formula>AND(O42&lt;&gt;"NA",O42&gt;$O$16)</formula>
    </cfRule>
  </conditionalFormatting>
  <conditionalFormatting sqref="P42">
    <cfRule type="expression" priority="11653" stopIfTrue="1">
      <formula>"ISBLANK($K$185)"</formula>
    </cfRule>
    <cfRule type="expression" dxfId="7751" priority="11716">
      <formula>AND(OR(AW42=0,ISBLANK(P42)),B42&lt;&gt;"")</formula>
    </cfRule>
    <cfRule type="expression" dxfId="7750" priority="11717">
      <formula>AND(P42="NA",NOT(ISTEXT(Q42)))</formula>
    </cfRule>
    <cfRule type="expression" dxfId="7749" priority="11718">
      <formula>AND(AW42&gt;5,P42="NA")</formula>
    </cfRule>
    <cfRule type="expression" dxfId="7748" priority="11719">
      <formula>AND(AW42&lt;5,P42="NA")</formula>
    </cfRule>
    <cfRule type="expression" dxfId="7747" priority="11720">
      <formula>AND(P42&lt;&gt;"NA",P42&gt;$P$16)</formula>
    </cfRule>
  </conditionalFormatting>
  <conditionalFormatting sqref="Q42">
    <cfRule type="expression" priority="11652" stopIfTrue="1">
      <formula>"ISBLANK($K$185)"</formula>
    </cfRule>
    <cfRule type="expression" dxfId="7746" priority="11711">
      <formula>AND(OR(AW42=0,ISBLANK(Q42)),B42&lt;&gt;"")</formula>
    </cfRule>
    <cfRule type="expression" dxfId="7745" priority="11712">
      <formula>AND(Q42="NA",NOT(ISTEXT(P42)))</formula>
    </cfRule>
    <cfRule type="expression" dxfId="7744" priority="11713">
      <formula>AND(AW42&gt;5,Q42="NA")</formula>
    </cfRule>
    <cfRule type="expression" dxfId="7743" priority="11714">
      <formula>AND(AW42&lt;5,Q42="NA")</formula>
    </cfRule>
    <cfRule type="expression" dxfId="7742" priority="11715">
      <formula>AND(Q42&lt;&gt;"NA",Q42&gt;$Q$16)</formula>
    </cfRule>
  </conditionalFormatting>
  <conditionalFormatting sqref="R42">
    <cfRule type="expression" priority="11651" stopIfTrue="1">
      <formula>"ISBLANK($K$185)"</formula>
    </cfRule>
    <cfRule type="expression" dxfId="7741" priority="11706">
      <formula>AND(OR(AW42=0,ISBLANK(R42)),B42&lt;&gt;"")</formula>
    </cfRule>
    <cfRule type="expression" dxfId="7740" priority="11707">
      <formula>AND(R42="NA",NOT(ISTEXT(S42)))</formula>
    </cfRule>
    <cfRule type="expression" dxfId="7739" priority="11708">
      <formula>AND(AW42&gt;5,R42="NA")</formula>
    </cfRule>
    <cfRule type="expression" dxfId="7738" priority="11709">
      <formula>AND(AW42&lt;5,R42="NA")</formula>
    </cfRule>
    <cfRule type="expression" dxfId="7737" priority="11710">
      <formula>AND(R42&lt;&gt;"NA",R42&gt;$R$16)</formula>
    </cfRule>
  </conditionalFormatting>
  <conditionalFormatting sqref="S42">
    <cfRule type="expression" priority="11650" stopIfTrue="1">
      <formula>"ISBLANK($K$185)"</formula>
    </cfRule>
    <cfRule type="expression" dxfId="7736" priority="11701">
      <formula>AND(OR(AW42=0,ISBLANK(S42)),B42&lt;&gt;"")</formula>
    </cfRule>
    <cfRule type="expression" dxfId="7735" priority="11702">
      <formula>AND(S42="NA",NOT(ISTEXT(R42)))</formula>
    </cfRule>
    <cfRule type="expression" dxfId="7734" priority="11703">
      <formula>AND(AW42&gt;5,S42="NA")</formula>
    </cfRule>
    <cfRule type="expression" dxfId="7733" priority="11704">
      <formula>AND(AW42&lt;5,S42="NA")</formula>
    </cfRule>
    <cfRule type="expression" dxfId="7732" priority="11705">
      <formula>AND(S42&lt;&gt;"NA",S42&gt;$S$16)</formula>
    </cfRule>
  </conditionalFormatting>
  <conditionalFormatting sqref="T42">
    <cfRule type="expression" priority="11649" stopIfTrue="1">
      <formula>"ISBLANK($K$185)"</formula>
    </cfRule>
    <cfRule type="expression" dxfId="7731" priority="11696">
      <formula>AND(OR(AW42=0,ISBLANK(T42)),B42&lt;&gt;"")</formula>
    </cfRule>
    <cfRule type="expression" dxfId="7730" priority="11697">
      <formula>AND(T42="NA",NOT(ISTEXT(U42)))</formula>
    </cfRule>
    <cfRule type="expression" dxfId="7729" priority="11698">
      <formula>AND(AW42&gt;5,T42="NA")</formula>
    </cfRule>
    <cfRule type="expression" dxfId="7728" priority="11699">
      <formula>AND(AW42&lt;5,T42="NA")</formula>
    </cfRule>
    <cfRule type="expression" dxfId="7727" priority="11700">
      <formula>AND(T42&lt;&gt;"NA",T42&gt;$T$16)</formula>
    </cfRule>
  </conditionalFormatting>
  <conditionalFormatting sqref="U42">
    <cfRule type="expression" priority="11648" stopIfTrue="1">
      <formula>"ISBLANK($K$185)"</formula>
    </cfRule>
    <cfRule type="expression" dxfId="7726" priority="11691">
      <formula>AND(OR(AW42=0,ISBLANK(U42)),B42&lt;&gt;"")</formula>
    </cfRule>
    <cfRule type="expression" dxfId="7725" priority="11692">
      <formula>AND(U42="NA",NOT(ISTEXT(T42)))</formula>
    </cfRule>
    <cfRule type="expression" dxfId="7724" priority="11693">
      <formula>AND(AW42&gt;5,U42="NA")</formula>
    </cfRule>
    <cfRule type="expression" dxfId="7723" priority="11694">
      <formula>AND(AW42&lt;5,U42="NA")</formula>
    </cfRule>
    <cfRule type="expression" dxfId="7722" priority="11695">
      <formula>AND(U42&lt;&gt;"NA",U42&gt;$U$16)</formula>
    </cfRule>
  </conditionalFormatting>
  <conditionalFormatting sqref="V42">
    <cfRule type="expression" priority="11647" stopIfTrue="1">
      <formula>"ISBLANK($K$185)"</formula>
    </cfRule>
    <cfRule type="expression" dxfId="7721" priority="11686">
      <formula>AND(OR(AW42=0,ISBLANK(V42)),B42&lt;&gt;"")</formula>
    </cfRule>
    <cfRule type="expression" dxfId="7720" priority="11687">
      <formula>AND(V42="NA",NOT(ISTEXT(W42)))</formula>
    </cfRule>
    <cfRule type="expression" dxfId="7719" priority="11688">
      <formula>AND(AW42&gt;5,V42="NA")</formula>
    </cfRule>
    <cfRule type="expression" dxfId="7718" priority="11689">
      <formula>AND(AW42&lt;5,V42="NA")</formula>
    </cfRule>
    <cfRule type="expression" dxfId="7717" priority="11690">
      <formula>AND(V42&lt;&gt;"NA",V42&gt;$V$16)</formula>
    </cfRule>
  </conditionalFormatting>
  <conditionalFormatting sqref="W42">
    <cfRule type="expression" priority="11646" stopIfTrue="1">
      <formula>"ISBLANK($K$185)"</formula>
    </cfRule>
    <cfRule type="expression" dxfId="7716" priority="11681">
      <formula>AND(OR(AW42=0,ISBLANK(W42)),B42&lt;&gt;"")</formula>
    </cfRule>
    <cfRule type="expression" dxfId="7715" priority="11682">
      <formula>AND(W42="NA",NOT(ISTEXT(V42)))</formula>
    </cfRule>
    <cfRule type="expression" dxfId="7714" priority="11683">
      <formula>AND(AW42&gt;5,W42="NA")</formula>
    </cfRule>
    <cfRule type="expression" dxfId="7713" priority="11684">
      <formula>AND(AW42&lt;5,W42="NA")</formula>
    </cfRule>
    <cfRule type="expression" dxfId="7712" priority="11685">
      <formula>AND(W42&lt;&gt;"NA",W42&gt;$W$16)</formula>
    </cfRule>
  </conditionalFormatting>
  <conditionalFormatting sqref="X42">
    <cfRule type="expression" priority="11645" stopIfTrue="1">
      <formula>"ISBLANK($K$185)"</formula>
    </cfRule>
    <cfRule type="expression" dxfId="7711" priority="11676">
      <formula>AND(OR(AW42=0,ISBLANK(X42)),B42&lt;&gt;"")</formula>
    </cfRule>
    <cfRule type="expression" dxfId="7710" priority="11677">
      <formula>AND(X42="NA",NOT(ISTEXT(Y42)))</formula>
    </cfRule>
    <cfRule type="expression" dxfId="7709" priority="11678">
      <formula>AND(AW42&gt;5,X42="NA")</formula>
    </cfRule>
    <cfRule type="expression" dxfId="7708" priority="11679">
      <formula>AND(AW42&lt;5,X42="NA")</formula>
    </cfRule>
    <cfRule type="expression" dxfId="7707" priority="11680">
      <formula>AND(X42&lt;&gt;"NA",X42&gt;$Y$16)</formula>
    </cfRule>
  </conditionalFormatting>
  <conditionalFormatting sqref="Y42">
    <cfRule type="expression" priority="11644" stopIfTrue="1">
      <formula>"ISBLANK($K$185)"</formula>
    </cfRule>
    <cfRule type="expression" dxfId="7706" priority="11671">
      <formula>AND(OR(AW42=0,ISBLANK(Y42)),B42&lt;&gt;"")</formula>
    </cfRule>
    <cfRule type="expression" dxfId="7705" priority="11672">
      <formula>AND(Y42="NA",NOT(ISTEXT(X42)))</formula>
    </cfRule>
    <cfRule type="expression" dxfId="7704" priority="11673">
      <formula>AND(AW42&gt;5,Y42="NA")</formula>
    </cfRule>
    <cfRule type="expression" dxfId="7703" priority="11674">
      <formula>AND(AW42&lt;5,Y42="NA")</formula>
    </cfRule>
    <cfRule type="expression" dxfId="7702" priority="11675">
      <formula>AND(Y42&lt;&gt;"NA",Y42&gt;$Y$16)</formula>
    </cfRule>
  </conditionalFormatting>
  <conditionalFormatting sqref="N42">
    <cfRule type="expression" priority="11655" stopIfTrue="1">
      <formula>"ISBLANK($K$185)"</formula>
    </cfRule>
    <cfRule type="expression" dxfId="7701" priority="11726">
      <formula>AND(OR(AW42=0,ISBLANK(N42)),B42&lt;&gt;"")</formula>
    </cfRule>
    <cfRule type="expression" dxfId="7700" priority="11727">
      <formula>AND(N42="NA",NOT(ISTEXT(O42)))</formula>
    </cfRule>
    <cfRule type="expression" dxfId="7699" priority="11728">
      <formula>AND(AW42&gt;5,N42="NA")</formula>
    </cfRule>
    <cfRule type="expression" dxfId="7698" priority="11729">
      <formula>AND(AW42&lt;5,N42="NA")</formula>
    </cfRule>
    <cfRule type="expression" dxfId="7697" priority="11730">
      <formula>AND(N42&lt;&gt;"NA",N42&gt;$N$16)</formula>
    </cfRule>
  </conditionalFormatting>
  <conditionalFormatting sqref="O43">
    <cfRule type="expression" priority="11563" stopIfTrue="1">
      <formula>"ISBLANK($K$185)"</formula>
    </cfRule>
    <cfRule type="expression" dxfId="7696" priority="11630">
      <formula>AND(OR(AW43=0,ISBLANK(O43)),B43&lt;&gt;"")</formula>
    </cfRule>
    <cfRule type="expression" dxfId="7695" priority="11631">
      <formula>AND(O43="NA",NOT(ISTEXT(N43)))</formula>
    </cfRule>
    <cfRule type="expression" dxfId="7694" priority="11632">
      <formula>AND(AW43&gt;5,O43="NA")</formula>
    </cfRule>
    <cfRule type="expression" dxfId="7693" priority="11633">
      <formula>AND(AW43&lt;5,O43="NA")</formula>
    </cfRule>
    <cfRule type="expression" dxfId="7692" priority="11634">
      <formula>AND(O43&lt;&gt;"NA",O43&gt;$O$16)</formula>
    </cfRule>
  </conditionalFormatting>
  <conditionalFormatting sqref="P43">
    <cfRule type="expression" priority="11562" stopIfTrue="1">
      <formula>"ISBLANK($K$185)"</formula>
    </cfRule>
    <cfRule type="expression" dxfId="7691" priority="11625">
      <formula>AND(OR(AW43=0,ISBLANK(P43)),B43&lt;&gt;"")</formula>
    </cfRule>
    <cfRule type="expression" dxfId="7690" priority="11626">
      <formula>AND(P43="NA",NOT(ISTEXT(Q43)))</formula>
    </cfRule>
    <cfRule type="expression" dxfId="7689" priority="11627">
      <formula>AND(AW43&gt;5,P43="NA")</formula>
    </cfRule>
    <cfRule type="expression" dxfId="7688" priority="11628">
      <formula>AND(AW43&lt;5,P43="NA")</formula>
    </cfRule>
    <cfRule type="expression" dxfId="7687" priority="11629">
      <formula>AND(P43&lt;&gt;"NA",P43&gt;$P$16)</formula>
    </cfRule>
  </conditionalFormatting>
  <conditionalFormatting sqref="Q43">
    <cfRule type="expression" priority="11561" stopIfTrue="1">
      <formula>"ISBLANK($K$185)"</formula>
    </cfRule>
    <cfRule type="expression" dxfId="7686" priority="11620">
      <formula>AND(OR(AW43=0,ISBLANK(Q43)),B43&lt;&gt;"")</formula>
    </cfRule>
    <cfRule type="expression" dxfId="7685" priority="11621">
      <formula>AND(Q43="NA",NOT(ISTEXT(P43)))</formula>
    </cfRule>
    <cfRule type="expression" dxfId="7684" priority="11622">
      <formula>AND(AW43&gt;5,Q43="NA")</formula>
    </cfRule>
    <cfRule type="expression" dxfId="7683" priority="11623">
      <formula>AND(AW43&lt;5,Q43="NA")</formula>
    </cfRule>
    <cfRule type="expression" dxfId="7682" priority="11624">
      <formula>AND(Q43&lt;&gt;"NA",Q43&gt;$Q$16)</formula>
    </cfRule>
  </conditionalFormatting>
  <conditionalFormatting sqref="R43">
    <cfRule type="expression" priority="11560" stopIfTrue="1">
      <formula>"ISBLANK($K$185)"</formula>
    </cfRule>
    <cfRule type="expression" dxfId="7681" priority="11615">
      <formula>AND(OR(AW43=0,ISBLANK(R43)),B43&lt;&gt;"")</formula>
    </cfRule>
    <cfRule type="expression" dxfId="7680" priority="11616">
      <formula>AND(R43="NA",NOT(ISTEXT(S43)))</formula>
    </cfRule>
    <cfRule type="expression" dxfId="7679" priority="11617">
      <formula>AND(AW43&gt;5,R43="NA")</formula>
    </cfRule>
    <cfRule type="expression" dxfId="7678" priority="11618">
      <formula>AND(AW43&lt;5,R43="NA")</formula>
    </cfRule>
    <cfRule type="expression" dxfId="7677" priority="11619">
      <formula>AND(R43&lt;&gt;"NA",R43&gt;$R$16)</formula>
    </cfRule>
  </conditionalFormatting>
  <conditionalFormatting sqref="S43">
    <cfRule type="expression" priority="11559" stopIfTrue="1">
      <formula>"ISBLANK($K$185)"</formula>
    </cfRule>
    <cfRule type="expression" dxfId="7676" priority="11610">
      <formula>AND(OR(AW43=0,ISBLANK(S43)),B43&lt;&gt;"")</formula>
    </cfRule>
    <cfRule type="expression" dxfId="7675" priority="11611">
      <formula>AND(S43="NA",NOT(ISTEXT(R43)))</formula>
    </cfRule>
    <cfRule type="expression" dxfId="7674" priority="11612">
      <formula>AND(AW43&gt;5,S43="NA")</formula>
    </cfRule>
    <cfRule type="expression" dxfId="7673" priority="11613">
      <formula>AND(AW43&lt;5,S43="NA")</formula>
    </cfRule>
    <cfRule type="expression" dxfId="7672" priority="11614">
      <formula>AND(S43&lt;&gt;"NA",S43&gt;$S$16)</formula>
    </cfRule>
  </conditionalFormatting>
  <conditionalFormatting sqref="T43">
    <cfRule type="expression" priority="11558" stopIfTrue="1">
      <formula>"ISBLANK($K$185)"</formula>
    </cfRule>
    <cfRule type="expression" dxfId="7671" priority="11605">
      <formula>AND(OR(AW43=0,ISBLANK(T43)),B43&lt;&gt;"")</formula>
    </cfRule>
    <cfRule type="expression" dxfId="7670" priority="11606">
      <formula>AND(T43="NA",NOT(ISTEXT(U43)))</formula>
    </cfRule>
    <cfRule type="expression" dxfId="7669" priority="11607">
      <formula>AND(AW43&gt;5,T43="NA")</formula>
    </cfRule>
    <cfRule type="expression" dxfId="7668" priority="11608">
      <formula>AND(AW43&lt;5,T43="NA")</formula>
    </cfRule>
    <cfRule type="expression" dxfId="7667" priority="11609">
      <formula>AND(T43&lt;&gt;"NA",T43&gt;$T$16)</formula>
    </cfRule>
  </conditionalFormatting>
  <conditionalFormatting sqref="U43">
    <cfRule type="expression" priority="11557" stopIfTrue="1">
      <formula>"ISBLANK($K$185)"</formula>
    </cfRule>
    <cfRule type="expression" dxfId="7666" priority="11600">
      <formula>AND(OR(AW43=0,ISBLANK(U43)),B43&lt;&gt;"")</formula>
    </cfRule>
    <cfRule type="expression" dxfId="7665" priority="11601">
      <formula>AND(U43="NA",NOT(ISTEXT(T43)))</formula>
    </cfRule>
    <cfRule type="expression" dxfId="7664" priority="11602">
      <formula>AND(AW43&gt;5,U43="NA")</formula>
    </cfRule>
    <cfRule type="expression" dxfId="7663" priority="11603">
      <formula>AND(AW43&lt;5,U43="NA")</formula>
    </cfRule>
    <cfRule type="expression" dxfId="7662" priority="11604">
      <formula>AND(U43&lt;&gt;"NA",U43&gt;$U$16)</formula>
    </cfRule>
  </conditionalFormatting>
  <conditionalFormatting sqref="V43">
    <cfRule type="expression" priority="11556" stopIfTrue="1">
      <formula>"ISBLANK($K$185)"</formula>
    </cfRule>
    <cfRule type="expression" dxfId="7661" priority="11595">
      <formula>AND(OR(AW43=0,ISBLANK(V43)),B43&lt;&gt;"")</formula>
    </cfRule>
    <cfRule type="expression" dxfId="7660" priority="11596">
      <formula>AND(V43="NA",NOT(ISTEXT(W43)))</formula>
    </cfRule>
    <cfRule type="expression" dxfId="7659" priority="11597">
      <formula>AND(AW43&gt;5,V43="NA")</formula>
    </cfRule>
    <cfRule type="expression" dxfId="7658" priority="11598">
      <formula>AND(AW43&lt;5,V43="NA")</formula>
    </cfRule>
    <cfRule type="expression" dxfId="7657" priority="11599">
      <formula>AND(V43&lt;&gt;"NA",V43&gt;$V$16)</formula>
    </cfRule>
  </conditionalFormatting>
  <conditionalFormatting sqref="W43">
    <cfRule type="expression" priority="11555" stopIfTrue="1">
      <formula>"ISBLANK($K$185)"</formula>
    </cfRule>
    <cfRule type="expression" dxfId="7656" priority="11590">
      <formula>AND(OR(AW43=0,ISBLANK(W43)),B43&lt;&gt;"")</formula>
    </cfRule>
    <cfRule type="expression" dxfId="7655" priority="11591">
      <formula>AND(W43="NA",NOT(ISTEXT(V43)))</formula>
    </cfRule>
    <cfRule type="expression" dxfId="7654" priority="11592">
      <formula>AND(AW43&gt;5,W43="NA")</formula>
    </cfRule>
    <cfRule type="expression" dxfId="7653" priority="11593">
      <formula>AND(AW43&lt;5,W43="NA")</formula>
    </cfRule>
    <cfRule type="expression" dxfId="7652" priority="11594">
      <formula>AND(W43&lt;&gt;"NA",W43&gt;$W$16)</formula>
    </cfRule>
  </conditionalFormatting>
  <conditionalFormatting sqref="X43">
    <cfRule type="expression" priority="11554" stopIfTrue="1">
      <formula>"ISBLANK($K$185)"</formula>
    </cfRule>
    <cfRule type="expression" dxfId="7651" priority="11585">
      <formula>AND(OR(AW43=0,ISBLANK(X43)),B43&lt;&gt;"")</formula>
    </cfRule>
    <cfRule type="expression" dxfId="7650" priority="11586">
      <formula>AND(X43="NA",NOT(ISTEXT(Y43)))</formula>
    </cfRule>
    <cfRule type="expression" dxfId="7649" priority="11587">
      <formula>AND(AW43&gt;5,X43="NA")</formula>
    </cfRule>
    <cfRule type="expression" dxfId="7648" priority="11588">
      <formula>AND(AW43&lt;5,X43="NA")</formula>
    </cfRule>
    <cfRule type="expression" dxfId="7647" priority="11589">
      <formula>AND(X43&lt;&gt;"NA",X43&gt;$Y$16)</formula>
    </cfRule>
  </conditionalFormatting>
  <conditionalFormatting sqref="Y43">
    <cfRule type="expression" priority="11553" stopIfTrue="1">
      <formula>"ISBLANK($K$185)"</formula>
    </cfRule>
    <cfRule type="expression" dxfId="7646" priority="11580">
      <formula>AND(OR(AW43=0,ISBLANK(Y43)),B43&lt;&gt;"")</formula>
    </cfRule>
    <cfRule type="expression" dxfId="7645" priority="11581">
      <formula>AND(Y43="NA",NOT(ISTEXT(X43)))</formula>
    </cfRule>
    <cfRule type="expression" dxfId="7644" priority="11582">
      <formula>AND(AW43&gt;5,Y43="NA")</formula>
    </cfRule>
    <cfRule type="expression" dxfId="7643" priority="11583">
      <formula>AND(AW43&lt;5,Y43="NA")</formula>
    </cfRule>
    <cfRule type="expression" dxfId="7642" priority="11584">
      <formula>AND(Y43&lt;&gt;"NA",Y43&gt;$Y$16)</formula>
    </cfRule>
  </conditionalFormatting>
  <conditionalFormatting sqref="N43">
    <cfRule type="expression" priority="11564" stopIfTrue="1">
      <formula>"ISBLANK($K$185)"</formula>
    </cfRule>
    <cfRule type="expression" dxfId="7641" priority="11635">
      <formula>AND(OR(AW43=0,ISBLANK(N43)),B43&lt;&gt;"")</formula>
    </cfRule>
    <cfRule type="expression" dxfId="7640" priority="11636">
      <formula>AND(N43="NA",NOT(ISTEXT(O43)))</formula>
    </cfRule>
    <cfRule type="expression" dxfId="7639" priority="11637">
      <formula>AND(AW43&gt;5,N43="NA")</formula>
    </cfRule>
    <cfRule type="expression" dxfId="7638" priority="11638">
      <formula>AND(AW43&lt;5,N43="NA")</formula>
    </cfRule>
    <cfRule type="expression" dxfId="7637" priority="11639">
      <formula>AND(N43&lt;&gt;"NA",N43&gt;$N$16)</formula>
    </cfRule>
  </conditionalFormatting>
  <conditionalFormatting sqref="O44">
    <cfRule type="expression" priority="11472" stopIfTrue="1">
      <formula>"ISBLANK($K$185)"</formula>
    </cfRule>
    <cfRule type="expression" dxfId="7636" priority="11539">
      <formula>AND(OR(AW44=0,ISBLANK(O44)),B44&lt;&gt;"")</formula>
    </cfRule>
    <cfRule type="expression" dxfId="7635" priority="11540">
      <formula>AND(O44="NA",NOT(ISTEXT(N44)))</formula>
    </cfRule>
    <cfRule type="expression" dxfId="7634" priority="11541">
      <formula>AND(AW44&gt;5,O44="NA")</formula>
    </cfRule>
    <cfRule type="expression" dxfId="7633" priority="11542">
      <formula>AND(AW44&lt;5,O44="NA")</formula>
    </cfRule>
    <cfRule type="expression" dxfId="7632" priority="11543">
      <formula>AND(O44&lt;&gt;"NA",O44&gt;$O$16)</formula>
    </cfRule>
  </conditionalFormatting>
  <conditionalFormatting sqref="P44">
    <cfRule type="expression" priority="11471" stopIfTrue="1">
      <formula>"ISBLANK($K$185)"</formula>
    </cfRule>
    <cfRule type="expression" dxfId="7631" priority="11534">
      <formula>AND(OR(AW44=0,ISBLANK(P44)),B44&lt;&gt;"")</formula>
    </cfRule>
    <cfRule type="expression" dxfId="7630" priority="11535">
      <formula>AND(P44="NA",NOT(ISTEXT(Q44)))</formula>
    </cfRule>
    <cfRule type="expression" dxfId="7629" priority="11536">
      <formula>AND(AW44&gt;5,P44="NA")</formula>
    </cfRule>
    <cfRule type="expression" dxfId="7628" priority="11537">
      <formula>AND(AW44&lt;5,P44="NA")</formula>
    </cfRule>
    <cfRule type="expression" dxfId="7627" priority="11538">
      <formula>AND(P44&lt;&gt;"NA",P44&gt;$P$16)</formula>
    </cfRule>
  </conditionalFormatting>
  <conditionalFormatting sqref="Q44">
    <cfRule type="expression" priority="11470" stopIfTrue="1">
      <formula>"ISBLANK($K$185)"</formula>
    </cfRule>
    <cfRule type="expression" dxfId="7626" priority="11529">
      <formula>AND(OR(AW44=0,ISBLANK(Q44)),B44&lt;&gt;"")</formula>
    </cfRule>
    <cfRule type="expression" dxfId="7625" priority="11530">
      <formula>AND(Q44="NA",NOT(ISTEXT(P44)))</formula>
    </cfRule>
    <cfRule type="expression" dxfId="7624" priority="11531">
      <formula>AND(AW44&gt;5,Q44="NA")</formula>
    </cfRule>
    <cfRule type="expression" dxfId="7623" priority="11532">
      <formula>AND(AW44&lt;5,Q44="NA")</formula>
    </cfRule>
    <cfRule type="expression" dxfId="7622" priority="11533">
      <formula>AND(Q44&lt;&gt;"NA",Q44&gt;$Q$16)</formula>
    </cfRule>
  </conditionalFormatting>
  <conditionalFormatting sqref="R44">
    <cfRule type="expression" priority="11469" stopIfTrue="1">
      <formula>"ISBLANK($K$185)"</formula>
    </cfRule>
    <cfRule type="expression" dxfId="7621" priority="11524">
      <formula>AND(OR(AW44=0,ISBLANK(R44)),B44&lt;&gt;"")</formula>
    </cfRule>
    <cfRule type="expression" dxfId="7620" priority="11525">
      <formula>AND(R44="NA",NOT(ISTEXT(S44)))</formula>
    </cfRule>
    <cfRule type="expression" dxfId="7619" priority="11526">
      <formula>AND(AW44&gt;5,R44="NA")</formula>
    </cfRule>
    <cfRule type="expression" dxfId="7618" priority="11527">
      <formula>AND(AW44&lt;5,R44="NA")</formula>
    </cfRule>
    <cfRule type="expression" dxfId="7617" priority="11528">
      <formula>AND(R44&lt;&gt;"NA",R44&gt;$R$16)</formula>
    </cfRule>
  </conditionalFormatting>
  <conditionalFormatting sqref="S44">
    <cfRule type="expression" priority="11468" stopIfTrue="1">
      <formula>"ISBLANK($K$185)"</formula>
    </cfRule>
    <cfRule type="expression" dxfId="7616" priority="11519">
      <formula>AND(OR(AW44=0,ISBLANK(S44)),B44&lt;&gt;"")</formula>
    </cfRule>
    <cfRule type="expression" dxfId="7615" priority="11520">
      <formula>AND(S44="NA",NOT(ISTEXT(R44)))</formula>
    </cfRule>
    <cfRule type="expression" dxfId="7614" priority="11521">
      <formula>AND(AW44&gt;5,S44="NA")</formula>
    </cfRule>
    <cfRule type="expression" dxfId="7613" priority="11522">
      <formula>AND(AW44&lt;5,S44="NA")</formula>
    </cfRule>
    <cfRule type="expression" dxfId="7612" priority="11523">
      <formula>AND(S44&lt;&gt;"NA",S44&gt;$S$16)</formula>
    </cfRule>
  </conditionalFormatting>
  <conditionalFormatting sqref="T44">
    <cfRule type="expression" priority="11467" stopIfTrue="1">
      <formula>"ISBLANK($K$185)"</formula>
    </cfRule>
    <cfRule type="expression" dxfId="7611" priority="11514">
      <formula>AND(OR(AW44=0,ISBLANK(T44)),B44&lt;&gt;"")</formula>
    </cfRule>
    <cfRule type="expression" dxfId="7610" priority="11515">
      <formula>AND(T44="NA",NOT(ISTEXT(U44)))</formula>
    </cfRule>
    <cfRule type="expression" dxfId="7609" priority="11516">
      <formula>AND(AW44&gt;5,T44="NA")</formula>
    </cfRule>
    <cfRule type="expression" dxfId="7608" priority="11517">
      <formula>AND(AW44&lt;5,T44="NA")</formula>
    </cfRule>
    <cfRule type="expression" dxfId="7607" priority="11518">
      <formula>AND(T44&lt;&gt;"NA",T44&gt;$T$16)</formula>
    </cfRule>
  </conditionalFormatting>
  <conditionalFormatting sqref="U44">
    <cfRule type="expression" priority="11466" stopIfTrue="1">
      <formula>"ISBLANK($K$185)"</formula>
    </cfRule>
    <cfRule type="expression" dxfId="7606" priority="11509">
      <formula>AND(OR(AW44=0,ISBLANK(U44)),B44&lt;&gt;"")</formula>
    </cfRule>
    <cfRule type="expression" dxfId="7605" priority="11510">
      <formula>AND(U44="NA",NOT(ISTEXT(T44)))</formula>
    </cfRule>
    <cfRule type="expression" dxfId="7604" priority="11511">
      <formula>AND(AW44&gt;5,U44="NA")</formula>
    </cfRule>
    <cfRule type="expression" dxfId="7603" priority="11512">
      <formula>AND(AW44&lt;5,U44="NA")</formula>
    </cfRule>
    <cfRule type="expression" dxfId="7602" priority="11513">
      <formula>AND(U44&lt;&gt;"NA",U44&gt;$U$16)</formula>
    </cfRule>
  </conditionalFormatting>
  <conditionalFormatting sqref="V44">
    <cfRule type="expression" priority="11465" stopIfTrue="1">
      <formula>"ISBLANK($K$185)"</formula>
    </cfRule>
    <cfRule type="expression" dxfId="7601" priority="11504">
      <formula>AND(OR(AW44=0,ISBLANK(V44)),B44&lt;&gt;"")</formula>
    </cfRule>
    <cfRule type="expression" dxfId="7600" priority="11505">
      <formula>AND(V44="NA",NOT(ISTEXT(W44)))</formula>
    </cfRule>
    <cfRule type="expression" dxfId="7599" priority="11506">
      <formula>AND(AW44&gt;5,V44="NA")</formula>
    </cfRule>
    <cfRule type="expression" dxfId="7598" priority="11507">
      <formula>AND(AW44&lt;5,V44="NA")</formula>
    </cfRule>
    <cfRule type="expression" dxfId="7597" priority="11508">
      <formula>AND(V44&lt;&gt;"NA",V44&gt;$V$16)</formula>
    </cfRule>
  </conditionalFormatting>
  <conditionalFormatting sqref="W44">
    <cfRule type="expression" priority="11464" stopIfTrue="1">
      <formula>"ISBLANK($K$185)"</formula>
    </cfRule>
    <cfRule type="expression" dxfId="7596" priority="11499">
      <formula>AND(OR(AW44=0,ISBLANK(W44)),B44&lt;&gt;"")</formula>
    </cfRule>
    <cfRule type="expression" dxfId="7595" priority="11500">
      <formula>AND(W44="NA",NOT(ISTEXT(V44)))</formula>
    </cfRule>
    <cfRule type="expression" dxfId="7594" priority="11501">
      <formula>AND(AW44&gt;5,W44="NA")</formula>
    </cfRule>
    <cfRule type="expression" dxfId="7593" priority="11502">
      <formula>AND(AW44&lt;5,W44="NA")</formula>
    </cfRule>
    <cfRule type="expression" dxfId="7592" priority="11503">
      <formula>AND(W44&lt;&gt;"NA",W44&gt;$W$16)</formula>
    </cfRule>
  </conditionalFormatting>
  <conditionalFormatting sqref="X44">
    <cfRule type="expression" priority="11463" stopIfTrue="1">
      <formula>"ISBLANK($K$185)"</formula>
    </cfRule>
    <cfRule type="expression" dxfId="7591" priority="11494">
      <formula>AND(OR(AW44=0,ISBLANK(X44)),B44&lt;&gt;"")</formula>
    </cfRule>
    <cfRule type="expression" dxfId="7590" priority="11495">
      <formula>AND(X44="NA",NOT(ISTEXT(Y44)))</formula>
    </cfRule>
    <cfRule type="expression" dxfId="7589" priority="11496">
      <formula>AND(AW44&gt;5,X44="NA")</formula>
    </cfRule>
    <cfRule type="expression" dxfId="7588" priority="11497">
      <formula>AND(AW44&lt;5,X44="NA")</formula>
    </cfRule>
    <cfRule type="expression" dxfId="7587" priority="11498">
      <formula>AND(X44&lt;&gt;"NA",X44&gt;$Y$16)</formula>
    </cfRule>
  </conditionalFormatting>
  <conditionalFormatting sqref="Y44">
    <cfRule type="expression" priority="11462" stopIfTrue="1">
      <formula>"ISBLANK($K$185)"</formula>
    </cfRule>
    <cfRule type="expression" dxfId="7586" priority="11489">
      <formula>AND(OR(AW44=0,ISBLANK(Y44)),B44&lt;&gt;"")</formula>
    </cfRule>
    <cfRule type="expression" dxfId="7585" priority="11490">
      <formula>AND(Y44="NA",NOT(ISTEXT(X44)))</formula>
    </cfRule>
    <cfRule type="expression" dxfId="7584" priority="11491">
      <formula>AND(AW44&gt;5,Y44="NA")</formula>
    </cfRule>
    <cfRule type="expression" dxfId="7583" priority="11492">
      <formula>AND(AW44&lt;5,Y44="NA")</formula>
    </cfRule>
    <cfRule type="expression" dxfId="7582" priority="11493">
      <formula>AND(Y44&lt;&gt;"NA",Y44&gt;$Y$16)</formula>
    </cfRule>
  </conditionalFormatting>
  <conditionalFormatting sqref="N44">
    <cfRule type="expression" priority="11473" stopIfTrue="1">
      <formula>"ISBLANK($K$185)"</formula>
    </cfRule>
    <cfRule type="expression" dxfId="7581" priority="11544">
      <formula>AND(OR(AW44=0,ISBLANK(N44)),B44&lt;&gt;"")</formula>
    </cfRule>
    <cfRule type="expression" dxfId="7580" priority="11545">
      <formula>AND(N44="NA",NOT(ISTEXT(O44)))</formula>
    </cfRule>
    <cfRule type="expression" dxfId="7579" priority="11546">
      <formula>AND(AW44&gt;5,N44="NA")</formula>
    </cfRule>
    <cfRule type="expression" dxfId="7578" priority="11547">
      <formula>AND(AW44&lt;5,N44="NA")</formula>
    </cfRule>
    <cfRule type="expression" dxfId="7577" priority="11548">
      <formula>AND(N44&lt;&gt;"NA",N44&gt;$N$16)</formula>
    </cfRule>
  </conditionalFormatting>
  <conditionalFormatting sqref="O45">
    <cfRule type="expression" priority="11381" stopIfTrue="1">
      <formula>"ISBLANK($K$185)"</formula>
    </cfRule>
    <cfRule type="expression" dxfId="7576" priority="11448">
      <formula>AND(OR(AW45=0,ISBLANK(O45)),B45&lt;&gt;"")</formula>
    </cfRule>
    <cfRule type="expression" dxfId="7575" priority="11449">
      <formula>AND(O45="NA",NOT(ISTEXT(N45)))</formula>
    </cfRule>
    <cfRule type="expression" dxfId="7574" priority="11450">
      <formula>AND(AW45&gt;5,O45="NA")</formula>
    </cfRule>
    <cfRule type="expression" dxfId="7573" priority="11451">
      <formula>AND(AW45&lt;5,O45="NA")</formula>
    </cfRule>
    <cfRule type="expression" dxfId="7572" priority="11452">
      <formula>AND(O45&lt;&gt;"NA",O45&gt;$O$16)</formula>
    </cfRule>
  </conditionalFormatting>
  <conditionalFormatting sqref="P45">
    <cfRule type="expression" priority="11380" stopIfTrue="1">
      <formula>"ISBLANK($K$185)"</formula>
    </cfRule>
    <cfRule type="expression" dxfId="7571" priority="11443">
      <formula>AND(OR(AW45=0,ISBLANK(P45)),B45&lt;&gt;"")</formula>
    </cfRule>
    <cfRule type="expression" dxfId="7570" priority="11444">
      <formula>AND(P45="NA",NOT(ISTEXT(Q45)))</formula>
    </cfRule>
    <cfRule type="expression" dxfId="7569" priority="11445">
      <formula>AND(AW45&gt;5,P45="NA")</formula>
    </cfRule>
    <cfRule type="expression" dxfId="7568" priority="11446">
      <formula>AND(AW45&lt;5,P45="NA")</formula>
    </cfRule>
    <cfRule type="expression" dxfId="7567" priority="11447">
      <formula>AND(P45&lt;&gt;"NA",P45&gt;$P$16)</formula>
    </cfRule>
  </conditionalFormatting>
  <conditionalFormatting sqref="Q45">
    <cfRule type="expression" priority="11379" stopIfTrue="1">
      <formula>"ISBLANK($K$185)"</formula>
    </cfRule>
    <cfRule type="expression" dxfId="7566" priority="11438">
      <formula>AND(OR(AW45=0,ISBLANK(Q45)),B45&lt;&gt;"")</formula>
    </cfRule>
    <cfRule type="expression" dxfId="7565" priority="11439">
      <formula>AND(Q45="NA",NOT(ISTEXT(P45)))</formula>
    </cfRule>
    <cfRule type="expression" dxfId="7564" priority="11440">
      <formula>AND(AW45&gt;5,Q45="NA")</formula>
    </cfRule>
    <cfRule type="expression" dxfId="7563" priority="11441">
      <formula>AND(AW45&lt;5,Q45="NA")</formula>
    </cfRule>
    <cfRule type="expression" dxfId="7562" priority="11442">
      <formula>AND(Q45&lt;&gt;"NA",Q45&gt;$Q$16)</formula>
    </cfRule>
  </conditionalFormatting>
  <conditionalFormatting sqref="R45">
    <cfRule type="expression" priority="11378" stopIfTrue="1">
      <formula>"ISBLANK($K$185)"</formula>
    </cfRule>
    <cfRule type="expression" dxfId="7561" priority="11433">
      <formula>AND(OR(AW45=0,ISBLANK(R45)),B45&lt;&gt;"")</formula>
    </cfRule>
    <cfRule type="expression" dxfId="7560" priority="11434">
      <formula>AND(R45="NA",NOT(ISTEXT(S45)))</formula>
    </cfRule>
    <cfRule type="expression" dxfId="7559" priority="11435">
      <formula>AND(AW45&gt;5,R45="NA")</formula>
    </cfRule>
    <cfRule type="expression" dxfId="7558" priority="11436">
      <formula>AND(AW45&lt;5,R45="NA")</formula>
    </cfRule>
    <cfRule type="expression" dxfId="7557" priority="11437">
      <formula>AND(R45&lt;&gt;"NA",R45&gt;$R$16)</formula>
    </cfRule>
  </conditionalFormatting>
  <conditionalFormatting sqref="S45">
    <cfRule type="expression" priority="11377" stopIfTrue="1">
      <formula>"ISBLANK($K$185)"</formula>
    </cfRule>
    <cfRule type="expression" dxfId="7556" priority="11428">
      <formula>AND(OR(AW45=0,ISBLANK(S45)),B45&lt;&gt;"")</formula>
    </cfRule>
    <cfRule type="expression" dxfId="7555" priority="11429">
      <formula>AND(S45="NA",NOT(ISTEXT(R45)))</formula>
    </cfRule>
    <cfRule type="expression" dxfId="7554" priority="11430">
      <formula>AND(AW45&gt;5,S45="NA")</formula>
    </cfRule>
    <cfRule type="expression" dxfId="7553" priority="11431">
      <formula>AND(AW45&lt;5,S45="NA")</formula>
    </cfRule>
    <cfRule type="expression" dxfId="7552" priority="11432">
      <formula>AND(S45&lt;&gt;"NA",S45&gt;$S$16)</formula>
    </cfRule>
  </conditionalFormatting>
  <conditionalFormatting sqref="T45">
    <cfRule type="expression" priority="11376" stopIfTrue="1">
      <formula>"ISBLANK($K$185)"</formula>
    </cfRule>
    <cfRule type="expression" dxfId="7551" priority="11423">
      <formula>AND(OR(AW45=0,ISBLANK(T45)),B45&lt;&gt;"")</formula>
    </cfRule>
    <cfRule type="expression" dxfId="7550" priority="11424">
      <formula>AND(T45="NA",NOT(ISTEXT(U45)))</formula>
    </cfRule>
    <cfRule type="expression" dxfId="7549" priority="11425">
      <formula>AND(AW45&gt;5,T45="NA")</formula>
    </cfRule>
    <cfRule type="expression" dxfId="7548" priority="11426">
      <formula>AND(AW45&lt;5,T45="NA")</formula>
    </cfRule>
    <cfRule type="expression" dxfId="7547" priority="11427">
      <formula>AND(T45&lt;&gt;"NA",T45&gt;$T$16)</formula>
    </cfRule>
  </conditionalFormatting>
  <conditionalFormatting sqref="U45">
    <cfRule type="expression" priority="11375" stopIfTrue="1">
      <formula>"ISBLANK($K$185)"</formula>
    </cfRule>
    <cfRule type="expression" dxfId="7546" priority="11418">
      <formula>AND(OR(AW45=0,ISBLANK(U45)),B45&lt;&gt;"")</formula>
    </cfRule>
    <cfRule type="expression" dxfId="7545" priority="11419">
      <formula>AND(U45="NA",NOT(ISTEXT(T45)))</formula>
    </cfRule>
    <cfRule type="expression" dxfId="7544" priority="11420">
      <formula>AND(AW45&gt;5,U45="NA")</formula>
    </cfRule>
    <cfRule type="expression" dxfId="7543" priority="11421">
      <formula>AND(AW45&lt;5,U45="NA")</formula>
    </cfRule>
    <cfRule type="expression" dxfId="7542" priority="11422">
      <formula>AND(U45&lt;&gt;"NA",U45&gt;$U$16)</formula>
    </cfRule>
  </conditionalFormatting>
  <conditionalFormatting sqref="V45">
    <cfRule type="expression" priority="11374" stopIfTrue="1">
      <formula>"ISBLANK($K$185)"</formula>
    </cfRule>
    <cfRule type="expression" dxfId="7541" priority="11413">
      <formula>AND(OR(AW45=0,ISBLANK(V45)),B45&lt;&gt;"")</formula>
    </cfRule>
    <cfRule type="expression" dxfId="7540" priority="11414">
      <formula>AND(V45="NA",NOT(ISTEXT(W45)))</formula>
    </cfRule>
    <cfRule type="expression" dxfId="7539" priority="11415">
      <formula>AND(AW45&gt;5,V45="NA")</formula>
    </cfRule>
    <cfRule type="expression" dxfId="7538" priority="11416">
      <formula>AND(AW45&lt;5,V45="NA")</formula>
    </cfRule>
    <cfRule type="expression" dxfId="7537" priority="11417">
      <formula>AND(V45&lt;&gt;"NA",V45&gt;$V$16)</formula>
    </cfRule>
  </conditionalFormatting>
  <conditionalFormatting sqref="W45">
    <cfRule type="expression" priority="11373" stopIfTrue="1">
      <formula>"ISBLANK($K$185)"</formula>
    </cfRule>
    <cfRule type="expression" dxfId="7536" priority="11408">
      <formula>AND(OR(AW45=0,ISBLANK(W45)),B45&lt;&gt;"")</formula>
    </cfRule>
    <cfRule type="expression" dxfId="7535" priority="11409">
      <formula>AND(W45="NA",NOT(ISTEXT(V45)))</formula>
    </cfRule>
    <cfRule type="expression" dxfId="7534" priority="11410">
      <formula>AND(AW45&gt;5,W45="NA")</formula>
    </cfRule>
    <cfRule type="expression" dxfId="7533" priority="11411">
      <formula>AND(AW45&lt;5,W45="NA")</formula>
    </cfRule>
    <cfRule type="expression" dxfId="7532" priority="11412">
      <formula>AND(W45&lt;&gt;"NA",W45&gt;$W$16)</formula>
    </cfRule>
  </conditionalFormatting>
  <conditionalFormatting sqref="X45">
    <cfRule type="expression" priority="11372" stopIfTrue="1">
      <formula>"ISBLANK($K$185)"</formula>
    </cfRule>
    <cfRule type="expression" dxfId="7531" priority="11403">
      <formula>AND(OR(AW45=0,ISBLANK(X45)),B45&lt;&gt;"")</formula>
    </cfRule>
    <cfRule type="expression" dxfId="7530" priority="11404">
      <formula>AND(X45="NA",NOT(ISTEXT(Y45)))</formula>
    </cfRule>
    <cfRule type="expression" dxfId="7529" priority="11405">
      <formula>AND(AW45&gt;5,X45="NA")</formula>
    </cfRule>
    <cfRule type="expression" dxfId="7528" priority="11406">
      <formula>AND(AW45&lt;5,X45="NA")</formula>
    </cfRule>
    <cfRule type="expression" dxfId="7527" priority="11407">
      <formula>AND(X45&lt;&gt;"NA",X45&gt;$Y$16)</formula>
    </cfRule>
  </conditionalFormatting>
  <conditionalFormatting sqref="Y45">
    <cfRule type="expression" priority="11371" stopIfTrue="1">
      <formula>"ISBLANK($K$185)"</formula>
    </cfRule>
    <cfRule type="expression" dxfId="7526" priority="11398">
      <formula>AND(OR(AW45=0,ISBLANK(Y45)),B45&lt;&gt;"")</formula>
    </cfRule>
    <cfRule type="expression" dxfId="7525" priority="11399">
      <formula>AND(Y45="NA",NOT(ISTEXT(X45)))</formula>
    </cfRule>
    <cfRule type="expression" dxfId="7524" priority="11400">
      <formula>AND(AW45&gt;5,Y45="NA")</formula>
    </cfRule>
    <cfRule type="expression" dxfId="7523" priority="11401">
      <formula>AND(AW45&lt;5,Y45="NA")</formula>
    </cfRule>
    <cfRule type="expression" dxfId="7522" priority="11402">
      <formula>AND(Y45&lt;&gt;"NA",Y45&gt;$Y$16)</formula>
    </cfRule>
  </conditionalFormatting>
  <conditionalFormatting sqref="N45">
    <cfRule type="expression" priority="11382" stopIfTrue="1">
      <formula>"ISBLANK($K$185)"</formula>
    </cfRule>
    <cfRule type="expression" dxfId="7521" priority="11453">
      <formula>AND(OR(AW45=0,ISBLANK(N45)),B45&lt;&gt;"")</formula>
    </cfRule>
    <cfRule type="expression" dxfId="7520" priority="11454">
      <formula>AND(N45="NA",NOT(ISTEXT(O45)))</formula>
    </cfRule>
    <cfRule type="expression" dxfId="7519" priority="11455">
      <formula>AND(AW45&gt;5,N45="NA")</formula>
    </cfRule>
    <cfRule type="expression" dxfId="7518" priority="11456">
      <formula>AND(AW45&lt;5,N45="NA")</formula>
    </cfRule>
    <cfRule type="expression" dxfId="7517" priority="11457">
      <formula>AND(N45&lt;&gt;"NA",N45&gt;$N$16)</formula>
    </cfRule>
  </conditionalFormatting>
  <conditionalFormatting sqref="O46">
    <cfRule type="expression" priority="11290" stopIfTrue="1">
      <formula>"ISBLANK($K$185)"</formula>
    </cfRule>
    <cfRule type="expression" dxfId="7516" priority="11357">
      <formula>AND(OR(AW46=0,ISBLANK(O46)),B46&lt;&gt;"")</formula>
    </cfRule>
    <cfRule type="expression" dxfId="7515" priority="11358">
      <formula>AND(O46="NA",NOT(ISTEXT(N46)))</formula>
    </cfRule>
    <cfRule type="expression" dxfId="7514" priority="11359">
      <formula>AND(AW46&gt;5,O46="NA")</formula>
    </cfRule>
    <cfRule type="expression" dxfId="7513" priority="11360">
      <formula>AND(AW46&lt;5,O46="NA")</formula>
    </cfRule>
    <cfRule type="expression" dxfId="7512" priority="11361">
      <formula>AND(O46&lt;&gt;"NA",O46&gt;$O$16)</formula>
    </cfRule>
  </conditionalFormatting>
  <conditionalFormatting sqref="P46">
    <cfRule type="expression" priority="11289" stopIfTrue="1">
      <formula>"ISBLANK($K$185)"</formula>
    </cfRule>
    <cfRule type="expression" dxfId="7511" priority="11352">
      <formula>AND(OR(AW46=0,ISBLANK(P46)),B46&lt;&gt;"")</formula>
    </cfRule>
    <cfRule type="expression" dxfId="7510" priority="11353">
      <formula>AND(P46="NA",NOT(ISTEXT(Q46)))</formula>
    </cfRule>
    <cfRule type="expression" dxfId="7509" priority="11354">
      <formula>AND(AW46&gt;5,P46="NA")</formula>
    </cfRule>
    <cfRule type="expression" dxfId="7508" priority="11355">
      <formula>AND(AW46&lt;5,P46="NA")</formula>
    </cfRule>
    <cfRule type="expression" dxfId="7507" priority="11356">
      <formula>AND(P46&lt;&gt;"NA",P46&gt;$P$16)</formula>
    </cfRule>
  </conditionalFormatting>
  <conditionalFormatting sqref="Q46">
    <cfRule type="expression" priority="11288" stopIfTrue="1">
      <formula>"ISBLANK($K$185)"</formula>
    </cfRule>
    <cfRule type="expression" dxfId="7506" priority="11347">
      <formula>AND(OR(AW46=0,ISBLANK(Q46)),B46&lt;&gt;"")</formula>
    </cfRule>
    <cfRule type="expression" dxfId="7505" priority="11348">
      <formula>AND(Q46="NA",NOT(ISTEXT(P46)))</formula>
    </cfRule>
    <cfRule type="expression" dxfId="7504" priority="11349">
      <formula>AND(AW46&gt;5,Q46="NA")</formula>
    </cfRule>
    <cfRule type="expression" dxfId="7503" priority="11350">
      <formula>AND(AW46&lt;5,Q46="NA")</formula>
    </cfRule>
    <cfRule type="expression" dxfId="7502" priority="11351">
      <formula>AND(Q46&lt;&gt;"NA",Q46&gt;$Q$16)</formula>
    </cfRule>
  </conditionalFormatting>
  <conditionalFormatting sqref="R46">
    <cfRule type="expression" priority="11287" stopIfTrue="1">
      <formula>"ISBLANK($K$185)"</formula>
    </cfRule>
    <cfRule type="expression" dxfId="7501" priority="11342">
      <formula>AND(OR(AW46=0,ISBLANK(R46)),B46&lt;&gt;"")</formula>
    </cfRule>
    <cfRule type="expression" dxfId="7500" priority="11343">
      <formula>AND(R46="NA",NOT(ISTEXT(S46)))</formula>
    </cfRule>
    <cfRule type="expression" dxfId="7499" priority="11344">
      <formula>AND(AW46&gt;5,R46="NA")</formula>
    </cfRule>
    <cfRule type="expression" dxfId="7498" priority="11345">
      <formula>AND(AW46&lt;5,R46="NA")</formula>
    </cfRule>
    <cfRule type="expression" dxfId="7497" priority="11346">
      <formula>AND(R46&lt;&gt;"NA",R46&gt;$R$16)</formula>
    </cfRule>
  </conditionalFormatting>
  <conditionalFormatting sqref="S46">
    <cfRule type="expression" priority="11286" stopIfTrue="1">
      <formula>"ISBLANK($K$185)"</formula>
    </cfRule>
    <cfRule type="expression" dxfId="7496" priority="11337">
      <formula>AND(OR(AW46=0,ISBLANK(S46)),B46&lt;&gt;"")</formula>
    </cfRule>
    <cfRule type="expression" dxfId="7495" priority="11338">
      <formula>AND(S46="NA",NOT(ISTEXT(R46)))</formula>
    </cfRule>
    <cfRule type="expression" dxfId="7494" priority="11339">
      <formula>AND(AW46&gt;5,S46="NA")</formula>
    </cfRule>
    <cfRule type="expression" dxfId="7493" priority="11340">
      <formula>AND(AW46&lt;5,S46="NA")</formula>
    </cfRule>
    <cfRule type="expression" dxfId="7492" priority="11341">
      <formula>AND(S46&lt;&gt;"NA",S46&gt;$S$16)</formula>
    </cfRule>
  </conditionalFormatting>
  <conditionalFormatting sqref="T46">
    <cfRule type="expression" priority="11285" stopIfTrue="1">
      <formula>"ISBLANK($K$185)"</formula>
    </cfRule>
    <cfRule type="expression" dxfId="7491" priority="11332">
      <formula>AND(OR(AW46=0,ISBLANK(T46)),B46&lt;&gt;"")</formula>
    </cfRule>
    <cfRule type="expression" dxfId="7490" priority="11333">
      <formula>AND(T46="NA",NOT(ISTEXT(U46)))</formula>
    </cfRule>
    <cfRule type="expression" dxfId="7489" priority="11334">
      <formula>AND(AW46&gt;5,T46="NA")</formula>
    </cfRule>
    <cfRule type="expression" dxfId="7488" priority="11335">
      <formula>AND(AW46&lt;5,T46="NA")</formula>
    </cfRule>
    <cfRule type="expression" dxfId="7487" priority="11336">
      <formula>AND(T46&lt;&gt;"NA",T46&gt;$T$16)</formula>
    </cfRule>
  </conditionalFormatting>
  <conditionalFormatting sqref="U46">
    <cfRule type="expression" priority="11284" stopIfTrue="1">
      <formula>"ISBLANK($K$185)"</formula>
    </cfRule>
    <cfRule type="expression" dxfId="7486" priority="11327">
      <formula>AND(OR(AW46=0,ISBLANK(U46)),B46&lt;&gt;"")</formula>
    </cfRule>
    <cfRule type="expression" dxfId="7485" priority="11328">
      <formula>AND(U46="NA",NOT(ISTEXT(T46)))</formula>
    </cfRule>
    <cfRule type="expression" dxfId="7484" priority="11329">
      <formula>AND(AW46&gt;5,U46="NA")</formula>
    </cfRule>
    <cfRule type="expression" dxfId="7483" priority="11330">
      <formula>AND(AW46&lt;5,U46="NA")</formula>
    </cfRule>
    <cfRule type="expression" dxfId="7482" priority="11331">
      <formula>AND(U46&lt;&gt;"NA",U46&gt;$U$16)</formula>
    </cfRule>
  </conditionalFormatting>
  <conditionalFormatting sqref="V46">
    <cfRule type="expression" priority="11283" stopIfTrue="1">
      <formula>"ISBLANK($K$185)"</formula>
    </cfRule>
    <cfRule type="expression" dxfId="7481" priority="11322">
      <formula>AND(OR(AW46=0,ISBLANK(V46)),B46&lt;&gt;"")</formula>
    </cfRule>
    <cfRule type="expression" dxfId="7480" priority="11323">
      <formula>AND(V46="NA",NOT(ISTEXT(W46)))</formula>
    </cfRule>
    <cfRule type="expression" dxfId="7479" priority="11324">
      <formula>AND(AW46&gt;5,V46="NA")</formula>
    </cfRule>
    <cfRule type="expression" dxfId="7478" priority="11325">
      <formula>AND(AW46&lt;5,V46="NA")</formula>
    </cfRule>
    <cfRule type="expression" dxfId="7477" priority="11326">
      <formula>AND(V46&lt;&gt;"NA",V46&gt;$V$16)</formula>
    </cfRule>
  </conditionalFormatting>
  <conditionalFormatting sqref="W46">
    <cfRule type="expression" priority="11282" stopIfTrue="1">
      <formula>"ISBLANK($K$185)"</formula>
    </cfRule>
    <cfRule type="expression" dxfId="7476" priority="11317">
      <formula>AND(OR(AW46=0,ISBLANK(W46)),B46&lt;&gt;"")</formula>
    </cfRule>
    <cfRule type="expression" dxfId="7475" priority="11318">
      <formula>AND(W46="NA",NOT(ISTEXT(V46)))</formula>
    </cfRule>
    <cfRule type="expression" dxfId="7474" priority="11319">
      <formula>AND(AW46&gt;5,W46="NA")</formula>
    </cfRule>
    <cfRule type="expression" dxfId="7473" priority="11320">
      <formula>AND(AW46&lt;5,W46="NA")</formula>
    </cfRule>
    <cfRule type="expression" dxfId="7472" priority="11321">
      <formula>AND(W46&lt;&gt;"NA",W46&gt;$W$16)</formula>
    </cfRule>
  </conditionalFormatting>
  <conditionalFormatting sqref="X46">
    <cfRule type="expression" priority="11281" stopIfTrue="1">
      <formula>"ISBLANK($K$185)"</formula>
    </cfRule>
    <cfRule type="expression" dxfId="7471" priority="11312">
      <formula>AND(OR(AW46=0,ISBLANK(X46)),B46&lt;&gt;"")</formula>
    </cfRule>
    <cfRule type="expression" dxfId="7470" priority="11313">
      <formula>AND(X46="NA",NOT(ISTEXT(Y46)))</formula>
    </cfRule>
    <cfRule type="expression" dxfId="7469" priority="11314">
      <formula>AND(AW46&gt;5,X46="NA")</formula>
    </cfRule>
    <cfRule type="expression" dxfId="7468" priority="11315">
      <formula>AND(AW46&lt;5,X46="NA")</formula>
    </cfRule>
    <cfRule type="expression" dxfId="7467" priority="11316">
      <formula>AND(X46&lt;&gt;"NA",X46&gt;$Y$16)</formula>
    </cfRule>
  </conditionalFormatting>
  <conditionalFormatting sqref="Y46">
    <cfRule type="expression" priority="11280" stopIfTrue="1">
      <formula>"ISBLANK($K$185)"</formula>
    </cfRule>
    <cfRule type="expression" dxfId="7466" priority="11307">
      <formula>AND(OR(AW46=0,ISBLANK(Y46)),B46&lt;&gt;"")</formula>
    </cfRule>
    <cfRule type="expression" dxfId="7465" priority="11308">
      <formula>AND(Y46="NA",NOT(ISTEXT(X46)))</formula>
    </cfRule>
    <cfRule type="expression" dxfId="7464" priority="11309">
      <formula>AND(AW46&gt;5,Y46="NA")</formula>
    </cfRule>
    <cfRule type="expression" dxfId="7463" priority="11310">
      <formula>AND(AW46&lt;5,Y46="NA")</formula>
    </cfRule>
    <cfRule type="expression" dxfId="7462" priority="11311">
      <formula>AND(Y46&lt;&gt;"NA",Y46&gt;$Y$16)</formula>
    </cfRule>
  </conditionalFormatting>
  <conditionalFormatting sqref="N46">
    <cfRule type="expression" priority="11291" stopIfTrue="1">
      <formula>"ISBLANK($K$185)"</formula>
    </cfRule>
    <cfRule type="expression" dxfId="7461" priority="11362">
      <formula>AND(OR(AW46=0,ISBLANK(N46)),B46&lt;&gt;"")</formula>
    </cfRule>
    <cfRule type="expression" dxfId="7460" priority="11363">
      <formula>AND(N46="NA",NOT(ISTEXT(O46)))</formula>
    </cfRule>
    <cfRule type="expression" dxfId="7459" priority="11364">
      <formula>AND(AW46&gt;5,N46="NA")</formula>
    </cfRule>
    <cfRule type="expression" dxfId="7458" priority="11365">
      <formula>AND(AW46&lt;5,N46="NA")</formula>
    </cfRule>
    <cfRule type="expression" dxfId="7457" priority="11366">
      <formula>AND(N46&lt;&gt;"NA",N46&gt;$N$16)</formula>
    </cfRule>
  </conditionalFormatting>
  <conditionalFormatting sqref="O47">
    <cfRule type="expression" priority="11199" stopIfTrue="1">
      <formula>"ISBLANK($K$185)"</formula>
    </cfRule>
    <cfRule type="expression" dxfId="7456" priority="11266">
      <formula>AND(OR(AW47=0,ISBLANK(O47)),B47&lt;&gt;"")</formula>
    </cfRule>
    <cfRule type="expression" dxfId="7455" priority="11267">
      <formula>AND(O47="NA",NOT(ISTEXT(N47)))</formula>
    </cfRule>
    <cfRule type="expression" dxfId="7454" priority="11268">
      <formula>AND(AW47&gt;5,O47="NA")</formula>
    </cfRule>
    <cfRule type="expression" dxfId="7453" priority="11269">
      <formula>AND(AW47&lt;5,O47="NA")</formula>
    </cfRule>
    <cfRule type="expression" dxfId="7452" priority="11270">
      <formula>AND(O47&lt;&gt;"NA",O47&gt;$O$16)</formula>
    </cfRule>
  </conditionalFormatting>
  <conditionalFormatting sqref="P47">
    <cfRule type="expression" priority="11198" stopIfTrue="1">
      <formula>"ISBLANK($K$185)"</formula>
    </cfRule>
    <cfRule type="expression" dxfId="7451" priority="11261">
      <formula>AND(OR(AW47=0,ISBLANK(P47)),B47&lt;&gt;"")</formula>
    </cfRule>
    <cfRule type="expression" dxfId="7450" priority="11262">
      <formula>AND(P47="NA",NOT(ISTEXT(Q47)))</formula>
    </cfRule>
    <cfRule type="expression" dxfId="7449" priority="11263">
      <formula>AND(AW47&gt;5,P47="NA")</formula>
    </cfRule>
    <cfRule type="expression" dxfId="7448" priority="11264">
      <formula>AND(AW47&lt;5,P47="NA")</formula>
    </cfRule>
    <cfRule type="expression" dxfId="7447" priority="11265">
      <formula>AND(P47&lt;&gt;"NA",P47&gt;$P$16)</formula>
    </cfRule>
  </conditionalFormatting>
  <conditionalFormatting sqref="Q47">
    <cfRule type="expression" priority="11197" stopIfTrue="1">
      <formula>"ISBLANK($K$185)"</formula>
    </cfRule>
    <cfRule type="expression" dxfId="7446" priority="11256">
      <formula>AND(OR(AW47=0,ISBLANK(Q47)),B47&lt;&gt;"")</formula>
    </cfRule>
    <cfRule type="expression" dxfId="7445" priority="11257">
      <formula>AND(Q47="NA",NOT(ISTEXT(P47)))</formula>
    </cfRule>
    <cfRule type="expression" dxfId="7444" priority="11258">
      <formula>AND(AW47&gt;5,Q47="NA")</formula>
    </cfRule>
    <cfRule type="expression" dxfId="7443" priority="11259">
      <formula>AND(AW47&lt;5,Q47="NA")</formula>
    </cfRule>
    <cfRule type="expression" dxfId="7442" priority="11260">
      <formula>AND(Q47&lt;&gt;"NA",Q47&gt;$Q$16)</formula>
    </cfRule>
  </conditionalFormatting>
  <conditionalFormatting sqref="R47">
    <cfRule type="expression" priority="11196" stopIfTrue="1">
      <formula>"ISBLANK($K$185)"</formula>
    </cfRule>
    <cfRule type="expression" dxfId="7441" priority="11251">
      <formula>AND(OR(AW47=0,ISBLANK(R47)),B47&lt;&gt;"")</formula>
    </cfRule>
    <cfRule type="expression" dxfId="7440" priority="11252">
      <formula>AND(R47="NA",NOT(ISTEXT(S47)))</formula>
    </cfRule>
    <cfRule type="expression" dxfId="7439" priority="11253">
      <formula>AND(AW47&gt;5,R47="NA")</formula>
    </cfRule>
    <cfRule type="expression" dxfId="7438" priority="11254">
      <formula>AND(AW47&lt;5,R47="NA")</formula>
    </cfRule>
    <cfRule type="expression" dxfId="7437" priority="11255">
      <formula>AND(R47&lt;&gt;"NA",R47&gt;$R$16)</formula>
    </cfRule>
  </conditionalFormatting>
  <conditionalFormatting sqref="S47">
    <cfRule type="expression" priority="11195" stopIfTrue="1">
      <formula>"ISBLANK($K$185)"</formula>
    </cfRule>
    <cfRule type="expression" dxfId="7436" priority="11246">
      <formula>AND(OR(AW47=0,ISBLANK(S47)),B47&lt;&gt;"")</formula>
    </cfRule>
    <cfRule type="expression" dxfId="7435" priority="11247">
      <formula>AND(S47="NA",NOT(ISTEXT(R47)))</formula>
    </cfRule>
    <cfRule type="expression" dxfId="7434" priority="11248">
      <formula>AND(AW47&gt;5,S47="NA")</formula>
    </cfRule>
    <cfRule type="expression" dxfId="7433" priority="11249">
      <formula>AND(AW47&lt;5,S47="NA")</formula>
    </cfRule>
    <cfRule type="expression" dxfId="7432" priority="11250">
      <formula>AND(S47&lt;&gt;"NA",S47&gt;$S$16)</formula>
    </cfRule>
  </conditionalFormatting>
  <conditionalFormatting sqref="T47">
    <cfRule type="expression" priority="11194" stopIfTrue="1">
      <formula>"ISBLANK($K$185)"</formula>
    </cfRule>
    <cfRule type="expression" dxfId="7431" priority="11241">
      <formula>AND(OR(AW47=0,ISBLANK(T47)),B47&lt;&gt;"")</formula>
    </cfRule>
    <cfRule type="expression" dxfId="7430" priority="11242">
      <formula>AND(T47="NA",NOT(ISTEXT(U47)))</formula>
    </cfRule>
    <cfRule type="expression" dxfId="7429" priority="11243">
      <formula>AND(AW47&gt;5,T47="NA")</formula>
    </cfRule>
    <cfRule type="expression" dxfId="7428" priority="11244">
      <formula>AND(AW47&lt;5,T47="NA")</formula>
    </cfRule>
    <cfRule type="expression" dxfId="7427" priority="11245">
      <formula>AND(T47&lt;&gt;"NA",T47&gt;$T$16)</formula>
    </cfRule>
  </conditionalFormatting>
  <conditionalFormatting sqref="U47">
    <cfRule type="expression" priority="11193" stopIfTrue="1">
      <formula>"ISBLANK($K$185)"</formula>
    </cfRule>
    <cfRule type="expression" dxfId="7426" priority="11236">
      <formula>AND(OR(AW47=0,ISBLANK(U47)),B47&lt;&gt;"")</formula>
    </cfRule>
    <cfRule type="expression" dxfId="7425" priority="11237">
      <formula>AND(U47="NA",NOT(ISTEXT(T47)))</formula>
    </cfRule>
    <cfRule type="expression" dxfId="7424" priority="11238">
      <formula>AND(AW47&gt;5,U47="NA")</formula>
    </cfRule>
    <cfRule type="expression" dxfId="7423" priority="11239">
      <formula>AND(AW47&lt;5,U47="NA")</formula>
    </cfRule>
    <cfRule type="expression" dxfId="7422" priority="11240">
      <formula>AND(U47&lt;&gt;"NA",U47&gt;$U$16)</formula>
    </cfRule>
  </conditionalFormatting>
  <conditionalFormatting sqref="V47">
    <cfRule type="expression" priority="11192" stopIfTrue="1">
      <formula>"ISBLANK($K$185)"</formula>
    </cfRule>
    <cfRule type="expression" dxfId="7421" priority="11231">
      <formula>AND(OR(AW47=0,ISBLANK(V47)),B47&lt;&gt;"")</formula>
    </cfRule>
    <cfRule type="expression" dxfId="7420" priority="11232">
      <formula>AND(V47="NA",NOT(ISTEXT(W47)))</formula>
    </cfRule>
    <cfRule type="expression" dxfId="7419" priority="11233">
      <formula>AND(AW47&gt;5,V47="NA")</formula>
    </cfRule>
    <cfRule type="expression" dxfId="7418" priority="11234">
      <formula>AND(AW47&lt;5,V47="NA")</formula>
    </cfRule>
    <cfRule type="expression" dxfId="7417" priority="11235">
      <formula>AND(V47&lt;&gt;"NA",V47&gt;$V$16)</formula>
    </cfRule>
  </conditionalFormatting>
  <conditionalFormatting sqref="W47">
    <cfRule type="expression" priority="11191" stopIfTrue="1">
      <formula>"ISBLANK($K$185)"</formula>
    </cfRule>
    <cfRule type="expression" dxfId="7416" priority="11226">
      <formula>AND(OR(AW47=0,ISBLANK(W47)),B47&lt;&gt;"")</formula>
    </cfRule>
    <cfRule type="expression" dxfId="7415" priority="11227">
      <formula>AND(W47="NA",NOT(ISTEXT(V47)))</formula>
    </cfRule>
    <cfRule type="expression" dxfId="7414" priority="11228">
      <formula>AND(AW47&gt;5,W47="NA")</formula>
    </cfRule>
    <cfRule type="expression" dxfId="7413" priority="11229">
      <formula>AND(AW47&lt;5,W47="NA")</formula>
    </cfRule>
    <cfRule type="expression" dxfId="7412" priority="11230">
      <formula>AND(W47&lt;&gt;"NA",W47&gt;$W$16)</formula>
    </cfRule>
  </conditionalFormatting>
  <conditionalFormatting sqref="X47">
    <cfRule type="expression" priority="11190" stopIfTrue="1">
      <formula>"ISBLANK($K$185)"</formula>
    </cfRule>
    <cfRule type="expression" dxfId="7411" priority="11221">
      <formula>AND(OR(AW47=0,ISBLANK(X47)),B47&lt;&gt;"")</formula>
    </cfRule>
    <cfRule type="expression" dxfId="7410" priority="11222">
      <formula>AND(X47="NA",NOT(ISTEXT(Y47)))</formula>
    </cfRule>
    <cfRule type="expression" dxfId="7409" priority="11223">
      <formula>AND(AW47&gt;5,X47="NA")</formula>
    </cfRule>
    <cfRule type="expression" dxfId="7408" priority="11224">
      <formula>AND(AW47&lt;5,X47="NA")</formula>
    </cfRule>
    <cfRule type="expression" dxfId="7407" priority="11225">
      <formula>AND(X47&lt;&gt;"NA",X47&gt;$Y$16)</formula>
    </cfRule>
  </conditionalFormatting>
  <conditionalFormatting sqref="Y47">
    <cfRule type="expression" priority="11189" stopIfTrue="1">
      <formula>"ISBLANK($K$185)"</formula>
    </cfRule>
    <cfRule type="expression" dxfId="7406" priority="11216">
      <formula>AND(OR(AW47=0,ISBLANK(Y47)),B47&lt;&gt;"")</formula>
    </cfRule>
    <cfRule type="expression" dxfId="7405" priority="11217">
      <formula>AND(Y47="NA",NOT(ISTEXT(X47)))</formula>
    </cfRule>
    <cfRule type="expression" dxfId="7404" priority="11218">
      <formula>AND(AW47&gt;5,Y47="NA")</formula>
    </cfRule>
    <cfRule type="expression" dxfId="7403" priority="11219">
      <formula>AND(AW47&lt;5,Y47="NA")</formula>
    </cfRule>
    <cfRule type="expression" dxfId="7402" priority="11220">
      <formula>AND(Y47&lt;&gt;"NA",Y47&gt;$Y$16)</formula>
    </cfRule>
  </conditionalFormatting>
  <conditionalFormatting sqref="N47">
    <cfRule type="expression" priority="11200" stopIfTrue="1">
      <formula>"ISBLANK($K$185)"</formula>
    </cfRule>
    <cfRule type="expression" dxfId="7401" priority="11271">
      <formula>AND(OR(AW47=0,ISBLANK(N47)),B47&lt;&gt;"")</formula>
    </cfRule>
    <cfRule type="expression" dxfId="7400" priority="11272">
      <formula>AND(N47="NA",NOT(ISTEXT(O47)))</formula>
    </cfRule>
    <cfRule type="expression" dxfId="7399" priority="11273">
      <formula>AND(AW47&gt;5,N47="NA")</formula>
    </cfRule>
    <cfRule type="expression" dxfId="7398" priority="11274">
      <formula>AND(AW47&lt;5,N47="NA")</formula>
    </cfRule>
    <cfRule type="expression" dxfId="7397" priority="11275">
      <formula>AND(N47&lt;&gt;"NA",N47&gt;$N$16)</formula>
    </cfRule>
  </conditionalFormatting>
  <conditionalFormatting sqref="O48">
    <cfRule type="expression" priority="11108" stopIfTrue="1">
      <formula>"ISBLANK($K$185)"</formula>
    </cfRule>
    <cfRule type="expression" dxfId="7396" priority="11175">
      <formula>AND(OR(AW48=0,ISBLANK(O48)),B48&lt;&gt;"")</formula>
    </cfRule>
    <cfRule type="expression" dxfId="7395" priority="11176">
      <formula>AND(O48="NA",NOT(ISTEXT(N48)))</formula>
    </cfRule>
    <cfRule type="expression" dxfId="7394" priority="11177">
      <formula>AND(AW48&gt;5,O48="NA")</formula>
    </cfRule>
    <cfRule type="expression" dxfId="7393" priority="11178">
      <formula>AND(AW48&lt;5,O48="NA")</formula>
    </cfRule>
    <cfRule type="expression" dxfId="7392" priority="11179">
      <formula>AND(O48&lt;&gt;"NA",O48&gt;$O$16)</formula>
    </cfRule>
  </conditionalFormatting>
  <conditionalFormatting sqref="P48">
    <cfRule type="expression" priority="11107" stopIfTrue="1">
      <formula>"ISBLANK($K$185)"</formula>
    </cfRule>
    <cfRule type="expression" dxfId="7391" priority="11170">
      <formula>AND(OR(AW48=0,ISBLANK(P48)),B48&lt;&gt;"")</formula>
    </cfRule>
    <cfRule type="expression" dxfId="7390" priority="11171">
      <formula>AND(P48="NA",NOT(ISTEXT(Q48)))</formula>
    </cfRule>
    <cfRule type="expression" dxfId="7389" priority="11172">
      <formula>AND(AW48&gt;5,P48="NA")</formula>
    </cfRule>
    <cfRule type="expression" dxfId="7388" priority="11173">
      <formula>AND(AW48&lt;5,P48="NA")</formula>
    </cfRule>
    <cfRule type="expression" dxfId="7387" priority="11174">
      <formula>AND(P48&lt;&gt;"NA",P48&gt;$P$16)</formula>
    </cfRule>
  </conditionalFormatting>
  <conditionalFormatting sqref="Q48">
    <cfRule type="expression" priority="11106" stopIfTrue="1">
      <formula>"ISBLANK($K$185)"</formula>
    </cfRule>
    <cfRule type="expression" dxfId="7386" priority="11165">
      <formula>AND(OR(AW48=0,ISBLANK(Q48)),B48&lt;&gt;"")</formula>
    </cfRule>
    <cfRule type="expression" dxfId="7385" priority="11166">
      <formula>AND(Q48="NA",NOT(ISTEXT(P48)))</formula>
    </cfRule>
    <cfRule type="expression" dxfId="7384" priority="11167">
      <formula>AND(AW48&gt;5,Q48="NA")</formula>
    </cfRule>
    <cfRule type="expression" dxfId="7383" priority="11168">
      <formula>AND(AW48&lt;5,Q48="NA")</formula>
    </cfRule>
    <cfRule type="expression" dxfId="7382" priority="11169">
      <formula>AND(Q48&lt;&gt;"NA",Q48&gt;$Q$16)</formula>
    </cfRule>
  </conditionalFormatting>
  <conditionalFormatting sqref="R48">
    <cfRule type="expression" priority="11105" stopIfTrue="1">
      <formula>"ISBLANK($K$185)"</formula>
    </cfRule>
    <cfRule type="expression" dxfId="7381" priority="11160">
      <formula>AND(OR(AW48=0,ISBLANK(R48)),B48&lt;&gt;"")</formula>
    </cfRule>
    <cfRule type="expression" dxfId="7380" priority="11161">
      <formula>AND(R48="NA",NOT(ISTEXT(S48)))</formula>
    </cfRule>
    <cfRule type="expression" dxfId="7379" priority="11162">
      <formula>AND(AW48&gt;5,R48="NA")</formula>
    </cfRule>
    <cfRule type="expression" dxfId="7378" priority="11163">
      <formula>AND(AW48&lt;5,R48="NA")</formula>
    </cfRule>
    <cfRule type="expression" dxfId="7377" priority="11164">
      <formula>AND(R48&lt;&gt;"NA",R48&gt;$R$16)</formula>
    </cfRule>
  </conditionalFormatting>
  <conditionalFormatting sqref="S48">
    <cfRule type="expression" priority="11104" stopIfTrue="1">
      <formula>"ISBLANK($K$185)"</formula>
    </cfRule>
    <cfRule type="expression" dxfId="7376" priority="11155">
      <formula>AND(OR(AW48=0,ISBLANK(S48)),B48&lt;&gt;"")</formula>
    </cfRule>
    <cfRule type="expression" dxfId="7375" priority="11156">
      <formula>AND(S48="NA",NOT(ISTEXT(R48)))</formula>
    </cfRule>
    <cfRule type="expression" dxfId="7374" priority="11157">
      <formula>AND(AW48&gt;5,S48="NA")</formula>
    </cfRule>
    <cfRule type="expression" dxfId="7373" priority="11158">
      <formula>AND(AW48&lt;5,S48="NA")</formula>
    </cfRule>
    <cfRule type="expression" dxfId="7372" priority="11159">
      <formula>AND(S48&lt;&gt;"NA",S48&gt;$S$16)</formula>
    </cfRule>
  </conditionalFormatting>
  <conditionalFormatting sqref="T48">
    <cfRule type="expression" priority="11103" stopIfTrue="1">
      <formula>"ISBLANK($K$185)"</formula>
    </cfRule>
    <cfRule type="expression" dxfId="7371" priority="11150">
      <formula>AND(OR(AW48=0,ISBLANK(T48)),B48&lt;&gt;"")</formula>
    </cfRule>
    <cfRule type="expression" dxfId="7370" priority="11151">
      <formula>AND(T48="NA",NOT(ISTEXT(U48)))</formula>
    </cfRule>
    <cfRule type="expression" dxfId="7369" priority="11152">
      <formula>AND(AW48&gt;5,T48="NA")</formula>
    </cfRule>
    <cfRule type="expression" dxfId="7368" priority="11153">
      <formula>AND(AW48&lt;5,T48="NA")</formula>
    </cfRule>
    <cfRule type="expression" dxfId="7367" priority="11154">
      <formula>AND(T48&lt;&gt;"NA",T48&gt;$T$16)</formula>
    </cfRule>
  </conditionalFormatting>
  <conditionalFormatting sqref="U48">
    <cfRule type="expression" priority="11102" stopIfTrue="1">
      <formula>"ISBLANK($K$185)"</formula>
    </cfRule>
    <cfRule type="expression" dxfId="7366" priority="11145">
      <formula>AND(OR(AW48=0,ISBLANK(U48)),B48&lt;&gt;"")</formula>
    </cfRule>
    <cfRule type="expression" dxfId="7365" priority="11146">
      <formula>AND(U48="NA",NOT(ISTEXT(T48)))</formula>
    </cfRule>
    <cfRule type="expression" dxfId="7364" priority="11147">
      <formula>AND(AW48&gt;5,U48="NA")</formula>
    </cfRule>
    <cfRule type="expression" dxfId="7363" priority="11148">
      <formula>AND(AW48&lt;5,U48="NA")</formula>
    </cfRule>
    <cfRule type="expression" dxfId="7362" priority="11149">
      <formula>AND(U48&lt;&gt;"NA",U48&gt;$U$16)</formula>
    </cfRule>
  </conditionalFormatting>
  <conditionalFormatting sqref="V48">
    <cfRule type="expression" priority="11101" stopIfTrue="1">
      <formula>"ISBLANK($K$185)"</formula>
    </cfRule>
    <cfRule type="expression" dxfId="7361" priority="11140">
      <formula>AND(OR(AW48=0,ISBLANK(V48)),B48&lt;&gt;"")</formula>
    </cfRule>
    <cfRule type="expression" dxfId="7360" priority="11141">
      <formula>AND(V48="NA",NOT(ISTEXT(W48)))</formula>
    </cfRule>
    <cfRule type="expression" dxfId="7359" priority="11142">
      <formula>AND(AW48&gt;5,V48="NA")</formula>
    </cfRule>
    <cfRule type="expression" dxfId="7358" priority="11143">
      <formula>AND(AW48&lt;5,V48="NA")</formula>
    </cfRule>
    <cfRule type="expression" dxfId="7357" priority="11144">
      <formula>AND(V48&lt;&gt;"NA",V48&gt;$V$16)</formula>
    </cfRule>
  </conditionalFormatting>
  <conditionalFormatting sqref="W48">
    <cfRule type="expression" priority="11100" stopIfTrue="1">
      <formula>"ISBLANK($K$185)"</formula>
    </cfRule>
    <cfRule type="expression" dxfId="7356" priority="11135">
      <formula>AND(OR(AW48=0,ISBLANK(W48)),B48&lt;&gt;"")</formula>
    </cfRule>
    <cfRule type="expression" dxfId="7355" priority="11136">
      <formula>AND(W48="NA",NOT(ISTEXT(V48)))</formula>
    </cfRule>
    <cfRule type="expression" dxfId="7354" priority="11137">
      <formula>AND(AW48&gt;5,W48="NA")</formula>
    </cfRule>
    <cfRule type="expression" dxfId="7353" priority="11138">
      <formula>AND(AW48&lt;5,W48="NA")</formula>
    </cfRule>
    <cfRule type="expression" dxfId="7352" priority="11139">
      <formula>AND(W48&lt;&gt;"NA",W48&gt;$W$16)</formula>
    </cfRule>
  </conditionalFormatting>
  <conditionalFormatting sqref="X48">
    <cfRule type="expression" priority="11099" stopIfTrue="1">
      <formula>"ISBLANK($K$185)"</formula>
    </cfRule>
    <cfRule type="expression" dxfId="7351" priority="11130">
      <formula>AND(OR(AW48=0,ISBLANK(X48)),B48&lt;&gt;"")</formula>
    </cfRule>
    <cfRule type="expression" dxfId="7350" priority="11131">
      <formula>AND(X48="NA",NOT(ISTEXT(Y48)))</formula>
    </cfRule>
    <cfRule type="expression" dxfId="7349" priority="11132">
      <formula>AND(AW48&gt;5,X48="NA")</formula>
    </cfRule>
    <cfRule type="expression" dxfId="7348" priority="11133">
      <formula>AND(AW48&lt;5,X48="NA")</formula>
    </cfRule>
    <cfRule type="expression" dxfId="7347" priority="11134">
      <formula>AND(X48&lt;&gt;"NA",X48&gt;$Y$16)</formula>
    </cfRule>
  </conditionalFormatting>
  <conditionalFormatting sqref="Y48">
    <cfRule type="expression" priority="11098" stopIfTrue="1">
      <formula>"ISBLANK($K$185)"</formula>
    </cfRule>
    <cfRule type="expression" dxfId="7346" priority="11125">
      <formula>AND(OR(AW48=0,ISBLANK(Y48)),B48&lt;&gt;"")</formula>
    </cfRule>
    <cfRule type="expression" dxfId="7345" priority="11126">
      <formula>AND(Y48="NA",NOT(ISTEXT(X48)))</formula>
    </cfRule>
    <cfRule type="expression" dxfId="7344" priority="11127">
      <formula>AND(AW48&gt;5,Y48="NA")</formula>
    </cfRule>
    <cfRule type="expression" dxfId="7343" priority="11128">
      <formula>AND(AW48&lt;5,Y48="NA")</formula>
    </cfRule>
    <cfRule type="expression" dxfId="7342" priority="11129">
      <formula>AND(Y48&lt;&gt;"NA",Y48&gt;$Y$16)</formula>
    </cfRule>
  </conditionalFormatting>
  <conditionalFormatting sqref="N48">
    <cfRule type="expression" priority="11109" stopIfTrue="1">
      <formula>"ISBLANK($K$185)"</formula>
    </cfRule>
    <cfRule type="expression" dxfId="7341" priority="11180">
      <formula>AND(OR(AW48=0,ISBLANK(N48)),B48&lt;&gt;"")</formula>
    </cfRule>
    <cfRule type="expression" dxfId="7340" priority="11181">
      <formula>AND(N48="NA",NOT(ISTEXT(O48)))</formula>
    </cfRule>
    <cfRule type="expression" dxfId="7339" priority="11182">
      <formula>AND(AW48&gt;5,N48="NA")</formula>
    </cfRule>
    <cfRule type="expression" dxfId="7338" priority="11183">
      <formula>AND(AW48&lt;5,N48="NA")</formula>
    </cfRule>
    <cfRule type="expression" dxfId="7337" priority="11184">
      <formula>AND(N48&lt;&gt;"NA",N48&gt;$N$16)</formula>
    </cfRule>
  </conditionalFormatting>
  <conditionalFormatting sqref="O49">
    <cfRule type="expression" priority="11017" stopIfTrue="1">
      <formula>"ISBLANK($K$185)"</formula>
    </cfRule>
    <cfRule type="expression" dxfId="7336" priority="11084">
      <formula>AND(OR(AW49=0,ISBLANK(O49)),B49&lt;&gt;"")</formula>
    </cfRule>
    <cfRule type="expression" dxfId="7335" priority="11085">
      <formula>AND(O49="NA",NOT(ISTEXT(N49)))</formula>
    </cfRule>
    <cfRule type="expression" dxfId="7334" priority="11086">
      <formula>AND(AW49&gt;5,O49="NA")</formula>
    </cfRule>
    <cfRule type="expression" dxfId="7333" priority="11087">
      <formula>AND(AW49&lt;5,O49="NA")</formula>
    </cfRule>
    <cfRule type="expression" dxfId="7332" priority="11088">
      <formula>AND(O49&lt;&gt;"NA",O49&gt;$O$16)</formula>
    </cfRule>
  </conditionalFormatting>
  <conditionalFormatting sqref="P49">
    <cfRule type="expression" priority="11016" stopIfTrue="1">
      <formula>"ISBLANK($K$185)"</formula>
    </cfRule>
    <cfRule type="expression" dxfId="7331" priority="11079">
      <formula>AND(OR(AW49=0,ISBLANK(P49)),B49&lt;&gt;"")</formula>
    </cfRule>
    <cfRule type="expression" dxfId="7330" priority="11080">
      <formula>AND(P49="NA",NOT(ISTEXT(Q49)))</formula>
    </cfRule>
    <cfRule type="expression" dxfId="7329" priority="11081">
      <formula>AND(AW49&gt;5,P49="NA")</formula>
    </cfRule>
    <cfRule type="expression" dxfId="7328" priority="11082">
      <formula>AND(AW49&lt;5,P49="NA")</formula>
    </cfRule>
    <cfRule type="expression" dxfId="7327" priority="11083">
      <formula>AND(P49&lt;&gt;"NA",P49&gt;$P$16)</formula>
    </cfRule>
  </conditionalFormatting>
  <conditionalFormatting sqref="Q49">
    <cfRule type="expression" priority="11015" stopIfTrue="1">
      <formula>"ISBLANK($K$185)"</formula>
    </cfRule>
    <cfRule type="expression" dxfId="7326" priority="11074">
      <formula>AND(OR(AW49=0,ISBLANK(Q49)),B49&lt;&gt;"")</formula>
    </cfRule>
    <cfRule type="expression" dxfId="7325" priority="11075">
      <formula>AND(Q49="NA",NOT(ISTEXT(P49)))</formula>
    </cfRule>
    <cfRule type="expression" dxfId="7324" priority="11076">
      <formula>AND(AW49&gt;5,Q49="NA")</formula>
    </cfRule>
    <cfRule type="expression" dxfId="7323" priority="11077">
      <formula>AND(AW49&lt;5,Q49="NA")</formula>
    </cfRule>
    <cfRule type="expression" dxfId="7322" priority="11078">
      <formula>AND(Q49&lt;&gt;"NA",Q49&gt;$Q$16)</formula>
    </cfRule>
  </conditionalFormatting>
  <conditionalFormatting sqref="R49">
    <cfRule type="expression" priority="11014" stopIfTrue="1">
      <formula>"ISBLANK($K$185)"</formula>
    </cfRule>
    <cfRule type="expression" dxfId="7321" priority="11069">
      <formula>AND(OR(AW49=0,ISBLANK(R49)),B49&lt;&gt;"")</formula>
    </cfRule>
    <cfRule type="expression" dxfId="7320" priority="11070">
      <formula>AND(R49="NA",NOT(ISTEXT(S49)))</formula>
    </cfRule>
    <cfRule type="expression" dxfId="7319" priority="11071">
      <formula>AND(AW49&gt;5,R49="NA")</formula>
    </cfRule>
    <cfRule type="expression" dxfId="7318" priority="11072">
      <formula>AND(AW49&lt;5,R49="NA")</formula>
    </cfRule>
    <cfRule type="expression" dxfId="7317" priority="11073">
      <formula>AND(R49&lt;&gt;"NA",R49&gt;$R$16)</formula>
    </cfRule>
  </conditionalFormatting>
  <conditionalFormatting sqref="S49">
    <cfRule type="expression" priority="11013" stopIfTrue="1">
      <formula>"ISBLANK($K$185)"</formula>
    </cfRule>
    <cfRule type="expression" dxfId="7316" priority="11064">
      <formula>AND(OR(AW49=0,ISBLANK(S49)),B49&lt;&gt;"")</formula>
    </cfRule>
    <cfRule type="expression" dxfId="7315" priority="11065">
      <formula>AND(S49="NA",NOT(ISTEXT(R49)))</formula>
    </cfRule>
    <cfRule type="expression" dxfId="7314" priority="11066">
      <formula>AND(AW49&gt;5,S49="NA")</formula>
    </cfRule>
    <cfRule type="expression" dxfId="7313" priority="11067">
      <formula>AND(AW49&lt;5,S49="NA")</formula>
    </cfRule>
    <cfRule type="expression" dxfId="7312" priority="11068">
      <formula>AND(S49&lt;&gt;"NA",S49&gt;$S$16)</formula>
    </cfRule>
  </conditionalFormatting>
  <conditionalFormatting sqref="T49">
    <cfRule type="expression" priority="11012" stopIfTrue="1">
      <formula>"ISBLANK($K$185)"</formula>
    </cfRule>
    <cfRule type="expression" dxfId="7311" priority="11059">
      <formula>AND(OR(AW49=0,ISBLANK(T49)),B49&lt;&gt;"")</formula>
    </cfRule>
    <cfRule type="expression" dxfId="7310" priority="11060">
      <formula>AND(T49="NA",NOT(ISTEXT(U49)))</formula>
    </cfRule>
    <cfRule type="expression" dxfId="7309" priority="11061">
      <formula>AND(AW49&gt;5,T49="NA")</formula>
    </cfRule>
    <cfRule type="expression" dxfId="7308" priority="11062">
      <formula>AND(AW49&lt;5,T49="NA")</formula>
    </cfRule>
    <cfRule type="expression" dxfId="7307" priority="11063">
      <formula>AND(T49&lt;&gt;"NA",T49&gt;$T$16)</formula>
    </cfRule>
  </conditionalFormatting>
  <conditionalFormatting sqref="U49">
    <cfRule type="expression" priority="11011" stopIfTrue="1">
      <formula>"ISBLANK($K$185)"</formula>
    </cfRule>
    <cfRule type="expression" dxfId="7306" priority="11054">
      <formula>AND(OR(AW49=0,ISBLANK(U49)),B49&lt;&gt;"")</formula>
    </cfRule>
    <cfRule type="expression" dxfId="7305" priority="11055">
      <formula>AND(U49="NA",NOT(ISTEXT(T49)))</formula>
    </cfRule>
    <cfRule type="expression" dxfId="7304" priority="11056">
      <formula>AND(AW49&gt;5,U49="NA")</formula>
    </cfRule>
    <cfRule type="expression" dxfId="7303" priority="11057">
      <formula>AND(AW49&lt;5,U49="NA")</formula>
    </cfRule>
    <cfRule type="expression" dxfId="7302" priority="11058">
      <formula>AND(U49&lt;&gt;"NA",U49&gt;$U$16)</formula>
    </cfRule>
  </conditionalFormatting>
  <conditionalFormatting sqref="V49">
    <cfRule type="expression" priority="11010" stopIfTrue="1">
      <formula>"ISBLANK($K$185)"</formula>
    </cfRule>
    <cfRule type="expression" dxfId="7301" priority="11049">
      <formula>AND(OR(AW49=0,ISBLANK(V49)),B49&lt;&gt;"")</formula>
    </cfRule>
    <cfRule type="expression" dxfId="7300" priority="11050">
      <formula>AND(V49="NA",NOT(ISTEXT(W49)))</formula>
    </cfRule>
    <cfRule type="expression" dxfId="7299" priority="11051">
      <formula>AND(AW49&gt;5,V49="NA")</formula>
    </cfRule>
    <cfRule type="expression" dxfId="7298" priority="11052">
      <formula>AND(AW49&lt;5,V49="NA")</formula>
    </cfRule>
    <cfRule type="expression" dxfId="7297" priority="11053">
      <formula>AND(V49&lt;&gt;"NA",V49&gt;$V$16)</formula>
    </cfRule>
  </conditionalFormatting>
  <conditionalFormatting sqref="W49">
    <cfRule type="expression" priority="11009" stopIfTrue="1">
      <formula>"ISBLANK($K$185)"</formula>
    </cfRule>
    <cfRule type="expression" dxfId="7296" priority="11044">
      <formula>AND(OR(AW49=0,ISBLANK(W49)),B49&lt;&gt;"")</formula>
    </cfRule>
    <cfRule type="expression" dxfId="7295" priority="11045">
      <formula>AND(W49="NA",NOT(ISTEXT(V49)))</formula>
    </cfRule>
    <cfRule type="expression" dxfId="7294" priority="11046">
      <formula>AND(AW49&gt;5,W49="NA")</formula>
    </cfRule>
    <cfRule type="expression" dxfId="7293" priority="11047">
      <formula>AND(AW49&lt;5,W49="NA")</formula>
    </cfRule>
    <cfRule type="expression" dxfId="7292" priority="11048">
      <formula>AND(W49&lt;&gt;"NA",W49&gt;$W$16)</formula>
    </cfRule>
  </conditionalFormatting>
  <conditionalFormatting sqref="X49">
    <cfRule type="expression" priority="11008" stopIfTrue="1">
      <formula>"ISBLANK($K$185)"</formula>
    </cfRule>
    <cfRule type="expression" dxfId="7291" priority="11039">
      <formula>AND(OR(AW49=0,ISBLANK(X49)),B49&lt;&gt;"")</formula>
    </cfRule>
    <cfRule type="expression" dxfId="7290" priority="11040">
      <formula>AND(X49="NA",NOT(ISTEXT(Y49)))</formula>
    </cfRule>
    <cfRule type="expression" dxfId="7289" priority="11041">
      <formula>AND(AW49&gt;5,X49="NA")</formula>
    </cfRule>
    <cfRule type="expression" dxfId="7288" priority="11042">
      <formula>AND(AW49&lt;5,X49="NA")</formula>
    </cfRule>
    <cfRule type="expression" dxfId="7287" priority="11043">
      <formula>AND(X49&lt;&gt;"NA",X49&gt;$Y$16)</formula>
    </cfRule>
  </conditionalFormatting>
  <conditionalFormatting sqref="Y49">
    <cfRule type="expression" priority="11007" stopIfTrue="1">
      <formula>"ISBLANK($K$185)"</formula>
    </cfRule>
    <cfRule type="expression" dxfId="7286" priority="11034">
      <formula>AND(OR(AW49=0,ISBLANK(Y49)),B49&lt;&gt;"")</formula>
    </cfRule>
    <cfRule type="expression" dxfId="7285" priority="11035">
      <formula>AND(Y49="NA",NOT(ISTEXT(X49)))</formula>
    </cfRule>
    <cfRule type="expression" dxfId="7284" priority="11036">
      <formula>AND(AW49&gt;5,Y49="NA")</formula>
    </cfRule>
    <cfRule type="expression" dxfId="7283" priority="11037">
      <formula>AND(AW49&lt;5,Y49="NA")</formula>
    </cfRule>
    <cfRule type="expression" dxfId="7282" priority="11038">
      <formula>AND(Y49&lt;&gt;"NA",Y49&gt;$Y$16)</formula>
    </cfRule>
  </conditionalFormatting>
  <conditionalFormatting sqref="N49">
    <cfRule type="expression" priority="11018" stopIfTrue="1">
      <formula>"ISBLANK($K$185)"</formula>
    </cfRule>
    <cfRule type="expression" dxfId="7281" priority="11089">
      <formula>AND(OR(AW49=0,ISBLANK(N49)),B49&lt;&gt;"")</formula>
    </cfRule>
    <cfRule type="expression" dxfId="7280" priority="11090">
      <formula>AND(N49="NA",NOT(ISTEXT(O49)))</formula>
    </cfRule>
    <cfRule type="expression" dxfId="7279" priority="11091">
      <formula>AND(AW49&gt;5,N49="NA")</formula>
    </cfRule>
    <cfRule type="expression" dxfId="7278" priority="11092">
      <formula>AND(AW49&lt;5,N49="NA")</formula>
    </cfRule>
    <cfRule type="expression" dxfId="7277" priority="11093">
      <formula>AND(N49&lt;&gt;"NA",N49&gt;$N$16)</formula>
    </cfRule>
  </conditionalFormatting>
  <conditionalFormatting sqref="O50">
    <cfRule type="expression" priority="10926" stopIfTrue="1">
      <formula>"ISBLANK($K$185)"</formula>
    </cfRule>
    <cfRule type="expression" dxfId="7276" priority="10993">
      <formula>AND(OR(AW50=0,ISBLANK(O50)),B50&lt;&gt;"")</formula>
    </cfRule>
    <cfRule type="expression" dxfId="7275" priority="10994">
      <formula>AND(O50="NA",NOT(ISTEXT(N50)))</formula>
    </cfRule>
    <cfRule type="expression" dxfId="7274" priority="10995">
      <formula>AND(AW50&gt;5,O50="NA")</formula>
    </cfRule>
    <cfRule type="expression" dxfId="7273" priority="10996">
      <formula>AND(AW50&lt;5,O50="NA")</formula>
    </cfRule>
    <cfRule type="expression" dxfId="7272" priority="10997">
      <formula>AND(O50&lt;&gt;"NA",O50&gt;$O$16)</formula>
    </cfRule>
  </conditionalFormatting>
  <conditionalFormatting sqref="P50">
    <cfRule type="expression" priority="10925" stopIfTrue="1">
      <formula>"ISBLANK($K$185)"</formula>
    </cfRule>
    <cfRule type="expression" dxfId="7271" priority="10988">
      <formula>AND(OR(AW50=0,ISBLANK(P50)),B50&lt;&gt;"")</formula>
    </cfRule>
    <cfRule type="expression" dxfId="7270" priority="10989">
      <formula>AND(P50="NA",NOT(ISTEXT(Q50)))</formula>
    </cfRule>
    <cfRule type="expression" dxfId="7269" priority="10990">
      <formula>AND(AW50&gt;5,P50="NA")</formula>
    </cfRule>
    <cfRule type="expression" dxfId="7268" priority="10991">
      <formula>AND(AW50&lt;5,P50="NA")</formula>
    </cfRule>
    <cfRule type="expression" dxfId="7267" priority="10992">
      <formula>AND(P50&lt;&gt;"NA",P50&gt;$P$16)</formula>
    </cfRule>
  </conditionalFormatting>
  <conditionalFormatting sqref="Q50">
    <cfRule type="expression" priority="10924" stopIfTrue="1">
      <formula>"ISBLANK($K$185)"</formula>
    </cfRule>
    <cfRule type="expression" dxfId="7266" priority="10983">
      <formula>AND(OR(AW50=0,ISBLANK(Q50)),B50&lt;&gt;"")</formula>
    </cfRule>
    <cfRule type="expression" dxfId="7265" priority="10984">
      <formula>AND(Q50="NA",NOT(ISTEXT(P50)))</formula>
    </cfRule>
    <cfRule type="expression" dxfId="7264" priority="10985">
      <formula>AND(AW50&gt;5,Q50="NA")</formula>
    </cfRule>
    <cfRule type="expression" dxfId="7263" priority="10986">
      <formula>AND(AW50&lt;5,Q50="NA")</formula>
    </cfRule>
    <cfRule type="expression" dxfId="7262" priority="10987">
      <formula>AND(Q50&lt;&gt;"NA",Q50&gt;$Q$16)</formula>
    </cfRule>
  </conditionalFormatting>
  <conditionalFormatting sqref="R50">
    <cfRule type="expression" priority="10923" stopIfTrue="1">
      <formula>"ISBLANK($K$185)"</formula>
    </cfRule>
    <cfRule type="expression" dxfId="7261" priority="10978">
      <formula>AND(OR(AW50=0,ISBLANK(R50)),B50&lt;&gt;"")</formula>
    </cfRule>
    <cfRule type="expression" dxfId="7260" priority="10979">
      <formula>AND(R50="NA",NOT(ISTEXT(S50)))</formula>
    </cfRule>
    <cfRule type="expression" dxfId="7259" priority="10980">
      <formula>AND(AW50&gt;5,R50="NA")</formula>
    </cfRule>
    <cfRule type="expression" dxfId="7258" priority="10981">
      <formula>AND(AW50&lt;5,R50="NA")</formula>
    </cfRule>
    <cfRule type="expression" dxfId="7257" priority="10982">
      <formula>AND(R50&lt;&gt;"NA",R50&gt;$R$16)</formula>
    </cfRule>
  </conditionalFormatting>
  <conditionalFormatting sqref="S50">
    <cfRule type="expression" priority="10922" stopIfTrue="1">
      <formula>"ISBLANK($K$185)"</formula>
    </cfRule>
    <cfRule type="expression" dxfId="7256" priority="10973">
      <formula>AND(OR(AW50=0,ISBLANK(S50)),B50&lt;&gt;"")</formula>
    </cfRule>
    <cfRule type="expression" dxfId="7255" priority="10974">
      <formula>AND(S50="NA",NOT(ISTEXT(R50)))</formula>
    </cfRule>
    <cfRule type="expression" dxfId="7254" priority="10975">
      <formula>AND(AW50&gt;5,S50="NA")</formula>
    </cfRule>
    <cfRule type="expression" dxfId="7253" priority="10976">
      <formula>AND(AW50&lt;5,S50="NA")</formula>
    </cfRule>
    <cfRule type="expression" dxfId="7252" priority="10977">
      <formula>AND(S50&lt;&gt;"NA",S50&gt;$S$16)</formula>
    </cfRule>
  </conditionalFormatting>
  <conditionalFormatting sqref="T50">
    <cfRule type="expression" priority="10921" stopIfTrue="1">
      <formula>"ISBLANK($K$185)"</formula>
    </cfRule>
    <cfRule type="expression" dxfId="7251" priority="10968">
      <formula>AND(OR(AW50=0,ISBLANK(T50)),B50&lt;&gt;"")</formula>
    </cfRule>
    <cfRule type="expression" dxfId="7250" priority="10969">
      <formula>AND(T50="NA",NOT(ISTEXT(U50)))</formula>
    </cfRule>
    <cfRule type="expression" dxfId="7249" priority="10970">
      <formula>AND(AW50&gt;5,T50="NA")</formula>
    </cfRule>
    <cfRule type="expression" dxfId="7248" priority="10971">
      <formula>AND(AW50&lt;5,T50="NA")</formula>
    </cfRule>
    <cfRule type="expression" dxfId="7247" priority="10972">
      <formula>AND(T50&lt;&gt;"NA",T50&gt;$T$16)</formula>
    </cfRule>
  </conditionalFormatting>
  <conditionalFormatting sqref="U50">
    <cfRule type="expression" priority="10920" stopIfTrue="1">
      <formula>"ISBLANK($K$185)"</formula>
    </cfRule>
    <cfRule type="expression" dxfId="7246" priority="10963">
      <formula>AND(OR(AW50=0,ISBLANK(U50)),B50&lt;&gt;"")</formula>
    </cfRule>
    <cfRule type="expression" dxfId="7245" priority="10964">
      <formula>AND(U50="NA",NOT(ISTEXT(T50)))</formula>
    </cfRule>
    <cfRule type="expression" dxfId="7244" priority="10965">
      <formula>AND(AW50&gt;5,U50="NA")</formula>
    </cfRule>
    <cfRule type="expression" dxfId="7243" priority="10966">
      <formula>AND(AW50&lt;5,U50="NA")</formula>
    </cfRule>
    <cfRule type="expression" dxfId="7242" priority="10967">
      <formula>AND(U50&lt;&gt;"NA",U50&gt;$U$16)</formula>
    </cfRule>
  </conditionalFormatting>
  <conditionalFormatting sqref="V50">
    <cfRule type="expression" priority="10919" stopIfTrue="1">
      <formula>"ISBLANK($K$185)"</formula>
    </cfRule>
    <cfRule type="expression" dxfId="7241" priority="10958">
      <formula>AND(OR(AW50=0,ISBLANK(V50)),B50&lt;&gt;"")</formula>
    </cfRule>
    <cfRule type="expression" dxfId="7240" priority="10959">
      <formula>AND(V50="NA",NOT(ISTEXT(W50)))</formula>
    </cfRule>
    <cfRule type="expression" dxfId="7239" priority="10960">
      <formula>AND(AW50&gt;5,V50="NA")</formula>
    </cfRule>
    <cfRule type="expression" dxfId="7238" priority="10961">
      <formula>AND(AW50&lt;5,V50="NA")</formula>
    </cfRule>
    <cfRule type="expression" dxfId="7237" priority="10962">
      <formula>AND(V50&lt;&gt;"NA",V50&gt;$V$16)</formula>
    </cfRule>
  </conditionalFormatting>
  <conditionalFormatting sqref="W50">
    <cfRule type="expression" priority="10918" stopIfTrue="1">
      <formula>"ISBLANK($K$185)"</formula>
    </cfRule>
    <cfRule type="expression" dxfId="7236" priority="10953">
      <formula>AND(OR(AW50=0,ISBLANK(W50)),B50&lt;&gt;"")</formula>
    </cfRule>
    <cfRule type="expression" dxfId="7235" priority="10954">
      <formula>AND(W50="NA",NOT(ISTEXT(V50)))</formula>
    </cfRule>
    <cfRule type="expression" dxfId="7234" priority="10955">
      <formula>AND(AW50&gt;5,W50="NA")</formula>
    </cfRule>
    <cfRule type="expression" dxfId="7233" priority="10956">
      <formula>AND(AW50&lt;5,W50="NA")</formula>
    </cfRule>
    <cfRule type="expression" dxfId="7232" priority="10957">
      <formula>AND(W50&lt;&gt;"NA",W50&gt;$W$16)</formula>
    </cfRule>
  </conditionalFormatting>
  <conditionalFormatting sqref="X50">
    <cfRule type="expression" priority="10917" stopIfTrue="1">
      <formula>"ISBLANK($K$185)"</formula>
    </cfRule>
    <cfRule type="expression" dxfId="7231" priority="10948">
      <formula>AND(OR(AW50=0,ISBLANK(X50)),B50&lt;&gt;"")</formula>
    </cfRule>
    <cfRule type="expression" dxfId="7230" priority="10949">
      <formula>AND(X50="NA",NOT(ISTEXT(Y50)))</formula>
    </cfRule>
    <cfRule type="expression" dxfId="7229" priority="10950">
      <formula>AND(AW50&gt;5,X50="NA")</formula>
    </cfRule>
    <cfRule type="expression" dxfId="7228" priority="10951">
      <formula>AND(AW50&lt;5,X50="NA")</formula>
    </cfRule>
    <cfRule type="expression" dxfId="7227" priority="10952">
      <formula>AND(X50&lt;&gt;"NA",X50&gt;$Y$16)</formula>
    </cfRule>
  </conditionalFormatting>
  <conditionalFormatting sqref="Y50">
    <cfRule type="expression" priority="10916" stopIfTrue="1">
      <formula>"ISBLANK($K$185)"</formula>
    </cfRule>
    <cfRule type="expression" dxfId="7226" priority="10943">
      <formula>AND(OR(AW50=0,ISBLANK(Y50)),B50&lt;&gt;"")</formula>
    </cfRule>
    <cfRule type="expression" dxfId="7225" priority="10944">
      <formula>AND(Y50="NA",NOT(ISTEXT(X50)))</formula>
    </cfRule>
    <cfRule type="expression" dxfId="7224" priority="10945">
      <formula>AND(AW50&gt;5,Y50="NA")</formula>
    </cfRule>
    <cfRule type="expression" dxfId="7223" priority="10946">
      <formula>AND(AW50&lt;5,Y50="NA")</formula>
    </cfRule>
    <cfRule type="expression" dxfId="7222" priority="10947">
      <formula>AND(Y50&lt;&gt;"NA",Y50&gt;$Y$16)</formula>
    </cfRule>
  </conditionalFormatting>
  <conditionalFormatting sqref="N50">
    <cfRule type="expression" priority="10927" stopIfTrue="1">
      <formula>"ISBLANK($K$185)"</formula>
    </cfRule>
    <cfRule type="expression" dxfId="7221" priority="10998">
      <formula>AND(OR(AW50=0,ISBLANK(N50)),B50&lt;&gt;"")</formula>
    </cfRule>
    <cfRule type="expression" dxfId="7220" priority="10999">
      <formula>AND(N50="NA",NOT(ISTEXT(O50)))</formula>
    </cfRule>
    <cfRule type="expression" dxfId="7219" priority="11000">
      <formula>AND(AW50&gt;5,N50="NA")</formula>
    </cfRule>
    <cfRule type="expression" dxfId="7218" priority="11001">
      <formula>AND(AW50&lt;5,N50="NA")</formula>
    </cfRule>
    <cfRule type="expression" dxfId="7217" priority="11002">
      <formula>AND(N50&lt;&gt;"NA",N50&gt;$N$16)</formula>
    </cfRule>
  </conditionalFormatting>
  <conditionalFormatting sqref="O51">
    <cfRule type="expression" priority="10835" stopIfTrue="1">
      <formula>"ISBLANK($K$185)"</formula>
    </cfRule>
    <cfRule type="expression" dxfId="7216" priority="10902">
      <formula>AND(OR(AW51=0,ISBLANK(O51)),B51&lt;&gt;"")</formula>
    </cfRule>
    <cfRule type="expression" dxfId="7215" priority="10903">
      <formula>AND(O51="NA",NOT(ISTEXT(N51)))</formula>
    </cfRule>
    <cfRule type="expression" dxfId="7214" priority="10904">
      <formula>AND(AW51&gt;5,O51="NA")</formula>
    </cfRule>
    <cfRule type="expression" dxfId="7213" priority="10905">
      <formula>AND(AW51&lt;5,O51="NA")</formula>
    </cfRule>
    <cfRule type="expression" dxfId="7212" priority="10906">
      <formula>AND(O51&lt;&gt;"NA",O51&gt;$O$16)</formula>
    </cfRule>
  </conditionalFormatting>
  <conditionalFormatting sqref="P51">
    <cfRule type="expression" priority="10834" stopIfTrue="1">
      <formula>"ISBLANK($K$185)"</formula>
    </cfRule>
    <cfRule type="expression" dxfId="7211" priority="10897">
      <formula>AND(OR(AW51=0,ISBLANK(P51)),B51&lt;&gt;"")</formula>
    </cfRule>
    <cfRule type="expression" dxfId="7210" priority="10898">
      <formula>AND(P51="NA",NOT(ISTEXT(Q51)))</formula>
    </cfRule>
    <cfRule type="expression" dxfId="7209" priority="10899">
      <formula>AND(AW51&gt;5,P51="NA")</formula>
    </cfRule>
    <cfRule type="expression" dxfId="7208" priority="10900">
      <formula>AND(AW51&lt;5,P51="NA")</formula>
    </cfRule>
    <cfRule type="expression" dxfId="7207" priority="10901">
      <formula>AND(P51&lt;&gt;"NA",P51&gt;$P$16)</formula>
    </cfRule>
  </conditionalFormatting>
  <conditionalFormatting sqref="Q51">
    <cfRule type="expression" priority="10833" stopIfTrue="1">
      <formula>"ISBLANK($K$185)"</formula>
    </cfRule>
    <cfRule type="expression" dxfId="7206" priority="10892">
      <formula>AND(OR(AW51=0,ISBLANK(Q51)),B51&lt;&gt;"")</formula>
    </cfRule>
    <cfRule type="expression" dxfId="7205" priority="10893">
      <formula>AND(Q51="NA",NOT(ISTEXT(P51)))</formula>
    </cfRule>
    <cfRule type="expression" dxfId="7204" priority="10894">
      <formula>AND(AW51&gt;5,Q51="NA")</formula>
    </cfRule>
    <cfRule type="expression" dxfId="7203" priority="10895">
      <formula>AND(AW51&lt;5,Q51="NA")</formula>
    </cfRule>
    <cfRule type="expression" dxfId="7202" priority="10896">
      <formula>AND(Q51&lt;&gt;"NA",Q51&gt;$Q$16)</formula>
    </cfRule>
  </conditionalFormatting>
  <conditionalFormatting sqref="R51">
    <cfRule type="expression" priority="10832" stopIfTrue="1">
      <formula>"ISBLANK($K$185)"</formula>
    </cfRule>
    <cfRule type="expression" dxfId="7201" priority="10887">
      <formula>AND(OR(AW51=0,ISBLANK(R51)),B51&lt;&gt;"")</formula>
    </cfRule>
    <cfRule type="expression" dxfId="7200" priority="10888">
      <formula>AND(R51="NA",NOT(ISTEXT(S51)))</formula>
    </cfRule>
    <cfRule type="expression" dxfId="7199" priority="10889">
      <formula>AND(AW51&gt;5,R51="NA")</formula>
    </cfRule>
    <cfRule type="expression" dxfId="7198" priority="10890">
      <formula>AND(AW51&lt;5,R51="NA")</formula>
    </cfRule>
    <cfRule type="expression" dxfId="7197" priority="10891">
      <formula>AND(R51&lt;&gt;"NA",R51&gt;$R$16)</formula>
    </cfRule>
  </conditionalFormatting>
  <conditionalFormatting sqref="S51">
    <cfRule type="expression" priority="10831" stopIfTrue="1">
      <formula>"ISBLANK($K$185)"</formula>
    </cfRule>
    <cfRule type="expression" dxfId="7196" priority="10882">
      <formula>AND(OR(AW51=0,ISBLANK(S51)),B51&lt;&gt;"")</formula>
    </cfRule>
    <cfRule type="expression" dxfId="7195" priority="10883">
      <formula>AND(S51="NA",NOT(ISTEXT(R51)))</formula>
    </cfRule>
    <cfRule type="expression" dxfId="7194" priority="10884">
      <formula>AND(AW51&gt;5,S51="NA")</formula>
    </cfRule>
    <cfRule type="expression" dxfId="7193" priority="10885">
      <formula>AND(AW51&lt;5,S51="NA")</formula>
    </cfRule>
    <cfRule type="expression" dxfId="7192" priority="10886">
      <formula>AND(S51&lt;&gt;"NA",S51&gt;$S$16)</formula>
    </cfRule>
  </conditionalFormatting>
  <conditionalFormatting sqref="T51">
    <cfRule type="expression" priority="10830" stopIfTrue="1">
      <formula>"ISBLANK($K$185)"</formula>
    </cfRule>
    <cfRule type="expression" dxfId="7191" priority="10877">
      <formula>AND(OR(AW51=0,ISBLANK(T51)),B51&lt;&gt;"")</formula>
    </cfRule>
    <cfRule type="expression" dxfId="7190" priority="10878">
      <formula>AND(T51="NA",NOT(ISTEXT(U51)))</formula>
    </cfRule>
    <cfRule type="expression" dxfId="7189" priority="10879">
      <formula>AND(AW51&gt;5,T51="NA")</formula>
    </cfRule>
    <cfRule type="expression" dxfId="7188" priority="10880">
      <formula>AND(AW51&lt;5,T51="NA")</formula>
    </cfRule>
    <cfRule type="expression" dxfId="7187" priority="10881">
      <formula>AND(T51&lt;&gt;"NA",T51&gt;$T$16)</formula>
    </cfRule>
  </conditionalFormatting>
  <conditionalFormatting sqref="U51">
    <cfRule type="expression" priority="10829" stopIfTrue="1">
      <formula>"ISBLANK($K$185)"</formula>
    </cfRule>
    <cfRule type="expression" dxfId="7186" priority="10872">
      <formula>AND(OR(AW51=0,ISBLANK(U51)),B51&lt;&gt;"")</formula>
    </cfRule>
    <cfRule type="expression" dxfId="7185" priority="10873">
      <formula>AND(U51="NA",NOT(ISTEXT(T51)))</formula>
    </cfRule>
    <cfRule type="expression" dxfId="7184" priority="10874">
      <formula>AND(AW51&gt;5,U51="NA")</formula>
    </cfRule>
    <cfRule type="expression" dxfId="7183" priority="10875">
      <formula>AND(AW51&lt;5,U51="NA")</formula>
    </cfRule>
    <cfRule type="expression" dxfId="7182" priority="10876">
      <formula>AND(U51&lt;&gt;"NA",U51&gt;$U$16)</formula>
    </cfRule>
  </conditionalFormatting>
  <conditionalFormatting sqref="V51">
    <cfRule type="expression" priority="10828" stopIfTrue="1">
      <formula>"ISBLANK($K$185)"</formula>
    </cfRule>
    <cfRule type="expression" dxfId="7181" priority="10867">
      <formula>AND(OR(AW51=0,ISBLANK(V51)),B51&lt;&gt;"")</formula>
    </cfRule>
    <cfRule type="expression" dxfId="7180" priority="10868">
      <formula>AND(V51="NA",NOT(ISTEXT(W51)))</formula>
    </cfRule>
    <cfRule type="expression" dxfId="7179" priority="10869">
      <formula>AND(AW51&gt;5,V51="NA")</formula>
    </cfRule>
    <cfRule type="expression" dxfId="7178" priority="10870">
      <formula>AND(AW51&lt;5,V51="NA")</formula>
    </cfRule>
    <cfRule type="expression" dxfId="7177" priority="10871">
      <formula>AND(V51&lt;&gt;"NA",V51&gt;$V$16)</formula>
    </cfRule>
  </conditionalFormatting>
  <conditionalFormatting sqref="W51">
    <cfRule type="expression" priority="10827" stopIfTrue="1">
      <formula>"ISBLANK($K$185)"</formula>
    </cfRule>
    <cfRule type="expression" dxfId="7176" priority="10862">
      <formula>AND(OR(AW51=0,ISBLANK(W51)),B51&lt;&gt;"")</formula>
    </cfRule>
    <cfRule type="expression" dxfId="7175" priority="10863">
      <formula>AND(W51="NA",NOT(ISTEXT(V51)))</formula>
    </cfRule>
    <cfRule type="expression" dxfId="7174" priority="10864">
      <formula>AND(AW51&gt;5,W51="NA")</formula>
    </cfRule>
    <cfRule type="expression" dxfId="7173" priority="10865">
      <formula>AND(AW51&lt;5,W51="NA")</formula>
    </cfRule>
    <cfRule type="expression" dxfId="7172" priority="10866">
      <formula>AND(W51&lt;&gt;"NA",W51&gt;$W$16)</formula>
    </cfRule>
  </conditionalFormatting>
  <conditionalFormatting sqref="X51">
    <cfRule type="expression" priority="10826" stopIfTrue="1">
      <formula>"ISBLANK($K$185)"</formula>
    </cfRule>
    <cfRule type="expression" dxfId="7171" priority="10857">
      <formula>AND(OR(AW51=0,ISBLANK(X51)),B51&lt;&gt;"")</formula>
    </cfRule>
    <cfRule type="expression" dxfId="7170" priority="10858">
      <formula>AND(X51="NA",NOT(ISTEXT(Y51)))</formula>
    </cfRule>
    <cfRule type="expression" dxfId="7169" priority="10859">
      <formula>AND(AW51&gt;5,X51="NA")</formula>
    </cfRule>
    <cfRule type="expression" dxfId="7168" priority="10860">
      <formula>AND(AW51&lt;5,X51="NA")</formula>
    </cfRule>
    <cfRule type="expression" dxfId="7167" priority="10861">
      <formula>AND(X51&lt;&gt;"NA",X51&gt;$Y$16)</formula>
    </cfRule>
  </conditionalFormatting>
  <conditionalFormatting sqref="Y51">
    <cfRule type="expression" priority="10825" stopIfTrue="1">
      <formula>"ISBLANK($K$185)"</formula>
    </cfRule>
    <cfRule type="expression" dxfId="7166" priority="10852">
      <formula>AND(OR(AW51=0,ISBLANK(Y51)),B51&lt;&gt;"")</formula>
    </cfRule>
    <cfRule type="expression" dxfId="7165" priority="10853">
      <formula>AND(Y51="NA",NOT(ISTEXT(X51)))</formula>
    </cfRule>
    <cfRule type="expression" dxfId="7164" priority="10854">
      <formula>AND(AW51&gt;5,Y51="NA")</formula>
    </cfRule>
    <cfRule type="expression" dxfId="7163" priority="10855">
      <formula>AND(AW51&lt;5,Y51="NA")</formula>
    </cfRule>
    <cfRule type="expression" dxfId="7162" priority="10856">
      <formula>AND(Y51&lt;&gt;"NA",Y51&gt;$Y$16)</formula>
    </cfRule>
  </conditionalFormatting>
  <conditionalFormatting sqref="N51">
    <cfRule type="expression" priority="10836" stopIfTrue="1">
      <formula>"ISBLANK($K$185)"</formula>
    </cfRule>
    <cfRule type="expression" dxfId="7161" priority="10907">
      <formula>AND(OR(AW51=0,ISBLANK(N51)),B51&lt;&gt;"")</formula>
    </cfRule>
    <cfRule type="expression" dxfId="7160" priority="10908">
      <formula>AND(N51="NA",NOT(ISTEXT(O51)))</formula>
    </cfRule>
    <cfRule type="expression" dxfId="7159" priority="10909">
      <formula>AND(AW51&gt;5,N51="NA")</formula>
    </cfRule>
    <cfRule type="expression" dxfId="7158" priority="10910">
      <formula>AND(AW51&lt;5,N51="NA")</formula>
    </cfRule>
    <cfRule type="expression" dxfId="7157" priority="10911">
      <formula>AND(N51&lt;&gt;"NA",N51&gt;$N$16)</formula>
    </cfRule>
  </conditionalFormatting>
  <conditionalFormatting sqref="O52">
    <cfRule type="expression" priority="10744" stopIfTrue="1">
      <formula>"ISBLANK($K$185)"</formula>
    </cfRule>
    <cfRule type="expression" dxfId="7156" priority="10811">
      <formula>AND(OR(AW52=0,ISBLANK(O52)),B52&lt;&gt;"")</formula>
    </cfRule>
    <cfRule type="expression" dxfId="7155" priority="10812">
      <formula>AND(O52="NA",NOT(ISTEXT(N52)))</formula>
    </cfRule>
    <cfRule type="expression" dxfId="7154" priority="10813">
      <formula>AND(AW52&gt;5,O52="NA")</formula>
    </cfRule>
    <cfRule type="expression" dxfId="7153" priority="10814">
      <formula>AND(AW52&lt;5,O52="NA")</formula>
    </cfRule>
    <cfRule type="expression" dxfId="7152" priority="10815">
      <formula>AND(O52&lt;&gt;"NA",O52&gt;$O$16)</formula>
    </cfRule>
  </conditionalFormatting>
  <conditionalFormatting sqref="P52">
    <cfRule type="expression" priority="10743" stopIfTrue="1">
      <formula>"ISBLANK($K$185)"</formula>
    </cfRule>
    <cfRule type="expression" dxfId="7151" priority="10806">
      <formula>AND(OR(AW52=0,ISBLANK(P52)),B52&lt;&gt;"")</formula>
    </cfRule>
    <cfRule type="expression" dxfId="7150" priority="10807">
      <formula>AND(P52="NA",NOT(ISTEXT(Q52)))</formula>
    </cfRule>
    <cfRule type="expression" dxfId="7149" priority="10808">
      <formula>AND(AW52&gt;5,P52="NA")</formula>
    </cfRule>
    <cfRule type="expression" dxfId="7148" priority="10809">
      <formula>AND(AW52&lt;5,P52="NA")</formula>
    </cfRule>
    <cfRule type="expression" dxfId="7147" priority="10810">
      <formula>AND(P52&lt;&gt;"NA",P52&gt;$P$16)</formula>
    </cfRule>
  </conditionalFormatting>
  <conditionalFormatting sqref="Q52">
    <cfRule type="expression" priority="10742" stopIfTrue="1">
      <formula>"ISBLANK($K$185)"</formula>
    </cfRule>
    <cfRule type="expression" dxfId="7146" priority="10801">
      <formula>AND(OR(AW52=0,ISBLANK(Q52)),B52&lt;&gt;"")</formula>
    </cfRule>
    <cfRule type="expression" dxfId="7145" priority="10802">
      <formula>AND(Q52="NA",NOT(ISTEXT(P52)))</formula>
    </cfRule>
    <cfRule type="expression" dxfId="7144" priority="10803">
      <formula>AND(AW52&gt;5,Q52="NA")</formula>
    </cfRule>
    <cfRule type="expression" dxfId="7143" priority="10804">
      <formula>AND(AW52&lt;5,Q52="NA")</formula>
    </cfRule>
    <cfRule type="expression" dxfId="7142" priority="10805">
      <formula>AND(Q52&lt;&gt;"NA",Q52&gt;$Q$16)</formula>
    </cfRule>
  </conditionalFormatting>
  <conditionalFormatting sqref="R52">
    <cfRule type="expression" priority="10741" stopIfTrue="1">
      <formula>"ISBLANK($K$185)"</formula>
    </cfRule>
    <cfRule type="expression" dxfId="7141" priority="10796">
      <formula>AND(OR(AW52=0,ISBLANK(R52)),B52&lt;&gt;"")</formula>
    </cfRule>
    <cfRule type="expression" dxfId="7140" priority="10797">
      <formula>AND(R52="NA",NOT(ISTEXT(S52)))</formula>
    </cfRule>
    <cfRule type="expression" dxfId="7139" priority="10798">
      <formula>AND(AW52&gt;5,R52="NA")</formula>
    </cfRule>
    <cfRule type="expression" dxfId="7138" priority="10799">
      <formula>AND(AW52&lt;5,R52="NA")</formula>
    </cfRule>
    <cfRule type="expression" dxfId="7137" priority="10800">
      <formula>AND(R52&lt;&gt;"NA",R52&gt;$R$16)</formula>
    </cfRule>
  </conditionalFormatting>
  <conditionalFormatting sqref="S52">
    <cfRule type="expression" priority="10740" stopIfTrue="1">
      <formula>"ISBLANK($K$185)"</formula>
    </cfRule>
    <cfRule type="expression" dxfId="7136" priority="10791">
      <formula>AND(OR(AW52=0,ISBLANK(S52)),B52&lt;&gt;"")</formula>
    </cfRule>
    <cfRule type="expression" dxfId="7135" priority="10792">
      <formula>AND(S52="NA",NOT(ISTEXT(R52)))</formula>
    </cfRule>
    <cfRule type="expression" dxfId="7134" priority="10793">
      <formula>AND(AW52&gt;5,S52="NA")</formula>
    </cfRule>
    <cfRule type="expression" dxfId="7133" priority="10794">
      <formula>AND(AW52&lt;5,S52="NA")</formula>
    </cfRule>
    <cfRule type="expression" dxfId="7132" priority="10795">
      <formula>AND(S52&lt;&gt;"NA",S52&gt;$S$16)</formula>
    </cfRule>
  </conditionalFormatting>
  <conditionalFormatting sqref="T52">
    <cfRule type="expression" priority="10739" stopIfTrue="1">
      <formula>"ISBLANK($K$185)"</formula>
    </cfRule>
    <cfRule type="expression" dxfId="7131" priority="10786">
      <formula>AND(OR(AW52=0,ISBLANK(T52)),B52&lt;&gt;"")</formula>
    </cfRule>
    <cfRule type="expression" dxfId="7130" priority="10787">
      <formula>AND(T52="NA",NOT(ISTEXT(U52)))</formula>
    </cfRule>
    <cfRule type="expression" dxfId="7129" priority="10788">
      <formula>AND(AW52&gt;5,T52="NA")</formula>
    </cfRule>
    <cfRule type="expression" dxfId="7128" priority="10789">
      <formula>AND(AW52&lt;5,T52="NA")</formula>
    </cfRule>
    <cfRule type="expression" dxfId="7127" priority="10790">
      <formula>AND(T52&lt;&gt;"NA",T52&gt;$T$16)</formula>
    </cfRule>
  </conditionalFormatting>
  <conditionalFormatting sqref="U52">
    <cfRule type="expression" priority="10738" stopIfTrue="1">
      <formula>"ISBLANK($K$185)"</formula>
    </cfRule>
    <cfRule type="expression" dxfId="7126" priority="10781">
      <formula>AND(OR(AW52=0,ISBLANK(U52)),B52&lt;&gt;"")</formula>
    </cfRule>
    <cfRule type="expression" dxfId="7125" priority="10782">
      <formula>AND(U52="NA",NOT(ISTEXT(T52)))</formula>
    </cfRule>
    <cfRule type="expression" dxfId="7124" priority="10783">
      <formula>AND(AW52&gt;5,U52="NA")</formula>
    </cfRule>
    <cfRule type="expression" dxfId="7123" priority="10784">
      <formula>AND(AW52&lt;5,U52="NA")</formula>
    </cfRule>
    <cfRule type="expression" dxfId="7122" priority="10785">
      <formula>AND(U52&lt;&gt;"NA",U52&gt;$U$16)</formula>
    </cfRule>
  </conditionalFormatting>
  <conditionalFormatting sqref="V52">
    <cfRule type="expression" priority="10737" stopIfTrue="1">
      <formula>"ISBLANK($K$185)"</formula>
    </cfRule>
    <cfRule type="expression" dxfId="7121" priority="10776">
      <formula>AND(OR(AW52=0,ISBLANK(V52)),B52&lt;&gt;"")</formula>
    </cfRule>
    <cfRule type="expression" dxfId="7120" priority="10777">
      <formula>AND(V52="NA",NOT(ISTEXT(W52)))</formula>
    </cfRule>
    <cfRule type="expression" dxfId="7119" priority="10778">
      <formula>AND(AW52&gt;5,V52="NA")</formula>
    </cfRule>
    <cfRule type="expression" dxfId="7118" priority="10779">
      <formula>AND(AW52&lt;5,V52="NA")</formula>
    </cfRule>
    <cfRule type="expression" dxfId="7117" priority="10780">
      <formula>AND(V52&lt;&gt;"NA",V52&gt;$V$16)</formula>
    </cfRule>
  </conditionalFormatting>
  <conditionalFormatting sqref="W52">
    <cfRule type="expression" priority="10736" stopIfTrue="1">
      <formula>"ISBLANK($K$185)"</formula>
    </cfRule>
    <cfRule type="expression" dxfId="7116" priority="10771">
      <formula>AND(OR(AW52=0,ISBLANK(W52)),B52&lt;&gt;"")</formula>
    </cfRule>
    <cfRule type="expression" dxfId="7115" priority="10772">
      <formula>AND(W52="NA",NOT(ISTEXT(V52)))</formula>
    </cfRule>
    <cfRule type="expression" dxfId="7114" priority="10773">
      <formula>AND(AW52&gt;5,W52="NA")</formula>
    </cfRule>
    <cfRule type="expression" dxfId="7113" priority="10774">
      <formula>AND(AW52&lt;5,W52="NA")</formula>
    </cfRule>
    <cfRule type="expression" dxfId="7112" priority="10775">
      <formula>AND(W52&lt;&gt;"NA",W52&gt;$W$16)</formula>
    </cfRule>
  </conditionalFormatting>
  <conditionalFormatting sqref="X52">
    <cfRule type="expression" priority="10735" stopIfTrue="1">
      <formula>"ISBLANK($K$185)"</formula>
    </cfRule>
    <cfRule type="expression" dxfId="7111" priority="10766">
      <formula>AND(OR(AW52=0,ISBLANK(X52)),B52&lt;&gt;"")</formula>
    </cfRule>
    <cfRule type="expression" dxfId="7110" priority="10767">
      <formula>AND(X52="NA",NOT(ISTEXT(Y52)))</formula>
    </cfRule>
    <cfRule type="expression" dxfId="7109" priority="10768">
      <formula>AND(AW52&gt;5,X52="NA")</formula>
    </cfRule>
    <cfRule type="expression" dxfId="7108" priority="10769">
      <formula>AND(AW52&lt;5,X52="NA")</formula>
    </cfRule>
    <cfRule type="expression" dxfId="7107" priority="10770">
      <formula>AND(X52&lt;&gt;"NA",X52&gt;$Y$16)</formula>
    </cfRule>
  </conditionalFormatting>
  <conditionalFormatting sqref="Y52">
    <cfRule type="expression" priority="10734" stopIfTrue="1">
      <formula>"ISBLANK($K$185)"</formula>
    </cfRule>
    <cfRule type="expression" dxfId="7106" priority="10761">
      <formula>AND(OR(AW52=0,ISBLANK(Y52)),B52&lt;&gt;"")</formula>
    </cfRule>
    <cfRule type="expression" dxfId="7105" priority="10762">
      <formula>AND(Y52="NA",NOT(ISTEXT(X52)))</formula>
    </cfRule>
    <cfRule type="expression" dxfId="7104" priority="10763">
      <formula>AND(AW52&gt;5,Y52="NA")</formula>
    </cfRule>
    <cfRule type="expression" dxfId="7103" priority="10764">
      <formula>AND(AW52&lt;5,Y52="NA")</formula>
    </cfRule>
    <cfRule type="expression" dxfId="7102" priority="10765">
      <formula>AND(Y52&lt;&gt;"NA",Y52&gt;$Y$16)</formula>
    </cfRule>
  </conditionalFormatting>
  <conditionalFormatting sqref="N52">
    <cfRule type="expression" priority="10745" stopIfTrue="1">
      <formula>"ISBLANK($K$185)"</formula>
    </cfRule>
    <cfRule type="expression" dxfId="7101" priority="10816">
      <formula>AND(OR(AW52=0,ISBLANK(N52)),B52&lt;&gt;"")</formula>
    </cfRule>
    <cfRule type="expression" dxfId="7100" priority="10817">
      <formula>AND(N52="NA",NOT(ISTEXT(O52)))</formula>
    </cfRule>
    <cfRule type="expression" dxfId="7099" priority="10818">
      <formula>AND(AW52&gt;5,N52="NA")</formula>
    </cfRule>
    <cfRule type="expression" dxfId="7098" priority="10819">
      <formula>AND(AW52&lt;5,N52="NA")</formula>
    </cfRule>
    <cfRule type="expression" dxfId="7097" priority="10820">
      <formula>AND(N52&lt;&gt;"NA",N52&gt;$N$16)</formula>
    </cfRule>
  </conditionalFormatting>
  <conditionalFormatting sqref="O53">
    <cfRule type="expression" priority="10653" stopIfTrue="1">
      <formula>"ISBLANK($K$185)"</formula>
    </cfRule>
    <cfRule type="expression" dxfId="7096" priority="10720">
      <formula>AND(OR(AW53=0,ISBLANK(O53)),B53&lt;&gt;"")</formula>
    </cfRule>
    <cfRule type="expression" dxfId="7095" priority="10721">
      <formula>AND(O53="NA",NOT(ISTEXT(N53)))</formula>
    </cfRule>
    <cfRule type="expression" dxfId="7094" priority="10722">
      <formula>AND(AW53&gt;5,O53="NA")</formula>
    </cfRule>
    <cfRule type="expression" dxfId="7093" priority="10723">
      <formula>AND(AW53&lt;5,O53="NA")</formula>
    </cfRule>
    <cfRule type="expression" dxfId="7092" priority="10724">
      <formula>AND(O53&lt;&gt;"NA",O53&gt;$O$16)</formula>
    </cfRule>
  </conditionalFormatting>
  <conditionalFormatting sqref="P53">
    <cfRule type="expression" priority="10652" stopIfTrue="1">
      <formula>"ISBLANK($K$185)"</formula>
    </cfRule>
    <cfRule type="expression" dxfId="7091" priority="10715">
      <formula>AND(OR(AW53=0,ISBLANK(P53)),B53&lt;&gt;"")</formula>
    </cfRule>
    <cfRule type="expression" dxfId="7090" priority="10716">
      <formula>AND(P53="NA",NOT(ISTEXT(Q53)))</formula>
    </cfRule>
    <cfRule type="expression" dxfId="7089" priority="10717">
      <formula>AND(AW53&gt;5,P53="NA")</formula>
    </cfRule>
    <cfRule type="expression" dxfId="7088" priority="10718">
      <formula>AND(AW53&lt;5,P53="NA")</formula>
    </cfRule>
    <cfRule type="expression" dxfId="7087" priority="10719">
      <formula>AND(P53&lt;&gt;"NA",P53&gt;$P$16)</formula>
    </cfRule>
  </conditionalFormatting>
  <conditionalFormatting sqref="Q53">
    <cfRule type="expression" priority="10651" stopIfTrue="1">
      <formula>"ISBLANK($K$185)"</formula>
    </cfRule>
    <cfRule type="expression" dxfId="7086" priority="10710">
      <formula>AND(OR(AW53=0,ISBLANK(Q53)),B53&lt;&gt;"")</formula>
    </cfRule>
    <cfRule type="expression" dxfId="7085" priority="10711">
      <formula>AND(Q53="NA",NOT(ISTEXT(P53)))</formula>
    </cfRule>
    <cfRule type="expression" dxfId="7084" priority="10712">
      <formula>AND(AW53&gt;5,Q53="NA")</formula>
    </cfRule>
    <cfRule type="expression" dxfId="7083" priority="10713">
      <formula>AND(AW53&lt;5,Q53="NA")</formula>
    </cfRule>
    <cfRule type="expression" dxfId="7082" priority="10714">
      <formula>AND(Q53&lt;&gt;"NA",Q53&gt;$Q$16)</formula>
    </cfRule>
  </conditionalFormatting>
  <conditionalFormatting sqref="R53">
    <cfRule type="expression" priority="10650" stopIfTrue="1">
      <formula>"ISBLANK($K$185)"</formula>
    </cfRule>
    <cfRule type="expression" dxfId="7081" priority="10705">
      <formula>AND(OR(AW53=0,ISBLANK(R53)),B53&lt;&gt;"")</formula>
    </cfRule>
    <cfRule type="expression" dxfId="7080" priority="10706">
      <formula>AND(R53="NA",NOT(ISTEXT(S53)))</formula>
    </cfRule>
    <cfRule type="expression" dxfId="7079" priority="10707">
      <formula>AND(AW53&gt;5,R53="NA")</formula>
    </cfRule>
    <cfRule type="expression" dxfId="7078" priority="10708">
      <formula>AND(AW53&lt;5,R53="NA")</formula>
    </cfRule>
    <cfRule type="expression" dxfId="7077" priority="10709">
      <formula>AND(R53&lt;&gt;"NA",R53&gt;$R$16)</formula>
    </cfRule>
  </conditionalFormatting>
  <conditionalFormatting sqref="S53">
    <cfRule type="expression" priority="10649" stopIfTrue="1">
      <formula>"ISBLANK($K$185)"</formula>
    </cfRule>
    <cfRule type="expression" dxfId="7076" priority="10700">
      <formula>AND(OR(AW53=0,ISBLANK(S53)),B53&lt;&gt;"")</formula>
    </cfRule>
    <cfRule type="expression" dxfId="7075" priority="10701">
      <formula>AND(S53="NA",NOT(ISTEXT(R53)))</formula>
    </cfRule>
    <cfRule type="expression" dxfId="7074" priority="10702">
      <formula>AND(AW53&gt;5,S53="NA")</formula>
    </cfRule>
    <cfRule type="expression" dxfId="7073" priority="10703">
      <formula>AND(AW53&lt;5,S53="NA")</formula>
    </cfRule>
    <cfRule type="expression" dxfId="7072" priority="10704">
      <formula>AND(S53&lt;&gt;"NA",S53&gt;$S$16)</formula>
    </cfRule>
  </conditionalFormatting>
  <conditionalFormatting sqref="T53">
    <cfRule type="expression" priority="10648" stopIfTrue="1">
      <formula>"ISBLANK($K$185)"</formula>
    </cfRule>
    <cfRule type="expression" dxfId="7071" priority="10695">
      <formula>AND(OR(AW53=0,ISBLANK(T53)),B53&lt;&gt;"")</formula>
    </cfRule>
    <cfRule type="expression" dxfId="7070" priority="10696">
      <formula>AND(T53="NA",NOT(ISTEXT(U53)))</formula>
    </cfRule>
    <cfRule type="expression" dxfId="7069" priority="10697">
      <formula>AND(AW53&gt;5,T53="NA")</formula>
    </cfRule>
    <cfRule type="expression" dxfId="7068" priority="10698">
      <formula>AND(AW53&lt;5,T53="NA")</formula>
    </cfRule>
    <cfRule type="expression" dxfId="7067" priority="10699">
      <formula>AND(T53&lt;&gt;"NA",T53&gt;$T$16)</formula>
    </cfRule>
  </conditionalFormatting>
  <conditionalFormatting sqref="U53">
    <cfRule type="expression" priority="10647" stopIfTrue="1">
      <formula>"ISBLANK($K$185)"</formula>
    </cfRule>
    <cfRule type="expression" dxfId="7066" priority="10690">
      <formula>AND(OR(AW53=0,ISBLANK(U53)),B53&lt;&gt;"")</formula>
    </cfRule>
    <cfRule type="expression" dxfId="7065" priority="10691">
      <formula>AND(U53="NA",NOT(ISTEXT(T53)))</formula>
    </cfRule>
    <cfRule type="expression" dxfId="7064" priority="10692">
      <formula>AND(AW53&gt;5,U53="NA")</formula>
    </cfRule>
    <cfRule type="expression" dxfId="7063" priority="10693">
      <formula>AND(AW53&lt;5,U53="NA")</formula>
    </cfRule>
    <cfRule type="expression" dxfId="7062" priority="10694">
      <formula>AND(U53&lt;&gt;"NA",U53&gt;$U$16)</formula>
    </cfRule>
  </conditionalFormatting>
  <conditionalFormatting sqref="V53">
    <cfRule type="expression" priority="10646" stopIfTrue="1">
      <formula>"ISBLANK($K$185)"</formula>
    </cfRule>
    <cfRule type="expression" dxfId="7061" priority="10685">
      <formula>AND(OR(AW53=0,ISBLANK(V53)),B53&lt;&gt;"")</formula>
    </cfRule>
    <cfRule type="expression" dxfId="7060" priority="10686">
      <formula>AND(V53="NA",NOT(ISTEXT(W53)))</formula>
    </cfRule>
    <cfRule type="expression" dxfId="7059" priority="10687">
      <formula>AND(AW53&gt;5,V53="NA")</formula>
    </cfRule>
    <cfRule type="expression" dxfId="7058" priority="10688">
      <formula>AND(AW53&lt;5,V53="NA")</formula>
    </cfRule>
    <cfRule type="expression" dxfId="7057" priority="10689">
      <formula>AND(V53&lt;&gt;"NA",V53&gt;$V$16)</formula>
    </cfRule>
  </conditionalFormatting>
  <conditionalFormatting sqref="W53">
    <cfRule type="expression" priority="10645" stopIfTrue="1">
      <formula>"ISBLANK($K$185)"</formula>
    </cfRule>
    <cfRule type="expression" dxfId="7056" priority="10680">
      <formula>AND(OR(AW53=0,ISBLANK(W53)),B53&lt;&gt;"")</formula>
    </cfRule>
    <cfRule type="expression" dxfId="7055" priority="10681">
      <formula>AND(W53="NA",NOT(ISTEXT(V53)))</formula>
    </cfRule>
    <cfRule type="expression" dxfId="7054" priority="10682">
      <formula>AND(AW53&gt;5,W53="NA")</formula>
    </cfRule>
    <cfRule type="expression" dxfId="7053" priority="10683">
      <formula>AND(AW53&lt;5,W53="NA")</formula>
    </cfRule>
    <cfRule type="expression" dxfId="7052" priority="10684">
      <formula>AND(W53&lt;&gt;"NA",W53&gt;$W$16)</formula>
    </cfRule>
  </conditionalFormatting>
  <conditionalFormatting sqref="X53">
    <cfRule type="expression" priority="10644" stopIfTrue="1">
      <formula>"ISBLANK($K$185)"</formula>
    </cfRule>
    <cfRule type="expression" dxfId="7051" priority="10675">
      <formula>AND(OR(AW53=0,ISBLANK(X53)),B53&lt;&gt;"")</formula>
    </cfRule>
    <cfRule type="expression" dxfId="7050" priority="10676">
      <formula>AND(X53="NA",NOT(ISTEXT(Y53)))</formula>
    </cfRule>
    <cfRule type="expression" dxfId="7049" priority="10677">
      <formula>AND(AW53&gt;5,X53="NA")</formula>
    </cfRule>
    <cfRule type="expression" dxfId="7048" priority="10678">
      <formula>AND(AW53&lt;5,X53="NA")</formula>
    </cfRule>
    <cfRule type="expression" dxfId="7047" priority="10679">
      <formula>AND(X53&lt;&gt;"NA",X53&gt;$Y$16)</formula>
    </cfRule>
  </conditionalFormatting>
  <conditionalFormatting sqref="Y53">
    <cfRule type="expression" priority="10643" stopIfTrue="1">
      <formula>"ISBLANK($K$185)"</formula>
    </cfRule>
    <cfRule type="expression" dxfId="7046" priority="10670">
      <formula>AND(OR(AW53=0,ISBLANK(Y53)),B53&lt;&gt;"")</formula>
    </cfRule>
    <cfRule type="expression" dxfId="7045" priority="10671">
      <formula>AND(Y53="NA",NOT(ISTEXT(X53)))</formula>
    </cfRule>
    <cfRule type="expression" dxfId="7044" priority="10672">
      <formula>AND(AW53&gt;5,Y53="NA")</formula>
    </cfRule>
    <cfRule type="expression" dxfId="7043" priority="10673">
      <formula>AND(AW53&lt;5,Y53="NA")</formula>
    </cfRule>
    <cfRule type="expression" dxfId="7042" priority="10674">
      <formula>AND(Y53&lt;&gt;"NA",Y53&gt;$Y$16)</formula>
    </cfRule>
  </conditionalFormatting>
  <conditionalFormatting sqref="N53">
    <cfRule type="expression" priority="10654" stopIfTrue="1">
      <formula>"ISBLANK($K$185)"</formula>
    </cfRule>
    <cfRule type="expression" dxfId="7041" priority="10725">
      <formula>AND(OR(AW53=0,ISBLANK(N53)),B53&lt;&gt;"")</formula>
    </cfRule>
    <cfRule type="expression" dxfId="7040" priority="10726">
      <formula>AND(N53="NA",NOT(ISTEXT(O53)))</formula>
    </cfRule>
    <cfRule type="expression" dxfId="7039" priority="10727">
      <formula>AND(AW53&gt;5,N53="NA")</formula>
    </cfRule>
    <cfRule type="expression" dxfId="7038" priority="10728">
      <formula>AND(AW53&lt;5,N53="NA")</formula>
    </cfRule>
    <cfRule type="expression" dxfId="7037" priority="10729">
      <formula>AND(N53&lt;&gt;"NA",N53&gt;$N$16)</formula>
    </cfRule>
  </conditionalFormatting>
  <conditionalFormatting sqref="O54">
    <cfRule type="expression" priority="10562" stopIfTrue="1">
      <formula>"ISBLANK($K$185)"</formula>
    </cfRule>
    <cfRule type="expression" dxfId="7036" priority="10629">
      <formula>AND(OR(AW54=0,ISBLANK(O54)),B54&lt;&gt;"")</formula>
    </cfRule>
    <cfRule type="expression" dxfId="7035" priority="10630">
      <formula>AND(O54="NA",NOT(ISTEXT(N54)))</formula>
    </cfRule>
    <cfRule type="expression" dxfId="7034" priority="10631">
      <formula>AND(AW54&gt;5,O54="NA")</formula>
    </cfRule>
    <cfRule type="expression" dxfId="7033" priority="10632">
      <formula>AND(AW54&lt;5,O54="NA")</formula>
    </cfRule>
    <cfRule type="expression" dxfId="7032" priority="10633">
      <formula>AND(O54&lt;&gt;"NA",O54&gt;$O$16)</formula>
    </cfRule>
  </conditionalFormatting>
  <conditionalFormatting sqref="P54">
    <cfRule type="expression" priority="10561" stopIfTrue="1">
      <formula>"ISBLANK($K$185)"</formula>
    </cfRule>
    <cfRule type="expression" dxfId="7031" priority="10624">
      <formula>AND(OR(AW54=0,ISBLANK(P54)),B54&lt;&gt;"")</formula>
    </cfRule>
    <cfRule type="expression" dxfId="7030" priority="10625">
      <formula>AND(P54="NA",NOT(ISTEXT(Q54)))</formula>
    </cfRule>
    <cfRule type="expression" dxfId="7029" priority="10626">
      <formula>AND(AW54&gt;5,P54="NA")</formula>
    </cfRule>
    <cfRule type="expression" dxfId="7028" priority="10627">
      <formula>AND(AW54&lt;5,P54="NA")</formula>
    </cfRule>
    <cfRule type="expression" dxfId="7027" priority="10628">
      <formula>AND(P54&lt;&gt;"NA",P54&gt;$P$16)</formula>
    </cfRule>
  </conditionalFormatting>
  <conditionalFormatting sqref="Q54">
    <cfRule type="expression" priority="10560" stopIfTrue="1">
      <formula>"ISBLANK($K$185)"</formula>
    </cfRule>
    <cfRule type="expression" dxfId="7026" priority="10619">
      <formula>AND(OR(AW54=0,ISBLANK(Q54)),B54&lt;&gt;"")</formula>
    </cfRule>
    <cfRule type="expression" dxfId="7025" priority="10620">
      <formula>AND(Q54="NA",NOT(ISTEXT(P54)))</formula>
    </cfRule>
    <cfRule type="expression" dxfId="7024" priority="10621">
      <formula>AND(AW54&gt;5,Q54="NA")</formula>
    </cfRule>
    <cfRule type="expression" dxfId="7023" priority="10622">
      <formula>AND(AW54&lt;5,Q54="NA")</formula>
    </cfRule>
    <cfRule type="expression" dxfId="7022" priority="10623">
      <formula>AND(Q54&lt;&gt;"NA",Q54&gt;$Q$16)</formula>
    </cfRule>
  </conditionalFormatting>
  <conditionalFormatting sqref="R54">
    <cfRule type="expression" priority="10559" stopIfTrue="1">
      <formula>"ISBLANK($K$185)"</formula>
    </cfRule>
    <cfRule type="expression" dxfId="7021" priority="10614">
      <formula>AND(OR(AW54=0,ISBLANK(R54)),B54&lt;&gt;"")</formula>
    </cfRule>
    <cfRule type="expression" dxfId="7020" priority="10615">
      <formula>AND(R54="NA",NOT(ISTEXT(S54)))</formula>
    </cfRule>
    <cfRule type="expression" dxfId="7019" priority="10616">
      <formula>AND(AW54&gt;5,R54="NA")</formula>
    </cfRule>
    <cfRule type="expression" dxfId="7018" priority="10617">
      <formula>AND(AW54&lt;5,R54="NA")</formula>
    </cfRule>
    <cfRule type="expression" dxfId="7017" priority="10618">
      <formula>AND(R54&lt;&gt;"NA",R54&gt;$R$16)</formula>
    </cfRule>
  </conditionalFormatting>
  <conditionalFormatting sqref="S54">
    <cfRule type="expression" priority="10558" stopIfTrue="1">
      <formula>"ISBLANK($K$185)"</formula>
    </cfRule>
    <cfRule type="expression" dxfId="7016" priority="10609">
      <formula>AND(OR(AW54=0,ISBLANK(S54)),B54&lt;&gt;"")</formula>
    </cfRule>
    <cfRule type="expression" dxfId="7015" priority="10610">
      <formula>AND(S54="NA",NOT(ISTEXT(R54)))</formula>
    </cfRule>
    <cfRule type="expression" dxfId="7014" priority="10611">
      <formula>AND(AW54&gt;5,S54="NA")</formula>
    </cfRule>
    <cfRule type="expression" dxfId="7013" priority="10612">
      <formula>AND(AW54&lt;5,S54="NA")</formula>
    </cfRule>
    <cfRule type="expression" dxfId="7012" priority="10613">
      <formula>AND(S54&lt;&gt;"NA",S54&gt;$S$16)</formula>
    </cfRule>
  </conditionalFormatting>
  <conditionalFormatting sqref="T54">
    <cfRule type="expression" priority="10557" stopIfTrue="1">
      <formula>"ISBLANK($K$185)"</formula>
    </cfRule>
    <cfRule type="expression" dxfId="7011" priority="10604">
      <formula>AND(OR(AW54=0,ISBLANK(T54)),B54&lt;&gt;"")</formula>
    </cfRule>
    <cfRule type="expression" dxfId="7010" priority="10605">
      <formula>AND(T54="NA",NOT(ISTEXT(U54)))</formula>
    </cfRule>
    <cfRule type="expression" dxfId="7009" priority="10606">
      <formula>AND(AW54&gt;5,T54="NA")</formula>
    </cfRule>
    <cfRule type="expression" dxfId="7008" priority="10607">
      <formula>AND(AW54&lt;5,T54="NA")</formula>
    </cfRule>
    <cfRule type="expression" dxfId="7007" priority="10608">
      <formula>AND(T54&lt;&gt;"NA",T54&gt;$T$16)</formula>
    </cfRule>
  </conditionalFormatting>
  <conditionalFormatting sqref="U54">
    <cfRule type="expression" priority="10556" stopIfTrue="1">
      <formula>"ISBLANK($K$185)"</formula>
    </cfRule>
    <cfRule type="expression" dxfId="7006" priority="10599">
      <formula>AND(OR(AW54=0,ISBLANK(U54)),B54&lt;&gt;"")</formula>
    </cfRule>
    <cfRule type="expression" dxfId="7005" priority="10600">
      <formula>AND(U54="NA",NOT(ISTEXT(T54)))</formula>
    </cfRule>
    <cfRule type="expression" dxfId="7004" priority="10601">
      <formula>AND(AW54&gt;5,U54="NA")</formula>
    </cfRule>
    <cfRule type="expression" dxfId="7003" priority="10602">
      <formula>AND(AW54&lt;5,U54="NA")</formula>
    </cfRule>
    <cfRule type="expression" dxfId="7002" priority="10603">
      <formula>AND(U54&lt;&gt;"NA",U54&gt;$U$16)</formula>
    </cfRule>
  </conditionalFormatting>
  <conditionalFormatting sqref="V54">
    <cfRule type="expression" priority="10555" stopIfTrue="1">
      <formula>"ISBLANK($K$185)"</formula>
    </cfRule>
    <cfRule type="expression" dxfId="7001" priority="10594">
      <formula>AND(OR(AW54=0,ISBLANK(V54)),B54&lt;&gt;"")</formula>
    </cfRule>
    <cfRule type="expression" dxfId="7000" priority="10595">
      <formula>AND(V54="NA",NOT(ISTEXT(W54)))</formula>
    </cfRule>
    <cfRule type="expression" dxfId="6999" priority="10596">
      <formula>AND(AW54&gt;5,V54="NA")</formula>
    </cfRule>
    <cfRule type="expression" dxfId="6998" priority="10597">
      <formula>AND(AW54&lt;5,V54="NA")</formula>
    </cfRule>
    <cfRule type="expression" dxfId="6997" priority="10598">
      <formula>AND(V54&lt;&gt;"NA",V54&gt;$V$16)</formula>
    </cfRule>
  </conditionalFormatting>
  <conditionalFormatting sqref="W54">
    <cfRule type="expression" priority="10554" stopIfTrue="1">
      <formula>"ISBLANK($K$185)"</formula>
    </cfRule>
    <cfRule type="expression" dxfId="6996" priority="10589">
      <formula>AND(OR(AW54=0,ISBLANK(W54)),B54&lt;&gt;"")</formula>
    </cfRule>
    <cfRule type="expression" dxfId="6995" priority="10590">
      <formula>AND(W54="NA",NOT(ISTEXT(V54)))</formula>
    </cfRule>
    <cfRule type="expression" dxfId="6994" priority="10591">
      <formula>AND(AW54&gt;5,W54="NA")</formula>
    </cfRule>
    <cfRule type="expression" dxfId="6993" priority="10592">
      <formula>AND(AW54&lt;5,W54="NA")</formula>
    </cfRule>
    <cfRule type="expression" dxfId="6992" priority="10593">
      <formula>AND(W54&lt;&gt;"NA",W54&gt;$W$16)</formula>
    </cfRule>
  </conditionalFormatting>
  <conditionalFormatting sqref="X54">
    <cfRule type="expression" priority="10553" stopIfTrue="1">
      <formula>"ISBLANK($K$185)"</formula>
    </cfRule>
    <cfRule type="expression" dxfId="6991" priority="10584">
      <formula>AND(OR(AW54=0,ISBLANK(X54)),B54&lt;&gt;"")</formula>
    </cfRule>
    <cfRule type="expression" dxfId="6990" priority="10585">
      <formula>AND(X54="NA",NOT(ISTEXT(Y54)))</formula>
    </cfRule>
    <cfRule type="expression" dxfId="6989" priority="10586">
      <formula>AND(AW54&gt;5,X54="NA")</formula>
    </cfRule>
    <cfRule type="expression" dxfId="6988" priority="10587">
      <formula>AND(AW54&lt;5,X54="NA")</formula>
    </cfRule>
    <cfRule type="expression" dxfId="6987" priority="10588">
      <formula>AND(X54&lt;&gt;"NA",X54&gt;$Y$16)</formula>
    </cfRule>
  </conditionalFormatting>
  <conditionalFormatting sqref="Y54">
    <cfRule type="expression" priority="10552" stopIfTrue="1">
      <formula>"ISBLANK($K$185)"</formula>
    </cfRule>
    <cfRule type="expression" dxfId="6986" priority="10579">
      <formula>AND(OR(AW54=0,ISBLANK(Y54)),B54&lt;&gt;"")</formula>
    </cfRule>
    <cfRule type="expression" dxfId="6985" priority="10580">
      <formula>AND(Y54="NA",NOT(ISTEXT(X54)))</formula>
    </cfRule>
    <cfRule type="expression" dxfId="6984" priority="10581">
      <formula>AND(AW54&gt;5,Y54="NA")</formula>
    </cfRule>
    <cfRule type="expression" dxfId="6983" priority="10582">
      <formula>AND(AW54&lt;5,Y54="NA")</formula>
    </cfRule>
    <cfRule type="expression" dxfId="6982" priority="10583">
      <formula>AND(Y54&lt;&gt;"NA",Y54&gt;$Y$16)</formula>
    </cfRule>
  </conditionalFormatting>
  <conditionalFormatting sqref="N54">
    <cfRule type="expression" priority="10563" stopIfTrue="1">
      <formula>"ISBLANK($K$185)"</formula>
    </cfRule>
    <cfRule type="expression" dxfId="6981" priority="10634">
      <formula>AND(OR(AW54=0,ISBLANK(N54)),B54&lt;&gt;"")</formula>
    </cfRule>
    <cfRule type="expression" dxfId="6980" priority="10635">
      <formula>AND(N54="NA",NOT(ISTEXT(O54)))</formula>
    </cfRule>
    <cfRule type="expression" dxfId="6979" priority="10636">
      <formula>AND(AW54&gt;5,N54="NA")</formula>
    </cfRule>
    <cfRule type="expression" dxfId="6978" priority="10637">
      <formula>AND(AW54&lt;5,N54="NA")</formula>
    </cfRule>
    <cfRule type="expression" dxfId="6977" priority="10638">
      <formula>AND(N54&lt;&gt;"NA",N54&gt;$N$16)</formula>
    </cfRule>
  </conditionalFormatting>
  <conditionalFormatting sqref="O55">
    <cfRule type="expression" priority="10471" stopIfTrue="1">
      <formula>"ISBLANK($K$185)"</formula>
    </cfRule>
    <cfRule type="expression" dxfId="6976" priority="10538">
      <formula>AND(OR(AW55=0,ISBLANK(O55)),B55&lt;&gt;"")</formula>
    </cfRule>
    <cfRule type="expression" dxfId="6975" priority="10539">
      <formula>AND(O55="NA",NOT(ISTEXT(N55)))</formula>
    </cfRule>
    <cfRule type="expression" dxfId="6974" priority="10540">
      <formula>AND(AW55&gt;5,O55="NA")</formula>
    </cfRule>
    <cfRule type="expression" dxfId="6973" priority="10541">
      <formula>AND(AW55&lt;5,O55="NA")</formula>
    </cfRule>
    <cfRule type="expression" dxfId="6972" priority="10542">
      <formula>AND(O55&lt;&gt;"NA",O55&gt;$O$16)</formula>
    </cfRule>
  </conditionalFormatting>
  <conditionalFormatting sqref="P55">
    <cfRule type="expression" priority="10470" stopIfTrue="1">
      <formula>"ISBLANK($K$185)"</formula>
    </cfRule>
    <cfRule type="expression" dxfId="6971" priority="10533">
      <formula>AND(OR(AW55=0,ISBLANK(P55)),B55&lt;&gt;"")</formula>
    </cfRule>
    <cfRule type="expression" dxfId="6970" priority="10534">
      <formula>AND(P55="NA",NOT(ISTEXT(Q55)))</formula>
    </cfRule>
    <cfRule type="expression" dxfId="6969" priority="10535">
      <formula>AND(AW55&gt;5,P55="NA")</formula>
    </cfRule>
    <cfRule type="expression" dxfId="6968" priority="10536">
      <formula>AND(AW55&lt;5,P55="NA")</formula>
    </cfRule>
    <cfRule type="expression" dxfId="6967" priority="10537">
      <formula>AND(P55&lt;&gt;"NA",P55&gt;$P$16)</formula>
    </cfRule>
  </conditionalFormatting>
  <conditionalFormatting sqref="Q55">
    <cfRule type="expression" priority="10469" stopIfTrue="1">
      <formula>"ISBLANK($K$185)"</formula>
    </cfRule>
    <cfRule type="expression" dxfId="6966" priority="10528">
      <formula>AND(OR(AW55=0,ISBLANK(Q55)),B55&lt;&gt;"")</formula>
    </cfRule>
    <cfRule type="expression" dxfId="6965" priority="10529">
      <formula>AND(Q55="NA",NOT(ISTEXT(P55)))</formula>
    </cfRule>
    <cfRule type="expression" dxfId="6964" priority="10530">
      <formula>AND(AW55&gt;5,Q55="NA")</formula>
    </cfRule>
    <cfRule type="expression" dxfId="6963" priority="10531">
      <formula>AND(AW55&lt;5,Q55="NA")</formula>
    </cfRule>
    <cfRule type="expression" dxfId="6962" priority="10532">
      <formula>AND(Q55&lt;&gt;"NA",Q55&gt;$Q$16)</formula>
    </cfRule>
  </conditionalFormatting>
  <conditionalFormatting sqref="R55">
    <cfRule type="expression" priority="10468" stopIfTrue="1">
      <formula>"ISBLANK($K$185)"</formula>
    </cfRule>
    <cfRule type="expression" dxfId="6961" priority="10523">
      <formula>AND(OR(AW55=0,ISBLANK(R55)),B55&lt;&gt;"")</formula>
    </cfRule>
    <cfRule type="expression" dxfId="6960" priority="10524">
      <formula>AND(R55="NA",NOT(ISTEXT(S55)))</formula>
    </cfRule>
    <cfRule type="expression" dxfId="6959" priority="10525">
      <formula>AND(AW55&gt;5,R55="NA")</formula>
    </cfRule>
    <cfRule type="expression" dxfId="6958" priority="10526">
      <formula>AND(AW55&lt;5,R55="NA")</formula>
    </cfRule>
    <cfRule type="expression" dxfId="6957" priority="10527">
      <formula>AND(R55&lt;&gt;"NA",R55&gt;$R$16)</formula>
    </cfRule>
  </conditionalFormatting>
  <conditionalFormatting sqref="S55">
    <cfRule type="expression" priority="10467" stopIfTrue="1">
      <formula>"ISBLANK($K$185)"</formula>
    </cfRule>
    <cfRule type="expression" dxfId="6956" priority="10518">
      <formula>AND(OR(AW55=0,ISBLANK(S55)),B55&lt;&gt;"")</formula>
    </cfRule>
    <cfRule type="expression" dxfId="6955" priority="10519">
      <formula>AND(S55="NA",NOT(ISTEXT(R55)))</formula>
    </cfRule>
    <cfRule type="expression" dxfId="6954" priority="10520">
      <formula>AND(AW55&gt;5,S55="NA")</formula>
    </cfRule>
    <cfRule type="expression" dxfId="6953" priority="10521">
      <formula>AND(AW55&lt;5,S55="NA")</formula>
    </cfRule>
    <cfRule type="expression" dxfId="6952" priority="10522">
      <formula>AND(S55&lt;&gt;"NA",S55&gt;$S$16)</formula>
    </cfRule>
  </conditionalFormatting>
  <conditionalFormatting sqref="T55">
    <cfRule type="expression" priority="10466" stopIfTrue="1">
      <formula>"ISBLANK($K$185)"</formula>
    </cfRule>
    <cfRule type="expression" dxfId="6951" priority="10513">
      <formula>AND(OR(AW55=0,ISBLANK(T55)),B55&lt;&gt;"")</formula>
    </cfRule>
    <cfRule type="expression" dxfId="6950" priority="10514">
      <formula>AND(T55="NA",NOT(ISTEXT(U55)))</formula>
    </cfRule>
    <cfRule type="expression" dxfId="6949" priority="10515">
      <formula>AND(AW55&gt;5,T55="NA")</formula>
    </cfRule>
    <cfRule type="expression" dxfId="6948" priority="10516">
      <formula>AND(AW55&lt;5,T55="NA")</formula>
    </cfRule>
    <cfRule type="expression" dxfId="6947" priority="10517">
      <formula>AND(T55&lt;&gt;"NA",T55&gt;$T$16)</formula>
    </cfRule>
  </conditionalFormatting>
  <conditionalFormatting sqref="U55">
    <cfRule type="expression" priority="10465" stopIfTrue="1">
      <formula>"ISBLANK($K$185)"</formula>
    </cfRule>
    <cfRule type="expression" dxfId="6946" priority="10508">
      <formula>AND(OR(AW55=0,ISBLANK(U55)),B55&lt;&gt;"")</formula>
    </cfRule>
    <cfRule type="expression" dxfId="6945" priority="10509">
      <formula>AND(U55="NA",NOT(ISTEXT(T55)))</formula>
    </cfRule>
    <cfRule type="expression" dxfId="6944" priority="10510">
      <formula>AND(AW55&gt;5,U55="NA")</formula>
    </cfRule>
    <cfRule type="expression" dxfId="6943" priority="10511">
      <formula>AND(AW55&lt;5,U55="NA")</formula>
    </cfRule>
    <cfRule type="expression" dxfId="6942" priority="10512">
      <formula>AND(U55&lt;&gt;"NA",U55&gt;$U$16)</formula>
    </cfRule>
  </conditionalFormatting>
  <conditionalFormatting sqref="V55">
    <cfRule type="expression" priority="10464" stopIfTrue="1">
      <formula>"ISBLANK($K$185)"</formula>
    </cfRule>
    <cfRule type="expression" dxfId="6941" priority="10503">
      <formula>AND(OR(AW55=0,ISBLANK(V55)),B55&lt;&gt;"")</formula>
    </cfRule>
    <cfRule type="expression" dxfId="6940" priority="10504">
      <formula>AND(V55="NA",NOT(ISTEXT(W55)))</formula>
    </cfRule>
    <cfRule type="expression" dxfId="6939" priority="10505">
      <formula>AND(AW55&gt;5,V55="NA")</formula>
    </cfRule>
    <cfRule type="expression" dxfId="6938" priority="10506">
      <formula>AND(AW55&lt;5,V55="NA")</formula>
    </cfRule>
    <cfRule type="expression" dxfId="6937" priority="10507">
      <formula>AND(V55&lt;&gt;"NA",V55&gt;$V$16)</formula>
    </cfRule>
  </conditionalFormatting>
  <conditionalFormatting sqref="W55">
    <cfRule type="expression" priority="10463" stopIfTrue="1">
      <formula>"ISBLANK($K$185)"</formula>
    </cfRule>
    <cfRule type="expression" dxfId="6936" priority="10498">
      <formula>AND(OR(AW55=0,ISBLANK(W55)),B55&lt;&gt;"")</formula>
    </cfRule>
    <cfRule type="expression" dxfId="6935" priority="10499">
      <formula>AND(W55="NA",NOT(ISTEXT(V55)))</formula>
    </cfRule>
    <cfRule type="expression" dxfId="6934" priority="10500">
      <formula>AND(AW55&gt;5,W55="NA")</formula>
    </cfRule>
    <cfRule type="expression" dxfId="6933" priority="10501">
      <formula>AND(AW55&lt;5,W55="NA")</formula>
    </cfRule>
    <cfRule type="expression" dxfId="6932" priority="10502">
      <formula>AND(W55&lt;&gt;"NA",W55&gt;$W$16)</formula>
    </cfRule>
  </conditionalFormatting>
  <conditionalFormatting sqref="X55">
    <cfRule type="expression" priority="10462" stopIfTrue="1">
      <formula>"ISBLANK($K$185)"</formula>
    </cfRule>
    <cfRule type="expression" dxfId="6931" priority="10493">
      <formula>AND(OR(AW55=0,ISBLANK(X55)),B55&lt;&gt;"")</formula>
    </cfRule>
    <cfRule type="expression" dxfId="6930" priority="10494">
      <formula>AND(X55="NA",NOT(ISTEXT(Y55)))</formula>
    </cfRule>
    <cfRule type="expression" dxfId="6929" priority="10495">
      <formula>AND(AW55&gt;5,X55="NA")</formula>
    </cfRule>
    <cfRule type="expression" dxfId="6928" priority="10496">
      <formula>AND(AW55&lt;5,X55="NA")</formula>
    </cfRule>
    <cfRule type="expression" dxfId="6927" priority="10497">
      <formula>AND(X55&lt;&gt;"NA",X55&gt;$Y$16)</formula>
    </cfRule>
  </conditionalFormatting>
  <conditionalFormatting sqref="Y55">
    <cfRule type="expression" priority="10461" stopIfTrue="1">
      <formula>"ISBLANK($K$185)"</formula>
    </cfRule>
    <cfRule type="expression" dxfId="6926" priority="10488">
      <formula>AND(OR(AW55=0,ISBLANK(Y55)),B55&lt;&gt;"")</formula>
    </cfRule>
    <cfRule type="expression" dxfId="6925" priority="10489">
      <formula>AND(Y55="NA",NOT(ISTEXT(X55)))</formula>
    </cfRule>
    <cfRule type="expression" dxfId="6924" priority="10490">
      <formula>AND(AW55&gt;5,Y55="NA")</formula>
    </cfRule>
    <cfRule type="expression" dxfId="6923" priority="10491">
      <formula>AND(AW55&lt;5,Y55="NA")</formula>
    </cfRule>
    <cfRule type="expression" dxfId="6922" priority="10492">
      <formula>AND(Y55&lt;&gt;"NA",Y55&gt;$Y$16)</formula>
    </cfRule>
  </conditionalFormatting>
  <conditionalFormatting sqref="N55">
    <cfRule type="expression" priority="10472" stopIfTrue="1">
      <formula>"ISBLANK($K$185)"</formula>
    </cfRule>
    <cfRule type="expression" dxfId="6921" priority="10543">
      <formula>AND(OR(AW55=0,ISBLANK(N55)),B55&lt;&gt;"")</formula>
    </cfRule>
    <cfRule type="expression" dxfId="6920" priority="10544">
      <formula>AND(N55="NA",NOT(ISTEXT(O55)))</formula>
    </cfRule>
    <cfRule type="expression" dxfId="6919" priority="10545">
      <formula>AND(AW55&gt;5,N55="NA")</formula>
    </cfRule>
    <cfRule type="expression" dxfId="6918" priority="10546">
      <formula>AND(AW55&lt;5,N55="NA")</formula>
    </cfRule>
    <cfRule type="expression" dxfId="6917" priority="10547">
      <formula>AND(N55&lt;&gt;"NA",N55&gt;$N$16)</formula>
    </cfRule>
  </conditionalFormatting>
  <conditionalFormatting sqref="O56">
    <cfRule type="expression" priority="10380" stopIfTrue="1">
      <formula>"ISBLANK($K$185)"</formula>
    </cfRule>
    <cfRule type="expression" dxfId="6916" priority="10447">
      <formula>AND(OR(AW56=0,ISBLANK(O56)),B56&lt;&gt;"")</formula>
    </cfRule>
    <cfRule type="expression" dxfId="6915" priority="10448">
      <formula>AND(O56="NA",NOT(ISTEXT(N56)))</formula>
    </cfRule>
    <cfRule type="expression" dxfId="6914" priority="10449">
      <formula>AND(AW56&gt;5,O56="NA")</formula>
    </cfRule>
    <cfRule type="expression" dxfId="6913" priority="10450">
      <formula>AND(AW56&lt;5,O56="NA")</formula>
    </cfRule>
    <cfRule type="expression" dxfId="6912" priority="10451">
      <formula>AND(O56&lt;&gt;"NA",O56&gt;$O$16)</formula>
    </cfRule>
  </conditionalFormatting>
  <conditionalFormatting sqref="P56">
    <cfRule type="expression" priority="10379" stopIfTrue="1">
      <formula>"ISBLANK($K$185)"</formula>
    </cfRule>
    <cfRule type="expression" dxfId="6911" priority="10442">
      <formula>AND(OR(AW56=0,ISBLANK(P56)),B56&lt;&gt;"")</formula>
    </cfRule>
    <cfRule type="expression" dxfId="6910" priority="10443">
      <formula>AND(P56="NA",NOT(ISTEXT(Q56)))</formula>
    </cfRule>
    <cfRule type="expression" dxfId="6909" priority="10444">
      <formula>AND(AW56&gt;5,P56="NA")</formula>
    </cfRule>
    <cfRule type="expression" dxfId="6908" priority="10445">
      <formula>AND(AW56&lt;5,P56="NA")</formula>
    </cfRule>
    <cfRule type="expression" dxfId="6907" priority="10446">
      <formula>AND(P56&lt;&gt;"NA",P56&gt;$P$16)</formula>
    </cfRule>
  </conditionalFormatting>
  <conditionalFormatting sqref="Q56">
    <cfRule type="expression" priority="10378" stopIfTrue="1">
      <formula>"ISBLANK($K$185)"</formula>
    </cfRule>
    <cfRule type="expression" dxfId="6906" priority="10437">
      <formula>AND(OR(AW56=0,ISBLANK(Q56)),B56&lt;&gt;"")</formula>
    </cfRule>
    <cfRule type="expression" dxfId="6905" priority="10438">
      <formula>AND(Q56="NA",NOT(ISTEXT(P56)))</formula>
    </cfRule>
    <cfRule type="expression" dxfId="6904" priority="10439">
      <formula>AND(AW56&gt;5,Q56="NA")</formula>
    </cfRule>
    <cfRule type="expression" dxfId="6903" priority="10440">
      <formula>AND(AW56&lt;5,Q56="NA")</formula>
    </cfRule>
    <cfRule type="expression" dxfId="6902" priority="10441">
      <formula>AND(Q56&lt;&gt;"NA",Q56&gt;$Q$16)</formula>
    </cfRule>
  </conditionalFormatting>
  <conditionalFormatting sqref="R56">
    <cfRule type="expression" priority="10377" stopIfTrue="1">
      <formula>"ISBLANK($K$185)"</formula>
    </cfRule>
    <cfRule type="expression" dxfId="6901" priority="10432">
      <formula>AND(OR(AW56=0,ISBLANK(R56)),B56&lt;&gt;"")</formula>
    </cfRule>
    <cfRule type="expression" dxfId="6900" priority="10433">
      <formula>AND(R56="NA",NOT(ISTEXT(S56)))</formula>
    </cfRule>
    <cfRule type="expression" dxfId="6899" priority="10434">
      <formula>AND(AW56&gt;5,R56="NA")</formula>
    </cfRule>
    <cfRule type="expression" dxfId="6898" priority="10435">
      <formula>AND(AW56&lt;5,R56="NA")</formula>
    </cfRule>
    <cfRule type="expression" dxfId="6897" priority="10436">
      <formula>AND(R56&lt;&gt;"NA",R56&gt;$R$16)</formula>
    </cfRule>
  </conditionalFormatting>
  <conditionalFormatting sqref="S56">
    <cfRule type="expression" priority="10376" stopIfTrue="1">
      <formula>"ISBLANK($K$185)"</formula>
    </cfRule>
    <cfRule type="expression" dxfId="6896" priority="10427">
      <formula>AND(OR(AW56=0,ISBLANK(S56)),B56&lt;&gt;"")</formula>
    </cfRule>
    <cfRule type="expression" dxfId="6895" priority="10428">
      <formula>AND(S56="NA",NOT(ISTEXT(R56)))</formula>
    </cfRule>
    <cfRule type="expression" dxfId="6894" priority="10429">
      <formula>AND(AW56&gt;5,S56="NA")</formula>
    </cfRule>
    <cfRule type="expression" dxfId="6893" priority="10430">
      <formula>AND(AW56&lt;5,S56="NA")</formula>
    </cfRule>
    <cfRule type="expression" dxfId="6892" priority="10431">
      <formula>AND(S56&lt;&gt;"NA",S56&gt;$S$16)</formula>
    </cfRule>
  </conditionalFormatting>
  <conditionalFormatting sqref="T56">
    <cfRule type="expression" priority="10375" stopIfTrue="1">
      <formula>"ISBLANK($K$185)"</formula>
    </cfRule>
    <cfRule type="expression" dxfId="6891" priority="10422">
      <formula>AND(OR(AW56=0,ISBLANK(T56)),B56&lt;&gt;"")</formula>
    </cfRule>
    <cfRule type="expression" dxfId="6890" priority="10423">
      <formula>AND(T56="NA",NOT(ISTEXT(U56)))</formula>
    </cfRule>
    <cfRule type="expression" dxfId="6889" priority="10424">
      <formula>AND(AW56&gt;5,T56="NA")</formula>
    </cfRule>
    <cfRule type="expression" dxfId="6888" priority="10425">
      <formula>AND(AW56&lt;5,T56="NA")</formula>
    </cfRule>
    <cfRule type="expression" dxfId="6887" priority="10426">
      <formula>AND(T56&lt;&gt;"NA",T56&gt;$T$16)</formula>
    </cfRule>
  </conditionalFormatting>
  <conditionalFormatting sqref="U56">
    <cfRule type="expression" priority="10374" stopIfTrue="1">
      <formula>"ISBLANK($K$185)"</formula>
    </cfRule>
    <cfRule type="expression" dxfId="6886" priority="10417">
      <formula>AND(OR(AW56=0,ISBLANK(U56)),B56&lt;&gt;"")</formula>
    </cfRule>
    <cfRule type="expression" dxfId="6885" priority="10418">
      <formula>AND(U56="NA",NOT(ISTEXT(T56)))</formula>
    </cfRule>
    <cfRule type="expression" dxfId="6884" priority="10419">
      <formula>AND(AW56&gt;5,U56="NA")</formula>
    </cfRule>
    <cfRule type="expression" dxfId="6883" priority="10420">
      <formula>AND(AW56&lt;5,U56="NA")</formula>
    </cfRule>
    <cfRule type="expression" dxfId="6882" priority="10421">
      <formula>AND(U56&lt;&gt;"NA",U56&gt;$U$16)</formula>
    </cfRule>
  </conditionalFormatting>
  <conditionalFormatting sqref="V56">
    <cfRule type="expression" priority="10373" stopIfTrue="1">
      <formula>"ISBLANK($K$185)"</formula>
    </cfRule>
    <cfRule type="expression" dxfId="6881" priority="10412">
      <formula>AND(OR(AW56=0,ISBLANK(V56)),B56&lt;&gt;"")</formula>
    </cfRule>
    <cfRule type="expression" dxfId="6880" priority="10413">
      <formula>AND(V56="NA",NOT(ISTEXT(W56)))</formula>
    </cfRule>
    <cfRule type="expression" dxfId="6879" priority="10414">
      <formula>AND(AW56&gt;5,V56="NA")</formula>
    </cfRule>
    <cfRule type="expression" dxfId="6878" priority="10415">
      <formula>AND(AW56&lt;5,V56="NA")</formula>
    </cfRule>
    <cfRule type="expression" dxfId="6877" priority="10416">
      <formula>AND(V56&lt;&gt;"NA",V56&gt;$V$16)</formula>
    </cfRule>
  </conditionalFormatting>
  <conditionalFormatting sqref="W56">
    <cfRule type="expression" priority="10372" stopIfTrue="1">
      <formula>"ISBLANK($K$185)"</formula>
    </cfRule>
    <cfRule type="expression" dxfId="6876" priority="10407">
      <formula>AND(OR(AW56=0,ISBLANK(W56)),B56&lt;&gt;"")</formula>
    </cfRule>
    <cfRule type="expression" dxfId="6875" priority="10408">
      <formula>AND(W56="NA",NOT(ISTEXT(V56)))</formula>
    </cfRule>
    <cfRule type="expression" dxfId="6874" priority="10409">
      <formula>AND(AW56&gt;5,W56="NA")</formula>
    </cfRule>
    <cfRule type="expression" dxfId="6873" priority="10410">
      <formula>AND(AW56&lt;5,W56="NA")</formula>
    </cfRule>
    <cfRule type="expression" dxfId="6872" priority="10411">
      <formula>AND(W56&lt;&gt;"NA",W56&gt;$W$16)</formula>
    </cfRule>
  </conditionalFormatting>
  <conditionalFormatting sqref="X56">
    <cfRule type="expression" priority="10371" stopIfTrue="1">
      <formula>"ISBLANK($K$185)"</formula>
    </cfRule>
    <cfRule type="expression" dxfId="6871" priority="10402">
      <formula>AND(OR(AW56=0,ISBLANK(X56)),B56&lt;&gt;"")</formula>
    </cfRule>
    <cfRule type="expression" dxfId="6870" priority="10403">
      <formula>AND(X56="NA",NOT(ISTEXT(Y56)))</formula>
    </cfRule>
    <cfRule type="expression" dxfId="6869" priority="10404">
      <formula>AND(AW56&gt;5,X56="NA")</formula>
    </cfRule>
    <cfRule type="expression" dxfId="6868" priority="10405">
      <formula>AND(AW56&lt;5,X56="NA")</formula>
    </cfRule>
    <cfRule type="expression" dxfId="6867" priority="10406">
      <formula>AND(X56&lt;&gt;"NA",X56&gt;$Y$16)</formula>
    </cfRule>
  </conditionalFormatting>
  <conditionalFormatting sqref="Y56">
    <cfRule type="expression" priority="10370" stopIfTrue="1">
      <formula>"ISBLANK($K$185)"</formula>
    </cfRule>
    <cfRule type="expression" dxfId="6866" priority="10397">
      <formula>AND(OR(AW56=0,ISBLANK(Y56)),B56&lt;&gt;"")</formula>
    </cfRule>
    <cfRule type="expression" dxfId="6865" priority="10398">
      <formula>AND(Y56="NA",NOT(ISTEXT(X56)))</formula>
    </cfRule>
    <cfRule type="expression" dxfId="6864" priority="10399">
      <formula>AND(AW56&gt;5,Y56="NA")</formula>
    </cfRule>
    <cfRule type="expression" dxfId="6863" priority="10400">
      <formula>AND(AW56&lt;5,Y56="NA")</formula>
    </cfRule>
    <cfRule type="expression" dxfId="6862" priority="10401">
      <formula>AND(Y56&lt;&gt;"NA",Y56&gt;$Y$16)</formula>
    </cfRule>
  </conditionalFormatting>
  <conditionalFormatting sqref="N56">
    <cfRule type="expression" priority="10381" stopIfTrue="1">
      <formula>"ISBLANK($K$185)"</formula>
    </cfRule>
    <cfRule type="expression" dxfId="6861" priority="10452">
      <formula>AND(OR(AW56=0,ISBLANK(N56)),B56&lt;&gt;"")</formula>
    </cfRule>
    <cfRule type="expression" dxfId="6860" priority="10453">
      <formula>AND(N56="NA",NOT(ISTEXT(O56)))</formula>
    </cfRule>
    <cfRule type="expression" dxfId="6859" priority="10454">
      <formula>AND(AW56&gt;5,N56="NA")</formula>
    </cfRule>
    <cfRule type="expression" dxfId="6858" priority="10455">
      <formula>AND(AW56&lt;5,N56="NA")</formula>
    </cfRule>
    <cfRule type="expression" dxfId="6857" priority="10456">
      <formula>AND(N56&lt;&gt;"NA",N56&gt;$N$16)</formula>
    </cfRule>
  </conditionalFormatting>
  <conditionalFormatting sqref="O57">
    <cfRule type="expression" priority="10289" stopIfTrue="1">
      <formula>"ISBLANK($K$185)"</formula>
    </cfRule>
    <cfRule type="expression" dxfId="6856" priority="10356">
      <formula>AND(OR(AW57=0,ISBLANK(O57)),B57&lt;&gt;"")</formula>
    </cfRule>
    <cfRule type="expression" dxfId="6855" priority="10357">
      <formula>AND(O57="NA",NOT(ISTEXT(N57)))</formula>
    </cfRule>
    <cfRule type="expression" dxfId="6854" priority="10358">
      <formula>AND(AW57&gt;5,O57="NA")</formula>
    </cfRule>
    <cfRule type="expression" dxfId="6853" priority="10359">
      <formula>AND(AW57&lt;5,O57="NA")</formula>
    </cfRule>
    <cfRule type="expression" dxfId="6852" priority="10360">
      <formula>AND(O57&lt;&gt;"NA",O57&gt;$O$16)</formula>
    </cfRule>
  </conditionalFormatting>
  <conditionalFormatting sqref="P57">
    <cfRule type="expression" priority="10288" stopIfTrue="1">
      <formula>"ISBLANK($K$185)"</formula>
    </cfRule>
    <cfRule type="expression" dxfId="6851" priority="10351">
      <formula>AND(OR(AW57=0,ISBLANK(P57)),B57&lt;&gt;"")</formula>
    </cfRule>
    <cfRule type="expression" dxfId="6850" priority="10352">
      <formula>AND(P57="NA",NOT(ISTEXT(Q57)))</formula>
    </cfRule>
    <cfRule type="expression" dxfId="6849" priority="10353">
      <formula>AND(AW57&gt;5,P57="NA")</formula>
    </cfRule>
    <cfRule type="expression" dxfId="6848" priority="10354">
      <formula>AND(AW57&lt;5,P57="NA")</formula>
    </cfRule>
    <cfRule type="expression" dxfId="6847" priority="10355">
      <formula>AND(P57&lt;&gt;"NA",P57&gt;$P$16)</formula>
    </cfRule>
  </conditionalFormatting>
  <conditionalFormatting sqref="Q57">
    <cfRule type="expression" priority="10287" stopIfTrue="1">
      <formula>"ISBLANK($K$185)"</formula>
    </cfRule>
    <cfRule type="expression" dxfId="6846" priority="10346">
      <formula>AND(OR(AW57=0,ISBLANK(Q57)),B57&lt;&gt;"")</formula>
    </cfRule>
    <cfRule type="expression" dxfId="6845" priority="10347">
      <formula>AND(Q57="NA",NOT(ISTEXT(P57)))</formula>
    </cfRule>
    <cfRule type="expression" dxfId="6844" priority="10348">
      <formula>AND(AW57&gt;5,Q57="NA")</formula>
    </cfRule>
    <cfRule type="expression" dxfId="6843" priority="10349">
      <formula>AND(AW57&lt;5,Q57="NA")</formula>
    </cfRule>
    <cfRule type="expression" dxfId="6842" priority="10350">
      <formula>AND(Q57&lt;&gt;"NA",Q57&gt;$Q$16)</formula>
    </cfRule>
  </conditionalFormatting>
  <conditionalFormatting sqref="R57">
    <cfRule type="expression" priority="10286" stopIfTrue="1">
      <formula>"ISBLANK($K$185)"</formula>
    </cfRule>
    <cfRule type="expression" dxfId="6841" priority="10341">
      <formula>AND(OR(AW57=0,ISBLANK(R57)),B57&lt;&gt;"")</formula>
    </cfRule>
    <cfRule type="expression" dxfId="6840" priority="10342">
      <formula>AND(R57="NA",NOT(ISTEXT(S57)))</formula>
    </cfRule>
    <cfRule type="expression" dxfId="6839" priority="10343">
      <formula>AND(AW57&gt;5,R57="NA")</formula>
    </cfRule>
    <cfRule type="expression" dxfId="6838" priority="10344">
      <formula>AND(AW57&lt;5,R57="NA")</formula>
    </cfRule>
    <cfRule type="expression" dxfId="6837" priority="10345">
      <formula>AND(R57&lt;&gt;"NA",R57&gt;$R$16)</formula>
    </cfRule>
  </conditionalFormatting>
  <conditionalFormatting sqref="S57">
    <cfRule type="expression" priority="10285" stopIfTrue="1">
      <formula>"ISBLANK($K$185)"</formula>
    </cfRule>
    <cfRule type="expression" dxfId="6836" priority="10336">
      <formula>AND(OR(AW57=0,ISBLANK(S57)),B57&lt;&gt;"")</formula>
    </cfRule>
    <cfRule type="expression" dxfId="6835" priority="10337">
      <formula>AND(S57="NA",NOT(ISTEXT(R57)))</formula>
    </cfRule>
    <cfRule type="expression" dxfId="6834" priority="10338">
      <formula>AND(AW57&gt;5,S57="NA")</formula>
    </cfRule>
    <cfRule type="expression" dxfId="6833" priority="10339">
      <formula>AND(AW57&lt;5,S57="NA")</formula>
    </cfRule>
    <cfRule type="expression" dxfId="6832" priority="10340">
      <formula>AND(S57&lt;&gt;"NA",S57&gt;$S$16)</formula>
    </cfRule>
  </conditionalFormatting>
  <conditionalFormatting sqref="T57">
    <cfRule type="expression" priority="10284" stopIfTrue="1">
      <formula>"ISBLANK($K$185)"</formula>
    </cfRule>
    <cfRule type="expression" dxfId="6831" priority="10331">
      <formula>AND(OR(AW57=0,ISBLANK(T57)),B57&lt;&gt;"")</formula>
    </cfRule>
    <cfRule type="expression" dxfId="6830" priority="10332">
      <formula>AND(T57="NA",NOT(ISTEXT(U57)))</formula>
    </cfRule>
    <cfRule type="expression" dxfId="6829" priority="10333">
      <formula>AND(AW57&gt;5,T57="NA")</formula>
    </cfRule>
    <cfRule type="expression" dxfId="6828" priority="10334">
      <formula>AND(AW57&lt;5,T57="NA")</formula>
    </cfRule>
    <cfRule type="expression" dxfId="6827" priority="10335">
      <formula>AND(T57&lt;&gt;"NA",T57&gt;$T$16)</formula>
    </cfRule>
  </conditionalFormatting>
  <conditionalFormatting sqref="U57">
    <cfRule type="expression" priority="10283" stopIfTrue="1">
      <formula>"ISBLANK($K$185)"</formula>
    </cfRule>
    <cfRule type="expression" dxfId="6826" priority="10326">
      <formula>AND(OR(AW57=0,ISBLANK(U57)),B57&lt;&gt;"")</formula>
    </cfRule>
    <cfRule type="expression" dxfId="6825" priority="10327">
      <formula>AND(U57="NA",NOT(ISTEXT(T57)))</formula>
    </cfRule>
    <cfRule type="expression" dxfId="6824" priority="10328">
      <formula>AND(AW57&gt;5,U57="NA")</formula>
    </cfRule>
    <cfRule type="expression" dxfId="6823" priority="10329">
      <formula>AND(AW57&lt;5,U57="NA")</formula>
    </cfRule>
    <cfRule type="expression" dxfId="6822" priority="10330">
      <formula>AND(U57&lt;&gt;"NA",U57&gt;$U$16)</formula>
    </cfRule>
  </conditionalFormatting>
  <conditionalFormatting sqref="V57">
    <cfRule type="expression" priority="10282" stopIfTrue="1">
      <formula>"ISBLANK($K$185)"</formula>
    </cfRule>
    <cfRule type="expression" dxfId="6821" priority="10321">
      <formula>AND(OR(AW57=0,ISBLANK(V57)),B57&lt;&gt;"")</formula>
    </cfRule>
    <cfRule type="expression" dxfId="6820" priority="10322">
      <formula>AND(V57="NA",NOT(ISTEXT(W57)))</formula>
    </cfRule>
    <cfRule type="expression" dxfId="6819" priority="10323">
      <formula>AND(AW57&gt;5,V57="NA")</formula>
    </cfRule>
    <cfRule type="expression" dxfId="6818" priority="10324">
      <formula>AND(AW57&lt;5,V57="NA")</formula>
    </cfRule>
    <cfRule type="expression" dxfId="6817" priority="10325">
      <formula>AND(V57&lt;&gt;"NA",V57&gt;$V$16)</formula>
    </cfRule>
  </conditionalFormatting>
  <conditionalFormatting sqref="W57">
    <cfRule type="expression" priority="10281" stopIfTrue="1">
      <formula>"ISBLANK($K$185)"</formula>
    </cfRule>
    <cfRule type="expression" dxfId="6816" priority="10316">
      <formula>AND(OR(AW57=0,ISBLANK(W57)),B57&lt;&gt;"")</formula>
    </cfRule>
    <cfRule type="expression" dxfId="6815" priority="10317">
      <formula>AND(W57="NA",NOT(ISTEXT(V57)))</formula>
    </cfRule>
    <cfRule type="expression" dxfId="6814" priority="10318">
      <formula>AND(AW57&gt;5,W57="NA")</formula>
    </cfRule>
    <cfRule type="expression" dxfId="6813" priority="10319">
      <formula>AND(AW57&lt;5,W57="NA")</formula>
    </cfRule>
    <cfRule type="expression" dxfId="6812" priority="10320">
      <formula>AND(W57&lt;&gt;"NA",W57&gt;$W$16)</formula>
    </cfRule>
  </conditionalFormatting>
  <conditionalFormatting sqref="X57">
    <cfRule type="expression" priority="10280" stopIfTrue="1">
      <formula>"ISBLANK($K$185)"</formula>
    </cfRule>
    <cfRule type="expression" dxfId="6811" priority="10311">
      <formula>AND(OR(AW57=0,ISBLANK(X57)),B57&lt;&gt;"")</formula>
    </cfRule>
    <cfRule type="expression" dxfId="6810" priority="10312">
      <formula>AND(X57="NA",NOT(ISTEXT(Y57)))</formula>
    </cfRule>
    <cfRule type="expression" dxfId="6809" priority="10313">
      <formula>AND(AW57&gt;5,X57="NA")</formula>
    </cfRule>
    <cfRule type="expression" dxfId="6808" priority="10314">
      <formula>AND(AW57&lt;5,X57="NA")</formula>
    </cfRule>
    <cfRule type="expression" dxfId="6807" priority="10315">
      <formula>AND(X57&lt;&gt;"NA",X57&gt;$Y$16)</formula>
    </cfRule>
  </conditionalFormatting>
  <conditionalFormatting sqref="Y57">
    <cfRule type="expression" priority="10279" stopIfTrue="1">
      <formula>"ISBLANK($K$185)"</formula>
    </cfRule>
    <cfRule type="expression" dxfId="6806" priority="10306">
      <formula>AND(OR(AW57=0,ISBLANK(Y57)),B57&lt;&gt;"")</formula>
    </cfRule>
    <cfRule type="expression" dxfId="6805" priority="10307">
      <formula>AND(Y57="NA",NOT(ISTEXT(X57)))</formula>
    </cfRule>
    <cfRule type="expression" dxfId="6804" priority="10308">
      <formula>AND(AW57&gt;5,Y57="NA")</formula>
    </cfRule>
    <cfRule type="expression" dxfId="6803" priority="10309">
      <formula>AND(AW57&lt;5,Y57="NA")</formula>
    </cfRule>
    <cfRule type="expression" dxfId="6802" priority="10310">
      <formula>AND(Y57&lt;&gt;"NA",Y57&gt;$Y$16)</formula>
    </cfRule>
  </conditionalFormatting>
  <conditionalFormatting sqref="N57">
    <cfRule type="expression" priority="10290" stopIfTrue="1">
      <formula>"ISBLANK($K$185)"</formula>
    </cfRule>
    <cfRule type="expression" dxfId="6801" priority="10361">
      <formula>AND(OR(AW57=0,ISBLANK(N57)),B57&lt;&gt;"")</formula>
    </cfRule>
    <cfRule type="expression" dxfId="6800" priority="10362">
      <formula>AND(N57="NA",NOT(ISTEXT(O57)))</formula>
    </cfRule>
    <cfRule type="expression" dxfId="6799" priority="10363">
      <formula>AND(AW57&gt;5,N57="NA")</formula>
    </cfRule>
    <cfRule type="expression" dxfId="6798" priority="10364">
      <formula>AND(AW57&lt;5,N57="NA")</formula>
    </cfRule>
    <cfRule type="expression" dxfId="6797" priority="10365">
      <formula>AND(N57&lt;&gt;"NA",N57&gt;$N$16)</formula>
    </cfRule>
  </conditionalFormatting>
  <conditionalFormatting sqref="O58">
    <cfRule type="expression" priority="10198" stopIfTrue="1">
      <formula>"ISBLANK($K$185)"</formula>
    </cfRule>
    <cfRule type="expression" dxfId="6796" priority="10265">
      <formula>AND(OR(AW58=0,ISBLANK(O58)),B58&lt;&gt;"")</formula>
    </cfRule>
    <cfRule type="expression" dxfId="6795" priority="10266">
      <formula>AND(O58="NA",NOT(ISTEXT(N58)))</formula>
    </cfRule>
    <cfRule type="expression" dxfId="6794" priority="10267">
      <formula>AND(AW58&gt;5,O58="NA")</formula>
    </cfRule>
    <cfRule type="expression" dxfId="6793" priority="10268">
      <formula>AND(AW58&lt;5,O58="NA")</formula>
    </cfRule>
    <cfRule type="expression" dxfId="6792" priority="10269">
      <formula>AND(O58&lt;&gt;"NA",O58&gt;$O$16)</formula>
    </cfRule>
  </conditionalFormatting>
  <conditionalFormatting sqref="P58">
    <cfRule type="expression" priority="10197" stopIfTrue="1">
      <formula>"ISBLANK($K$185)"</formula>
    </cfRule>
    <cfRule type="expression" dxfId="6791" priority="10260">
      <formula>AND(OR(AW58=0,ISBLANK(P58)),B58&lt;&gt;"")</formula>
    </cfRule>
    <cfRule type="expression" dxfId="6790" priority="10261">
      <formula>AND(P58="NA",NOT(ISTEXT(Q58)))</formula>
    </cfRule>
    <cfRule type="expression" dxfId="6789" priority="10262">
      <formula>AND(AW58&gt;5,P58="NA")</formula>
    </cfRule>
    <cfRule type="expression" dxfId="6788" priority="10263">
      <formula>AND(AW58&lt;5,P58="NA")</formula>
    </cfRule>
    <cfRule type="expression" dxfId="6787" priority="10264">
      <formula>AND(P58&lt;&gt;"NA",P58&gt;$P$16)</formula>
    </cfRule>
  </conditionalFormatting>
  <conditionalFormatting sqref="Q58">
    <cfRule type="expression" priority="10196" stopIfTrue="1">
      <formula>"ISBLANK($K$185)"</formula>
    </cfRule>
    <cfRule type="expression" dxfId="6786" priority="10255">
      <formula>AND(OR(AW58=0,ISBLANK(Q58)),B58&lt;&gt;"")</formula>
    </cfRule>
    <cfRule type="expression" dxfId="6785" priority="10256">
      <formula>AND(Q58="NA",NOT(ISTEXT(P58)))</formula>
    </cfRule>
    <cfRule type="expression" dxfId="6784" priority="10257">
      <formula>AND(AW58&gt;5,Q58="NA")</formula>
    </cfRule>
    <cfRule type="expression" dxfId="6783" priority="10258">
      <formula>AND(AW58&lt;5,Q58="NA")</formula>
    </cfRule>
    <cfRule type="expression" dxfId="6782" priority="10259">
      <formula>AND(Q58&lt;&gt;"NA",Q58&gt;$Q$16)</formula>
    </cfRule>
  </conditionalFormatting>
  <conditionalFormatting sqref="R58">
    <cfRule type="expression" priority="10195" stopIfTrue="1">
      <formula>"ISBLANK($K$185)"</formula>
    </cfRule>
    <cfRule type="expression" dxfId="6781" priority="10250">
      <formula>AND(OR(AW58=0,ISBLANK(R58)),B58&lt;&gt;"")</formula>
    </cfRule>
    <cfRule type="expression" dxfId="6780" priority="10251">
      <formula>AND(R58="NA",NOT(ISTEXT(S58)))</formula>
    </cfRule>
    <cfRule type="expression" dxfId="6779" priority="10252">
      <formula>AND(AW58&gt;5,R58="NA")</formula>
    </cfRule>
    <cfRule type="expression" dxfId="6778" priority="10253">
      <formula>AND(AW58&lt;5,R58="NA")</formula>
    </cfRule>
    <cfRule type="expression" dxfId="6777" priority="10254">
      <formula>AND(R58&lt;&gt;"NA",R58&gt;$R$16)</formula>
    </cfRule>
  </conditionalFormatting>
  <conditionalFormatting sqref="S58">
    <cfRule type="expression" priority="10194" stopIfTrue="1">
      <formula>"ISBLANK($K$185)"</formula>
    </cfRule>
    <cfRule type="expression" dxfId="6776" priority="10245">
      <formula>AND(OR(AW58=0,ISBLANK(S58)),B58&lt;&gt;"")</formula>
    </cfRule>
    <cfRule type="expression" dxfId="6775" priority="10246">
      <formula>AND(S58="NA",NOT(ISTEXT(R58)))</formula>
    </cfRule>
    <cfRule type="expression" dxfId="6774" priority="10247">
      <formula>AND(AW58&gt;5,S58="NA")</formula>
    </cfRule>
    <cfRule type="expression" dxfId="6773" priority="10248">
      <formula>AND(AW58&lt;5,S58="NA")</formula>
    </cfRule>
    <cfRule type="expression" dxfId="6772" priority="10249">
      <formula>AND(S58&lt;&gt;"NA",S58&gt;$S$16)</formula>
    </cfRule>
  </conditionalFormatting>
  <conditionalFormatting sqref="T58">
    <cfRule type="expression" priority="10193" stopIfTrue="1">
      <formula>"ISBLANK($K$185)"</formula>
    </cfRule>
    <cfRule type="expression" dxfId="6771" priority="10240">
      <formula>AND(OR(AW58=0,ISBLANK(T58)),B58&lt;&gt;"")</formula>
    </cfRule>
    <cfRule type="expression" dxfId="6770" priority="10241">
      <formula>AND(T58="NA",NOT(ISTEXT(U58)))</formula>
    </cfRule>
    <cfRule type="expression" dxfId="6769" priority="10242">
      <formula>AND(AW58&gt;5,T58="NA")</formula>
    </cfRule>
    <cfRule type="expression" dxfId="6768" priority="10243">
      <formula>AND(AW58&lt;5,T58="NA")</formula>
    </cfRule>
    <cfRule type="expression" dxfId="6767" priority="10244">
      <formula>AND(T58&lt;&gt;"NA",T58&gt;$T$16)</formula>
    </cfRule>
  </conditionalFormatting>
  <conditionalFormatting sqref="U58">
    <cfRule type="expression" priority="10192" stopIfTrue="1">
      <formula>"ISBLANK($K$185)"</formula>
    </cfRule>
    <cfRule type="expression" dxfId="6766" priority="10235">
      <formula>AND(OR(AW58=0,ISBLANK(U58)),B58&lt;&gt;"")</formula>
    </cfRule>
    <cfRule type="expression" dxfId="6765" priority="10236">
      <formula>AND(U58="NA",NOT(ISTEXT(T58)))</formula>
    </cfRule>
    <cfRule type="expression" dxfId="6764" priority="10237">
      <formula>AND(AW58&gt;5,U58="NA")</formula>
    </cfRule>
    <cfRule type="expression" dxfId="6763" priority="10238">
      <formula>AND(AW58&lt;5,U58="NA")</formula>
    </cfRule>
    <cfRule type="expression" dxfId="6762" priority="10239">
      <formula>AND(U58&lt;&gt;"NA",U58&gt;$U$16)</formula>
    </cfRule>
  </conditionalFormatting>
  <conditionalFormatting sqref="V58">
    <cfRule type="expression" priority="10191" stopIfTrue="1">
      <formula>"ISBLANK($K$185)"</formula>
    </cfRule>
    <cfRule type="expression" dxfId="6761" priority="10230">
      <formula>AND(OR(AW58=0,ISBLANK(V58)),B58&lt;&gt;"")</formula>
    </cfRule>
    <cfRule type="expression" dxfId="6760" priority="10231">
      <formula>AND(V58="NA",NOT(ISTEXT(W58)))</formula>
    </cfRule>
    <cfRule type="expression" dxfId="6759" priority="10232">
      <formula>AND(AW58&gt;5,V58="NA")</formula>
    </cfRule>
    <cfRule type="expression" dxfId="6758" priority="10233">
      <formula>AND(AW58&lt;5,V58="NA")</formula>
    </cfRule>
    <cfRule type="expression" dxfId="6757" priority="10234">
      <formula>AND(V58&lt;&gt;"NA",V58&gt;$V$16)</formula>
    </cfRule>
  </conditionalFormatting>
  <conditionalFormatting sqref="W58">
    <cfRule type="expression" priority="10190" stopIfTrue="1">
      <formula>"ISBLANK($K$185)"</formula>
    </cfRule>
    <cfRule type="expression" dxfId="6756" priority="10225">
      <formula>AND(OR(AW58=0,ISBLANK(W58)),B58&lt;&gt;"")</formula>
    </cfRule>
    <cfRule type="expression" dxfId="6755" priority="10226">
      <formula>AND(W58="NA",NOT(ISTEXT(V58)))</formula>
    </cfRule>
    <cfRule type="expression" dxfId="6754" priority="10227">
      <formula>AND(AW58&gt;5,W58="NA")</formula>
    </cfRule>
    <cfRule type="expression" dxfId="6753" priority="10228">
      <formula>AND(AW58&lt;5,W58="NA")</formula>
    </cfRule>
    <cfRule type="expression" dxfId="6752" priority="10229">
      <formula>AND(W58&lt;&gt;"NA",W58&gt;$W$16)</formula>
    </cfRule>
  </conditionalFormatting>
  <conditionalFormatting sqref="X58">
    <cfRule type="expression" priority="10189" stopIfTrue="1">
      <formula>"ISBLANK($K$185)"</formula>
    </cfRule>
    <cfRule type="expression" dxfId="6751" priority="10220">
      <formula>AND(OR(AW58=0,ISBLANK(X58)),B58&lt;&gt;"")</formula>
    </cfRule>
    <cfRule type="expression" dxfId="6750" priority="10221">
      <formula>AND(X58="NA",NOT(ISTEXT(Y58)))</formula>
    </cfRule>
    <cfRule type="expression" dxfId="6749" priority="10222">
      <formula>AND(AW58&gt;5,X58="NA")</formula>
    </cfRule>
    <cfRule type="expression" dxfId="6748" priority="10223">
      <formula>AND(AW58&lt;5,X58="NA")</formula>
    </cfRule>
    <cfRule type="expression" dxfId="6747" priority="10224">
      <formula>AND(X58&lt;&gt;"NA",X58&gt;$Y$16)</formula>
    </cfRule>
  </conditionalFormatting>
  <conditionalFormatting sqref="Y58">
    <cfRule type="expression" priority="10188" stopIfTrue="1">
      <formula>"ISBLANK($K$185)"</formula>
    </cfRule>
    <cfRule type="expression" dxfId="6746" priority="10215">
      <formula>AND(OR(AW58=0,ISBLANK(Y58)),B58&lt;&gt;"")</formula>
    </cfRule>
    <cfRule type="expression" dxfId="6745" priority="10216">
      <formula>AND(Y58="NA",NOT(ISTEXT(X58)))</formula>
    </cfRule>
    <cfRule type="expression" dxfId="6744" priority="10217">
      <formula>AND(AW58&gt;5,Y58="NA")</formula>
    </cfRule>
    <cfRule type="expression" dxfId="6743" priority="10218">
      <formula>AND(AW58&lt;5,Y58="NA")</formula>
    </cfRule>
    <cfRule type="expression" dxfId="6742" priority="10219">
      <formula>AND(Y58&lt;&gt;"NA",Y58&gt;$Y$16)</formula>
    </cfRule>
  </conditionalFormatting>
  <conditionalFormatting sqref="N58">
    <cfRule type="expression" priority="10199" stopIfTrue="1">
      <formula>"ISBLANK($K$185)"</formula>
    </cfRule>
    <cfRule type="expression" dxfId="6741" priority="10270">
      <formula>AND(OR(AW58=0,ISBLANK(N58)),B58&lt;&gt;"")</formula>
    </cfRule>
    <cfRule type="expression" dxfId="6740" priority="10271">
      <formula>AND(N58="NA",NOT(ISTEXT(O58)))</formula>
    </cfRule>
    <cfRule type="expression" dxfId="6739" priority="10272">
      <formula>AND(AW58&gt;5,N58="NA")</formula>
    </cfRule>
    <cfRule type="expression" dxfId="6738" priority="10273">
      <formula>AND(AW58&lt;5,N58="NA")</formula>
    </cfRule>
    <cfRule type="expression" dxfId="6737" priority="10274">
      <formula>AND(N58&lt;&gt;"NA",N58&gt;$N$16)</formula>
    </cfRule>
  </conditionalFormatting>
  <conditionalFormatting sqref="O59">
    <cfRule type="expression" priority="10107" stopIfTrue="1">
      <formula>"ISBLANK($K$185)"</formula>
    </cfRule>
    <cfRule type="expression" dxfId="6736" priority="10174">
      <formula>AND(OR(AW59=0,ISBLANK(O59)),B59&lt;&gt;"")</formula>
    </cfRule>
    <cfRule type="expression" dxfId="6735" priority="10175">
      <formula>AND(O59="NA",NOT(ISTEXT(N59)))</formula>
    </cfRule>
    <cfRule type="expression" dxfId="6734" priority="10176">
      <formula>AND(AW59&gt;5,O59="NA")</formula>
    </cfRule>
    <cfRule type="expression" dxfId="6733" priority="10177">
      <formula>AND(AW59&lt;5,O59="NA")</formula>
    </cfRule>
    <cfRule type="expression" dxfId="6732" priority="10178">
      <formula>AND(O59&lt;&gt;"NA",O59&gt;$O$16)</formula>
    </cfRule>
  </conditionalFormatting>
  <conditionalFormatting sqref="P59">
    <cfRule type="expression" priority="10106" stopIfTrue="1">
      <formula>"ISBLANK($K$185)"</formula>
    </cfRule>
    <cfRule type="expression" dxfId="6731" priority="10169">
      <formula>AND(OR(AW59=0,ISBLANK(P59)),B59&lt;&gt;"")</formula>
    </cfRule>
    <cfRule type="expression" dxfId="6730" priority="10170">
      <formula>AND(P59="NA",NOT(ISTEXT(Q59)))</formula>
    </cfRule>
    <cfRule type="expression" dxfId="6729" priority="10171">
      <formula>AND(AW59&gt;5,P59="NA")</formula>
    </cfRule>
    <cfRule type="expression" dxfId="6728" priority="10172">
      <formula>AND(AW59&lt;5,P59="NA")</formula>
    </cfRule>
    <cfRule type="expression" dxfId="6727" priority="10173">
      <formula>AND(P59&lt;&gt;"NA",P59&gt;$P$16)</formula>
    </cfRule>
  </conditionalFormatting>
  <conditionalFormatting sqref="Q59">
    <cfRule type="expression" priority="10105" stopIfTrue="1">
      <formula>"ISBLANK($K$185)"</formula>
    </cfRule>
    <cfRule type="expression" dxfId="6726" priority="10164">
      <formula>AND(OR(AW59=0,ISBLANK(Q59)),B59&lt;&gt;"")</formula>
    </cfRule>
    <cfRule type="expression" dxfId="6725" priority="10165">
      <formula>AND(Q59="NA",NOT(ISTEXT(P59)))</formula>
    </cfRule>
    <cfRule type="expression" dxfId="6724" priority="10166">
      <formula>AND(AW59&gt;5,Q59="NA")</formula>
    </cfRule>
    <cfRule type="expression" dxfId="6723" priority="10167">
      <formula>AND(AW59&lt;5,Q59="NA")</formula>
    </cfRule>
    <cfRule type="expression" dxfId="6722" priority="10168">
      <formula>AND(Q59&lt;&gt;"NA",Q59&gt;$Q$16)</formula>
    </cfRule>
  </conditionalFormatting>
  <conditionalFormatting sqref="R59">
    <cfRule type="expression" priority="10104" stopIfTrue="1">
      <formula>"ISBLANK($K$185)"</formula>
    </cfRule>
    <cfRule type="expression" dxfId="6721" priority="10159">
      <formula>AND(OR(AW59=0,ISBLANK(R59)),B59&lt;&gt;"")</formula>
    </cfRule>
    <cfRule type="expression" dxfId="6720" priority="10160">
      <formula>AND(R59="NA",NOT(ISTEXT(S59)))</formula>
    </cfRule>
    <cfRule type="expression" dxfId="6719" priority="10161">
      <formula>AND(AW59&gt;5,R59="NA")</formula>
    </cfRule>
    <cfRule type="expression" dxfId="6718" priority="10162">
      <formula>AND(AW59&lt;5,R59="NA")</formula>
    </cfRule>
    <cfRule type="expression" dxfId="6717" priority="10163">
      <formula>AND(R59&lt;&gt;"NA",R59&gt;$R$16)</formula>
    </cfRule>
  </conditionalFormatting>
  <conditionalFormatting sqref="S59">
    <cfRule type="expression" priority="10103" stopIfTrue="1">
      <formula>"ISBLANK($K$185)"</formula>
    </cfRule>
    <cfRule type="expression" dxfId="6716" priority="10154">
      <formula>AND(OR(AW59=0,ISBLANK(S59)),B59&lt;&gt;"")</formula>
    </cfRule>
    <cfRule type="expression" dxfId="6715" priority="10155">
      <formula>AND(S59="NA",NOT(ISTEXT(R59)))</formula>
    </cfRule>
    <cfRule type="expression" dxfId="6714" priority="10156">
      <formula>AND(AW59&gt;5,S59="NA")</formula>
    </cfRule>
    <cfRule type="expression" dxfId="6713" priority="10157">
      <formula>AND(AW59&lt;5,S59="NA")</formula>
    </cfRule>
    <cfRule type="expression" dxfId="6712" priority="10158">
      <formula>AND(S59&lt;&gt;"NA",S59&gt;$S$16)</formula>
    </cfRule>
  </conditionalFormatting>
  <conditionalFormatting sqref="T59">
    <cfRule type="expression" priority="10102" stopIfTrue="1">
      <formula>"ISBLANK($K$185)"</formula>
    </cfRule>
    <cfRule type="expression" dxfId="6711" priority="10149">
      <formula>AND(OR(AW59=0,ISBLANK(T59)),B59&lt;&gt;"")</formula>
    </cfRule>
    <cfRule type="expression" dxfId="6710" priority="10150">
      <formula>AND(T59="NA",NOT(ISTEXT(U59)))</formula>
    </cfRule>
    <cfRule type="expression" dxfId="6709" priority="10151">
      <formula>AND(AW59&gt;5,T59="NA")</formula>
    </cfRule>
    <cfRule type="expression" dxfId="6708" priority="10152">
      <formula>AND(AW59&lt;5,T59="NA")</formula>
    </cfRule>
    <cfRule type="expression" dxfId="6707" priority="10153">
      <formula>AND(T59&lt;&gt;"NA",T59&gt;$T$16)</formula>
    </cfRule>
  </conditionalFormatting>
  <conditionalFormatting sqref="U59">
    <cfRule type="expression" priority="10101" stopIfTrue="1">
      <formula>"ISBLANK($K$185)"</formula>
    </cfRule>
    <cfRule type="expression" dxfId="6706" priority="10144">
      <formula>AND(OR(AW59=0,ISBLANK(U59)),B59&lt;&gt;"")</formula>
    </cfRule>
    <cfRule type="expression" dxfId="6705" priority="10145">
      <formula>AND(U59="NA",NOT(ISTEXT(T59)))</formula>
    </cfRule>
    <cfRule type="expression" dxfId="6704" priority="10146">
      <formula>AND(AW59&gt;5,U59="NA")</formula>
    </cfRule>
    <cfRule type="expression" dxfId="6703" priority="10147">
      <formula>AND(AW59&lt;5,U59="NA")</formula>
    </cfRule>
    <cfRule type="expression" dxfId="6702" priority="10148">
      <formula>AND(U59&lt;&gt;"NA",U59&gt;$U$16)</formula>
    </cfRule>
  </conditionalFormatting>
  <conditionalFormatting sqref="V59">
    <cfRule type="expression" priority="10100" stopIfTrue="1">
      <formula>"ISBLANK($K$185)"</formula>
    </cfRule>
    <cfRule type="expression" dxfId="6701" priority="10139">
      <formula>AND(OR(AW59=0,ISBLANK(V59)),B59&lt;&gt;"")</formula>
    </cfRule>
    <cfRule type="expression" dxfId="6700" priority="10140">
      <formula>AND(V59="NA",NOT(ISTEXT(W59)))</formula>
    </cfRule>
    <cfRule type="expression" dxfId="6699" priority="10141">
      <formula>AND(AW59&gt;5,V59="NA")</formula>
    </cfRule>
    <cfRule type="expression" dxfId="6698" priority="10142">
      <formula>AND(AW59&lt;5,V59="NA")</formula>
    </cfRule>
    <cfRule type="expression" dxfId="6697" priority="10143">
      <formula>AND(V59&lt;&gt;"NA",V59&gt;$V$16)</formula>
    </cfRule>
  </conditionalFormatting>
  <conditionalFormatting sqref="W59">
    <cfRule type="expression" priority="10099" stopIfTrue="1">
      <formula>"ISBLANK($K$185)"</formula>
    </cfRule>
    <cfRule type="expression" dxfId="6696" priority="10134">
      <formula>AND(OR(AW59=0,ISBLANK(W59)),B59&lt;&gt;"")</formula>
    </cfRule>
    <cfRule type="expression" dxfId="6695" priority="10135">
      <formula>AND(W59="NA",NOT(ISTEXT(V59)))</formula>
    </cfRule>
    <cfRule type="expression" dxfId="6694" priority="10136">
      <formula>AND(AW59&gt;5,W59="NA")</formula>
    </cfRule>
    <cfRule type="expression" dxfId="6693" priority="10137">
      <formula>AND(AW59&lt;5,W59="NA")</formula>
    </cfRule>
    <cfRule type="expression" dxfId="6692" priority="10138">
      <formula>AND(W59&lt;&gt;"NA",W59&gt;$W$16)</formula>
    </cfRule>
  </conditionalFormatting>
  <conditionalFormatting sqref="X59">
    <cfRule type="expression" priority="10098" stopIfTrue="1">
      <formula>"ISBLANK($K$185)"</formula>
    </cfRule>
    <cfRule type="expression" dxfId="6691" priority="10129">
      <formula>AND(OR(AW59=0,ISBLANK(X59)),B59&lt;&gt;"")</formula>
    </cfRule>
    <cfRule type="expression" dxfId="6690" priority="10130">
      <formula>AND(X59="NA",NOT(ISTEXT(Y59)))</formula>
    </cfRule>
    <cfRule type="expression" dxfId="6689" priority="10131">
      <formula>AND(AW59&gt;5,X59="NA")</formula>
    </cfRule>
    <cfRule type="expression" dxfId="6688" priority="10132">
      <formula>AND(AW59&lt;5,X59="NA")</formula>
    </cfRule>
    <cfRule type="expression" dxfId="6687" priority="10133">
      <formula>AND(X59&lt;&gt;"NA",X59&gt;$Y$16)</formula>
    </cfRule>
  </conditionalFormatting>
  <conditionalFormatting sqref="Y59">
    <cfRule type="expression" priority="10097" stopIfTrue="1">
      <formula>"ISBLANK($K$185)"</formula>
    </cfRule>
    <cfRule type="expression" dxfId="6686" priority="10124">
      <formula>AND(OR(AW59=0,ISBLANK(Y59)),B59&lt;&gt;"")</formula>
    </cfRule>
    <cfRule type="expression" dxfId="6685" priority="10125">
      <formula>AND(Y59="NA",NOT(ISTEXT(X59)))</formula>
    </cfRule>
    <cfRule type="expression" dxfId="6684" priority="10126">
      <formula>AND(AW59&gt;5,Y59="NA")</formula>
    </cfRule>
    <cfRule type="expression" dxfId="6683" priority="10127">
      <formula>AND(AW59&lt;5,Y59="NA")</formula>
    </cfRule>
    <cfRule type="expression" dxfId="6682" priority="10128">
      <formula>AND(Y59&lt;&gt;"NA",Y59&gt;$Y$16)</formula>
    </cfRule>
  </conditionalFormatting>
  <conditionalFormatting sqref="N59">
    <cfRule type="expression" priority="10108" stopIfTrue="1">
      <formula>"ISBLANK($K$185)"</formula>
    </cfRule>
    <cfRule type="expression" dxfId="6681" priority="10179">
      <formula>AND(OR(AW59=0,ISBLANK(N59)),B59&lt;&gt;"")</formula>
    </cfRule>
    <cfRule type="expression" dxfId="6680" priority="10180">
      <formula>AND(N59="NA",NOT(ISTEXT(O59)))</formula>
    </cfRule>
    <cfRule type="expression" dxfId="6679" priority="10181">
      <formula>AND(AW59&gt;5,N59="NA")</formula>
    </cfRule>
    <cfRule type="expression" dxfId="6678" priority="10182">
      <formula>AND(AW59&lt;5,N59="NA")</formula>
    </cfRule>
    <cfRule type="expression" dxfId="6677" priority="10183">
      <formula>AND(N59&lt;&gt;"NA",N59&gt;$N$16)</formula>
    </cfRule>
  </conditionalFormatting>
  <conditionalFormatting sqref="O60">
    <cfRule type="expression" priority="10016" stopIfTrue="1">
      <formula>"ISBLANK($K$185)"</formula>
    </cfRule>
    <cfRule type="expression" dxfId="6676" priority="10083">
      <formula>AND(OR(AW60=0,ISBLANK(O60)),B60&lt;&gt;"")</formula>
    </cfRule>
    <cfRule type="expression" dxfId="6675" priority="10084">
      <formula>AND(O60="NA",NOT(ISTEXT(N60)))</formula>
    </cfRule>
    <cfRule type="expression" dxfId="6674" priority="10085">
      <formula>AND(AW60&gt;5,O60="NA")</formula>
    </cfRule>
    <cfRule type="expression" dxfId="6673" priority="10086">
      <formula>AND(AW60&lt;5,O60="NA")</formula>
    </cfRule>
    <cfRule type="expression" dxfId="6672" priority="10087">
      <formula>AND(O60&lt;&gt;"NA",O60&gt;$O$16)</formula>
    </cfRule>
  </conditionalFormatting>
  <conditionalFormatting sqref="P60">
    <cfRule type="expression" priority="10015" stopIfTrue="1">
      <formula>"ISBLANK($K$185)"</formula>
    </cfRule>
    <cfRule type="expression" dxfId="6671" priority="10078">
      <formula>AND(OR(AW60=0,ISBLANK(P60)),B60&lt;&gt;"")</formula>
    </cfRule>
    <cfRule type="expression" dxfId="6670" priority="10079">
      <formula>AND(P60="NA",NOT(ISTEXT(Q60)))</formula>
    </cfRule>
    <cfRule type="expression" dxfId="6669" priority="10080">
      <formula>AND(AW60&gt;5,P60="NA")</formula>
    </cfRule>
    <cfRule type="expression" dxfId="6668" priority="10081">
      <formula>AND(AW60&lt;5,P60="NA")</formula>
    </cfRule>
    <cfRule type="expression" dxfId="6667" priority="10082">
      <formula>AND(P60&lt;&gt;"NA",P60&gt;$P$16)</formula>
    </cfRule>
  </conditionalFormatting>
  <conditionalFormatting sqref="Q60">
    <cfRule type="expression" priority="10014" stopIfTrue="1">
      <formula>"ISBLANK($K$185)"</formula>
    </cfRule>
    <cfRule type="expression" dxfId="6666" priority="10073">
      <formula>AND(OR(AW60=0,ISBLANK(Q60)),B60&lt;&gt;"")</formula>
    </cfRule>
    <cfRule type="expression" dxfId="6665" priority="10074">
      <formula>AND(Q60="NA",NOT(ISTEXT(P60)))</formula>
    </cfRule>
    <cfRule type="expression" dxfId="6664" priority="10075">
      <formula>AND(AW60&gt;5,Q60="NA")</formula>
    </cfRule>
    <cfRule type="expression" dxfId="6663" priority="10076">
      <formula>AND(AW60&lt;5,Q60="NA")</formula>
    </cfRule>
    <cfRule type="expression" dxfId="6662" priority="10077">
      <formula>AND(Q60&lt;&gt;"NA",Q60&gt;$Q$16)</formula>
    </cfRule>
  </conditionalFormatting>
  <conditionalFormatting sqref="R60">
    <cfRule type="expression" priority="10013" stopIfTrue="1">
      <formula>"ISBLANK($K$185)"</formula>
    </cfRule>
    <cfRule type="expression" dxfId="6661" priority="10068">
      <formula>AND(OR(AW60=0,ISBLANK(R60)),B60&lt;&gt;"")</formula>
    </cfRule>
    <cfRule type="expression" dxfId="6660" priority="10069">
      <formula>AND(R60="NA",NOT(ISTEXT(S60)))</formula>
    </cfRule>
    <cfRule type="expression" dxfId="6659" priority="10070">
      <formula>AND(AW60&gt;5,R60="NA")</formula>
    </cfRule>
    <cfRule type="expression" dxfId="6658" priority="10071">
      <formula>AND(AW60&lt;5,R60="NA")</formula>
    </cfRule>
    <cfRule type="expression" dxfId="6657" priority="10072">
      <formula>AND(R60&lt;&gt;"NA",R60&gt;$R$16)</formula>
    </cfRule>
  </conditionalFormatting>
  <conditionalFormatting sqref="S60">
    <cfRule type="expression" priority="10012" stopIfTrue="1">
      <formula>"ISBLANK($K$185)"</formula>
    </cfRule>
    <cfRule type="expression" dxfId="6656" priority="10063">
      <formula>AND(OR(AW60=0,ISBLANK(S60)),B60&lt;&gt;"")</formula>
    </cfRule>
    <cfRule type="expression" dxfId="6655" priority="10064">
      <formula>AND(S60="NA",NOT(ISTEXT(R60)))</formula>
    </cfRule>
    <cfRule type="expression" dxfId="6654" priority="10065">
      <formula>AND(AW60&gt;5,S60="NA")</formula>
    </cfRule>
    <cfRule type="expression" dxfId="6653" priority="10066">
      <formula>AND(AW60&lt;5,S60="NA")</formula>
    </cfRule>
    <cfRule type="expression" dxfId="6652" priority="10067">
      <formula>AND(S60&lt;&gt;"NA",S60&gt;$S$16)</formula>
    </cfRule>
  </conditionalFormatting>
  <conditionalFormatting sqref="T60">
    <cfRule type="expression" priority="10011" stopIfTrue="1">
      <formula>"ISBLANK($K$185)"</formula>
    </cfRule>
    <cfRule type="expression" dxfId="6651" priority="10058">
      <formula>AND(OR(AW60=0,ISBLANK(T60)),B60&lt;&gt;"")</formula>
    </cfRule>
    <cfRule type="expression" dxfId="6650" priority="10059">
      <formula>AND(T60="NA",NOT(ISTEXT(U60)))</formula>
    </cfRule>
    <cfRule type="expression" dxfId="6649" priority="10060">
      <formula>AND(AW60&gt;5,T60="NA")</formula>
    </cfRule>
    <cfRule type="expression" dxfId="6648" priority="10061">
      <formula>AND(AW60&lt;5,T60="NA")</formula>
    </cfRule>
    <cfRule type="expression" dxfId="6647" priority="10062">
      <formula>AND(T60&lt;&gt;"NA",T60&gt;$T$16)</formula>
    </cfRule>
  </conditionalFormatting>
  <conditionalFormatting sqref="U60">
    <cfRule type="expression" priority="10010" stopIfTrue="1">
      <formula>"ISBLANK($K$185)"</formula>
    </cfRule>
    <cfRule type="expression" dxfId="6646" priority="10053">
      <formula>AND(OR(AW60=0,ISBLANK(U60)),B60&lt;&gt;"")</formula>
    </cfRule>
    <cfRule type="expression" dxfId="6645" priority="10054">
      <formula>AND(U60="NA",NOT(ISTEXT(T60)))</formula>
    </cfRule>
    <cfRule type="expression" dxfId="6644" priority="10055">
      <formula>AND(AW60&gt;5,U60="NA")</formula>
    </cfRule>
    <cfRule type="expression" dxfId="6643" priority="10056">
      <formula>AND(AW60&lt;5,U60="NA")</formula>
    </cfRule>
    <cfRule type="expression" dxfId="6642" priority="10057">
      <formula>AND(U60&lt;&gt;"NA",U60&gt;$U$16)</formula>
    </cfRule>
  </conditionalFormatting>
  <conditionalFormatting sqref="V60">
    <cfRule type="expression" priority="10009" stopIfTrue="1">
      <formula>"ISBLANK($K$185)"</formula>
    </cfRule>
    <cfRule type="expression" dxfId="6641" priority="10048">
      <formula>AND(OR(AW60=0,ISBLANK(V60)),B60&lt;&gt;"")</formula>
    </cfRule>
    <cfRule type="expression" dxfId="6640" priority="10049">
      <formula>AND(V60="NA",NOT(ISTEXT(W60)))</formula>
    </cfRule>
    <cfRule type="expression" dxfId="6639" priority="10050">
      <formula>AND(AW60&gt;5,V60="NA")</formula>
    </cfRule>
    <cfRule type="expression" dxfId="6638" priority="10051">
      <formula>AND(AW60&lt;5,V60="NA")</formula>
    </cfRule>
    <cfRule type="expression" dxfId="6637" priority="10052">
      <formula>AND(V60&lt;&gt;"NA",V60&gt;$V$16)</formula>
    </cfRule>
  </conditionalFormatting>
  <conditionalFormatting sqref="W60">
    <cfRule type="expression" priority="10008" stopIfTrue="1">
      <formula>"ISBLANK($K$185)"</formula>
    </cfRule>
    <cfRule type="expression" dxfId="6636" priority="10043">
      <formula>AND(OR(AW60=0,ISBLANK(W60)),B60&lt;&gt;"")</formula>
    </cfRule>
    <cfRule type="expression" dxfId="6635" priority="10044">
      <formula>AND(W60="NA",NOT(ISTEXT(V60)))</formula>
    </cfRule>
    <cfRule type="expression" dxfId="6634" priority="10045">
      <formula>AND(AW60&gt;5,W60="NA")</formula>
    </cfRule>
    <cfRule type="expression" dxfId="6633" priority="10046">
      <formula>AND(AW60&lt;5,W60="NA")</formula>
    </cfRule>
    <cfRule type="expression" dxfId="6632" priority="10047">
      <formula>AND(W60&lt;&gt;"NA",W60&gt;$W$16)</formula>
    </cfRule>
  </conditionalFormatting>
  <conditionalFormatting sqref="X60">
    <cfRule type="expression" priority="10007" stopIfTrue="1">
      <formula>"ISBLANK($K$185)"</formula>
    </cfRule>
    <cfRule type="expression" dxfId="6631" priority="10038">
      <formula>AND(OR(AW60=0,ISBLANK(X60)),B60&lt;&gt;"")</formula>
    </cfRule>
    <cfRule type="expression" dxfId="6630" priority="10039">
      <formula>AND(X60="NA",NOT(ISTEXT(Y60)))</formula>
    </cfRule>
    <cfRule type="expression" dxfId="6629" priority="10040">
      <formula>AND(AW60&gt;5,X60="NA")</formula>
    </cfRule>
    <cfRule type="expression" dxfId="6628" priority="10041">
      <formula>AND(AW60&lt;5,X60="NA")</formula>
    </cfRule>
    <cfRule type="expression" dxfId="6627" priority="10042">
      <formula>AND(X60&lt;&gt;"NA",X60&gt;$Y$16)</formula>
    </cfRule>
  </conditionalFormatting>
  <conditionalFormatting sqref="Y60">
    <cfRule type="expression" priority="10006" stopIfTrue="1">
      <formula>"ISBLANK($K$185)"</formula>
    </cfRule>
    <cfRule type="expression" dxfId="6626" priority="10033">
      <formula>AND(OR(AW60=0,ISBLANK(Y60)),B60&lt;&gt;"")</formula>
    </cfRule>
    <cfRule type="expression" dxfId="6625" priority="10034">
      <formula>AND(Y60="NA",NOT(ISTEXT(X60)))</formula>
    </cfRule>
    <cfRule type="expression" dxfId="6624" priority="10035">
      <formula>AND(AW60&gt;5,Y60="NA")</formula>
    </cfRule>
    <cfRule type="expression" dxfId="6623" priority="10036">
      <formula>AND(AW60&lt;5,Y60="NA")</formula>
    </cfRule>
    <cfRule type="expression" dxfId="6622" priority="10037">
      <formula>AND(Y60&lt;&gt;"NA",Y60&gt;$Y$16)</formula>
    </cfRule>
  </conditionalFormatting>
  <conditionalFormatting sqref="N60">
    <cfRule type="expression" priority="10017" stopIfTrue="1">
      <formula>"ISBLANK($K$185)"</formula>
    </cfRule>
    <cfRule type="expression" dxfId="6621" priority="10088">
      <formula>AND(OR(AW60=0,ISBLANK(N60)),B60&lt;&gt;"")</formula>
    </cfRule>
    <cfRule type="expression" dxfId="6620" priority="10089">
      <formula>AND(N60="NA",NOT(ISTEXT(O60)))</formula>
    </cfRule>
    <cfRule type="expression" dxfId="6619" priority="10090">
      <formula>AND(AW60&gt;5,N60="NA")</formula>
    </cfRule>
    <cfRule type="expression" dxfId="6618" priority="10091">
      <formula>AND(AW60&lt;5,N60="NA")</formula>
    </cfRule>
    <cfRule type="expression" dxfId="6617" priority="10092">
      <formula>AND(N60&lt;&gt;"NA",N60&gt;$N$16)</formula>
    </cfRule>
  </conditionalFormatting>
  <conditionalFormatting sqref="O61">
    <cfRule type="expression" priority="9925" stopIfTrue="1">
      <formula>"ISBLANK($K$185)"</formula>
    </cfRule>
    <cfRule type="expression" dxfId="6616" priority="9992">
      <formula>AND(OR(AW61=0,ISBLANK(O61)),B61&lt;&gt;"")</formula>
    </cfRule>
    <cfRule type="expression" dxfId="6615" priority="9993">
      <formula>AND(O61="NA",NOT(ISTEXT(N61)))</formula>
    </cfRule>
    <cfRule type="expression" dxfId="6614" priority="9994">
      <formula>AND(AW61&gt;5,O61="NA")</formula>
    </cfRule>
    <cfRule type="expression" dxfId="6613" priority="9995">
      <formula>AND(AW61&lt;5,O61="NA")</formula>
    </cfRule>
    <cfRule type="expression" dxfId="6612" priority="9996">
      <formula>AND(O61&lt;&gt;"NA",O61&gt;$O$16)</formula>
    </cfRule>
  </conditionalFormatting>
  <conditionalFormatting sqref="P61">
    <cfRule type="expression" priority="9924" stopIfTrue="1">
      <formula>"ISBLANK($K$185)"</formula>
    </cfRule>
    <cfRule type="expression" dxfId="6611" priority="9987">
      <formula>AND(OR(AW61=0,ISBLANK(P61)),B61&lt;&gt;"")</formula>
    </cfRule>
    <cfRule type="expression" dxfId="6610" priority="9988">
      <formula>AND(P61="NA",NOT(ISTEXT(Q61)))</formula>
    </cfRule>
    <cfRule type="expression" dxfId="6609" priority="9989">
      <formula>AND(AW61&gt;5,P61="NA")</formula>
    </cfRule>
    <cfRule type="expression" dxfId="6608" priority="9990">
      <formula>AND(AW61&lt;5,P61="NA")</formula>
    </cfRule>
    <cfRule type="expression" dxfId="6607" priority="9991">
      <formula>AND(P61&lt;&gt;"NA",P61&gt;$P$16)</formula>
    </cfRule>
  </conditionalFormatting>
  <conditionalFormatting sqref="Q61">
    <cfRule type="expression" priority="9923" stopIfTrue="1">
      <formula>"ISBLANK($K$185)"</formula>
    </cfRule>
    <cfRule type="expression" dxfId="6606" priority="9982">
      <formula>AND(OR(AW61=0,ISBLANK(Q61)),B61&lt;&gt;"")</formula>
    </cfRule>
    <cfRule type="expression" dxfId="6605" priority="9983">
      <formula>AND(Q61="NA",NOT(ISTEXT(P61)))</formula>
    </cfRule>
    <cfRule type="expression" dxfId="6604" priority="9984">
      <formula>AND(AW61&gt;5,Q61="NA")</formula>
    </cfRule>
    <cfRule type="expression" dxfId="6603" priority="9985">
      <formula>AND(AW61&lt;5,Q61="NA")</formula>
    </cfRule>
    <cfRule type="expression" dxfId="6602" priority="9986">
      <formula>AND(Q61&lt;&gt;"NA",Q61&gt;$Q$16)</formula>
    </cfRule>
  </conditionalFormatting>
  <conditionalFormatting sqref="R61">
    <cfRule type="expression" priority="9922" stopIfTrue="1">
      <formula>"ISBLANK($K$185)"</formula>
    </cfRule>
    <cfRule type="expression" dxfId="6601" priority="9977">
      <formula>AND(OR(AW61=0,ISBLANK(R61)),B61&lt;&gt;"")</formula>
    </cfRule>
    <cfRule type="expression" dxfId="6600" priority="9978">
      <formula>AND(R61="NA",NOT(ISTEXT(S61)))</formula>
    </cfRule>
    <cfRule type="expression" dxfId="6599" priority="9979">
      <formula>AND(AW61&gt;5,R61="NA")</formula>
    </cfRule>
    <cfRule type="expression" dxfId="6598" priority="9980">
      <formula>AND(AW61&lt;5,R61="NA")</formula>
    </cfRule>
    <cfRule type="expression" dxfId="6597" priority="9981">
      <formula>AND(R61&lt;&gt;"NA",R61&gt;$R$16)</formula>
    </cfRule>
  </conditionalFormatting>
  <conditionalFormatting sqref="S61">
    <cfRule type="expression" priority="9921" stopIfTrue="1">
      <formula>"ISBLANK($K$185)"</formula>
    </cfRule>
    <cfRule type="expression" dxfId="6596" priority="9972">
      <formula>AND(OR(AW61=0,ISBLANK(S61)),B61&lt;&gt;"")</formula>
    </cfRule>
    <cfRule type="expression" dxfId="6595" priority="9973">
      <formula>AND(S61="NA",NOT(ISTEXT(R61)))</formula>
    </cfRule>
    <cfRule type="expression" dxfId="6594" priority="9974">
      <formula>AND(AW61&gt;5,S61="NA")</formula>
    </cfRule>
    <cfRule type="expression" dxfId="6593" priority="9975">
      <formula>AND(AW61&lt;5,S61="NA")</formula>
    </cfRule>
    <cfRule type="expression" dxfId="6592" priority="9976">
      <formula>AND(S61&lt;&gt;"NA",S61&gt;$S$16)</formula>
    </cfRule>
  </conditionalFormatting>
  <conditionalFormatting sqref="T61">
    <cfRule type="expression" priority="9920" stopIfTrue="1">
      <formula>"ISBLANK($K$185)"</formula>
    </cfRule>
    <cfRule type="expression" dxfId="6591" priority="9967">
      <formula>AND(OR(AW61=0,ISBLANK(T61)),B61&lt;&gt;"")</formula>
    </cfRule>
    <cfRule type="expression" dxfId="6590" priority="9968">
      <formula>AND(T61="NA",NOT(ISTEXT(U61)))</formula>
    </cfRule>
    <cfRule type="expression" dxfId="6589" priority="9969">
      <formula>AND(AW61&gt;5,T61="NA")</formula>
    </cfRule>
    <cfRule type="expression" dxfId="6588" priority="9970">
      <formula>AND(AW61&lt;5,T61="NA")</formula>
    </cfRule>
    <cfRule type="expression" dxfId="6587" priority="9971">
      <formula>AND(T61&lt;&gt;"NA",T61&gt;$T$16)</formula>
    </cfRule>
  </conditionalFormatting>
  <conditionalFormatting sqref="U61">
    <cfRule type="expression" priority="9919" stopIfTrue="1">
      <formula>"ISBLANK($K$185)"</formula>
    </cfRule>
    <cfRule type="expression" dxfId="6586" priority="9962">
      <formula>AND(OR(AW61=0,ISBLANK(U61)),B61&lt;&gt;"")</formula>
    </cfRule>
    <cfRule type="expression" dxfId="6585" priority="9963">
      <formula>AND(U61="NA",NOT(ISTEXT(T61)))</formula>
    </cfRule>
    <cfRule type="expression" dxfId="6584" priority="9964">
      <formula>AND(AW61&gt;5,U61="NA")</formula>
    </cfRule>
    <cfRule type="expression" dxfId="6583" priority="9965">
      <formula>AND(AW61&lt;5,U61="NA")</formula>
    </cfRule>
    <cfRule type="expression" dxfId="6582" priority="9966">
      <formula>AND(U61&lt;&gt;"NA",U61&gt;$U$16)</formula>
    </cfRule>
  </conditionalFormatting>
  <conditionalFormatting sqref="V61">
    <cfRule type="expression" priority="9918" stopIfTrue="1">
      <formula>"ISBLANK($K$185)"</formula>
    </cfRule>
    <cfRule type="expression" dxfId="6581" priority="9957">
      <formula>AND(OR(AW61=0,ISBLANK(V61)),B61&lt;&gt;"")</formula>
    </cfRule>
    <cfRule type="expression" dxfId="6580" priority="9958">
      <formula>AND(V61="NA",NOT(ISTEXT(W61)))</formula>
    </cfRule>
    <cfRule type="expression" dxfId="6579" priority="9959">
      <formula>AND(AW61&gt;5,V61="NA")</formula>
    </cfRule>
    <cfRule type="expression" dxfId="6578" priority="9960">
      <formula>AND(AW61&lt;5,V61="NA")</formula>
    </cfRule>
    <cfRule type="expression" dxfId="6577" priority="9961">
      <formula>AND(V61&lt;&gt;"NA",V61&gt;$V$16)</formula>
    </cfRule>
  </conditionalFormatting>
  <conditionalFormatting sqref="W61">
    <cfRule type="expression" priority="9917" stopIfTrue="1">
      <formula>"ISBLANK($K$185)"</formula>
    </cfRule>
    <cfRule type="expression" dxfId="6576" priority="9952">
      <formula>AND(OR(AW61=0,ISBLANK(W61)),B61&lt;&gt;"")</formula>
    </cfRule>
    <cfRule type="expression" dxfId="6575" priority="9953">
      <formula>AND(W61="NA",NOT(ISTEXT(V61)))</formula>
    </cfRule>
    <cfRule type="expression" dxfId="6574" priority="9954">
      <formula>AND(AW61&gt;5,W61="NA")</formula>
    </cfRule>
    <cfRule type="expression" dxfId="6573" priority="9955">
      <formula>AND(AW61&lt;5,W61="NA")</formula>
    </cfRule>
    <cfRule type="expression" dxfId="6572" priority="9956">
      <formula>AND(W61&lt;&gt;"NA",W61&gt;$W$16)</formula>
    </cfRule>
  </conditionalFormatting>
  <conditionalFormatting sqref="X61">
    <cfRule type="expression" priority="9916" stopIfTrue="1">
      <formula>"ISBLANK($K$185)"</formula>
    </cfRule>
    <cfRule type="expression" dxfId="6571" priority="9947">
      <formula>AND(OR(AW61=0,ISBLANK(X61)),B61&lt;&gt;"")</formula>
    </cfRule>
    <cfRule type="expression" dxfId="6570" priority="9948">
      <formula>AND(X61="NA",NOT(ISTEXT(Y61)))</formula>
    </cfRule>
    <cfRule type="expression" dxfId="6569" priority="9949">
      <formula>AND(AW61&gt;5,X61="NA")</formula>
    </cfRule>
    <cfRule type="expression" dxfId="6568" priority="9950">
      <formula>AND(AW61&lt;5,X61="NA")</formula>
    </cfRule>
    <cfRule type="expression" dxfId="6567" priority="9951">
      <formula>AND(X61&lt;&gt;"NA",X61&gt;$Y$16)</formula>
    </cfRule>
  </conditionalFormatting>
  <conditionalFormatting sqref="Y61">
    <cfRule type="expression" priority="9915" stopIfTrue="1">
      <formula>"ISBLANK($K$185)"</formula>
    </cfRule>
    <cfRule type="expression" dxfId="6566" priority="9942">
      <formula>AND(OR(AW61=0,ISBLANK(Y61)),B61&lt;&gt;"")</formula>
    </cfRule>
    <cfRule type="expression" dxfId="6565" priority="9943">
      <formula>AND(Y61="NA",NOT(ISTEXT(X61)))</formula>
    </cfRule>
    <cfRule type="expression" dxfId="6564" priority="9944">
      <formula>AND(AW61&gt;5,Y61="NA")</formula>
    </cfRule>
    <cfRule type="expression" dxfId="6563" priority="9945">
      <formula>AND(AW61&lt;5,Y61="NA")</formula>
    </cfRule>
    <cfRule type="expression" dxfId="6562" priority="9946">
      <formula>AND(Y61&lt;&gt;"NA",Y61&gt;$Y$16)</formula>
    </cfRule>
  </conditionalFormatting>
  <conditionalFormatting sqref="N61">
    <cfRule type="expression" priority="9926" stopIfTrue="1">
      <formula>"ISBLANK($K$185)"</formula>
    </cfRule>
    <cfRule type="expression" dxfId="6561" priority="9997">
      <formula>AND(OR(AW61=0,ISBLANK(N61)),B61&lt;&gt;"")</formula>
    </cfRule>
    <cfRule type="expression" dxfId="6560" priority="9998">
      <formula>AND(N61="NA",NOT(ISTEXT(O61)))</formula>
    </cfRule>
    <cfRule type="expression" dxfId="6559" priority="9999">
      <formula>AND(AW61&gt;5,N61="NA")</formula>
    </cfRule>
    <cfRule type="expression" dxfId="6558" priority="10000">
      <formula>AND(AW61&lt;5,N61="NA")</formula>
    </cfRule>
    <cfRule type="expression" dxfId="6557" priority="10001">
      <formula>AND(N61&lt;&gt;"NA",N61&gt;$N$16)</formula>
    </cfRule>
  </conditionalFormatting>
  <conditionalFormatting sqref="O62">
    <cfRule type="expression" priority="9834" stopIfTrue="1">
      <formula>"ISBLANK($K$185)"</formula>
    </cfRule>
    <cfRule type="expression" dxfId="6556" priority="9901">
      <formula>AND(OR(AW62=0,ISBLANK(O62)),B62&lt;&gt;"")</formula>
    </cfRule>
    <cfRule type="expression" dxfId="6555" priority="9902">
      <formula>AND(O62="NA",NOT(ISTEXT(N62)))</formula>
    </cfRule>
    <cfRule type="expression" dxfId="6554" priority="9903">
      <formula>AND(AW62&gt;5,O62="NA")</formula>
    </cfRule>
    <cfRule type="expression" dxfId="6553" priority="9904">
      <formula>AND(AW62&lt;5,O62="NA")</formula>
    </cfRule>
    <cfRule type="expression" dxfId="6552" priority="9905">
      <formula>AND(O62&lt;&gt;"NA",O62&gt;$O$16)</formula>
    </cfRule>
  </conditionalFormatting>
  <conditionalFormatting sqref="P62">
    <cfRule type="expression" priority="9833" stopIfTrue="1">
      <formula>"ISBLANK($K$185)"</formula>
    </cfRule>
    <cfRule type="expression" dxfId="6551" priority="9896">
      <formula>AND(OR(AW62=0,ISBLANK(P62)),B62&lt;&gt;"")</formula>
    </cfRule>
    <cfRule type="expression" dxfId="6550" priority="9897">
      <formula>AND(P62="NA",NOT(ISTEXT(Q62)))</formula>
    </cfRule>
    <cfRule type="expression" dxfId="6549" priority="9898">
      <formula>AND(AW62&gt;5,P62="NA")</formula>
    </cfRule>
    <cfRule type="expression" dxfId="6548" priority="9899">
      <formula>AND(AW62&lt;5,P62="NA")</formula>
    </cfRule>
    <cfRule type="expression" dxfId="6547" priority="9900">
      <formula>AND(P62&lt;&gt;"NA",P62&gt;$P$16)</formula>
    </cfRule>
  </conditionalFormatting>
  <conditionalFormatting sqref="Q62">
    <cfRule type="expression" priority="9832" stopIfTrue="1">
      <formula>"ISBLANK($K$185)"</formula>
    </cfRule>
    <cfRule type="expression" dxfId="6546" priority="9891">
      <formula>AND(OR(AW62=0,ISBLANK(Q62)),B62&lt;&gt;"")</formula>
    </cfRule>
    <cfRule type="expression" dxfId="6545" priority="9892">
      <formula>AND(Q62="NA",NOT(ISTEXT(P62)))</formula>
    </cfRule>
    <cfRule type="expression" dxfId="6544" priority="9893">
      <formula>AND(AW62&gt;5,Q62="NA")</formula>
    </cfRule>
    <cfRule type="expression" dxfId="6543" priority="9894">
      <formula>AND(AW62&lt;5,Q62="NA")</formula>
    </cfRule>
    <cfRule type="expression" dxfId="6542" priority="9895">
      <formula>AND(Q62&lt;&gt;"NA",Q62&gt;$Q$16)</formula>
    </cfRule>
  </conditionalFormatting>
  <conditionalFormatting sqref="R62">
    <cfRule type="expression" priority="9831" stopIfTrue="1">
      <formula>"ISBLANK($K$185)"</formula>
    </cfRule>
    <cfRule type="expression" dxfId="6541" priority="9886">
      <formula>AND(OR(AW62=0,ISBLANK(R62)),B62&lt;&gt;"")</formula>
    </cfRule>
    <cfRule type="expression" dxfId="6540" priority="9887">
      <formula>AND(R62="NA",NOT(ISTEXT(S62)))</formula>
    </cfRule>
    <cfRule type="expression" dxfId="6539" priority="9888">
      <formula>AND(AW62&gt;5,R62="NA")</formula>
    </cfRule>
    <cfRule type="expression" dxfId="6538" priority="9889">
      <formula>AND(AW62&lt;5,R62="NA")</formula>
    </cfRule>
    <cfRule type="expression" dxfId="6537" priority="9890">
      <formula>AND(R62&lt;&gt;"NA",R62&gt;$R$16)</formula>
    </cfRule>
  </conditionalFormatting>
  <conditionalFormatting sqref="S62">
    <cfRule type="expression" priority="9830" stopIfTrue="1">
      <formula>"ISBLANK($K$185)"</formula>
    </cfRule>
    <cfRule type="expression" dxfId="6536" priority="9881">
      <formula>AND(OR(AW62=0,ISBLANK(S62)),B62&lt;&gt;"")</formula>
    </cfRule>
    <cfRule type="expression" dxfId="6535" priority="9882">
      <formula>AND(S62="NA",NOT(ISTEXT(R62)))</formula>
    </cfRule>
    <cfRule type="expression" dxfId="6534" priority="9883">
      <formula>AND(AW62&gt;5,S62="NA")</formula>
    </cfRule>
    <cfRule type="expression" dxfId="6533" priority="9884">
      <formula>AND(AW62&lt;5,S62="NA")</formula>
    </cfRule>
    <cfRule type="expression" dxfId="6532" priority="9885">
      <formula>AND(S62&lt;&gt;"NA",S62&gt;$S$16)</formula>
    </cfRule>
  </conditionalFormatting>
  <conditionalFormatting sqref="T62">
    <cfRule type="expression" priority="9829" stopIfTrue="1">
      <formula>"ISBLANK($K$185)"</formula>
    </cfRule>
    <cfRule type="expression" dxfId="6531" priority="9876">
      <formula>AND(OR(AW62=0,ISBLANK(T62)),B62&lt;&gt;"")</formula>
    </cfRule>
    <cfRule type="expression" dxfId="6530" priority="9877">
      <formula>AND(T62="NA",NOT(ISTEXT(U62)))</formula>
    </cfRule>
    <cfRule type="expression" dxfId="6529" priority="9878">
      <formula>AND(AW62&gt;5,T62="NA")</formula>
    </cfRule>
    <cfRule type="expression" dxfId="6528" priority="9879">
      <formula>AND(AW62&lt;5,T62="NA")</formula>
    </cfRule>
    <cfRule type="expression" dxfId="6527" priority="9880">
      <formula>AND(T62&lt;&gt;"NA",T62&gt;$T$16)</formula>
    </cfRule>
  </conditionalFormatting>
  <conditionalFormatting sqref="U62">
    <cfRule type="expression" priority="9828" stopIfTrue="1">
      <formula>"ISBLANK($K$185)"</formula>
    </cfRule>
    <cfRule type="expression" dxfId="6526" priority="9871">
      <formula>AND(OR(AW62=0,ISBLANK(U62)),B62&lt;&gt;"")</formula>
    </cfRule>
    <cfRule type="expression" dxfId="6525" priority="9872">
      <formula>AND(U62="NA",NOT(ISTEXT(T62)))</formula>
    </cfRule>
    <cfRule type="expression" dxfId="6524" priority="9873">
      <formula>AND(AW62&gt;5,U62="NA")</formula>
    </cfRule>
    <cfRule type="expression" dxfId="6523" priority="9874">
      <formula>AND(AW62&lt;5,U62="NA")</formula>
    </cfRule>
    <cfRule type="expression" dxfId="6522" priority="9875">
      <formula>AND(U62&lt;&gt;"NA",U62&gt;$U$16)</formula>
    </cfRule>
  </conditionalFormatting>
  <conditionalFormatting sqref="V62">
    <cfRule type="expression" priority="9827" stopIfTrue="1">
      <formula>"ISBLANK($K$185)"</formula>
    </cfRule>
    <cfRule type="expression" dxfId="6521" priority="9866">
      <formula>AND(OR(AW62=0,ISBLANK(V62)),B62&lt;&gt;"")</formula>
    </cfRule>
    <cfRule type="expression" dxfId="6520" priority="9867">
      <formula>AND(V62="NA",NOT(ISTEXT(W62)))</formula>
    </cfRule>
    <cfRule type="expression" dxfId="6519" priority="9868">
      <formula>AND(AW62&gt;5,V62="NA")</formula>
    </cfRule>
    <cfRule type="expression" dxfId="6518" priority="9869">
      <formula>AND(AW62&lt;5,V62="NA")</formula>
    </cfRule>
    <cfRule type="expression" dxfId="6517" priority="9870">
      <formula>AND(V62&lt;&gt;"NA",V62&gt;$V$16)</formula>
    </cfRule>
  </conditionalFormatting>
  <conditionalFormatting sqref="W62">
    <cfRule type="expression" priority="9826" stopIfTrue="1">
      <formula>"ISBLANK($K$185)"</formula>
    </cfRule>
    <cfRule type="expression" dxfId="6516" priority="9861">
      <formula>AND(OR(AW62=0,ISBLANK(W62)),B62&lt;&gt;"")</formula>
    </cfRule>
    <cfRule type="expression" dxfId="6515" priority="9862">
      <formula>AND(W62="NA",NOT(ISTEXT(V62)))</formula>
    </cfRule>
    <cfRule type="expression" dxfId="6514" priority="9863">
      <formula>AND(AW62&gt;5,W62="NA")</formula>
    </cfRule>
    <cfRule type="expression" dxfId="6513" priority="9864">
      <formula>AND(AW62&lt;5,W62="NA")</formula>
    </cfRule>
    <cfRule type="expression" dxfId="6512" priority="9865">
      <formula>AND(W62&lt;&gt;"NA",W62&gt;$W$16)</formula>
    </cfRule>
  </conditionalFormatting>
  <conditionalFormatting sqref="X62">
    <cfRule type="expression" priority="9825" stopIfTrue="1">
      <formula>"ISBLANK($K$185)"</formula>
    </cfRule>
    <cfRule type="expression" dxfId="6511" priority="9856">
      <formula>AND(OR(AW62=0,ISBLANK(X62)),B62&lt;&gt;"")</formula>
    </cfRule>
    <cfRule type="expression" dxfId="6510" priority="9857">
      <formula>AND(X62="NA",NOT(ISTEXT(Y62)))</formula>
    </cfRule>
    <cfRule type="expression" dxfId="6509" priority="9858">
      <formula>AND(AW62&gt;5,X62="NA")</formula>
    </cfRule>
    <cfRule type="expression" dxfId="6508" priority="9859">
      <formula>AND(AW62&lt;5,X62="NA")</formula>
    </cfRule>
    <cfRule type="expression" dxfId="6507" priority="9860">
      <formula>AND(X62&lt;&gt;"NA",X62&gt;$Y$16)</formula>
    </cfRule>
  </conditionalFormatting>
  <conditionalFormatting sqref="Y62">
    <cfRule type="expression" priority="9824" stopIfTrue="1">
      <formula>"ISBLANK($K$185)"</formula>
    </cfRule>
    <cfRule type="expression" dxfId="6506" priority="9851">
      <formula>AND(OR(AW62=0,ISBLANK(Y62)),B62&lt;&gt;"")</formula>
    </cfRule>
    <cfRule type="expression" dxfId="6505" priority="9852">
      <formula>AND(Y62="NA",NOT(ISTEXT(X62)))</formula>
    </cfRule>
    <cfRule type="expression" dxfId="6504" priority="9853">
      <formula>AND(AW62&gt;5,Y62="NA")</formula>
    </cfRule>
    <cfRule type="expression" dxfId="6503" priority="9854">
      <formula>AND(AW62&lt;5,Y62="NA")</formula>
    </cfRule>
    <cfRule type="expression" dxfId="6502" priority="9855">
      <formula>AND(Y62&lt;&gt;"NA",Y62&gt;$Y$16)</formula>
    </cfRule>
  </conditionalFormatting>
  <conditionalFormatting sqref="N62">
    <cfRule type="expression" priority="9835" stopIfTrue="1">
      <formula>"ISBLANK($K$185)"</formula>
    </cfRule>
    <cfRule type="expression" dxfId="6501" priority="9906">
      <formula>AND(OR(AW62=0,ISBLANK(N62)),B62&lt;&gt;"")</formula>
    </cfRule>
    <cfRule type="expression" dxfId="6500" priority="9907">
      <formula>AND(N62="NA",NOT(ISTEXT(O62)))</formula>
    </cfRule>
    <cfRule type="expression" dxfId="6499" priority="9908">
      <formula>AND(AW62&gt;5,N62="NA")</formula>
    </cfRule>
    <cfRule type="expression" dxfId="6498" priority="9909">
      <formula>AND(AW62&lt;5,N62="NA")</formula>
    </cfRule>
    <cfRule type="expression" dxfId="6497" priority="9910">
      <formula>AND(N62&lt;&gt;"NA",N62&gt;$N$16)</formula>
    </cfRule>
  </conditionalFormatting>
  <conditionalFormatting sqref="O63">
    <cfRule type="expression" priority="9743" stopIfTrue="1">
      <formula>"ISBLANK($K$185)"</formula>
    </cfRule>
    <cfRule type="expression" dxfId="6496" priority="9810">
      <formula>AND(OR(AW63=0,ISBLANK(O63)),B63&lt;&gt;"")</formula>
    </cfRule>
    <cfRule type="expression" dxfId="6495" priority="9811">
      <formula>AND(O63="NA",NOT(ISTEXT(N63)))</formula>
    </cfRule>
    <cfRule type="expression" dxfId="6494" priority="9812">
      <formula>AND(AW63&gt;5,O63="NA")</formula>
    </cfRule>
    <cfRule type="expression" dxfId="6493" priority="9813">
      <formula>AND(AW63&lt;5,O63="NA")</formula>
    </cfRule>
    <cfRule type="expression" dxfId="6492" priority="9814">
      <formula>AND(O63&lt;&gt;"NA",O63&gt;$O$16)</formula>
    </cfRule>
  </conditionalFormatting>
  <conditionalFormatting sqref="P63">
    <cfRule type="expression" priority="9742" stopIfTrue="1">
      <formula>"ISBLANK($K$185)"</formula>
    </cfRule>
    <cfRule type="expression" dxfId="6491" priority="9805">
      <formula>AND(OR(AW63=0,ISBLANK(P63)),B63&lt;&gt;"")</formula>
    </cfRule>
    <cfRule type="expression" dxfId="6490" priority="9806">
      <formula>AND(P63="NA",NOT(ISTEXT(Q63)))</formula>
    </cfRule>
    <cfRule type="expression" dxfId="6489" priority="9807">
      <formula>AND(AW63&gt;5,P63="NA")</formula>
    </cfRule>
    <cfRule type="expression" dxfId="6488" priority="9808">
      <formula>AND(AW63&lt;5,P63="NA")</formula>
    </cfRule>
    <cfRule type="expression" dxfId="6487" priority="9809">
      <formula>AND(P63&lt;&gt;"NA",P63&gt;$P$16)</formula>
    </cfRule>
  </conditionalFormatting>
  <conditionalFormatting sqref="Q63">
    <cfRule type="expression" priority="9741" stopIfTrue="1">
      <formula>"ISBLANK($K$185)"</formula>
    </cfRule>
    <cfRule type="expression" dxfId="6486" priority="9800">
      <formula>AND(OR(AW63=0,ISBLANK(Q63)),B63&lt;&gt;"")</formula>
    </cfRule>
    <cfRule type="expression" dxfId="6485" priority="9801">
      <formula>AND(Q63="NA",NOT(ISTEXT(P63)))</formula>
    </cfRule>
    <cfRule type="expression" dxfId="6484" priority="9802">
      <formula>AND(AW63&gt;5,Q63="NA")</formula>
    </cfRule>
    <cfRule type="expression" dxfId="6483" priority="9803">
      <formula>AND(AW63&lt;5,Q63="NA")</formula>
    </cfRule>
    <cfRule type="expression" dxfId="6482" priority="9804">
      <formula>AND(Q63&lt;&gt;"NA",Q63&gt;$Q$16)</formula>
    </cfRule>
  </conditionalFormatting>
  <conditionalFormatting sqref="R63">
    <cfRule type="expression" priority="9740" stopIfTrue="1">
      <formula>"ISBLANK($K$185)"</formula>
    </cfRule>
    <cfRule type="expression" dxfId="6481" priority="9795">
      <formula>AND(OR(AW63=0,ISBLANK(R63)),B63&lt;&gt;"")</formula>
    </cfRule>
    <cfRule type="expression" dxfId="6480" priority="9796">
      <formula>AND(R63="NA",NOT(ISTEXT(S63)))</formula>
    </cfRule>
    <cfRule type="expression" dxfId="6479" priority="9797">
      <formula>AND(AW63&gt;5,R63="NA")</formula>
    </cfRule>
    <cfRule type="expression" dxfId="6478" priority="9798">
      <formula>AND(AW63&lt;5,R63="NA")</formula>
    </cfRule>
    <cfRule type="expression" dxfId="6477" priority="9799">
      <formula>AND(R63&lt;&gt;"NA",R63&gt;$R$16)</formula>
    </cfRule>
  </conditionalFormatting>
  <conditionalFormatting sqref="S63">
    <cfRule type="expression" priority="9739" stopIfTrue="1">
      <formula>"ISBLANK($K$185)"</formula>
    </cfRule>
    <cfRule type="expression" dxfId="6476" priority="9790">
      <formula>AND(OR(AW63=0,ISBLANK(S63)),B63&lt;&gt;"")</formula>
    </cfRule>
    <cfRule type="expression" dxfId="6475" priority="9791">
      <formula>AND(S63="NA",NOT(ISTEXT(R63)))</formula>
    </cfRule>
    <cfRule type="expression" dxfId="6474" priority="9792">
      <formula>AND(AW63&gt;5,S63="NA")</formula>
    </cfRule>
    <cfRule type="expression" dxfId="6473" priority="9793">
      <formula>AND(AW63&lt;5,S63="NA")</formula>
    </cfRule>
    <cfRule type="expression" dxfId="6472" priority="9794">
      <formula>AND(S63&lt;&gt;"NA",S63&gt;$S$16)</formula>
    </cfRule>
  </conditionalFormatting>
  <conditionalFormatting sqref="T63">
    <cfRule type="expression" priority="9738" stopIfTrue="1">
      <formula>"ISBLANK($K$185)"</formula>
    </cfRule>
    <cfRule type="expression" dxfId="6471" priority="9785">
      <formula>AND(OR(AW63=0,ISBLANK(T63)),B63&lt;&gt;"")</formula>
    </cfRule>
    <cfRule type="expression" dxfId="6470" priority="9786">
      <formula>AND(T63="NA",NOT(ISTEXT(U63)))</formula>
    </cfRule>
    <cfRule type="expression" dxfId="6469" priority="9787">
      <formula>AND(AW63&gt;5,T63="NA")</formula>
    </cfRule>
    <cfRule type="expression" dxfId="6468" priority="9788">
      <formula>AND(AW63&lt;5,T63="NA")</formula>
    </cfRule>
    <cfRule type="expression" dxfId="6467" priority="9789">
      <formula>AND(T63&lt;&gt;"NA",T63&gt;$T$16)</formula>
    </cfRule>
  </conditionalFormatting>
  <conditionalFormatting sqref="U63">
    <cfRule type="expression" priority="9737" stopIfTrue="1">
      <formula>"ISBLANK($K$185)"</formula>
    </cfRule>
    <cfRule type="expression" dxfId="6466" priority="9780">
      <formula>AND(OR(AW63=0,ISBLANK(U63)),B63&lt;&gt;"")</formula>
    </cfRule>
    <cfRule type="expression" dxfId="6465" priority="9781">
      <formula>AND(U63="NA",NOT(ISTEXT(T63)))</formula>
    </cfRule>
    <cfRule type="expression" dxfId="6464" priority="9782">
      <formula>AND(AW63&gt;5,U63="NA")</formula>
    </cfRule>
    <cfRule type="expression" dxfId="6463" priority="9783">
      <formula>AND(AW63&lt;5,U63="NA")</formula>
    </cfRule>
    <cfRule type="expression" dxfId="6462" priority="9784">
      <formula>AND(U63&lt;&gt;"NA",U63&gt;$U$16)</formula>
    </cfRule>
  </conditionalFormatting>
  <conditionalFormatting sqref="V63">
    <cfRule type="expression" priority="9736" stopIfTrue="1">
      <formula>"ISBLANK($K$185)"</formula>
    </cfRule>
    <cfRule type="expression" dxfId="6461" priority="9775">
      <formula>AND(OR(AW63=0,ISBLANK(V63)),B63&lt;&gt;"")</formula>
    </cfRule>
    <cfRule type="expression" dxfId="6460" priority="9776">
      <formula>AND(V63="NA",NOT(ISTEXT(W63)))</formula>
    </cfRule>
    <cfRule type="expression" dxfId="6459" priority="9777">
      <formula>AND(AW63&gt;5,V63="NA")</formula>
    </cfRule>
    <cfRule type="expression" dxfId="6458" priority="9778">
      <formula>AND(AW63&lt;5,V63="NA")</formula>
    </cfRule>
    <cfRule type="expression" dxfId="6457" priority="9779">
      <formula>AND(V63&lt;&gt;"NA",V63&gt;$V$16)</formula>
    </cfRule>
  </conditionalFormatting>
  <conditionalFormatting sqref="W63">
    <cfRule type="expression" priority="9735" stopIfTrue="1">
      <formula>"ISBLANK($K$185)"</formula>
    </cfRule>
    <cfRule type="expression" dxfId="6456" priority="9770">
      <formula>AND(OR(AW63=0,ISBLANK(W63)),B63&lt;&gt;"")</formula>
    </cfRule>
    <cfRule type="expression" dxfId="6455" priority="9771">
      <formula>AND(W63="NA",NOT(ISTEXT(V63)))</formula>
    </cfRule>
    <cfRule type="expression" dxfId="6454" priority="9772">
      <formula>AND(AW63&gt;5,W63="NA")</formula>
    </cfRule>
    <cfRule type="expression" dxfId="6453" priority="9773">
      <formula>AND(AW63&lt;5,W63="NA")</formula>
    </cfRule>
    <cfRule type="expression" dxfId="6452" priority="9774">
      <formula>AND(W63&lt;&gt;"NA",W63&gt;$W$16)</formula>
    </cfRule>
  </conditionalFormatting>
  <conditionalFormatting sqref="X63">
    <cfRule type="expression" priority="9734" stopIfTrue="1">
      <formula>"ISBLANK($K$185)"</formula>
    </cfRule>
    <cfRule type="expression" dxfId="6451" priority="9765">
      <formula>AND(OR(AW63=0,ISBLANK(X63)),B63&lt;&gt;"")</formula>
    </cfRule>
    <cfRule type="expression" dxfId="6450" priority="9766">
      <formula>AND(X63="NA",NOT(ISTEXT(Y63)))</formula>
    </cfRule>
    <cfRule type="expression" dxfId="6449" priority="9767">
      <formula>AND(AW63&gt;5,X63="NA")</formula>
    </cfRule>
    <cfRule type="expression" dxfId="6448" priority="9768">
      <formula>AND(AW63&lt;5,X63="NA")</formula>
    </cfRule>
    <cfRule type="expression" dxfId="6447" priority="9769">
      <formula>AND(X63&lt;&gt;"NA",X63&gt;$Y$16)</formula>
    </cfRule>
  </conditionalFormatting>
  <conditionalFormatting sqref="Y63">
    <cfRule type="expression" priority="9733" stopIfTrue="1">
      <formula>"ISBLANK($K$185)"</formula>
    </cfRule>
    <cfRule type="expression" dxfId="6446" priority="9760">
      <formula>AND(OR(AW63=0,ISBLANK(Y63)),B63&lt;&gt;"")</formula>
    </cfRule>
    <cfRule type="expression" dxfId="6445" priority="9761">
      <formula>AND(Y63="NA",NOT(ISTEXT(X63)))</formula>
    </cfRule>
    <cfRule type="expression" dxfId="6444" priority="9762">
      <formula>AND(AW63&gt;5,Y63="NA")</formula>
    </cfRule>
    <cfRule type="expression" dxfId="6443" priority="9763">
      <formula>AND(AW63&lt;5,Y63="NA")</formula>
    </cfRule>
    <cfRule type="expression" dxfId="6442" priority="9764">
      <formula>AND(Y63&lt;&gt;"NA",Y63&gt;$Y$16)</formula>
    </cfRule>
  </conditionalFormatting>
  <conditionalFormatting sqref="N63">
    <cfRule type="expression" priority="9744" stopIfTrue="1">
      <formula>"ISBLANK($K$185)"</formula>
    </cfRule>
    <cfRule type="expression" dxfId="6441" priority="9815">
      <formula>AND(OR(AW63=0,ISBLANK(N63)),B63&lt;&gt;"")</formula>
    </cfRule>
    <cfRule type="expression" dxfId="6440" priority="9816">
      <formula>AND(N63="NA",NOT(ISTEXT(O63)))</formula>
    </cfRule>
    <cfRule type="expression" dxfId="6439" priority="9817">
      <formula>AND(AW63&gt;5,N63="NA")</formula>
    </cfRule>
    <cfRule type="expression" dxfId="6438" priority="9818">
      <formula>AND(AW63&lt;5,N63="NA")</formula>
    </cfRule>
    <cfRule type="expression" dxfId="6437" priority="9819">
      <formula>AND(N63&lt;&gt;"NA",N63&gt;$N$16)</formula>
    </cfRule>
  </conditionalFormatting>
  <conditionalFormatting sqref="O64">
    <cfRule type="expression" priority="9652" stopIfTrue="1">
      <formula>"ISBLANK($K$185)"</formula>
    </cfRule>
    <cfRule type="expression" dxfId="6436" priority="9719">
      <formula>AND(OR(AW64=0,ISBLANK(O64)),B64&lt;&gt;"")</formula>
    </cfRule>
    <cfRule type="expression" dxfId="6435" priority="9720">
      <formula>AND(O64="NA",NOT(ISTEXT(N64)))</formula>
    </cfRule>
    <cfRule type="expression" dxfId="6434" priority="9721">
      <formula>AND(AW64&gt;5,O64="NA")</formula>
    </cfRule>
    <cfRule type="expression" dxfId="6433" priority="9722">
      <formula>AND(AW64&lt;5,O64="NA")</formula>
    </cfRule>
    <cfRule type="expression" dxfId="6432" priority="9723">
      <formula>AND(O64&lt;&gt;"NA",O64&gt;$O$16)</formula>
    </cfRule>
  </conditionalFormatting>
  <conditionalFormatting sqref="P64">
    <cfRule type="expression" priority="9651" stopIfTrue="1">
      <formula>"ISBLANK($K$185)"</formula>
    </cfRule>
    <cfRule type="expression" dxfId="6431" priority="9714">
      <formula>AND(OR(AW64=0,ISBLANK(P64)),B64&lt;&gt;"")</formula>
    </cfRule>
    <cfRule type="expression" dxfId="6430" priority="9715">
      <formula>AND(P64="NA",NOT(ISTEXT(Q64)))</formula>
    </cfRule>
    <cfRule type="expression" dxfId="6429" priority="9716">
      <formula>AND(AW64&gt;5,P64="NA")</formula>
    </cfRule>
    <cfRule type="expression" dxfId="6428" priority="9717">
      <formula>AND(AW64&lt;5,P64="NA")</formula>
    </cfRule>
    <cfRule type="expression" dxfId="6427" priority="9718">
      <formula>AND(P64&lt;&gt;"NA",P64&gt;$P$16)</formula>
    </cfRule>
  </conditionalFormatting>
  <conditionalFormatting sqref="Q64">
    <cfRule type="expression" priority="9650" stopIfTrue="1">
      <formula>"ISBLANK($K$185)"</formula>
    </cfRule>
    <cfRule type="expression" dxfId="6426" priority="9709">
      <formula>AND(OR(AW64=0,ISBLANK(Q64)),B64&lt;&gt;"")</formula>
    </cfRule>
    <cfRule type="expression" dxfId="6425" priority="9710">
      <formula>AND(Q64="NA",NOT(ISTEXT(P64)))</formula>
    </cfRule>
    <cfRule type="expression" dxfId="6424" priority="9711">
      <formula>AND(AW64&gt;5,Q64="NA")</formula>
    </cfRule>
    <cfRule type="expression" dxfId="6423" priority="9712">
      <formula>AND(AW64&lt;5,Q64="NA")</formula>
    </cfRule>
    <cfRule type="expression" dxfId="6422" priority="9713">
      <formula>AND(Q64&lt;&gt;"NA",Q64&gt;$Q$16)</formula>
    </cfRule>
  </conditionalFormatting>
  <conditionalFormatting sqref="R64">
    <cfRule type="expression" priority="9649" stopIfTrue="1">
      <formula>"ISBLANK($K$185)"</formula>
    </cfRule>
    <cfRule type="expression" dxfId="6421" priority="9704">
      <formula>AND(OR(AW64=0,ISBLANK(R64)),B64&lt;&gt;"")</formula>
    </cfRule>
    <cfRule type="expression" dxfId="6420" priority="9705">
      <formula>AND(R64="NA",NOT(ISTEXT(S64)))</formula>
    </cfRule>
    <cfRule type="expression" dxfId="6419" priority="9706">
      <formula>AND(AW64&gt;5,R64="NA")</formula>
    </cfRule>
    <cfRule type="expression" dxfId="6418" priority="9707">
      <formula>AND(AW64&lt;5,R64="NA")</formula>
    </cfRule>
    <cfRule type="expression" dxfId="6417" priority="9708">
      <formula>AND(R64&lt;&gt;"NA",R64&gt;$R$16)</formula>
    </cfRule>
  </conditionalFormatting>
  <conditionalFormatting sqref="S64">
    <cfRule type="expression" priority="9648" stopIfTrue="1">
      <formula>"ISBLANK($K$185)"</formula>
    </cfRule>
    <cfRule type="expression" dxfId="6416" priority="9699">
      <formula>AND(OR(AW64=0,ISBLANK(S64)),B64&lt;&gt;"")</formula>
    </cfRule>
    <cfRule type="expression" dxfId="6415" priority="9700">
      <formula>AND(S64="NA",NOT(ISTEXT(R64)))</formula>
    </cfRule>
    <cfRule type="expression" dxfId="6414" priority="9701">
      <formula>AND(AW64&gt;5,S64="NA")</formula>
    </cfRule>
    <cfRule type="expression" dxfId="6413" priority="9702">
      <formula>AND(AW64&lt;5,S64="NA")</formula>
    </cfRule>
    <cfRule type="expression" dxfId="6412" priority="9703">
      <formula>AND(S64&lt;&gt;"NA",S64&gt;$S$16)</formula>
    </cfRule>
  </conditionalFormatting>
  <conditionalFormatting sqref="T64">
    <cfRule type="expression" priority="9647" stopIfTrue="1">
      <formula>"ISBLANK($K$185)"</formula>
    </cfRule>
    <cfRule type="expression" dxfId="6411" priority="9694">
      <formula>AND(OR(AW64=0,ISBLANK(T64)),B64&lt;&gt;"")</formula>
    </cfRule>
    <cfRule type="expression" dxfId="6410" priority="9695">
      <formula>AND(T64="NA",NOT(ISTEXT(U64)))</formula>
    </cfRule>
    <cfRule type="expression" dxfId="6409" priority="9696">
      <formula>AND(AW64&gt;5,T64="NA")</formula>
    </cfRule>
    <cfRule type="expression" dxfId="6408" priority="9697">
      <formula>AND(AW64&lt;5,T64="NA")</formula>
    </cfRule>
    <cfRule type="expression" dxfId="6407" priority="9698">
      <formula>AND(T64&lt;&gt;"NA",T64&gt;$T$16)</formula>
    </cfRule>
  </conditionalFormatting>
  <conditionalFormatting sqref="U64">
    <cfRule type="expression" priority="9646" stopIfTrue="1">
      <formula>"ISBLANK($K$185)"</formula>
    </cfRule>
    <cfRule type="expression" dxfId="6406" priority="9689">
      <formula>AND(OR(AW64=0,ISBLANK(U64)),B64&lt;&gt;"")</formula>
    </cfRule>
    <cfRule type="expression" dxfId="6405" priority="9690">
      <formula>AND(U64="NA",NOT(ISTEXT(T64)))</formula>
    </cfRule>
    <cfRule type="expression" dxfId="6404" priority="9691">
      <formula>AND(AW64&gt;5,U64="NA")</formula>
    </cfRule>
    <cfRule type="expression" dxfId="6403" priority="9692">
      <formula>AND(AW64&lt;5,U64="NA")</formula>
    </cfRule>
    <cfRule type="expression" dxfId="6402" priority="9693">
      <formula>AND(U64&lt;&gt;"NA",U64&gt;$U$16)</formula>
    </cfRule>
  </conditionalFormatting>
  <conditionalFormatting sqref="V64">
    <cfRule type="expression" priority="9645" stopIfTrue="1">
      <formula>"ISBLANK($K$185)"</formula>
    </cfRule>
    <cfRule type="expression" dxfId="6401" priority="9684">
      <formula>AND(OR(AW64=0,ISBLANK(V64)),B64&lt;&gt;"")</formula>
    </cfRule>
    <cfRule type="expression" dxfId="6400" priority="9685">
      <formula>AND(V64="NA",NOT(ISTEXT(W64)))</formula>
    </cfRule>
    <cfRule type="expression" dxfId="6399" priority="9686">
      <formula>AND(AW64&gt;5,V64="NA")</formula>
    </cfRule>
    <cfRule type="expression" dxfId="6398" priority="9687">
      <formula>AND(AW64&lt;5,V64="NA")</formula>
    </cfRule>
    <cfRule type="expression" dxfId="6397" priority="9688">
      <formula>AND(V64&lt;&gt;"NA",V64&gt;$V$16)</formula>
    </cfRule>
  </conditionalFormatting>
  <conditionalFormatting sqref="W64">
    <cfRule type="expression" priority="9644" stopIfTrue="1">
      <formula>"ISBLANK($K$185)"</formula>
    </cfRule>
    <cfRule type="expression" dxfId="6396" priority="9679">
      <formula>AND(OR(AW64=0,ISBLANK(W64)),B64&lt;&gt;"")</formula>
    </cfRule>
    <cfRule type="expression" dxfId="6395" priority="9680">
      <formula>AND(W64="NA",NOT(ISTEXT(V64)))</formula>
    </cfRule>
    <cfRule type="expression" dxfId="6394" priority="9681">
      <formula>AND(AW64&gt;5,W64="NA")</formula>
    </cfRule>
    <cfRule type="expression" dxfId="6393" priority="9682">
      <formula>AND(AW64&lt;5,W64="NA")</formula>
    </cfRule>
    <cfRule type="expression" dxfId="6392" priority="9683">
      <formula>AND(W64&lt;&gt;"NA",W64&gt;$W$16)</formula>
    </cfRule>
  </conditionalFormatting>
  <conditionalFormatting sqref="X64">
    <cfRule type="expression" priority="9643" stopIfTrue="1">
      <formula>"ISBLANK($K$185)"</formula>
    </cfRule>
    <cfRule type="expression" dxfId="6391" priority="9674">
      <formula>AND(OR(AW64=0,ISBLANK(X64)),B64&lt;&gt;"")</formula>
    </cfRule>
    <cfRule type="expression" dxfId="6390" priority="9675">
      <formula>AND(X64="NA",NOT(ISTEXT(Y64)))</formula>
    </cfRule>
    <cfRule type="expression" dxfId="6389" priority="9676">
      <formula>AND(AW64&gt;5,X64="NA")</formula>
    </cfRule>
    <cfRule type="expression" dxfId="6388" priority="9677">
      <formula>AND(AW64&lt;5,X64="NA")</formula>
    </cfRule>
    <cfRule type="expression" dxfId="6387" priority="9678">
      <formula>AND(X64&lt;&gt;"NA",X64&gt;$Y$16)</formula>
    </cfRule>
  </conditionalFormatting>
  <conditionalFormatting sqref="Y64">
    <cfRule type="expression" priority="9642" stopIfTrue="1">
      <formula>"ISBLANK($K$185)"</formula>
    </cfRule>
    <cfRule type="expression" dxfId="6386" priority="9669">
      <formula>AND(OR(AW64=0,ISBLANK(Y64)),B64&lt;&gt;"")</formula>
    </cfRule>
    <cfRule type="expression" dxfId="6385" priority="9670">
      <formula>AND(Y64="NA",NOT(ISTEXT(X64)))</formula>
    </cfRule>
    <cfRule type="expression" dxfId="6384" priority="9671">
      <formula>AND(AW64&gt;5,Y64="NA")</formula>
    </cfRule>
    <cfRule type="expression" dxfId="6383" priority="9672">
      <formula>AND(AW64&lt;5,Y64="NA")</formula>
    </cfRule>
    <cfRule type="expression" dxfId="6382" priority="9673">
      <formula>AND(Y64&lt;&gt;"NA",Y64&gt;$Y$16)</formula>
    </cfRule>
  </conditionalFormatting>
  <conditionalFormatting sqref="N64">
    <cfRule type="expression" priority="9653" stopIfTrue="1">
      <formula>"ISBLANK($K$185)"</formula>
    </cfRule>
    <cfRule type="expression" dxfId="6381" priority="9724">
      <formula>AND(OR(AW64=0,ISBLANK(N64)),B64&lt;&gt;"")</formula>
    </cfRule>
    <cfRule type="expression" dxfId="6380" priority="9725">
      <formula>AND(N64="NA",NOT(ISTEXT(O64)))</formula>
    </cfRule>
    <cfRule type="expression" dxfId="6379" priority="9726">
      <formula>AND(AW64&gt;5,N64="NA")</formula>
    </cfRule>
    <cfRule type="expression" dxfId="6378" priority="9727">
      <formula>AND(AW64&lt;5,N64="NA")</formula>
    </cfRule>
    <cfRule type="expression" dxfId="6377" priority="9728">
      <formula>AND(N64&lt;&gt;"NA",N64&gt;$N$16)</formula>
    </cfRule>
  </conditionalFormatting>
  <conditionalFormatting sqref="O65">
    <cfRule type="expression" priority="9561" stopIfTrue="1">
      <formula>"ISBLANK($K$185)"</formula>
    </cfRule>
    <cfRule type="expression" dxfId="6376" priority="9628">
      <formula>AND(OR(AW65=0,ISBLANK(O65)),B65&lt;&gt;"")</formula>
    </cfRule>
    <cfRule type="expression" dxfId="6375" priority="9629">
      <formula>AND(O65="NA",NOT(ISTEXT(N65)))</formula>
    </cfRule>
    <cfRule type="expression" dxfId="6374" priority="9630">
      <formula>AND(AW65&gt;5,O65="NA")</formula>
    </cfRule>
    <cfRule type="expression" dxfId="6373" priority="9631">
      <formula>AND(AW65&lt;5,O65="NA")</formula>
    </cfRule>
    <cfRule type="expression" dxfId="6372" priority="9632">
      <formula>AND(O65&lt;&gt;"NA",O65&gt;$O$16)</formula>
    </cfRule>
  </conditionalFormatting>
  <conditionalFormatting sqref="P65">
    <cfRule type="expression" priority="9560" stopIfTrue="1">
      <formula>"ISBLANK($K$185)"</formula>
    </cfRule>
    <cfRule type="expression" dxfId="6371" priority="9623">
      <formula>AND(OR(AW65=0,ISBLANK(P65)),B65&lt;&gt;"")</formula>
    </cfRule>
    <cfRule type="expression" dxfId="6370" priority="9624">
      <formula>AND(P65="NA",NOT(ISTEXT(Q65)))</formula>
    </cfRule>
    <cfRule type="expression" dxfId="6369" priority="9625">
      <formula>AND(AW65&gt;5,P65="NA")</formula>
    </cfRule>
    <cfRule type="expression" dxfId="6368" priority="9626">
      <formula>AND(AW65&lt;5,P65="NA")</formula>
    </cfRule>
    <cfRule type="expression" dxfId="6367" priority="9627">
      <formula>AND(P65&lt;&gt;"NA",P65&gt;$P$16)</formula>
    </cfRule>
  </conditionalFormatting>
  <conditionalFormatting sqref="Q65">
    <cfRule type="expression" priority="9559" stopIfTrue="1">
      <formula>"ISBLANK($K$185)"</formula>
    </cfRule>
    <cfRule type="expression" dxfId="6366" priority="9618">
      <formula>AND(OR(AW65=0,ISBLANK(Q65)),B65&lt;&gt;"")</formula>
    </cfRule>
    <cfRule type="expression" dxfId="6365" priority="9619">
      <formula>AND(Q65="NA",NOT(ISTEXT(P65)))</formula>
    </cfRule>
    <cfRule type="expression" dxfId="6364" priority="9620">
      <formula>AND(AW65&gt;5,Q65="NA")</formula>
    </cfRule>
    <cfRule type="expression" dxfId="6363" priority="9621">
      <formula>AND(AW65&lt;5,Q65="NA")</formula>
    </cfRule>
    <cfRule type="expression" dxfId="6362" priority="9622">
      <formula>AND(Q65&lt;&gt;"NA",Q65&gt;$Q$16)</formula>
    </cfRule>
  </conditionalFormatting>
  <conditionalFormatting sqref="R65">
    <cfRule type="expression" priority="9558" stopIfTrue="1">
      <formula>"ISBLANK($K$185)"</formula>
    </cfRule>
    <cfRule type="expression" dxfId="6361" priority="9613">
      <formula>AND(OR(AW65=0,ISBLANK(R65)),B65&lt;&gt;"")</formula>
    </cfRule>
    <cfRule type="expression" dxfId="6360" priority="9614">
      <formula>AND(R65="NA",NOT(ISTEXT(S65)))</formula>
    </cfRule>
    <cfRule type="expression" dxfId="6359" priority="9615">
      <formula>AND(AW65&gt;5,R65="NA")</formula>
    </cfRule>
    <cfRule type="expression" dxfId="6358" priority="9616">
      <formula>AND(AW65&lt;5,R65="NA")</formula>
    </cfRule>
    <cfRule type="expression" dxfId="6357" priority="9617">
      <formula>AND(R65&lt;&gt;"NA",R65&gt;$R$16)</formula>
    </cfRule>
  </conditionalFormatting>
  <conditionalFormatting sqref="S65">
    <cfRule type="expression" priority="9557" stopIfTrue="1">
      <formula>"ISBLANK($K$185)"</formula>
    </cfRule>
    <cfRule type="expression" dxfId="6356" priority="9608">
      <formula>AND(OR(AW65=0,ISBLANK(S65)),B65&lt;&gt;"")</formula>
    </cfRule>
    <cfRule type="expression" dxfId="6355" priority="9609">
      <formula>AND(S65="NA",NOT(ISTEXT(R65)))</formula>
    </cfRule>
    <cfRule type="expression" dxfId="6354" priority="9610">
      <formula>AND(AW65&gt;5,S65="NA")</formula>
    </cfRule>
    <cfRule type="expression" dxfId="6353" priority="9611">
      <formula>AND(AW65&lt;5,S65="NA")</formula>
    </cfRule>
    <cfRule type="expression" dxfId="6352" priority="9612">
      <formula>AND(S65&lt;&gt;"NA",S65&gt;$S$16)</formula>
    </cfRule>
  </conditionalFormatting>
  <conditionalFormatting sqref="T65">
    <cfRule type="expression" priority="9556" stopIfTrue="1">
      <formula>"ISBLANK($K$185)"</formula>
    </cfRule>
    <cfRule type="expression" dxfId="6351" priority="9603">
      <formula>AND(OR(AW65=0,ISBLANK(T65)),B65&lt;&gt;"")</formula>
    </cfRule>
    <cfRule type="expression" dxfId="6350" priority="9604">
      <formula>AND(T65="NA",NOT(ISTEXT(U65)))</formula>
    </cfRule>
    <cfRule type="expression" dxfId="6349" priority="9605">
      <formula>AND(AW65&gt;5,T65="NA")</formula>
    </cfRule>
    <cfRule type="expression" dxfId="6348" priority="9606">
      <formula>AND(AW65&lt;5,T65="NA")</formula>
    </cfRule>
    <cfRule type="expression" dxfId="6347" priority="9607">
      <formula>AND(T65&lt;&gt;"NA",T65&gt;$T$16)</formula>
    </cfRule>
  </conditionalFormatting>
  <conditionalFormatting sqref="U65">
    <cfRule type="expression" priority="9555" stopIfTrue="1">
      <formula>"ISBLANK($K$185)"</formula>
    </cfRule>
    <cfRule type="expression" dxfId="6346" priority="9598">
      <formula>AND(OR(AW65=0,ISBLANK(U65)),B65&lt;&gt;"")</formula>
    </cfRule>
    <cfRule type="expression" dxfId="6345" priority="9599">
      <formula>AND(U65="NA",NOT(ISTEXT(T65)))</formula>
    </cfRule>
    <cfRule type="expression" dxfId="6344" priority="9600">
      <formula>AND(AW65&gt;5,U65="NA")</formula>
    </cfRule>
    <cfRule type="expression" dxfId="6343" priority="9601">
      <formula>AND(AW65&lt;5,U65="NA")</formula>
    </cfRule>
    <cfRule type="expression" dxfId="6342" priority="9602">
      <formula>AND(U65&lt;&gt;"NA",U65&gt;$U$16)</formula>
    </cfRule>
  </conditionalFormatting>
  <conditionalFormatting sqref="V65">
    <cfRule type="expression" priority="9554" stopIfTrue="1">
      <formula>"ISBLANK($K$185)"</formula>
    </cfRule>
    <cfRule type="expression" dxfId="6341" priority="9593">
      <formula>AND(OR(AW65=0,ISBLANK(V65)),B65&lt;&gt;"")</formula>
    </cfRule>
    <cfRule type="expression" dxfId="6340" priority="9594">
      <formula>AND(V65="NA",NOT(ISTEXT(W65)))</formula>
    </cfRule>
    <cfRule type="expression" dxfId="6339" priority="9595">
      <formula>AND(AW65&gt;5,V65="NA")</formula>
    </cfRule>
    <cfRule type="expression" dxfId="6338" priority="9596">
      <formula>AND(AW65&lt;5,V65="NA")</formula>
    </cfRule>
    <cfRule type="expression" dxfId="6337" priority="9597">
      <formula>AND(V65&lt;&gt;"NA",V65&gt;$V$16)</formula>
    </cfRule>
  </conditionalFormatting>
  <conditionalFormatting sqref="W65">
    <cfRule type="expression" priority="9553" stopIfTrue="1">
      <formula>"ISBLANK($K$185)"</formula>
    </cfRule>
    <cfRule type="expression" dxfId="6336" priority="9588">
      <formula>AND(OR(AW65=0,ISBLANK(W65)),B65&lt;&gt;"")</formula>
    </cfRule>
    <cfRule type="expression" dxfId="6335" priority="9589">
      <formula>AND(W65="NA",NOT(ISTEXT(V65)))</formula>
    </cfRule>
    <cfRule type="expression" dxfId="6334" priority="9590">
      <formula>AND(AW65&gt;5,W65="NA")</formula>
    </cfRule>
    <cfRule type="expression" dxfId="6333" priority="9591">
      <formula>AND(AW65&lt;5,W65="NA")</formula>
    </cfRule>
    <cfRule type="expression" dxfId="6332" priority="9592">
      <formula>AND(W65&lt;&gt;"NA",W65&gt;$W$16)</formula>
    </cfRule>
  </conditionalFormatting>
  <conditionalFormatting sqref="X65">
    <cfRule type="expression" priority="9552" stopIfTrue="1">
      <formula>"ISBLANK($K$185)"</formula>
    </cfRule>
    <cfRule type="expression" dxfId="6331" priority="9583">
      <formula>AND(OR(AW65=0,ISBLANK(X65)),B65&lt;&gt;"")</formula>
    </cfRule>
    <cfRule type="expression" dxfId="6330" priority="9584">
      <formula>AND(X65="NA",NOT(ISTEXT(Y65)))</formula>
    </cfRule>
    <cfRule type="expression" dxfId="6329" priority="9585">
      <formula>AND(AW65&gt;5,X65="NA")</formula>
    </cfRule>
    <cfRule type="expression" dxfId="6328" priority="9586">
      <formula>AND(AW65&lt;5,X65="NA")</formula>
    </cfRule>
    <cfRule type="expression" dxfId="6327" priority="9587">
      <formula>AND(X65&lt;&gt;"NA",X65&gt;$Y$16)</formula>
    </cfRule>
  </conditionalFormatting>
  <conditionalFormatting sqref="Y65">
    <cfRule type="expression" priority="9551" stopIfTrue="1">
      <formula>"ISBLANK($K$185)"</formula>
    </cfRule>
    <cfRule type="expression" dxfId="6326" priority="9578">
      <formula>AND(OR(AW65=0,ISBLANK(Y65)),B65&lt;&gt;"")</formula>
    </cfRule>
    <cfRule type="expression" dxfId="6325" priority="9579">
      <formula>AND(Y65="NA",NOT(ISTEXT(X65)))</formula>
    </cfRule>
    <cfRule type="expression" dxfId="6324" priority="9580">
      <formula>AND(AW65&gt;5,Y65="NA")</formula>
    </cfRule>
    <cfRule type="expression" dxfId="6323" priority="9581">
      <formula>AND(AW65&lt;5,Y65="NA")</formula>
    </cfRule>
    <cfRule type="expression" dxfId="6322" priority="9582">
      <formula>AND(Y65&lt;&gt;"NA",Y65&gt;$Y$16)</formula>
    </cfRule>
  </conditionalFormatting>
  <conditionalFormatting sqref="N65">
    <cfRule type="expression" priority="9562" stopIfTrue="1">
      <formula>"ISBLANK($K$185)"</formula>
    </cfRule>
    <cfRule type="expression" dxfId="6321" priority="9633">
      <formula>AND(OR(AW65=0,ISBLANK(N65)),B65&lt;&gt;"")</formula>
    </cfRule>
    <cfRule type="expression" dxfId="6320" priority="9634">
      <formula>AND(N65="NA",NOT(ISTEXT(O65)))</formula>
    </cfRule>
    <cfRule type="expression" dxfId="6319" priority="9635">
      <formula>AND(AW65&gt;5,N65="NA")</formula>
    </cfRule>
    <cfRule type="expression" dxfId="6318" priority="9636">
      <formula>AND(AW65&lt;5,N65="NA")</formula>
    </cfRule>
    <cfRule type="expression" dxfId="6317" priority="9637">
      <formula>AND(N65&lt;&gt;"NA",N65&gt;$N$16)</formula>
    </cfRule>
  </conditionalFormatting>
  <conditionalFormatting sqref="O66">
    <cfRule type="expression" priority="9470" stopIfTrue="1">
      <formula>"ISBLANK($K$185)"</formula>
    </cfRule>
    <cfRule type="expression" dxfId="6316" priority="9537">
      <formula>AND(OR(AW66=0,ISBLANK(O66)),B66&lt;&gt;"")</formula>
    </cfRule>
    <cfRule type="expression" dxfId="6315" priority="9538">
      <formula>AND(O66="NA",NOT(ISTEXT(N66)))</formula>
    </cfRule>
    <cfRule type="expression" dxfId="6314" priority="9539">
      <formula>AND(AW66&gt;5,O66="NA")</formula>
    </cfRule>
    <cfRule type="expression" dxfId="6313" priority="9540">
      <formula>AND(AW66&lt;5,O66="NA")</formula>
    </cfRule>
    <cfRule type="expression" dxfId="6312" priority="9541">
      <formula>AND(O66&lt;&gt;"NA",O66&gt;$O$16)</formula>
    </cfRule>
  </conditionalFormatting>
  <conditionalFormatting sqref="P66">
    <cfRule type="expression" priority="9469" stopIfTrue="1">
      <formula>"ISBLANK($K$185)"</formula>
    </cfRule>
    <cfRule type="expression" dxfId="6311" priority="9532">
      <formula>AND(OR(AW66=0,ISBLANK(P66)),B66&lt;&gt;"")</formula>
    </cfRule>
    <cfRule type="expression" dxfId="6310" priority="9533">
      <formula>AND(P66="NA",NOT(ISTEXT(Q66)))</formula>
    </cfRule>
    <cfRule type="expression" dxfId="6309" priority="9534">
      <formula>AND(AW66&gt;5,P66="NA")</formula>
    </cfRule>
    <cfRule type="expression" dxfId="6308" priority="9535">
      <formula>AND(AW66&lt;5,P66="NA")</formula>
    </cfRule>
    <cfRule type="expression" dxfId="6307" priority="9536">
      <formula>AND(P66&lt;&gt;"NA",P66&gt;$P$16)</formula>
    </cfRule>
  </conditionalFormatting>
  <conditionalFormatting sqref="Q66">
    <cfRule type="expression" priority="9468" stopIfTrue="1">
      <formula>"ISBLANK($K$185)"</formula>
    </cfRule>
    <cfRule type="expression" dxfId="6306" priority="9527">
      <formula>AND(OR(AW66=0,ISBLANK(Q66)),B66&lt;&gt;"")</formula>
    </cfRule>
    <cfRule type="expression" dxfId="6305" priority="9528">
      <formula>AND(Q66="NA",NOT(ISTEXT(P66)))</formula>
    </cfRule>
    <cfRule type="expression" dxfId="6304" priority="9529">
      <formula>AND(AW66&gt;5,Q66="NA")</formula>
    </cfRule>
    <cfRule type="expression" dxfId="6303" priority="9530">
      <formula>AND(AW66&lt;5,Q66="NA")</formula>
    </cfRule>
    <cfRule type="expression" dxfId="6302" priority="9531">
      <formula>AND(Q66&lt;&gt;"NA",Q66&gt;$Q$16)</formula>
    </cfRule>
  </conditionalFormatting>
  <conditionalFormatting sqref="R66">
    <cfRule type="expression" priority="9467" stopIfTrue="1">
      <formula>"ISBLANK($K$185)"</formula>
    </cfRule>
    <cfRule type="expression" dxfId="6301" priority="9522">
      <formula>AND(OR(AW66=0,ISBLANK(R66)),B66&lt;&gt;"")</formula>
    </cfRule>
    <cfRule type="expression" dxfId="6300" priority="9523">
      <formula>AND(R66="NA",NOT(ISTEXT(S66)))</formula>
    </cfRule>
    <cfRule type="expression" dxfId="6299" priority="9524">
      <formula>AND(AW66&gt;5,R66="NA")</formula>
    </cfRule>
    <cfRule type="expression" dxfId="6298" priority="9525">
      <formula>AND(AW66&lt;5,R66="NA")</formula>
    </cfRule>
    <cfRule type="expression" dxfId="6297" priority="9526">
      <formula>AND(R66&lt;&gt;"NA",R66&gt;$R$16)</formula>
    </cfRule>
  </conditionalFormatting>
  <conditionalFormatting sqref="S66">
    <cfRule type="expression" priority="9466" stopIfTrue="1">
      <formula>"ISBLANK($K$185)"</formula>
    </cfRule>
    <cfRule type="expression" dxfId="6296" priority="9517">
      <formula>AND(OR(AW66=0,ISBLANK(S66)),B66&lt;&gt;"")</formula>
    </cfRule>
    <cfRule type="expression" dxfId="6295" priority="9518">
      <formula>AND(S66="NA",NOT(ISTEXT(R66)))</formula>
    </cfRule>
    <cfRule type="expression" dxfId="6294" priority="9519">
      <formula>AND(AW66&gt;5,S66="NA")</formula>
    </cfRule>
    <cfRule type="expression" dxfId="6293" priority="9520">
      <formula>AND(AW66&lt;5,S66="NA")</formula>
    </cfRule>
    <cfRule type="expression" dxfId="6292" priority="9521">
      <formula>AND(S66&lt;&gt;"NA",S66&gt;$S$16)</formula>
    </cfRule>
  </conditionalFormatting>
  <conditionalFormatting sqref="T66">
    <cfRule type="expression" priority="9465" stopIfTrue="1">
      <formula>"ISBLANK($K$185)"</formula>
    </cfRule>
    <cfRule type="expression" dxfId="6291" priority="9512">
      <formula>AND(OR(AW66=0,ISBLANK(T66)),B66&lt;&gt;"")</formula>
    </cfRule>
    <cfRule type="expression" dxfId="6290" priority="9513">
      <formula>AND(T66="NA",NOT(ISTEXT(U66)))</formula>
    </cfRule>
    <cfRule type="expression" dxfId="6289" priority="9514">
      <formula>AND(AW66&gt;5,T66="NA")</formula>
    </cfRule>
    <cfRule type="expression" dxfId="6288" priority="9515">
      <formula>AND(AW66&lt;5,T66="NA")</formula>
    </cfRule>
    <cfRule type="expression" dxfId="6287" priority="9516">
      <formula>AND(T66&lt;&gt;"NA",T66&gt;$T$16)</formula>
    </cfRule>
  </conditionalFormatting>
  <conditionalFormatting sqref="U66">
    <cfRule type="expression" priority="9464" stopIfTrue="1">
      <formula>"ISBLANK($K$185)"</formula>
    </cfRule>
    <cfRule type="expression" dxfId="6286" priority="9507">
      <formula>AND(OR(AW66=0,ISBLANK(U66)),B66&lt;&gt;"")</formula>
    </cfRule>
    <cfRule type="expression" dxfId="6285" priority="9508">
      <formula>AND(U66="NA",NOT(ISTEXT(T66)))</formula>
    </cfRule>
    <cfRule type="expression" dxfId="6284" priority="9509">
      <formula>AND(AW66&gt;5,U66="NA")</formula>
    </cfRule>
    <cfRule type="expression" dxfId="6283" priority="9510">
      <formula>AND(AW66&lt;5,U66="NA")</formula>
    </cfRule>
    <cfRule type="expression" dxfId="6282" priority="9511">
      <formula>AND(U66&lt;&gt;"NA",U66&gt;$U$16)</formula>
    </cfRule>
  </conditionalFormatting>
  <conditionalFormatting sqref="V66">
    <cfRule type="expression" priority="9463" stopIfTrue="1">
      <formula>"ISBLANK($K$185)"</formula>
    </cfRule>
    <cfRule type="expression" dxfId="6281" priority="9502">
      <formula>AND(OR(AW66=0,ISBLANK(V66)),B66&lt;&gt;"")</formula>
    </cfRule>
    <cfRule type="expression" dxfId="6280" priority="9503">
      <formula>AND(V66="NA",NOT(ISTEXT(W66)))</formula>
    </cfRule>
    <cfRule type="expression" dxfId="6279" priority="9504">
      <formula>AND(AW66&gt;5,V66="NA")</formula>
    </cfRule>
    <cfRule type="expression" dxfId="6278" priority="9505">
      <formula>AND(AW66&lt;5,V66="NA")</formula>
    </cfRule>
    <cfRule type="expression" dxfId="6277" priority="9506">
      <formula>AND(V66&lt;&gt;"NA",V66&gt;$V$16)</formula>
    </cfRule>
  </conditionalFormatting>
  <conditionalFormatting sqref="W66">
    <cfRule type="expression" priority="9462" stopIfTrue="1">
      <formula>"ISBLANK($K$185)"</formula>
    </cfRule>
    <cfRule type="expression" dxfId="6276" priority="9497">
      <formula>AND(OR(AW66=0,ISBLANK(W66)),B66&lt;&gt;"")</formula>
    </cfRule>
    <cfRule type="expression" dxfId="6275" priority="9498">
      <formula>AND(W66="NA",NOT(ISTEXT(V66)))</formula>
    </cfRule>
    <cfRule type="expression" dxfId="6274" priority="9499">
      <formula>AND(AW66&gt;5,W66="NA")</formula>
    </cfRule>
    <cfRule type="expression" dxfId="6273" priority="9500">
      <formula>AND(AW66&lt;5,W66="NA")</formula>
    </cfRule>
    <cfRule type="expression" dxfId="6272" priority="9501">
      <formula>AND(W66&lt;&gt;"NA",W66&gt;$W$16)</formula>
    </cfRule>
  </conditionalFormatting>
  <conditionalFormatting sqref="X66">
    <cfRule type="expression" priority="9461" stopIfTrue="1">
      <formula>"ISBLANK($K$185)"</formula>
    </cfRule>
    <cfRule type="expression" dxfId="6271" priority="9492">
      <formula>AND(OR(AW66=0,ISBLANK(X66)),B66&lt;&gt;"")</formula>
    </cfRule>
    <cfRule type="expression" dxfId="6270" priority="9493">
      <formula>AND(X66="NA",NOT(ISTEXT(Y66)))</formula>
    </cfRule>
    <cfRule type="expression" dxfId="6269" priority="9494">
      <formula>AND(AW66&gt;5,X66="NA")</formula>
    </cfRule>
    <cfRule type="expression" dxfId="6268" priority="9495">
      <formula>AND(AW66&lt;5,X66="NA")</formula>
    </cfRule>
    <cfRule type="expression" dxfId="6267" priority="9496">
      <formula>AND(X66&lt;&gt;"NA",X66&gt;$Y$16)</formula>
    </cfRule>
  </conditionalFormatting>
  <conditionalFormatting sqref="Y66">
    <cfRule type="expression" priority="9460" stopIfTrue="1">
      <formula>"ISBLANK($K$185)"</formula>
    </cfRule>
    <cfRule type="expression" dxfId="6266" priority="9487">
      <formula>AND(OR(AW66=0,ISBLANK(Y66)),B66&lt;&gt;"")</formula>
    </cfRule>
    <cfRule type="expression" dxfId="6265" priority="9488">
      <formula>AND(Y66="NA",NOT(ISTEXT(X66)))</formula>
    </cfRule>
    <cfRule type="expression" dxfId="6264" priority="9489">
      <formula>AND(AW66&gt;5,Y66="NA")</formula>
    </cfRule>
    <cfRule type="expression" dxfId="6263" priority="9490">
      <formula>AND(AW66&lt;5,Y66="NA")</formula>
    </cfRule>
    <cfRule type="expression" dxfId="6262" priority="9491">
      <formula>AND(Y66&lt;&gt;"NA",Y66&gt;$Y$16)</formula>
    </cfRule>
  </conditionalFormatting>
  <conditionalFormatting sqref="N66">
    <cfRule type="expression" priority="9471" stopIfTrue="1">
      <formula>"ISBLANK($K$185)"</formula>
    </cfRule>
    <cfRule type="expression" dxfId="6261" priority="9542">
      <formula>AND(OR(AW66=0,ISBLANK(N66)),B66&lt;&gt;"")</formula>
    </cfRule>
    <cfRule type="expression" dxfId="6260" priority="9543">
      <formula>AND(N66="NA",NOT(ISTEXT(O66)))</formula>
    </cfRule>
    <cfRule type="expression" dxfId="6259" priority="9544">
      <formula>AND(AW66&gt;5,N66="NA")</formula>
    </cfRule>
    <cfRule type="expression" dxfId="6258" priority="9545">
      <formula>AND(AW66&lt;5,N66="NA")</formula>
    </cfRule>
    <cfRule type="expression" dxfId="6257" priority="9546">
      <formula>AND(N66&lt;&gt;"NA",N66&gt;$N$16)</formula>
    </cfRule>
  </conditionalFormatting>
  <conditionalFormatting sqref="O67">
    <cfRule type="expression" priority="9379" stopIfTrue="1">
      <formula>"ISBLANK($K$185)"</formula>
    </cfRule>
    <cfRule type="expression" dxfId="6256" priority="9446">
      <formula>AND(OR(AW67=0,ISBLANK(O67)),B67&lt;&gt;"")</formula>
    </cfRule>
    <cfRule type="expression" dxfId="6255" priority="9447">
      <formula>AND(O67="NA",NOT(ISTEXT(N67)))</formula>
    </cfRule>
    <cfRule type="expression" dxfId="6254" priority="9448">
      <formula>AND(AW67&gt;5,O67="NA")</formula>
    </cfRule>
    <cfRule type="expression" dxfId="6253" priority="9449">
      <formula>AND(AW67&lt;5,O67="NA")</formula>
    </cfRule>
    <cfRule type="expression" dxfId="6252" priority="9450">
      <formula>AND(O67&lt;&gt;"NA",O67&gt;$O$16)</formula>
    </cfRule>
  </conditionalFormatting>
  <conditionalFormatting sqref="P67">
    <cfRule type="expression" priority="9378" stopIfTrue="1">
      <formula>"ISBLANK($K$185)"</formula>
    </cfRule>
    <cfRule type="expression" dxfId="6251" priority="9441">
      <formula>AND(OR(AW67=0,ISBLANK(P67)),B67&lt;&gt;"")</formula>
    </cfRule>
    <cfRule type="expression" dxfId="6250" priority="9442">
      <formula>AND(P67="NA",NOT(ISTEXT(Q67)))</formula>
    </cfRule>
    <cfRule type="expression" dxfId="6249" priority="9443">
      <formula>AND(AW67&gt;5,P67="NA")</formula>
    </cfRule>
    <cfRule type="expression" dxfId="6248" priority="9444">
      <formula>AND(AW67&lt;5,P67="NA")</formula>
    </cfRule>
    <cfRule type="expression" dxfId="6247" priority="9445">
      <formula>AND(P67&lt;&gt;"NA",P67&gt;$P$16)</formula>
    </cfRule>
  </conditionalFormatting>
  <conditionalFormatting sqref="Q67">
    <cfRule type="expression" priority="9377" stopIfTrue="1">
      <formula>"ISBLANK($K$185)"</formula>
    </cfRule>
    <cfRule type="expression" dxfId="6246" priority="9436">
      <formula>AND(OR(AW67=0,ISBLANK(Q67)),B67&lt;&gt;"")</formula>
    </cfRule>
    <cfRule type="expression" dxfId="6245" priority="9437">
      <formula>AND(Q67="NA",NOT(ISTEXT(P67)))</formula>
    </cfRule>
    <cfRule type="expression" dxfId="6244" priority="9438">
      <formula>AND(AW67&gt;5,Q67="NA")</formula>
    </cfRule>
    <cfRule type="expression" dxfId="6243" priority="9439">
      <formula>AND(AW67&lt;5,Q67="NA")</formula>
    </cfRule>
    <cfRule type="expression" dxfId="6242" priority="9440">
      <formula>AND(Q67&lt;&gt;"NA",Q67&gt;$Q$16)</formula>
    </cfRule>
  </conditionalFormatting>
  <conditionalFormatting sqref="R67">
    <cfRule type="expression" priority="9376" stopIfTrue="1">
      <formula>"ISBLANK($K$185)"</formula>
    </cfRule>
    <cfRule type="expression" dxfId="6241" priority="9431">
      <formula>AND(OR(AW67=0,ISBLANK(R67)),B67&lt;&gt;"")</formula>
    </cfRule>
    <cfRule type="expression" dxfId="6240" priority="9432">
      <formula>AND(R67="NA",NOT(ISTEXT(S67)))</formula>
    </cfRule>
    <cfRule type="expression" dxfId="6239" priority="9433">
      <formula>AND(AW67&gt;5,R67="NA")</formula>
    </cfRule>
    <cfRule type="expression" dxfId="6238" priority="9434">
      <formula>AND(AW67&lt;5,R67="NA")</formula>
    </cfRule>
    <cfRule type="expression" dxfId="6237" priority="9435">
      <formula>AND(R67&lt;&gt;"NA",R67&gt;$R$16)</formula>
    </cfRule>
  </conditionalFormatting>
  <conditionalFormatting sqref="S67">
    <cfRule type="expression" priority="9375" stopIfTrue="1">
      <formula>"ISBLANK($K$185)"</formula>
    </cfRule>
    <cfRule type="expression" dxfId="6236" priority="9426">
      <formula>AND(OR(AW67=0,ISBLANK(S67)),B67&lt;&gt;"")</formula>
    </cfRule>
    <cfRule type="expression" dxfId="6235" priority="9427">
      <formula>AND(S67="NA",NOT(ISTEXT(R67)))</formula>
    </cfRule>
    <cfRule type="expression" dxfId="6234" priority="9428">
      <formula>AND(AW67&gt;5,S67="NA")</formula>
    </cfRule>
    <cfRule type="expression" dxfId="6233" priority="9429">
      <formula>AND(AW67&lt;5,S67="NA")</formula>
    </cfRule>
    <cfRule type="expression" dxfId="6232" priority="9430">
      <formula>AND(S67&lt;&gt;"NA",S67&gt;$S$16)</formula>
    </cfRule>
  </conditionalFormatting>
  <conditionalFormatting sqref="T67">
    <cfRule type="expression" priority="9374" stopIfTrue="1">
      <formula>"ISBLANK($K$185)"</formula>
    </cfRule>
    <cfRule type="expression" dxfId="6231" priority="9421">
      <formula>AND(OR(AW67=0,ISBLANK(T67)),B67&lt;&gt;"")</formula>
    </cfRule>
    <cfRule type="expression" dxfId="6230" priority="9422">
      <formula>AND(T67="NA",NOT(ISTEXT(U67)))</formula>
    </cfRule>
    <cfRule type="expression" dxfId="6229" priority="9423">
      <formula>AND(AW67&gt;5,T67="NA")</formula>
    </cfRule>
    <cfRule type="expression" dxfId="6228" priority="9424">
      <formula>AND(AW67&lt;5,T67="NA")</formula>
    </cfRule>
    <cfRule type="expression" dxfId="6227" priority="9425">
      <formula>AND(T67&lt;&gt;"NA",T67&gt;$T$16)</formula>
    </cfRule>
  </conditionalFormatting>
  <conditionalFormatting sqref="U67">
    <cfRule type="expression" priority="9373" stopIfTrue="1">
      <formula>"ISBLANK($K$185)"</formula>
    </cfRule>
    <cfRule type="expression" dxfId="6226" priority="9416">
      <formula>AND(OR(AW67=0,ISBLANK(U67)),B67&lt;&gt;"")</formula>
    </cfRule>
    <cfRule type="expression" dxfId="6225" priority="9417">
      <formula>AND(U67="NA",NOT(ISTEXT(T67)))</formula>
    </cfRule>
    <cfRule type="expression" dxfId="6224" priority="9418">
      <formula>AND(AW67&gt;5,U67="NA")</formula>
    </cfRule>
    <cfRule type="expression" dxfId="6223" priority="9419">
      <formula>AND(AW67&lt;5,U67="NA")</formula>
    </cfRule>
    <cfRule type="expression" dxfId="6222" priority="9420">
      <formula>AND(U67&lt;&gt;"NA",U67&gt;$U$16)</formula>
    </cfRule>
  </conditionalFormatting>
  <conditionalFormatting sqref="V67">
    <cfRule type="expression" priority="9372" stopIfTrue="1">
      <formula>"ISBLANK($K$185)"</formula>
    </cfRule>
    <cfRule type="expression" dxfId="6221" priority="9411">
      <formula>AND(OR(AW67=0,ISBLANK(V67)),B67&lt;&gt;"")</formula>
    </cfRule>
    <cfRule type="expression" dxfId="6220" priority="9412">
      <formula>AND(V67="NA",NOT(ISTEXT(W67)))</formula>
    </cfRule>
    <cfRule type="expression" dxfId="6219" priority="9413">
      <formula>AND(AW67&gt;5,V67="NA")</formula>
    </cfRule>
    <cfRule type="expression" dxfId="6218" priority="9414">
      <formula>AND(AW67&lt;5,V67="NA")</formula>
    </cfRule>
    <cfRule type="expression" dxfId="6217" priority="9415">
      <formula>AND(V67&lt;&gt;"NA",V67&gt;$V$16)</formula>
    </cfRule>
  </conditionalFormatting>
  <conditionalFormatting sqref="W67">
    <cfRule type="expression" priority="9371" stopIfTrue="1">
      <formula>"ISBLANK($K$185)"</formula>
    </cfRule>
    <cfRule type="expression" dxfId="6216" priority="9406">
      <formula>AND(OR(AW67=0,ISBLANK(W67)),B67&lt;&gt;"")</formula>
    </cfRule>
    <cfRule type="expression" dxfId="6215" priority="9407">
      <formula>AND(W67="NA",NOT(ISTEXT(V67)))</formula>
    </cfRule>
    <cfRule type="expression" dxfId="6214" priority="9408">
      <formula>AND(AW67&gt;5,W67="NA")</formula>
    </cfRule>
    <cfRule type="expression" dxfId="6213" priority="9409">
      <formula>AND(AW67&lt;5,W67="NA")</formula>
    </cfRule>
    <cfRule type="expression" dxfId="6212" priority="9410">
      <formula>AND(W67&lt;&gt;"NA",W67&gt;$W$16)</formula>
    </cfRule>
  </conditionalFormatting>
  <conditionalFormatting sqref="X67">
    <cfRule type="expression" priority="9370" stopIfTrue="1">
      <formula>"ISBLANK($K$185)"</formula>
    </cfRule>
    <cfRule type="expression" dxfId="6211" priority="9401">
      <formula>AND(OR(AW67=0,ISBLANK(X67)),B67&lt;&gt;"")</formula>
    </cfRule>
    <cfRule type="expression" dxfId="6210" priority="9402">
      <formula>AND(X67="NA",NOT(ISTEXT(Y67)))</formula>
    </cfRule>
    <cfRule type="expression" dxfId="6209" priority="9403">
      <formula>AND(AW67&gt;5,X67="NA")</formula>
    </cfRule>
    <cfRule type="expression" dxfId="6208" priority="9404">
      <formula>AND(AW67&lt;5,X67="NA")</formula>
    </cfRule>
    <cfRule type="expression" dxfId="6207" priority="9405">
      <formula>AND(X67&lt;&gt;"NA",X67&gt;$Y$16)</formula>
    </cfRule>
  </conditionalFormatting>
  <conditionalFormatting sqref="Y67">
    <cfRule type="expression" priority="9369" stopIfTrue="1">
      <formula>"ISBLANK($K$185)"</formula>
    </cfRule>
    <cfRule type="expression" dxfId="6206" priority="9396">
      <formula>AND(OR(AW67=0,ISBLANK(Y67)),B67&lt;&gt;"")</formula>
    </cfRule>
    <cfRule type="expression" dxfId="6205" priority="9397">
      <formula>AND(Y67="NA",NOT(ISTEXT(X67)))</formula>
    </cfRule>
    <cfRule type="expression" dxfId="6204" priority="9398">
      <formula>AND(AW67&gt;5,Y67="NA")</formula>
    </cfRule>
    <cfRule type="expression" dxfId="6203" priority="9399">
      <formula>AND(AW67&lt;5,Y67="NA")</formula>
    </cfRule>
    <cfRule type="expression" dxfId="6202" priority="9400">
      <formula>AND(Y67&lt;&gt;"NA",Y67&gt;$Y$16)</formula>
    </cfRule>
  </conditionalFormatting>
  <conditionalFormatting sqref="N67">
    <cfRule type="expression" priority="9380" stopIfTrue="1">
      <formula>"ISBLANK($K$185)"</formula>
    </cfRule>
    <cfRule type="expression" dxfId="6201" priority="9451">
      <formula>AND(OR(AW67=0,ISBLANK(N67)),B67&lt;&gt;"")</formula>
    </cfRule>
    <cfRule type="expression" dxfId="6200" priority="9452">
      <formula>AND(N67="NA",NOT(ISTEXT(O67)))</formula>
    </cfRule>
    <cfRule type="expression" dxfId="6199" priority="9453">
      <formula>AND(AW67&gt;5,N67="NA")</formula>
    </cfRule>
    <cfRule type="expression" dxfId="6198" priority="9454">
      <formula>AND(AW67&lt;5,N67="NA")</formula>
    </cfRule>
    <cfRule type="expression" dxfId="6197" priority="9455">
      <formula>AND(N67&lt;&gt;"NA",N67&gt;$N$16)</formula>
    </cfRule>
  </conditionalFormatting>
  <conditionalFormatting sqref="O68">
    <cfRule type="expression" priority="9288" stopIfTrue="1">
      <formula>"ISBLANK($K$185)"</formula>
    </cfRule>
    <cfRule type="expression" dxfId="6196" priority="9355">
      <formula>AND(OR(AW68=0,ISBLANK(O68)),B68&lt;&gt;"")</formula>
    </cfRule>
    <cfRule type="expression" dxfId="6195" priority="9356">
      <formula>AND(O68="NA",NOT(ISTEXT(N68)))</formula>
    </cfRule>
    <cfRule type="expression" dxfId="6194" priority="9357">
      <formula>AND(AW68&gt;5,O68="NA")</formula>
    </cfRule>
    <cfRule type="expression" dxfId="6193" priority="9358">
      <formula>AND(AW68&lt;5,O68="NA")</formula>
    </cfRule>
    <cfRule type="expression" dxfId="6192" priority="9359">
      <formula>AND(O68&lt;&gt;"NA",O68&gt;$O$16)</formula>
    </cfRule>
  </conditionalFormatting>
  <conditionalFormatting sqref="P68">
    <cfRule type="expression" priority="9287" stopIfTrue="1">
      <formula>"ISBLANK($K$185)"</formula>
    </cfRule>
    <cfRule type="expression" dxfId="6191" priority="9350">
      <formula>AND(OR(AW68=0,ISBLANK(P68)),B68&lt;&gt;"")</formula>
    </cfRule>
    <cfRule type="expression" dxfId="6190" priority="9351">
      <formula>AND(P68="NA",NOT(ISTEXT(Q68)))</formula>
    </cfRule>
    <cfRule type="expression" dxfId="6189" priority="9352">
      <formula>AND(AW68&gt;5,P68="NA")</formula>
    </cfRule>
    <cfRule type="expression" dxfId="6188" priority="9353">
      <formula>AND(AW68&lt;5,P68="NA")</formula>
    </cfRule>
    <cfRule type="expression" dxfId="6187" priority="9354">
      <formula>AND(P68&lt;&gt;"NA",P68&gt;$P$16)</formula>
    </cfRule>
  </conditionalFormatting>
  <conditionalFormatting sqref="Q68">
    <cfRule type="expression" priority="9286" stopIfTrue="1">
      <formula>"ISBLANK($K$185)"</formula>
    </cfRule>
    <cfRule type="expression" dxfId="6186" priority="9345">
      <formula>AND(OR(AW68=0,ISBLANK(Q68)),B68&lt;&gt;"")</formula>
    </cfRule>
    <cfRule type="expression" dxfId="6185" priority="9346">
      <formula>AND(Q68="NA",NOT(ISTEXT(P68)))</formula>
    </cfRule>
    <cfRule type="expression" dxfId="6184" priority="9347">
      <formula>AND(AW68&gt;5,Q68="NA")</formula>
    </cfRule>
    <cfRule type="expression" dxfId="6183" priority="9348">
      <formula>AND(AW68&lt;5,Q68="NA")</formula>
    </cfRule>
    <cfRule type="expression" dxfId="6182" priority="9349">
      <formula>AND(Q68&lt;&gt;"NA",Q68&gt;$Q$16)</formula>
    </cfRule>
  </conditionalFormatting>
  <conditionalFormatting sqref="R68">
    <cfRule type="expression" priority="9285" stopIfTrue="1">
      <formula>"ISBLANK($K$185)"</formula>
    </cfRule>
    <cfRule type="expression" dxfId="6181" priority="9340">
      <formula>AND(OR(AW68=0,ISBLANK(R68)),B68&lt;&gt;"")</formula>
    </cfRule>
    <cfRule type="expression" dxfId="6180" priority="9341">
      <formula>AND(R68="NA",NOT(ISTEXT(S68)))</formula>
    </cfRule>
    <cfRule type="expression" dxfId="6179" priority="9342">
      <formula>AND(AW68&gt;5,R68="NA")</formula>
    </cfRule>
    <cfRule type="expression" dxfId="6178" priority="9343">
      <formula>AND(AW68&lt;5,R68="NA")</formula>
    </cfRule>
    <cfRule type="expression" dxfId="6177" priority="9344">
      <formula>AND(R68&lt;&gt;"NA",R68&gt;$R$16)</formula>
    </cfRule>
  </conditionalFormatting>
  <conditionalFormatting sqref="S68">
    <cfRule type="expression" priority="9284" stopIfTrue="1">
      <formula>"ISBLANK($K$185)"</formula>
    </cfRule>
    <cfRule type="expression" dxfId="6176" priority="9335">
      <formula>AND(OR(AW68=0,ISBLANK(S68)),B68&lt;&gt;"")</formula>
    </cfRule>
    <cfRule type="expression" dxfId="6175" priority="9336">
      <formula>AND(S68="NA",NOT(ISTEXT(R68)))</formula>
    </cfRule>
    <cfRule type="expression" dxfId="6174" priority="9337">
      <formula>AND(AW68&gt;5,S68="NA")</formula>
    </cfRule>
    <cfRule type="expression" dxfId="6173" priority="9338">
      <formula>AND(AW68&lt;5,S68="NA")</formula>
    </cfRule>
    <cfRule type="expression" dxfId="6172" priority="9339">
      <formula>AND(S68&lt;&gt;"NA",S68&gt;$S$16)</formula>
    </cfRule>
  </conditionalFormatting>
  <conditionalFormatting sqref="T68">
    <cfRule type="expression" priority="9283" stopIfTrue="1">
      <formula>"ISBLANK($K$185)"</formula>
    </cfRule>
    <cfRule type="expression" dxfId="6171" priority="9330">
      <formula>AND(OR(AW68=0,ISBLANK(T68)),B68&lt;&gt;"")</formula>
    </cfRule>
    <cfRule type="expression" dxfId="6170" priority="9331">
      <formula>AND(T68="NA",NOT(ISTEXT(U68)))</formula>
    </cfRule>
    <cfRule type="expression" dxfId="6169" priority="9332">
      <formula>AND(AW68&gt;5,T68="NA")</formula>
    </cfRule>
    <cfRule type="expression" dxfId="6168" priority="9333">
      <formula>AND(AW68&lt;5,T68="NA")</formula>
    </cfRule>
    <cfRule type="expression" dxfId="6167" priority="9334">
      <formula>AND(T68&lt;&gt;"NA",T68&gt;$T$16)</formula>
    </cfRule>
  </conditionalFormatting>
  <conditionalFormatting sqref="U68">
    <cfRule type="expression" priority="9282" stopIfTrue="1">
      <formula>"ISBLANK($K$185)"</formula>
    </cfRule>
    <cfRule type="expression" dxfId="6166" priority="9325">
      <formula>AND(OR(AW68=0,ISBLANK(U68)),B68&lt;&gt;"")</formula>
    </cfRule>
    <cfRule type="expression" dxfId="6165" priority="9326">
      <formula>AND(U68="NA",NOT(ISTEXT(T68)))</formula>
    </cfRule>
    <cfRule type="expression" dxfId="6164" priority="9327">
      <formula>AND(AW68&gt;5,U68="NA")</formula>
    </cfRule>
    <cfRule type="expression" dxfId="6163" priority="9328">
      <formula>AND(AW68&lt;5,U68="NA")</formula>
    </cfRule>
    <cfRule type="expression" dxfId="6162" priority="9329">
      <formula>AND(U68&lt;&gt;"NA",U68&gt;$U$16)</formula>
    </cfRule>
  </conditionalFormatting>
  <conditionalFormatting sqref="V68">
    <cfRule type="expression" priority="9281" stopIfTrue="1">
      <formula>"ISBLANK($K$185)"</formula>
    </cfRule>
    <cfRule type="expression" dxfId="6161" priority="9320">
      <formula>AND(OR(AW68=0,ISBLANK(V68)),B68&lt;&gt;"")</formula>
    </cfRule>
    <cfRule type="expression" dxfId="6160" priority="9321">
      <formula>AND(V68="NA",NOT(ISTEXT(W68)))</formula>
    </cfRule>
    <cfRule type="expression" dxfId="6159" priority="9322">
      <formula>AND(AW68&gt;5,V68="NA")</formula>
    </cfRule>
    <cfRule type="expression" dxfId="6158" priority="9323">
      <formula>AND(AW68&lt;5,V68="NA")</formula>
    </cfRule>
    <cfRule type="expression" dxfId="6157" priority="9324">
      <formula>AND(V68&lt;&gt;"NA",V68&gt;$V$16)</formula>
    </cfRule>
  </conditionalFormatting>
  <conditionalFormatting sqref="W68">
    <cfRule type="expression" priority="9280" stopIfTrue="1">
      <formula>"ISBLANK($K$185)"</formula>
    </cfRule>
    <cfRule type="expression" dxfId="6156" priority="9315">
      <formula>AND(OR(AW68=0,ISBLANK(W68)),B68&lt;&gt;"")</formula>
    </cfRule>
    <cfRule type="expression" dxfId="6155" priority="9316">
      <formula>AND(W68="NA",NOT(ISTEXT(V68)))</formula>
    </cfRule>
    <cfRule type="expression" dxfId="6154" priority="9317">
      <formula>AND(AW68&gt;5,W68="NA")</formula>
    </cfRule>
    <cfRule type="expression" dxfId="6153" priority="9318">
      <formula>AND(AW68&lt;5,W68="NA")</formula>
    </cfRule>
    <cfRule type="expression" dxfId="6152" priority="9319">
      <formula>AND(W68&lt;&gt;"NA",W68&gt;$W$16)</formula>
    </cfRule>
  </conditionalFormatting>
  <conditionalFormatting sqref="X68">
    <cfRule type="expression" priority="9279" stopIfTrue="1">
      <formula>"ISBLANK($K$185)"</formula>
    </cfRule>
    <cfRule type="expression" dxfId="6151" priority="9310">
      <formula>AND(OR(AW68=0,ISBLANK(X68)),B68&lt;&gt;"")</formula>
    </cfRule>
    <cfRule type="expression" dxfId="6150" priority="9311">
      <formula>AND(X68="NA",NOT(ISTEXT(Y68)))</formula>
    </cfRule>
    <cfRule type="expression" dxfId="6149" priority="9312">
      <formula>AND(AW68&gt;5,X68="NA")</formula>
    </cfRule>
    <cfRule type="expression" dxfId="6148" priority="9313">
      <formula>AND(AW68&lt;5,X68="NA")</formula>
    </cfRule>
    <cfRule type="expression" dxfId="6147" priority="9314">
      <formula>AND(X68&lt;&gt;"NA",X68&gt;$Y$16)</formula>
    </cfRule>
  </conditionalFormatting>
  <conditionalFormatting sqref="Y68">
    <cfRule type="expression" priority="9278" stopIfTrue="1">
      <formula>"ISBLANK($K$185)"</formula>
    </cfRule>
    <cfRule type="expression" dxfId="6146" priority="9305">
      <formula>AND(OR(AW68=0,ISBLANK(Y68)),B68&lt;&gt;"")</formula>
    </cfRule>
    <cfRule type="expression" dxfId="6145" priority="9306">
      <formula>AND(Y68="NA",NOT(ISTEXT(X68)))</formula>
    </cfRule>
    <cfRule type="expression" dxfId="6144" priority="9307">
      <formula>AND(AW68&gt;5,Y68="NA")</formula>
    </cfRule>
    <cfRule type="expression" dxfId="6143" priority="9308">
      <formula>AND(AW68&lt;5,Y68="NA")</formula>
    </cfRule>
    <cfRule type="expression" dxfId="6142" priority="9309">
      <formula>AND(Y68&lt;&gt;"NA",Y68&gt;$Y$16)</formula>
    </cfRule>
  </conditionalFormatting>
  <conditionalFormatting sqref="N68">
    <cfRule type="expression" priority="9289" stopIfTrue="1">
      <formula>"ISBLANK($K$185)"</formula>
    </cfRule>
    <cfRule type="expression" dxfId="6141" priority="9360">
      <formula>AND(OR(AW68=0,ISBLANK(N68)),B68&lt;&gt;"")</formula>
    </cfRule>
    <cfRule type="expression" dxfId="6140" priority="9361">
      <formula>AND(N68="NA",NOT(ISTEXT(O68)))</formula>
    </cfRule>
    <cfRule type="expression" dxfId="6139" priority="9362">
      <formula>AND(AW68&gt;5,N68="NA")</formula>
    </cfRule>
    <cfRule type="expression" dxfId="6138" priority="9363">
      <formula>AND(AW68&lt;5,N68="NA")</formula>
    </cfRule>
    <cfRule type="expression" dxfId="6137" priority="9364">
      <formula>AND(N68&lt;&gt;"NA",N68&gt;$N$16)</formula>
    </cfRule>
  </conditionalFormatting>
  <conditionalFormatting sqref="O69">
    <cfRule type="expression" priority="9197" stopIfTrue="1">
      <formula>"ISBLANK($K$185)"</formula>
    </cfRule>
    <cfRule type="expression" dxfId="6136" priority="9264">
      <formula>AND(OR(AW69=0,ISBLANK(O69)),B69&lt;&gt;"")</formula>
    </cfRule>
    <cfRule type="expression" dxfId="6135" priority="9265">
      <formula>AND(O69="NA",NOT(ISTEXT(N69)))</formula>
    </cfRule>
    <cfRule type="expression" dxfId="6134" priority="9266">
      <formula>AND(AW69&gt;5,O69="NA")</formula>
    </cfRule>
    <cfRule type="expression" dxfId="6133" priority="9267">
      <formula>AND(AW69&lt;5,O69="NA")</formula>
    </cfRule>
    <cfRule type="expression" dxfId="6132" priority="9268">
      <formula>AND(O69&lt;&gt;"NA",O69&gt;$O$16)</formula>
    </cfRule>
  </conditionalFormatting>
  <conditionalFormatting sqref="P69">
    <cfRule type="expression" priority="9196" stopIfTrue="1">
      <formula>"ISBLANK($K$185)"</formula>
    </cfRule>
    <cfRule type="expression" dxfId="6131" priority="9259">
      <formula>AND(OR(AW69=0,ISBLANK(P69)),B69&lt;&gt;"")</formula>
    </cfRule>
    <cfRule type="expression" dxfId="6130" priority="9260">
      <formula>AND(P69="NA",NOT(ISTEXT(Q69)))</formula>
    </cfRule>
    <cfRule type="expression" dxfId="6129" priority="9261">
      <formula>AND(AW69&gt;5,P69="NA")</formula>
    </cfRule>
    <cfRule type="expression" dxfId="6128" priority="9262">
      <formula>AND(AW69&lt;5,P69="NA")</formula>
    </cfRule>
    <cfRule type="expression" dxfId="6127" priority="9263">
      <formula>AND(P69&lt;&gt;"NA",P69&gt;$P$16)</formula>
    </cfRule>
  </conditionalFormatting>
  <conditionalFormatting sqref="Q69">
    <cfRule type="expression" priority="9195" stopIfTrue="1">
      <formula>"ISBLANK($K$185)"</formula>
    </cfRule>
    <cfRule type="expression" dxfId="6126" priority="9254">
      <formula>AND(OR(AW69=0,ISBLANK(Q69)),B69&lt;&gt;"")</formula>
    </cfRule>
    <cfRule type="expression" dxfId="6125" priority="9255">
      <formula>AND(Q69="NA",NOT(ISTEXT(P69)))</formula>
    </cfRule>
    <cfRule type="expression" dxfId="6124" priority="9256">
      <formula>AND(AW69&gt;5,Q69="NA")</formula>
    </cfRule>
    <cfRule type="expression" dxfId="6123" priority="9257">
      <formula>AND(AW69&lt;5,Q69="NA")</formula>
    </cfRule>
    <cfRule type="expression" dxfId="6122" priority="9258">
      <formula>AND(Q69&lt;&gt;"NA",Q69&gt;$Q$16)</formula>
    </cfRule>
  </conditionalFormatting>
  <conditionalFormatting sqref="R69">
    <cfRule type="expression" priority="9194" stopIfTrue="1">
      <formula>"ISBLANK($K$185)"</formula>
    </cfRule>
    <cfRule type="expression" dxfId="6121" priority="9249">
      <formula>AND(OR(AW69=0,ISBLANK(R69)),B69&lt;&gt;"")</formula>
    </cfRule>
    <cfRule type="expression" dxfId="6120" priority="9250">
      <formula>AND(R69="NA",NOT(ISTEXT(S69)))</formula>
    </cfRule>
    <cfRule type="expression" dxfId="6119" priority="9251">
      <formula>AND(AW69&gt;5,R69="NA")</formula>
    </cfRule>
    <cfRule type="expression" dxfId="6118" priority="9252">
      <formula>AND(AW69&lt;5,R69="NA")</formula>
    </cfRule>
    <cfRule type="expression" dxfId="6117" priority="9253">
      <formula>AND(R69&lt;&gt;"NA",R69&gt;$R$16)</formula>
    </cfRule>
  </conditionalFormatting>
  <conditionalFormatting sqref="S69">
    <cfRule type="expression" priority="9193" stopIfTrue="1">
      <formula>"ISBLANK($K$185)"</formula>
    </cfRule>
    <cfRule type="expression" dxfId="6116" priority="9244">
      <formula>AND(OR(AW69=0,ISBLANK(S69)),B69&lt;&gt;"")</formula>
    </cfRule>
    <cfRule type="expression" dxfId="6115" priority="9245">
      <formula>AND(S69="NA",NOT(ISTEXT(R69)))</formula>
    </cfRule>
    <cfRule type="expression" dxfId="6114" priority="9246">
      <formula>AND(AW69&gt;5,S69="NA")</formula>
    </cfRule>
    <cfRule type="expression" dxfId="6113" priority="9247">
      <formula>AND(AW69&lt;5,S69="NA")</formula>
    </cfRule>
    <cfRule type="expression" dxfId="6112" priority="9248">
      <formula>AND(S69&lt;&gt;"NA",S69&gt;$S$16)</formula>
    </cfRule>
  </conditionalFormatting>
  <conditionalFormatting sqref="T69">
    <cfRule type="expression" priority="9192" stopIfTrue="1">
      <formula>"ISBLANK($K$185)"</formula>
    </cfRule>
    <cfRule type="expression" dxfId="6111" priority="9239">
      <formula>AND(OR(AW69=0,ISBLANK(T69)),B69&lt;&gt;"")</formula>
    </cfRule>
    <cfRule type="expression" dxfId="6110" priority="9240">
      <formula>AND(T69="NA",NOT(ISTEXT(U69)))</formula>
    </cfRule>
    <cfRule type="expression" dxfId="6109" priority="9241">
      <formula>AND(AW69&gt;5,T69="NA")</formula>
    </cfRule>
    <cfRule type="expression" dxfId="6108" priority="9242">
      <formula>AND(AW69&lt;5,T69="NA")</formula>
    </cfRule>
    <cfRule type="expression" dxfId="6107" priority="9243">
      <formula>AND(T69&lt;&gt;"NA",T69&gt;$T$16)</formula>
    </cfRule>
  </conditionalFormatting>
  <conditionalFormatting sqref="U69">
    <cfRule type="expression" priority="9191" stopIfTrue="1">
      <formula>"ISBLANK($K$185)"</formula>
    </cfRule>
    <cfRule type="expression" dxfId="6106" priority="9234">
      <formula>AND(OR(AW69=0,ISBLANK(U69)),B69&lt;&gt;"")</formula>
    </cfRule>
    <cfRule type="expression" dxfId="6105" priority="9235">
      <formula>AND(U69="NA",NOT(ISTEXT(T69)))</formula>
    </cfRule>
    <cfRule type="expression" dxfId="6104" priority="9236">
      <formula>AND(AW69&gt;5,U69="NA")</formula>
    </cfRule>
    <cfRule type="expression" dxfId="6103" priority="9237">
      <formula>AND(AW69&lt;5,U69="NA")</formula>
    </cfRule>
    <cfRule type="expression" dxfId="6102" priority="9238">
      <formula>AND(U69&lt;&gt;"NA",U69&gt;$U$16)</formula>
    </cfRule>
  </conditionalFormatting>
  <conditionalFormatting sqref="V69">
    <cfRule type="expression" priority="9190" stopIfTrue="1">
      <formula>"ISBLANK($K$185)"</formula>
    </cfRule>
    <cfRule type="expression" dxfId="6101" priority="9229">
      <formula>AND(OR(AW69=0,ISBLANK(V69)),B69&lt;&gt;"")</formula>
    </cfRule>
    <cfRule type="expression" dxfId="6100" priority="9230">
      <formula>AND(V69="NA",NOT(ISTEXT(W69)))</formula>
    </cfRule>
    <cfRule type="expression" dxfId="6099" priority="9231">
      <formula>AND(AW69&gt;5,V69="NA")</formula>
    </cfRule>
    <cfRule type="expression" dxfId="6098" priority="9232">
      <formula>AND(AW69&lt;5,V69="NA")</formula>
    </cfRule>
    <cfRule type="expression" dxfId="6097" priority="9233">
      <formula>AND(V69&lt;&gt;"NA",V69&gt;$V$16)</formula>
    </cfRule>
  </conditionalFormatting>
  <conditionalFormatting sqref="W69">
    <cfRule type="expression" priority="9189" stopIfTrue="1">
      <formula>"ISBLANK($K$185)"</formula>
    </cfRule>
    <cfRule type="expression" dxfId="6096" priority="9224">
      <formula>AND(OR(AW69=0,ISBLANK(W69)),B69&lt;&gt;"")</formula>
    </cfRule>
    <cfRule type="expression" dxfId="6095" priority="9225">
      <formula>AND(W69="NA",NOT(ISTEXT(V69)))</formula>
    </cfRule>
    <cfRule type="expression" dxfId="6094" priority="9226">
      <formula>AND(AW69&gt;5,W69="NA")</formula>
    </cfRule>
    <cfRule type="expression" dxfId="6093" priority="9227">
      <formula>AND(AW69&lt;5,W69="NA")</formula>
    </cfRule>
    <cfRule type="expression" dxfId="6092" priority="9228">
      <formula>AND(W69&lt;&gt;"NA",W69&gt;$W$16)</formula>
    </cfRule>
  </conditionalFormatting>
  <conditionalFormatting sqref="X69">
    <cfRule type="expression" priority="9188" stopIfTrue="1">
      <formula>"ISBLANK($K$185)"</formula>
    </cfRule>
    <cfRule type="expression" dxfId="6091" priority="9219">
      <formula>AND(OR(AW69=0,ISBLANK(X69)),B69&lt;&gt;"")</formula>
    </cfRule>
    <cfRule type="expression" dxfId="6090" priority="9220">
      <formula>AND(X69="NA",NOT(ISTEXT(Y69)))</formula>
    </cfRule>
    <cfRule type="expression" dxfId="6089" priority="9221">
      <formula>AND(AW69&gt;5,X69="NA")</formula>
    </cfRule>
    <cfRule type="expression" dxfId="6088" priority="9222">
      <formula>AND(AW69&lt;5,X69="NA")</formula>
    </cfRule>
    <cfRule type="expression" dxfId="6087" priority="9223">
      <formula>AND(X69&lt;&gt;"NA",X69&gt;$Y$16)</formula>
    </cfRule>
  </conditionalFormatting>
  <conditionalFormatting sqref="Y69">
    <cfRule type="expression" priority="9187" stopIfTrue="1">
      <formula>"ISBLANK($K$185)"</formula>
    </cfRule>
    <cfRule type="expression" dxfId="6086" priority="9214">
      <formula>AND(OR(AW69=0,ISBLANK(Y69)),B69&lt;&gt;"")</formula>
    </cfRule>
    <cfRule type="expression" dxfId="6085" priority="9215">
      <formula>AND(Y69="NA",NOT(ISTEXT(X69)))</formula>
    </cfRule>
    <cfRule type="expression" dxfId="6084" priority="9216">
      <formula>AND(AW69&gt;5,Y69="NA")</formula>
    </cfRule>
    <cfRule type="expression" dxfId="6083" priority="9217">
      <formula>AND(AW69&lt;5,Y69="NA")</formula>
    </cfRule>
    <cfRule type="expression" dxfId="6082" priority="9218">
      <formula>AND(Y69&lt;&gt;"NA",Y69&gt;$Y$16)</formula>
    </cfRule>
  </conditionalFormatting>
  <conditionalFormatting sqref="N69">
    <cfRule type="expression" priority="9198" stopIfTrue="1">
      <formula>"ISBLANK($K$185)"</formula>
    </cfRule>
    <cfRule type="expression" dxfId="6081" priority="9269">
      <formula>AND(OR(AW69=0,ISBLANK(N69)),B69&lt;&gt;"")</formula>
    </cfRule>
    <cfRule type="expression" dxfId="6080" priority="9270">
      <formula>AND(N69="NA",NOT(ISTEXT(O69)))</formula>
    </cfRule>
    <cfRule type="expression" dxfId="6079" priority="9271">
      <formula>AND(AW69&gt;5,N69="NA")</formula>
    </cfRule>
    <cfRule type="expression" dxfId="6078" priority="9272">
      <formula>AND(AW69&lt;5,N69="NA")</formula>
    </cfRule>
    <cfRule type="expression" dxfId="6077" priority="9273">
      <formula>AND(N69&lt;&gt;"NA",N69&gt;$N$16)</formula>
    </cfRule>
  </conditionalFormatting>
  <conditionalFormatting sqref="O70">
    <cfRule type="expression" priority="9106" stopIfTrue="1">
      <formula>"ISBLANK($K$185)"</formula>
    </cfRule>
    <cfRule type="expression" dxfId="6076" priority="9173">
      <formula>AND(OR(AW70=0,ISBLANK(O70)),B70&lt;&gt;"")</formula>
    </cfRule>
    <cfRule type="expression" dxfId="6075" priority="9174">
      <formula>AND(O70="NA",NOT(ISTEXT(N70)))</formula>
    </cfRule>
    <cfRule type="expression" dxfId="6074" priority="9175">
      <formula>AND(AW70&gt;5,O70="NA")</formula>
    </cfRule>
    <cfRule type="expression" dxfId="6073" priority="9176">
      <formula>AND(AW70&lt;5,O70="NA")</formula>
    </cfRule>
    <cfRule type="expression" dxfId="6072" priority="9177">
      <formula>AND(O70&lt;&gt;"NA",O70&gt;$O$16)</formula>
    </cfRule>
  </conditionalFormatting>
  <conditionalFormatting sqref="P70">
    <cfRule type="expression" priority="9105" stopIfTrue="1">
      <formula>"ISBLANK($K$185)"</formula>
    </cfRule>
    <cfRule type="expression" dxfId="6071" priority="9168">
      <formula>AND(OR(AW70=0,ISBLANK(P70)),B70&lt;&gt;"")</formula>
    </cfRule>
    <cfRule type="expression" dxfId="6070" priority="9169">
      <formula>AND(P70="NA",NOT(ISTEXT(Q70)))</formula>
    </cfRule>
    <cfRule type="expression" dxfId="6069" priority="9170">
      <formula>AND(AW70&gt;5,P70="NA")</formula>
    </cfRule>
    <cfRule type="expression" dxfId="6068" priority="9171">
      <formula>AND(AW70&lt;5,P70="NA")</formula>
    </cfRule>
    <cfRule type="expression" dxfId="6067" priority="9172">
      <formula>AND(P70&lt;&gt;"NA",P70&gt;$P$16)</formula>
    </cfRule>
  </conditionalFormatting>
  <conditionalFormatting sqref="Q70">
    <cfRule type="expression" priority="9104" stopIfTrue="1">
      <formula>"ISBLANK($K$185)"</formula>
    </cfRule>
    <cfRule type="expression" dxfId="6066" priority="9163">
      <formula>AND(OR(AW70=0,ISBLANK(Q70)),B70&lt;&gt;"")</formula>
    </cfRule>
    <cfRule type="expression" dxfId="6065" priority="9164">
      <formula>AND(Q70="NA",NOT(ISTEXT(P70)))</formula>
    </cfRule>
    <cfRule type="expression" dxfId="6064" priority="9165">
      <formula>AND(AW70&gt;5,Q70="NA")</formula>
    </cfRule>
    <cfRule type="expression" dxfId="6063" priority="9166">
      <formula>AND(AW70&lt;5,Q70="NA")</formula>
    </cfRule>
    <cfRule type="expression" dxfId="6062" priority="9167">
      <formula>AND(Q70&lt;&gt;"NA",Q70&gt;$Q$16)</formula>
    </cfRule>
  </conditionalFormatting>
  <conditionalFormatting sqref="R70">
    <cfRule type="expression" priority="9103" stopIfTrue="1">
      <formula>"ISBLANK($K$185)"</formula>
    </cfRule>
    <cfRule type="expression" dxfId="6061" priority="9158">
      <formula>AND(OR(AW70=0,ISBLANK(R70)),B70&lt;&gt;"")</formula>
    </cfRule>
    <cfRule type="expression" dxfId="6060" priority="9159">
      <formula>AND(R70="NA",NOT(ISTEXT(S70)))</formula>
    </cfRule>
    <cfRule type="expression" dxfId="6059" priority="9160">
      <formula>AND(AW70&gt;5,R70="NA")</formula>
    </cfRule>
    <cfRule type="expression" dxfId="6058" priority="9161">
      <formula>AND(AW70&lt;5,R70="NA")</formula>
    </cfRule>
    <cfRule type="expression" dxfId="6057" priority="9162">
      <formula>AND(R70&lt;&gt;"NA",R70&gt;$R$16)</formula>
    </cfRule>
  </conditionalFormatting>
  <conditionalFormatting sqref="S70">
    <cfRule type="expression" priority="9102" stopIfTrue="1">
      <formula>"ISBLANK($K$185)"</formula>
    </cfRule>
    <cfRule type="expression" dxfId="6056" priority="9153">
      <formula>AND(OR(AW70=0,ISBLANK(S70)),B70&lt;&gt;"")</formula>
    </cfRule>
    <cfRule type="expression" dxfId="6055" priority="9154">
      <formula>AND(S70="NA",NOT(ISTEXT(R70)))</formula>
    </cfRule>
    <cfRule type="expression" dxfId="6054" priority="9155">
      <formula>AND(AW70&gt;5,S70="NA")</formula>
    </cfRule>
    <cfRule type="expression" dxfId="6053" priority="9156">
      <formula>AND(AW70&lt;5,S70="NA")</formula>
    </cfRule>
    <cfRule type="expression" dxfId="6052" priority="9157">
      <formula>AND(S70&lt;&gt;"NA",S70&gt;$S$16)</formula>
    </cfRule>
  </conditionalFormatting>
  <conditionalFormatting sqref="T70">
    <cfRule type="expression" priority="9101" stopIfTrue="1">
      <formula>"ISBLANK($K$185)"</formula>
    </cfRule>
    <cfRule type="expression" dxfId="6051" priority="9148">
      <formula>AND(OR(AW70=0,ISBLANK(T70)),B70&lt;&gt;"")</formula>
    </cfRule>
    <cfRule type="expression" dxfId="6050" priority="9149">
      <formula>AND(T70="NA",NOT(ISTEXT(U70)))</formula>
    </cfRule>
    <cfRule type="expression" dxfId="6049" priority="9150">
      <formula>AND(AW70&gt;5,T70="NA")</formula>
    </cfRule>
    <cfRule type="expression" dxfId="6048" priority="9151">
      <formula>AND(AW70&lt;5,T70="NA")</formula>
    </cfRule>
    <cfRule type="expression" dxfId="6047" priority="9152">
      <formula>AND(T70&lt;&gt;"NA",T70&gt;$T$16)</formula>
    </cfRule>
  </conditionalFormatting>
  <conditionalFormatting sqref="U70">
    <cfRule type="expression" priority="9100" stopIfTrue="1">
      <formula>"ISBLANK($K$185)"</formula>
    </cfRule>
    <cfRule type="expression" dxfId="6046" priority="9143">
      <formula>AND(OR(AW70=0,ISBLANK(U70)),B70&lt;&gt;"")</formula>
    </cfRule>
    <cfRule type="expression" dxfId="6045" priority="9144">
      <formula>AND(U70="NA",NOT(ISTEXT(T70)))</formula>
    </cfRule>
    <cfRule type="expression" dxfId="6044" priority="9145">
      <formula>AND(AW70&gt;5,U70="NA")</formula>
    </cfRule>
    <cfRule type="expression" dxfId="6043" priority="9146">
      <formula>AND(AW70&lt;5,U70="NA")</formula>
    </cfRule>
    <cfRule type="expression" dxfId="6042" priority="9147">
      <formula>AND(U70&lt;&gt;"NA",U70&gt;$U$16)</formula>
    </cfRule>
  </conditionalFormatting>
  <conditionalFormatting sqref="V70">
    <cfRule type="expression" priority="9099" stopIfTrue="1">
      <formula>"ISBLANK($K$185)"</formula>
    </cfRule>
    <cfRule type="expression" dxfId="6041" priority="9138">
      <formula>AND(OR(AW70=0,ISBLANK(V70)),B70&lt;&gt;"")</formula>
    </cfRule>
    <cfRule type="expression" dxfId="6040" priority="9139">
      <formula>AND(V70="NA",NOT(ISTEXT(W70)))</formula>
    </cfRule>
    <cfRule type="expression" dxfId="6039" priority="9140">
      <formula>AND(AW70&gt;5,V70="NA")</formula>
    </cfRule>
    <cfRule type="expression" dxfId="6038" priority="9141">
      <formula>AND(AW70&lt;5,V70="NA")</formula>
    </cfRule>
    <cfRule type="expression" dxfId="6037" priority="9142">
      <formula>AND(V70&lt;&gt;"NA",V70&gt;$V$16)</formula>
    </cfRule>
  </conditionalFormatting>
  <conditionalFormatting sqref="W70">
    <cfRule type="expression" priority="9098" stopIfTrue="1">
      <formula>"ISBLANK($K$185)"</formula>
    </cfRule>
    <cfRule type="expression" dxfId="6036" priority="9133">
      <formula>AND(OR(AW70=0,ISBLANK(W70)),B70&lt;&gt;"")</formula>
    </cfRule>
    <cfRule type="expression" dxfId="6035" priority="9134">
      <formula>AND(W70="NA",NOT(ISTEXT(V70)))</formula>
    </cfRule>
    <cfRule type="expression" dxfId="6034" priority="9135">
      <formula>AND(AW70&gt;5,W70="NA")</formula>
    </cfRule>
    <cfRule type="expression" dxfId="6033" priority="9136">
      <formula>AND(AW70&lt;5,W70="NA")</formula>
    </cfRule>
    <cfRule type="expression" dxfId="6032" priority="9137">
      <formula>AND(W70&lt;&gt;"NA",W70&gt;$W$16)</formula>
    </cfRule>
  </conditionalFormatting>
  <conditionalFormatting sqref="X70">
    <cfRule type="expression" priority="9097" stopIfTrue="1">
      <formula>"ISBLANK($K$185)"</formula>
    </cfRule>
    <cfRule type="expression" dxfId="6031" priority="9128">
      <formula>AND(OR(AW70=0,ISBLANK(X70)),B70&lt;&gt;"")</formula>
    </cfRule>
    <cfRule type="expression" dxfId="6030" priority="9129">
      <formula>AND(X70="NA",NOT(ISTEXT(Y70)))</formula>
    </cfRule>
    <cfRule type="expression" dxfId="6029" priority="9130">
      <formula>AND(AW70&gt;5,X70="NA")</formula>
    </cfRule>
    <cfRule type="expression" dxfId="6028" priority="9131">
      <formula>AND(AW70&lt;5,X70="NA")</formula>
    </cfRule>
    <cfRule type="expression" dxfId="6027" priority="9132">
      <formula>AND(X70&lt;&gt;"NA",X70&gt;$Y$16)</formula>
    </cfRule>
  </conditionalFormatting>
  <conditionalFormatting sqref="Y70">
    <cfRule type="expression" priority="9096" stopIfTrue="1">
      <formula>"ISBLANK($K$185)"</formula>
    </cfRule>
    <cfRule type="expression" dxfId="6026" priority="9123">
      <formula>AND(OR(AW70=0,ISBLANK(Y70)),B70&lt;&gt;"")</formula>
    </cfRule>
    <cfRule type="expression" dxfId="6025" priority="9124">
      <formula>AND(Y70="NA",NOT(ISTEXT(X70)))</formula>
    </cfRule>
    <cfRule type="expression" dxfId="6024" priority="9125">
      <formula>AND(AW70&gt;5,Y70="NA")</formula>
    </cfRule>
    <cfRule type="expression" dxfId="6023" priority="9126">
      <formula>AND(AW70&lt;5,Y70="NA")</formula>
    </cfRule>
    <cfRule type="expression" dxfId="6022" priority="9127">
      <formula>AND(Y70&lt;&gt;"NA",Y70&gt;$Y$16)</formula>
    </cfRule>
  </conditionalFormatting>
  <conditionalFormatting sqref="N70">
    <cfRule type="expression" priority="9107" stopIfTrue="1">
      <formula>"ISBLANK($K$185)"</formula>
    </cfRule>
    <cfRule type="expression" dxfId="6021" priority="9178">
      <formula>AND(OR(AW70=0,ISBLANK(N70)),B70&lt;&gt;"")</formula>
    </cfRule>
    <cfRule type="expression" dxfId="6020" priority="9179">
      <formula>AND(N70="NA",NOT(ISTEXT(O70)))</formula>
    </cfRule>
    <cfRule type="expression" dxfId="6019" priority="9180">
      <formula>AND(AW70&gt;5,N70="NA")</formula>
    </cfRule>
    <cfRule type="expression" dxfId="6018" priority="9181">
      <formula>AND(AW70&lt;5,N70="NA")</formula>
    </cfRule>
    <cfRule type="expression" dxfId="6017" priority="9182">
      <formula>AND(N70&lt;&gt;"NA",N70&gt;$N$16)</formula>
    </cfRule>
  </conditionalFormatting>
  <conditionalFormatting sqref="O71">
    <cfRule type="expression" priority="9015" stopIfTrue="1">
      <formula>"ISBLANK($K$185)"</formula>
    </cfRule>
    <cfRule type="expression" dxfId="6016" priority="9082">
      <formula>AND(OR(AW71=0,ISBLANK(O71)),B71&lt;&gt;"")</formula>
    </cfRule>
    <cfRule type="expression" dxfId="6015" priority="9083">
      <formula>AND(O71="NA",NOT(ISTEXT(N71)))</formula>
    </cfRule>
    <cfRule type="expression" dxfId="6014" priority="9084">
      <formula>AND(AW71&gt;5,O71="NA")</formula>
    </cfRule>
    <cfRule type="expression" dxfId="6013" priority="9085">
      <formula>AND(AW71&lt;5,O71="NA")</formula>
    </cfRule>
    <cfRule type="expression" dxfId="6012" priority="9086">
      <formula>AND(O71&lt;&gt;"NA",O71&gt;$O$16)</formula>
    </cfRule>
  </conditionalFormatting>
  <conditionalFormatting sqref="P71">
    <cfRule type="expression" priority="9014" stopIfTrue="1">
      <formula>"ISBLANK($K$185)"</formula>
    </cfRule>
    <cfRule type="expression" dxfId="6011" priority="9077">
      <formula>AND(OR(AW71=0,ISBLANK(P71)),B71&lt;&gt;"")</formula>
    </cfRule>
    <cfRule type="expression" dxfId="6010" priority="9078">
      <formula>AND(P71="NA",NOT(ISTEXT(Q71)))</formula>
    </cfRule>
    <cfRule type="expression" dxfId="6009" priority="9079">
      <formula>AND(AW71&gt;5,P71="NA")</formula>
    </cfRule>
    <cfRule type="expression" dxfId="6008" priority="9080">
      <formula>AND(AW71&lt;5,P71="NA")</formula>
    </cfRule>
    <cfRule type="expression" dxfId="6007" priority="9081">
      <formula>AND(P71&lt;&gt;"NA",P71&gt;$P$16)</formula>
    </cfRule>
  </conditionalFormatting>
  <conditionalFormatting sqref="Q71">
    <cfRule type="expression" priority="9013" stopIfTrue="1">
      <formula>"ISBLANK($K$185)"</formula>
    </cfRule>
    <cfRule type="expression" dxfId="6006" priority="9072">
      <formula>AND(OR(AW71=0,ISBLANK(Q71)),B71&lt;&gt;"")</formula>
    </cfRule>
    <cfRule type="expression" dxfId="6005" priority="9073">
      <formula>AND(Q71="NA",NOT(ISTEXT(P71)))</formula>
    </cfRule>
    <cfRule type="expression" dxfId="6004" priority="9074">
      <formula>AND(AW71&gt;5,Q71="NA")</formula>
    </cfRule>
    <cfRule type="expression" dxfId="6003" priority="9075">
      <formula>AND(AW71&lt;5,Q71="NA")</formula>
    </cfRule>
    <cfRule type="expression" dxfId="6002" priority="9076">
      <formula>AND(Q71&lt;&gt;"NA",Q71&gt;$Q$16)</formula>
    </cfRule>
  </conditionalFormatting>
  <conditionalFormatting sqref="R71">
    <cfRule type="expression" priority="9012" stopIfTrue="1">
      <formula>"ISBLANK($K$185)"</formula>
    </cfRule>
    <cfRule type="expression" dxfId="6001" priority="9067">
      <formula>AND(OR(AW71=0,ISBLANK(R71)),B71&lt;&gt;"")</formula>
    </cfRule>
    <cfRule type="expression" dxfId="6000" priority="9068">
      <formula>AND(R71="NA",NOT(ISTEXT(S71)))</formula>
    </cfRule>
    <cfRule type="expression" dxfId="5999" priority="9069">
      <formula>AND(AW71&gt;5,R71="NA")</formula>
    </cfRule>
    <cfRule type="expression" dxfId="5998" priority="9070">
      <formula>AND(AW71&lt;5,R71="NA")</formula>
    </cfRule>
    <cfRule type="expression" dxfId="5997" priority="9071">
      <formula>AND(R71&lt;&gt;"NA",R71&gt;$R$16)</formula>
    </cfRule>
  </conditionalFormatting>
  <conditionalFormatting sqref="S71">
    <cfRule type="expression" priority="9011" stopIfTrue="1">
      <formula>"ISBLANK($K$185)"</formula>
    </cfRule>
    <cfRule type="expression" dxfId="5996" priority="9062">
      <formula>AND(OR(AW71=0,ISBLANK(S71)),B71&lt;&gt;"")</formula>
    </cfRule>
    <cfRule type="expression" dxfId="5995" priority="9063">
      <formula>AND(S71="NA",NOT(ISTEXT(R71)))</formula>
    </cfRule>
    <cfRule type="expression" dxfId="5994" priority="9064">
      <formula>AND(AW71&gt;5,S71="NA")</formula>
    </cfRule>
    <cfRule type="expression" dxfId="5993" priority="9065">
      <formula>AND(AW71&lt;5,S71="NA")</formula>
    </cfRule>
    <cfRule type="expression" dxfId="5992" priority="9066">
      <formula>AND(S71&lt;&gt;"NA",S71&gt;$S$16)</formula>
    </cfRule>
  </conditionalFormatting>
  <conditionalFormatting sqref="T71">
    <cfRule type="expression" priority="9010" stopIfTrue="1">
      <formula>"ISBLANK($K$185)"</formula>
    </cfRule>
    <cfRule type="expression" dxfId="5991" priority="9057">
      <formula>AND(OR(AW71=0,ISBLANK(T71)),B71&lt;&gt;"")</formula>
    </cfRule>
    <cfRule type="expression" dxfId="5990" priority="9058">
      <formula>AND(T71="NA",NOT(ISTEXT(U71)))</formula>
    </cfRule>
    <cfRule type="expression" dxfId="5989" priority="9059">
      <formula>AND(AW71&gt;5,T71="NA")</formula>
    </cfRule>
    <cfRule type="expression" dxfId="5988" priority="9060">
      <formula>AND(AW71&lt;5,T71="NA")</formula>
    </cfRule>
    <cfRule type="expression" dxfId="5987" priority="9061">
      <formula>AND(T71&lt;&gt;"NA",T71&gt;$T$16)</formula>
    </cfRule>
  </conditionalFormatting>
  <conditionalFormatting sqref="U71">
    <cfRule type="expression" priority="9009" stopIfTrue="1">
      <formula>"ISBLANK($K$185)"</formula>
    </cfRule>
    <cfRule type="expression" dxfId="5986" priority="9052">
      <formula>AND(OR(AW71=0,ISBLANK(U71)),B71&lt;&gt;"")</formula>
    </cfRule>
    <cfRule type="expression" dxfId="5985" priority="9053">
      <formula>AND(U71="NA",NOT(ISTEXT(T71)))</formula>
    </cfRule>
    <cfRule type="expression" dxfId="5984" priority="9054">
      <formula>AND(AW71&gt;5,U71="NA")</formula>
    </cfRule>
    <cfRule type="expression" dxfId="5983" priority="9055">
      <formula>AND(AW71&lt;5,U71="NA")</formula>
    </cfRule>
    <cfRule type="expression" dxfId="5982" priority="9056">
      <formula>AND(U71&lt;&gt;"NA",U71&gt;$U$16)</formula>
    </cfRule>
  </conditionalFormatting>
  <conditionalFormatting sqref="V71">
    <cfRule type="expression" priority="9008" stopIfTrue="1">
      <formula>"ISBLANK($K$185)"</formula>
    </cfRule>
    <cfRule type="expression" dxfId="5981" priority="9047">
      <formula>AND(OR(AW71=0,ISBLANK(V71)),B71&lt;&gt;"")</formula>
    </cfRule>
    <cfRule type="expression" dxfId="5980" priority="9048">
      <formula>AND(V71="NA",NOT(ISTEXT(W71)))</formula>
    </cfRule>
    <cfRule type="expression" dxfId="5979" priority="9049">
      <formula>AND(AW71&gt;5,V71="NA")</formula>
    </cfRule>
    <cfRule type="expression" dxfId="5978" priority="9050">
      <formula>AND(AW71&lt;5,V71="NA")</formula>
    </cfRule>
    <cfRule type="expression" dxfId="5977" priority="9051">
      <formula>AND(V71&lt;&gt;"NA",V71&gt;$V$16)</formula>
    </cfRule>
  </conditionalFormatting>
  <conditionalFormatting sqref="W71">
    <cfRule type="expression" priority="9007" stopIfTrue="1">
      <formula>"ISBLANK($K$185)"</formula>
    </cfRule>
    <cfRule type="expression" dxfId="5976" priority="9042">
      <formula>AND(OR(AW71=0,ISBLANK(W71)),B71&lt;&gt;"")</formula>
    </cfRule>
    <cfRule type="expression" dxfId="5975" priority="9043">
      <formula>AND(W71="NA",NOT(ISTEXT(V71)))</formula>
    </cfRule>
    <cfRule type="expression" dxfId="5974" priority="9044">
      <formula>AND(AW71&gt;5,W71="NA")</formula>
    </cfRule>
    <cfRule type="expression" dxfId="5973" priority="9045">
      <formula>AND(AW71&lt;5,W71="NA")</formula>
    </cfRule>
    <cfRule type="expression" dxfId="5972" priority="9046">
      <formula>AND(W71&lt;&gt;"NA",W71&gt;$W$16)</formula>
    </cfRule>
  </conditionalFormatting>
  <conditionalFormatting sqref="X71">
    <cfRule type="expression" priority="9006" stopIfTrue="1">
      <formula>"ISBLANK($K$185)"</formula>
    </cfRule>
    <cfRule type="expression" dxfId="5971" priority="9037">
      <formula>AND(OR(AW71=0,ISBLANK(X71)),B71&lt;&gt;"")</formula>
    </cfRule>
    <cfRule type="expression" dxfId="5970" priority="9038">
      <formula>AND(X71="NA",NOT(ISTEXT(Y71)))</formula>
    </cfRule>
    <cfRule type="expression" dxfId="5969" priority="9039">
      <formula>AND(AW71&gt;5,X71="NA")</formula>
    </cfRule>
    <cfRule type="expression" dxfId="5968" priority="9040">
      <formula>AND(AW71&lt;5,X71="NA")</formula>
    </cfRule>
    <cfRule type="expression" dxfId="5967" priority="9041">
      <formula>AND(X71&lt;&gt;"NA",X71&gt;$Y$16)</formula>
    </cfRule>
  </conditionalFormatting>
  <conditionalFormatting sqref="Y71">
    <cfRule type="expression" priority="9005" stopIfTrue="1">
      <formula>"ISBLANK($K$185)"</formula>
    </cfRule>
    <cfRule type="expression" dxfId="5966" priority="9032">
      <formula>AND(OR(AW71=0,ISBLANK(Y71)),B71&lt;&gt;"")</formula>
    </cfRule>
    <cfRule type="expression" dxfId="5965" priority="9033">
      <formula>AND(Y71="NA",NOT(ISTEXT(X71)))</formula>
    </cfRule>
    <cfRule type="expression" dxfId="5964" priority="9034">
      <formula>AND(AW71&gt;5,Y71="NA")</formula>
    </cfRule>
    <cfRule type="expression" dxfId="5963" priority="9035">
      <formula>AND(AW71&lt;5,Y71="NA")</formula>
    </cfRule>
    <cfRule type="expression" dxfId="5962" priority="9036">
      <formula>AND(Y71&lt;&gt;"NA",Y71&gt;$Y$16)</formula>
    </cfRule>
  </conditionalFormatting>
  <conditionalFormatting sqref="N71">
    <cfRule type="expression" priority="9016" stopIfTrue="1">
      <formula>"ISBLANK($K$185)"</formula>
    </cfRule>
    <cfRule type="expression" dxfId="5961" priority="9087">
      <formula>AND(OR(AW71=0,ISBLANK(N71)),B71&lt;&gt;"")</formula>
    </cfRule>
    <cfRule type="expression" dxfId="5960" priority="9088">
      <formula>AND(N71="NA",NOT(ISTEXT(O71)))</formula>
    </cfRule>
    <cfRule type="expression" dxfId="5959" priority="9089">
      <formula>AND(AW71&gt;5,N71="NA")</formula>
    </cfRule>
    <cfRule type="expression" dxfId="5958" priority="9090">
      <formula>AND(AW71&lt;5,N71="NA")</formula>
    </cfRule>
    <cfRule type="expression" dxfId="5957" priority="9091">
      <formula>AND(N71&lt;&gt;"NA",N71&gt;$N$16)</formula>
    </cfRule>
  </conditionalFormatting>
  <conditionalFormatting sqref="O72">
    <cfRule type="expression" priority="8924" stopIfTrue="1">
      <formula>"ISBLANK($K$185)"</formula>
    </cfRule>
    <cfRule type="expression" dxfId="5956" priority="8991">
      <formula>AND(OR(AW72=0,ISBLANK(O72)),B72&lt;&gt;"")</formula>
    </cfRule>
    <cfRule type="expression" dxfId="5955" priority="8992">
      <formula>AND(O72="NA",NOT(ISTEXT(N72)))</formula>
    </cfRule>
    <cfRule type="expression" dxfId="5954" priority="8993">
      <formula>AND(AW72&gt;5,O72="NA")</formula>
    </cfRule>
    <cfRule type="expression" dxfId="5953" priority="8994">
      <formula>AND(AW72&lt;5,O72="NA")</formula>
    </cfRule>
    <cfRule type="expression" dxfId="5952" priority="8995">
      <formula>AND(O72&lt;&gt;"NA",O72&gt;$O$16)</formula>
    </cfRule>
  </conditionalFormatting>
  <conditionalFormatting sqref="P72">
    <cfRule type="expression" priority="8923" stopIfTrue="1">
      <formula>"ISBLANK($K$185)"</formula>
    </cfRule>
    <cfRule type="expression" dxfId="5951" priority="8986">
      <formula>AND(OR(AW72=0,ISBLANK(P72)),B72&lt;&gt;"")</formula>
    </cfRule>
    <cfRule type="expression" dxfId="5950" priority="8987">
      <formula>AND(P72="NA",NOT(ISTEXT(Q72)))</formula>
    </cfRule>
    <cfRule type="expression" dxfId="5949" priority="8988">
      <formula>AND(AW72&gt;5,P72="NA")</formula>
    </cfRule>
    <cfRule type="expression" dxfId="5948" priority="8989">
      <formula>AND(AW72&lt;5,P72="NA")</formula>
    </cfRule>
    <cfRule type="expression" dxfId="5947" priority="8990">
      <formula>AND(P72&lt;&gt;"NA",P72&gt;$P$16)</formula>
    </cfRule>
  </conditionalFormatting>
  <conditionalFormatting sqref="Q72">
    <cfRule type="expression" priority="8922" stopIfTrue="1">
      <formula>"ISBLANK($K$185)"</formula>
    </cfRule>
    <cfRule type="expression" dxfId="5946" priority="8981">
      <formula>AND(OR(AW72=0,ISBLANK(Q72)),B72&lt;&gt;"")</formula>
    </cfRule>
    <cfRule type="expression" dxfId="5945" priority="8982">
      <formula>AND(Q72="NA",NOT(ISTEXT(P72)))</formula>
    </cfRule>
    <cfRule type="expression" dxfId="5944" priority="8983">
      <formula>AND(AW72&gt;5,Q72="NA")</formula>
    </cfRule>
    <cfRule type="expression" dxfId="5943" priority="8984">
      <formula>AND(AW72&lt;5,Q72="NA")</formula>
    </cfRule>
    <cfRule type="expression" dxfId="5942" priority="8985">
      <formula>AND(Q72&lt;&gt;"NA",Q72&gt;$Q$16)</formula>
    </cfRule>
  </conditionalFormatting>
  <conditionalFormatting sqref="R72">
    <cfRule type="expression" priority="8921" stopIfTrue="1">
      <formula>"ISBLANK($K$185)"</formula>
    </cfRule>
    <cfRule type="expression" dxfId="5941" priority="8976">
      <formula>AND(OR(AW72=0,ISBLANK(R72)),B72&lt;&gt;"")</formula>
    </cfRule>
    <cfRule type="expression" dxfId="5940" priority="8977">
      <formula>AND(R72="NA",NOT(ISTEXT(S72)))</formula>
    </cfRule>
    <cfRule type="expression" dxfId="5939" priority="8978">
      <formula>AND(AW72&gt;5,R72="NA")</formula>
    </cfRule>
    <cfRule type="expression" dxfId="5938" priority="8979">
      <formula>AND(AW72&lt;5,R72="NA")</formula>
    </cfRule>
    <cfRule type="expression" dxfId="5937" priority="8980">
      <formula>AND(R72&lt;&gt;"NA",R72&gt;$R$16)</formula>
    </cfRule>
  </conditionalFormatting>
  <conditionalFormatting sqref="S72">
    <cfRule type="expression" priority="8920" stopIfTrue="1">
      <formula>"ISBLANK($K$185)"</formula>
    </cfRule>
    <cfRule type="expression" dxfId="5936" priority="8971">
      <formula>AND(OR(AW72=0,ISBLANK(S72)),B72&lt;&gt;"")</formula>
    </cfRule>
    <cfRule type="expression" dxfId="5935" priority="8972">
      <formula>AND(S72="NA",NOT(ISTEXT(R72)))</formula>
    </cfRule>
    <cfRule type="expression" dxfId="5934" priority="8973">
      <formula>AND(AW72&gt;5,S72="NA")</formula>
    </cfRule>
    <cfRule type="expression" dxfId="5933" priority="8974">
      <formula>AND(AW72&lt;5,S72="NA")</formula>
    </cfRule>
    <cfRule type="expression" dxfId="5932" priority="8975">
      <formula>AND(S72&lt;&gt;"NA",S72&gt;$S$16)</formula>
    </cfRule>
  </conditionalFormatting>
  <conditionalFormatting sqref="T72">
    <cfRule type="expression" priority="8919" stopIfTrue="1">
      <formula>"ISBLANK($K$185)"</formula>
    </cfRule>
    <cfRule type="expression" dxfId="5931" priority="8966">
      <formula>AND(OR(AW72=0,ISBLANK(T72)),B72&lt;&gt;"")</formula>
    </cfRule>
    <cfRule type="expression" dxfId="5930" priority="8967">
      <formula>AND(T72="NA",NOT(ISTEXT(U72)))</formula>
    </cfRule>
    <cfRule type="expression" dxfId="5929" priority="8968">
      <formula>AND(AW72&gt;5,T72="NA")</formula>
    </cfRule>
    <cfRule type="expression" dxfId="5928" priority="8969">
      <formula>AND(AW72&lt;5,T72="NA")</formula>
    </cfRule>
    <cfRule type="expression" dxfId="5927" priority="8970">
      <formula>AND(T72&lt;&gt;"NA",T72&gt;$T$16)</formula>
    </cfRule>
  </conditionalFormatting>
  <conditionalFormatting sqref="U72">
    <cfRule type="expression" priority="8918" stopIfTrue="1">
      <formula>"ISBLANK($K$185)"</formula>
    </cfRule>
    <cfRule type="expression" dxfId="5926" priority="8961">
      <formula>AND(OR(AW72=0,ISBLANK(U72)),B72&lt;&gt;"")</formula>
    </cfRule>
    <cfRule type="expression" dxfId="5925" priority="8962">
      <formula>AND(U72="NA",NOT(ISTEXT(T72)))</formula>
    </cfRule>
    <cfRule type="expression" dxfId="5924" priority="8963">
      <formula>AND(AW72&gt;5,U72="NA")</formula>
    </cfRule>
    <cfRule type="expression" dxfId="5923" priority="8964">
      <formula>AND(AW72&lt;5,U72="NA")</formula>
    </cfRule>
    <cfRule type="expression" dxfId="5922" priority="8965">
      <formula>AND(U72&lt;&gt;"NA",U72&gt;$U$16)</formula>
    </cfRule>
  </conditionalFormatting>
  <conditionalFormatting sqref="V72">
    <cfRule type="expression" priority="8917" stopIfTrue="1">
      <formula>"ISBLANK($K$185)"</formula>
    </cfRule>
    <cfRule type="expression" dxfId="5921" priority="8956">
      <formula>AND(OR(AW72=0,ISBLANK(V72)),B72&lt;&gt;"")</formula>
    </cfRule>
    <cfRule type="expression" dxfId="5920" priority="8957">
      <formula>AND(V72="NA",NOT(ISTEXT(W72)))</formula>
    </cfRule>
    <cfRule type="expression" dxfId="5919" priority="8958">
      <formula>AND(AW72&gt;5,V72="NA")</formula>
    </cfRule>
    <cfRule type="expression" dxfId="5918" priority="8959">
      <formula>AND(AW72&lt;5,V72="NA")</formula>
    </cfRule>
    <cfRule type="expression" dxfId="5917" priority="8960">
      <formula>AND(V72&lt;&gt;"NA",V72&gt;$V$16)</formula>
    </cfRule>
  </conditionalFormatting>
  <conditionalFormatting sqref="W72">
    <cfRule type="expression" priority="8916" stopIfTrue="1">
      <formula>"ISBLANK($K$185)"</formula>
    </cfRule>
    <cfRule type="expression" dxfId="5916" priority="8951">
      <formula>AND(OR(AW72=0,ISBLANK(W72)),B72&lt;&gt;"")</formula>
    </cfRule>
    <cfRule type="expression" dxfId="5915" priority="8952">
      <formula>AND(W72="NA",NOT(ISTEXT(V72)))</formula>
    </cfRule>
    <cfRule type="expression" dxfId="5914" priority="8953">
      <formula>AND(AW72&gt;5,W72="NA")</formula>
    </cfRule>
    <cfRule type="expression" dxfId="5913" priority="8954">
      <formula>AND(AW72&lt;5,W72="NA")</formula>
    </cfRule>
    <cfRule type="expression" dxfId="5912" priority="8955">
      <formula>AND(W72&lt;&gt;"NA",W72&gt;$W$16)</formula>
    </cfRule>
  </conditionalFormatting>
  <conditionalFormatting sqref="X72">
    <cfRule type="expression" priority="8915" stopIfTrue="1">
      <formula>"ISBLANK($K$185)"</formula>
    </cfRule>
    <cfRule type="expression" dxfId="5911" priority="8946">
      <formula>AND(OR(AW72=0,ISBLANK(X72)),B72&lt;&gt;"")</formula>
    </cfRule>
    <cfRule type="expression" dxfId="5910" priority="8947">
      <formula>AND(X72="NA",NOT(ISTEXT(Y72)))</formula>
    </cfRule>
    <cfRule type="expression" dxfId="5909" priority="8948">
      <formula>AND(AW72&gt;5,X72="NA")</formula>
    </cfRule>
    <cfRule type="expression" dxfId="5908" priority="8949">
      <formula>AND(AW72&lt;5,X72="NA")</formula>
    </cfRule>
    <cfRule type="expression" dxfId="5907" priority="8950">
      <formula>AND(X72&lt;&gt;"NA",X72&gt;$Y$16)</formula>
    </cfRule>
  </conditionalFormatting>
  <conditionalFormatting sqref="Y72">
    <cfRule type="expression" priority="8914" stopIfTrue="1">
      <formula>"ISBLANK($K$185)"</formula>
    </cfRule>
    <cfRule type="expression" dxfId="5906" priority="8941">
      <formula>AND(OR(AW72=0,ISBLANK(Y72)),B72&lt;&gt;"")</formula>
    </cfRule>
    <cfRule type="expression" dxfId="5905" priority="8942">
      <formula>AND(Y72="NA",NOT(ISTEXT(X72)))</formula>
    </cfRule>
    <cfRule type="expression" dxfId="5904" priority="8943">
      <formula>AND(AW72&gt;5,Y72="NA")</formula>
    </cfRule>
    <cfRule type="expression" dxfId="5903" priority="8944">
      <formula>AND(AW72&lt;5,Y72="NA")</formula>
    </cfRule>
    <cfRule type="expression" dxfId="5902" priority="8945">
      <formula>AND(Y72&lt;&gt;"NA",Y72&gt;$Y$16)</formula>
    </cfRule>
  </conditionalFormatting>
  <conditionalFormatting sqref="N72">
    <cfRule type="expression" priority="8925" stopIfTrue="1">
      <formula>"ISBLANK($K$185)"</formula>
    </cfRule>
    <cfRule type="expression" dxfId="5901" priority="8996">
      <formula>AND(OR(AW72=0,ISBLANK(N72)),B72&lt;&gt;"")</formula>
    </cfRule>
    <cfRule type="expression" dxfId="5900" priority="8997">
      <formula>AND(N72="NA",NOT(ISTEXT(O72)))</formula>
    </cfRule>
    <cfRule type="expression" dxfId="5899" priority="8998">
      <formula>AND(AW72&gt;5,N72="NA")</formula>
    </cfRule>
    <cfRule type="expression" dxfId="5898" priority="8999">
      <formula>AND(AW72&lt;5,N72="NA")</formula>
    </cfRule>
    <cfRule type="expression" dxfId="5897" priority="9000">
      <formula>AND(N72&lt;&gt;"NA",N72&gt;$N$16)</formula>
    </cfRule>
  </conditionalFormatting>
  <conditionalFormatting sqref="O73">
    <cfRule type="expression" priority="8833" stopIfTrue="1">
      <formula>"ISBLANK($K$185)"</formula>
    </cfRule>
    <cfRule type="expression" dxfId="5896" priority="8900">
      <formula>AND(OR(AW73=0,ISBLANK(O73)),B73&lt;&gt;"")</formula>
    </cfRule>
    <cfRule type="expression" dxfId="5895" priority="8901">
      <formula>AND(O73="NA",NOT(ISTEXT(N73)))</formula>
    </cfRule>
    <cfRule type="expression" dxfId="5894" priority="8902">
      <formula>AND(AW73&gt;5,O73="NA")</formula>
    </cfRule>
    <cfRule type="expression" dxfId="5893" priority="8903">
      <formula>AND(AW73&lt;5,O73="NA")</formula>
    </cfRule>
    <cfRule type="expression" dxfId="5892" priority="8904">
      <formula>AND(O73&lt;&gt;"NA",O73&gt;$O$16)</formula>
    </cfRule>
  </conditionalFormatting>
  <conditionalFormatting sqref="P73">
    <cfRule type="expression" priority="8832" stopIfTrue="1">
      <formula>"ISBLANK($K$185)"</formula>
    </cfRule>
    <cfRule type="expression" dxfId="5891" priority="8895">
      <formula>AND(OR(AW73=0,ISBLANK(P73)),B73&lt;&gt;"")</formula>
    </cfRule>
    <cfRule type="expression" dxfId="5890" priority="8896">
      <formula>AND(P73="NA",NOT(ISTEXT(Q73)))</formula>
    </cfRule>
    <cfRule type="expression" dxfId="5889" priority="8897">
      <formula>AND(AW73&gt;5,P73="NA")</formula>
    </cfRule>
    <cfRule type="expression" dxfId="5888" priority="8898">
      <formula>AND(AW73&lt;5,P73="NA")</formula>
    </cfRule>
    <cfRule type="expression" dxfId="5887" priority="8899">
      <formula>AND(P73&lt;&gt;"NA",P73&gt;$P$16)</formula>
    </cfRule>
  </conditionalFormatting>
  <conditionalFormatting sqref="Q73">
    <cfRule type="expression" priority="8831" stopIfTrue="1">
      <formula>"ISBLANK($K$185)"</formula>
    </cfRule>
    <cfRule type="expression" dxfId="5886" priority="8890">
      <formula>AND(OR(AW73=0,ISBLANK(Q73)),B73&lt;&gt;"")</formula>
    </cfRule>
    <cfRule type="expression" dxfId="5885" priority="8891">
      <formula>AND(Q73="NA",NOT(ISTEXT(P73)))</formula>
    </cfRule>
    <cfRule type="expression" dxfId="5884" priority="8892">
      <formula>AND(AW73&gt;5,Q73="NA")</formula>
    </cfRule>
    <cfRule type="expression" dxfId="5883" priority="8893">
      <formula>AND(AW73&lt;5,Q73="NA")</formula>
    </cfRule>
    <cfRule type="expression" dxfId="5882" priority="8894">
      <formula>AND(Q73&lt;&gt;"NA",Q73&gt;$Q$16)</formula>
    </cfRule>
  </conditionalFormatting>
  <conditionalFormatting sqref="R73">
    <cfRule type="expression" priority="8830" stopIfTrue="1">
      <formula>"ISBLANK($K$185)"</formula>
    </cfRule>
    <cfRule type="expression" dxfId="5881" priority="8885">
      <formula>AND(OR(AW73=0,ISBLANK(R73)),B73&lt;&gt;"")</formula>
    </cfRule>
    <cfRule type="expression" dxfId="5880" priority="8886">
      <formula>AND(R73="NA",NOT(ISTEXT(S73)))</formula>
    </cfRule>
    <cfRule type="expression" dxfId="5879" priority="8887">
      <formula>AND(AW73&gt;5,R73="NA")</formula>
    </cfRule>
    <cfRule type="expression" dxfId="5878" priority="8888">
      <formula>AND(AW73&lt;5,R73="NA")</formula>
    </cfRule>
    <cfRule type="expression" dxfId="5877" priority="8889">
      <formula>AND(R73&lt;&gt;"NA",R73&gt;$R$16)</formula>
    </cfRule>
  </conditionalFormatting>
  <conditionalFormatting sqref="S73">
    <cfRule type="expression" priority="8829" stopIfTrue="1">
      <formula>"ISBLANK($K$185)"</formula>
    </cfRule>
    <cfRule type="expression" dxfId="5876" priority="8880">
      <formula>AND(OR(AW73=0,ISBLANK(S73)),B73&lt;&gt;"")</formula>
    </cfRule>
    <cfRule type="expression" dxfId="5875" priority="8881">
      <formula>AND(S73="NA",NOT(ISTEXT(R73)))</formula>
    </cfRule>
    <cfRule type="expression" dxfId="5874" priority="8882">
      <formula>AND(AW73&gt;5,S73="NA")</formula>
    </cfRule>
    <cfRule type="expression" dxfId="5873" priority="8883">
      <formula>AND(AW73&lt;5,S73="NA")</formula>
    </cfRule>
    <cfRule type="expression" dxfId="5872" priority="8884">
      <formula>AND(S73&lt;&gt;"NA",S73&gt;$S$16)</formula>
    </cfRule>
  </conditionalFormatting>
  <conditionalFormatting sqref="T73">
    <cfRule type="expression" priority="8828" stopIfTrue="1">
      <formula>"ISBLANK($K$185)"</formula>
    </cfRule>
    <cfRule type="expression" dxfId="5871" priority="8875">
      <formula>AND(OR(AW73=0,ISBLANK(T73)),B73&lt;&gt;"")</formula>
    </cfRule>
    <cfRule type="expression" dxfId="5870" priority="8876">
      <formula>AND(T73="NA",NOT(ISTEXT(U73)))</formula>
    </cfRule>
    <cfRule type="expression" dxfId="5869" priority="8877">
      <formula>AND(AW73&gt;5,T73="NA")</formula>
    </cfRule>
    <cfRule type="expression" dxfId="5868" priority="8878">
      <formula>AND(AW73&lt;5,T73="NA")</formula>
    </cfRule>
    <cfRule type="expression" dxfId="5867" priority="8879">
      <formula>AND(T73&lt;&gt;"NA",T73&gt;$T$16)</formula>
    </cfRule>
  </conditionalFormatting>
  <conditionalFormatting sqref="U73">
    <cfRule type="expression" priority="8827" stopIfTrue="1">
      <formula>"ISBLANK($K$185)"</formula>
    </cfRule>
    <cfRule type="expression" dxfId="5866" priority="8870">
      <formula>AND(OR(AW73=0,ISBLANK(U73)),B73&lt;&gt;"")</formula>
    </cfRule>
    <cfRule type="expression" dxfId="5865" priority="8871">
      <formula>AND(U73="NA",NOT(ISTEXT(T73)))</formula>
    </cfRule>
    <cfRule type="expression" dxfId="5864" priority="8872">
      <formula>AND(AW73&gt;5,U73="NA")</formula>
    </cfRule>
    <cfRule type="expression" dxfId="5863" priority="8873">
      <formula>AND(AW73&lt;5,U73="NA")</formula>
    </cfRule>
    <cfRule type="expression" dxfId="5862" priority="8874">
      <formula>AND(U73&lt;&gt;"NA",U73&gt;$U$16)</formula>
    </cfRule>
  </conditionalFormatting>
  <conditionalFormatting sqref="V73">
    <cfRule type="expression" priority="8826" stopIfTrue="1">
      <formula>"ISBLANK($K$185)"</formula>
    </cfRule>
    <cfRule type="expression" dxfId="5861" priority="8865">
      <formula>AND(OR(AW73=0,ISBLANK(V73)),B73&lt;&gt;"")</formula>
    </cfRule>
    <cfRule type="expression" dxfId="5860" priority="8866">
      <formula>AND(V73="NA",NOT(ISTEXT(W73)))</formula>
    </cfRule>
    <cfRule type="expression" dxfId="5859" priority="8867">
      <formula>AND(AW73&gt;5,V73="NA")</formula>
    </cfRule>
    <cfRule type="expression" dxfId="5858" priority="8868">
      <formula>AND(AW73&lt;5,V73="NA")</formula>
    </cfRule>
    <cfRule type="expression" dxfId="5857" priority="8869">
      <formula>AND(V73&lt;&gt;"NA",V73&gt;$V$16)</formula>
    </cfRule>
  </conditionalFormatting>
  <conditionalFormatting sqref="W73">
    <cfRule type="expression" priority="8825" stopIfTrue="1">
      <formula>"ISBLANK($K$185)"</formula>
    </cfRule>
    <cfRule type="expression" dxfId="5856" priority="8860">
      <formula>AND(OR(AW73=0,ISBLANK(W73)),B73&lt;&gt;"")</formula>
    </cfRule>
    <cfRule type="expression" dxfId="5855" priority="8861">
      <formula>AND(W73="NA",NOT(ISTEXT(V73)))</formula>
    </cfRule>
    <cfRule type="expression" dxfId="5854" priority="8862">
      <formula>AND(AW73&gt;5,W73="NA")</formula>
    </cfRule>
    <cfRule type="expression" dxfId="5853" priority="8863">
      <formula>AND(AW73&lt;5,W73="NA")</formula>
    </cfRule>
    <cfRule type="expression" dxfId="5852" priority="8864">
      <formula>AND(W73&lt;&gt;"NA",W73&gt;$W$16)</formula>
    </cfRule>
  </conditionalFormatting>
  <conditionalFormatting sqref="X73">
    <cfRule type="expression" priority="8824" stopIfTrue="1">
      <formula>"ISBLANK($K$185)"</formula>
    </cfRule>
    <cfRule type="expression" dxfId="5851" priority="8855">
      <formula>AND(OR(AW73=0,ISBLANK(X73)),B73&lt;&gt;"")</formula>
    </cfRule>
    <cfRule type="expression" dxfId="5850" priority="8856">
      <formula>AND(X73="NA",NOT(ISTEXT(Y73)))</formula>
    </cfRule>
    <cfRule type="expression" dxfId="5849" priority="8857">
      <formula>AND(AW73&gt;5,X73="NA")</formula>
    </cfRule>
    <cfRule type="expression" dxfId="5848" priority="8858">
      <formula>AND(AW73&lt;5,X73="NA")</formula>
    </cfRule>
    <cfRule type="expression" dxfId="5847" priority="8859">
      <formula>AND(X73&lt;&gt;"NA",X73&gt;$Y$16)</formula>
    </cfRule>
  </conditionalFormatting>
  <conditionalFormatting sqref="Y73">
    <cfRule type="expression" priority="8823" stopIfTrue="1">
      <formula>"ISBLANK($K$185)"</formula>
    </cfRule>
    <cfRule type="expression" dxfId="5846" priority="8850">
      <formula>AND(OR(AW73=0,ISBLANK(Y73)),B73&lt;&gt;"")</formula>
    </cfRule>
    <cfRule type="expression" dxfId="5845" priority="8851">
      <formula>AND(Y73="NA",NOT(ISTEXT(X73)))</formula>
    </cfRule>
    <cfRule type="expression" dxfId="5844" priority="8852">
      <formula>AND(AW73&gt;5,Y73="NA")</formula>
    </cfRule>
    <cfRule type="expression" dxfId="5843" priority="8853">
      <formula>AND(AW73&lt;5,Y73="NA")</formula>
    </cfRule>
    <cfRule type="expression" dxfId="5842" priority="8854">
      <formula>AND(Y73&lt;&gt;"NA",Y73&gt;$Y$16)</formula>
    </cfRule>
  </conditionalFormatting>
  <conditionalFormatting sqref="N73">
    <cfRule type="expression" priority="8834" stopIfTrue="1">
      <formula>"ISBLANK($K$185)"</formula>
    </cfRule>
    <cfRule type="expression" dxfId="5841" priority="8905">
      <formula>AND(OR(AW73=0,ISBLANK(N73)),B73&lt;&gt;"")</formula>
    </cfRule>
    <cfRule type="expression" dxfId="5840" priority="8906">
      <formula>AND(N73="NA",NOT(ISTEXT(O73)))</formula>
    </cfRule>
    <cfRule type="expression" dxfId="5839" priority="8907">
      <formula>AND(AW73&gt;5,N73="NA")</formula>
    </cfRule>
    <cfRule type="expression" dxfId="5838" priority="8908">
      <formula>AND(AW73&lt;5,N73="NA")</formula>
    </cfRule>
    <cfRule type="expression" dxfId="5837" priority="8909">
      <formula>AND(N73&lt;&gt;"NA",N73&gt;$N$16)</formula>
    </cfRule>
  </conditionalFormatting>
  <conditionalFormatting sqref="O74">
    <cfRule type="expression" priority="8742" stopIfTrue="1">
      <formula>"ISBLANK($K$185)"</formula>
    </cfRule>
    <cfRule type="expression" dxfId="5836" priority="8809">
      <formula>AND(OR(AW74=0,ISBLANK(O74)),B74&lt;&gt;"")</formula>
    </cfRule>
    <cfRule type="expression" dxfId="5835" priority="8810">
      <formula>AND(O74="NA",NOT(ISTEXT(N74)))</formula>
    </cfRule>
    <cfRule type="expression" dxfId="5834" priority="8811">
      <formula>AND(AW74&gt;5,O74="NA")</formula>
    </cfRule>
    <cfRule type="expression" dxfId="5833" priority="8812">
      <formula>AND(AW74&lt;5,O74="NA")</formula>
    </cfRule>
    <cfRule type="expression" dxfId="5832" priority="8813">
      <formula>AND(O74&lt;&gt;"NA",O74&gt;$O$16)</formula>
    </cfRule>
  </conditionalFormatting>
  <conditionalFormatting sqref="P74">
    <cfRule type="expression" priority="8741" stopIfTrue="1">
      <formula>"ISBLANK($K$185)"</formula>
    </cfRule>
    <cfRule type="expression" dxfId="5831" priority="8804">
      <formula>AND(OR(AW74=0,ISBLANK(P74)),B74&lt;&gt;"")</formula>
    </cfRule>
    <cfRule type="expression" dxfId="5830" priority="8805">
      <formula>AND(P74="NA",NOT(ISTEXT(Q74)))</formula>
    </cfRule>
    <cfRule type="expression" dxfId="5829" priority="8806">
      <formula>AND(AW74&gt;5,P74="NA")</formula>
    </cfRule>
    <cfRule type="expression" dxfId="5828" priority="8807">
      <formula>AND(AW74&lt;5,P74="NA")</formula>
    </cfRule>
    <cfRule type="expression" dxfId="5827" priority="8808">
      <formula>AND(P74&lt;&gt;"NA",P74&gt;$P$16)</formula>
    </cfRule>
  </conditionalFormatting>
  <conditionalFormatting sqref="Q74">
    <cfRule type="expression" priority="8740" stopIfTrue="1">
      <formula>"ISBLANK($K$185)"</formula>
    </cfRule>
    <cfRule type="expression" dxfId="5826" priority="8799">
      <formula>AND(OR(AW74=0,ISBLANK(Q74)),B74&lt;&gt;"")</formula>
    </cfRule>
    <cfRule type="expression" dxfId="5825" priority="8800">
      <formula>AND(Q74="NA",NOT(ISTEXT(P74)))</formula>
    </cfRule>
    <cfRule type="expression" dxfId="5824" priority="8801">
      <formula>AND(AW74&gt;5,Q74="NA")</formula>
    </cfRule>
    <cfRule type="expression" dxfId="5823" priority="8802">
      <formula>AND(AW74&lt;5,Q74="NA")</formula>
    </cfRule>
    <cfRule type="expression" dxfId="5822" priority="8803">
      <formula>AND(Q74&lt;&gt;"NA",Q74&gt;$Q$16)</formula>
    </cfRule>
  </conditionalFormatting>
  <conditionalFormatting sqref="R74">
    <cfRule type="expression" priority="8739" stopIfTrue="1">
      <formula>"ISBLANK($K$185)"</formula>
    </cfRule>
    <cfRule type="expression" dxfId="5821" priority="8794">
      <formula>AND(OR(AW74=0,ISBLANK(R74)),B74&lt;&gt;"")</formula>
    </cfRule>
    <cfRule type="expression" dxfId="5820" priority="8795">
      <formula>AND(R74="NA",NOT(ISTEXT(S74)))</formula>
    </cfRule>
    <cfRule type="expression" dxfId="5819" priority="8796">
      <formula>AND(AW74&gt;5,R74="NA")</formula>
    </cfRule>
    <cfRule type="expression" dxfId="5818" priority="8797">
      <formula>AND(AW74&lt;5,R74="NA")</formula>
    </cfRule>
    <cfRule type="expression" dxfId="5817" priority="8798">
      <formula>AND(R74&lt;&gt;"NA",R74&gt;$R$16)</formula>
    </cfRule>
  </conditionalFormatting>
  <conditionalFormatting sqref="S74">
    <cfRule type="expression" priority="8738" stopIfTrue="1">
      <formula>"ISBLANK($K$185)"</formula>
    </cfRule>
    <cfRule type="expression" dxfId="5816" priority="8789">
      <formula>AND(OR(AW74=0,ISBLANK(S74)),B74&lt;&gt;"")</formula>
    </cfRule>
    <cfRule type="expression" dxfId="5815" priority="8790">
      <formula>AND(S74="NA",NOT(ISTEXT(R74)))</formula>
    </cfRule>
    <cfRule type="expression" dxfId="5814" priority="8791">
      <formula>AND(AW74&gt;5,S74="NA")</formula>
    </cfRule>
    <cfRule type="expression" dxfId="5813" priority="8792">
      <formula>AND(AW74&lt;5,S74="NA")</formula>
    </cfRule>
    <cfRule type="expression" dxfId="5812" priority="8793">
      <formula>AND(S74&lt;&gt;"NA",S74&gt;$S$16)</formula>
    </cfRule>
  </conditionalFormatting>
  <conditionalFormatting sqref="T74">
    <cfRule type="expression" priority="8737" stopIfTrue="1">
      <formula>"ISBLANK($K$185)"</formula>
    </cfRule>
    <cfRule type="expression" dxfId="5811" priority="8784">
      <formula>AND(OR(AW74=0,ISBLANK(T74)),B74&lt;&gt;"")</formula>
    </cfRule>
    <cfRule type="expression" dxfId="5810" priority="8785">
      <formula>AND(T74="NA",NOT(ISTEXT(U74)))</formula>
    </cfRule>
    <cfRule type="expression" dxfId="5809" priority="8786">
      <formula>AND(AW74&gt;5,T74="NA")</formula>
    </cfRule>
    <cfRule type="expression" dxfId="5808" priority="8787">
      <formula>AND(AW74&lt;5,T74="NA")</formula>
    </cfRule>
    <cfRule type="expression" dxfId="5807" priority="8788">
      <formula>AND(T74&lt;&gt;"NA",T74&gt;$T$16)</formula>
    </cfRule>
  </conditionalFormatting>
  <conditionalFormatting sqref="U74">
    <cfRule type="expression" priority="8736" stopIfTrue="1">
      <formula>"ISBLANK($K$185)"</formula>
    </cfRule>
    <cfRule type="expression" dxfId="5806" priority="8779">
      <formula>AND(OR(AW74=0,ISBLANK(U74)),B74&lt;&gt;"")</formula>
    </cfRule>
    <cfRule type="expression" dxfId="5805" priority="8780">
      <formula>AND(U74="NA",NOT(ISTEXT(T74)))</formula>
    </cfRule>
    <cfRule type="expression" dxfId="5804" priority="8781">
      <formula>AND(AW74&gt;5,U74="NA")</formula>
    </cfRule>
    <cfRule type="expression" dxfId="5803" priority="8782">
      <formula>AND(AW74&lt;5,U74="NA")</formula>
    </cfRule>
    <cfRule type="expression" dxfId="5802" priority="8783">
      <formula>AND(U74&lt;&gt;"NA",U74&gt;$U$16)</formula>
    </cfRule>
  </conditionalFormatting>
  <conditionalFormatting sqref="V74">
    <cfRule type="expression" priority="8735" stopIfTrue="1">
      <formula>"ISBLANK($K$185)"</formula>
    </cfRule>
    <cfRule type="expression" dxfId="5801" priority="8774">
      <formula>AND(OR(AW74=0,ISBLANK(V74)),B74&lt;&gt;"")</formula>
    </cfRule>
    <cfRule type="expression" dxfId="5800" priority="8775">
      <formula>AND(V74="NA",NOT(ISTEXT(W74)))</formula>
    </cfRule>
    <cfRule type="expression" dxfId="5799" priority="8776">
      <formula>AND(AW74&gt;5,V74="NA")</formula>
    </cfRule>
    <cfRule type="expression" dxfId="5798" priority="8777">
      <formula>AND(AW74&lt;5,V74="NA")</formula>
    </cfRule>
    <cfRule type="expression" dxfId="5797" priority="8778">
      <formula>AND(V74&lt;&gt;"NA",V74&gt;$V$16)</formula>
    </cfRule>
  </conditionalFormatting>
  <conditionalFormatting sqref="W74">
    <cfRule type="expression" priority="8734" stopIfTrue="1">
      <formula>"ISBLANK($K$185)"</formula>
    </cfRule>
    <cfRule type="expression" dxfId="5796" priority="8769">
      <formula>AND(OR(AW74=0,ISBLANK(W74)),B74&lt;&gt;"")</formula>
    </cfRule>
    <cfRule type="expression" dxfId="5795" priority="8770">
      <formula>AND(W74="NA",NOT(ISTEXT(V74)))</formula>
    </cfRule>
    <cfRule type="expression" dxfId="5794" priority="8771">
      <formula>AND(AW74&gt;5,W74="NA")</formula>
    </cfRule>
    <cfRule type="expression" dxfId="5793" priority="8772">
      <formula>AND(AW74&lt;5,W74="NA")</formula>
    </cfRule>
    <cfRule type="expression" dxfId="5792" priority="8773">
      <formula>AND(W74&lt;&gt;"NA",W74&gt;$W$16)</formula>
    </cfRule>
  </conditionalFormatting>
  <conditionalFormatting sqref="X74">
    <cfRule type="expression" priority="8733" stopIfTrue="1">
      <formula>"ISBLANK($K$185)"</formula>
    </cfRule>
    <cfRule type="expression" dxfId="5791" priority="8764">
      <formula>AND(OR(AW74=0,ISBLANK(X74)),B74&lt;&gt;"")</formula>
    </cfRule>
    <cfRule type="expression" dxfId="5790" priority="8765">
      <formula>AND(X74="NA",NOT(ISTEXT(Y74)))</formula>
    </cfRule>
    <cfRule type="expression" dxfId="5789" priority="8766">
      <formula>AND(AW74&gt;5,X74="NA")</formula>
    </cfRule>
    <cfRule type="expression" dxfId="5788" priority="8767">
      <formula>AND(AW74&lt;5,X74="NA")</formula>
    </cfRule>
    <cfRule type="expression" dxfId="5787" priority="8768">
      <formula>AND(X74&lt;&gt;"NA",X74&gt;$Y$16)</formula>
    </cfRule>
  </conditionalFormatting>
  <conditionalFormatting sqref="Y74">
    <cfRule type="expression" priority="8732" stopIfTrue="1">
      <formula>"ISBLANK($K$185)"</formula>
    </cfRule>
    <cfRule type="expression" dxfId="5786" priority="8759">
      <formula>AND(OR(AW74=0,ISBLANK(Y74)),B74&lt;&gt;"")</formula>
    </cfRule>
    <cfRule type="expression" dxfId="5785" priority="8760">
      <formula>AND(Y74="NA",NOT(ISTEXT(X74)))</formula>
    </cfRule>
    <cfRule type="expression" dxfId="5784" priority="8761">
      <formula>AND(AW74&gt;5,Y74="NA")</formula>
    </cfRule>
    <cfRule type="expression" dxfId="5783" priority="8762">
      <formula>AND(AW74&lt;5,Y74="NA")</formula>
    </cfRule>
    <cfRule type="expression" dxfId="5782" priority="8763">
      <formula>AND(Y74&lt;&gt;"NA",Y74&gt;$Y$16)</formula>
    </cfRule>
  </conditionalFormatting>
  <conditionalFormatting sqref="N74">
    <cfRule type="expression" priority="8743" stopIfTrue="1">
      <formula>"ISBLANK($K$185)"</formula>
    </cfRule>
    <cfRule type="expression" dxfId="5781" priority="8814">
      <formula>AND(OR(AW74=0,ISBLANK(N74)),B74&lt;&gt;"")</formula>
    </cfRule>
    <cfRule type="expression" dxfId="5780" priority="8815">
      <formula>AND(N74="NA",NOT(ISTEXT(O74)))</formula>
    </cfRule>
    <cfRule type="expression" dxfId="5779" priority="8816">
      <formula>AND(AW74&gt;5,N74="NA")</formula>
    </cfRule>
    <cfRule type="expression" dxfId="5778" priority="8817">
      <formula>AND(AW74&lt;5,N74="NA")</formula>
    </cfRule>
    <cfRule type="expression" dxfId="5777" priority="8818">
      <formula>AND(N74&lt;&gt;"NA",N74&gt;$N$16)</formula>
    </cfRule>
  </conditionalFormatting>
  <conditionalFormatting sqref="O75">
    <cfRule type="expression" priority="8651" stopIfTrue="1">
      <formula>"ISBLANK($K$185)"</formula>
    </cfRule>
    <cfRule type="expression" dxfId="5776" priority="8718">
      <formula>AND(OR(AW75=0,ISBLANK(O75)),B75&lt;&gt;"")</formula>
    </cfRule>
    <cfRule type="expression" dxfId="5775" priority="8719">
      <formula>AND(O75="NA",NOT(ISTEXT(N75)))</formula>
    </cfRule>
    <cfRule type="expression" dxfId="5774" priority="8720">
      <formula>AND(AW75&gt;5,O75="NA")</formula>
    </cfRule>
    <cfRule type="expression" dxfId="5773" priority="8721">
      <formula>AND(AW75&lt;5,O75="NA")</formula>
    </cfRule>
    <cfRule type="expression" dxfId="5772" priority="8722">
      <formula>AND(O75&lt;&gt;"NA",O75&gt;$O$16)</formula>
    </cfRule>
  </conditionalFormatting>
  <conditionalFormatting sqref="P75">
    <cfRule type="expression" priority="8650" stopIfTrue="1">
      <formula>"ISBLANK($K$185)"</formula>
    </cfRule>
    <cfRule type="expression" dxfId="5771" priority="8713">
      <formula>AND(OR(AW75=0,ISBLANK(P75)),B75&lt;&gt;"")</formula>
    </cfRule>
    <cfRule type="expression" dxfId="5770" priority="8714">
      <formula>AND(P75="NA",NOT(ISTEXT(Q75)))</formula>
    </cfRule>
    <cfRule type="expression" dxfId="5769" priority="8715">
      <formula>AND(AW75&gt;5,P75="NA")</formula>
    </cfRule>
    <cfRule type="expression" dxfId="5768" priority="8716">
      <formula>AND(AW75&lt;5,P75="NA")</formula>
    </cfRule>
    <cfRule type="expression" dxfId="5767" priority="8717">
      <formula>AND(P75&lt;&gt;"NA",P75&gt;$P$16)</formula>
    </cfRule>
  </conditionalFormatting>
  <conditionalFormatting sqref="Q75">
    <cfRule type="expression" priority="8649" stopIfTrue="1">
      <formula>"ISBLANK($K$185)"</formula>
    </cfRule>
    <cfRule type="expression" dxfId="5766" priority="8708">
      <formula>AND(OR(AW75=0,ISBLANK(Q75)),B75&lt;&gt;"")</formula>
    </cfRule>
    <cfRule type="expression" dxfId="5765" priority="8709">
      <formula>AND(Q75="NA",NOT(ISTEXT(P75)))</formula>
    </cfRule>
    <cfRule type="expression" dxfId="5764" priority="8710">
      <formula>AND(AW75&gt;5,Q75="NA")</formula>
    </cfRule>
    <cfRule type="expression" dxfId="5763" priority="8711">
      <formula>AND(AW75&lt;5,Q75="NA")</formula>
    </cfRule>
    <cfRule type="expression" dxfId="5762" priority="8712">
      <formula>AND(Q75&lt;&gt;"NA",Q75&gt;$Q$16)</formula>
    </cfRule>
  </conditionalFormatting>
  <conditionalFormatting sqref="R75">
    <cfRule type="expression" priority="8648" stopIfTrue="1">
      <formula>"ISBLANK($K$185)"</formula>
    </cfRule>
    <cfRule type="expression" dxfId="5761" priority="8703">
      <formula>AND(OR(AW75=0,ISBLANK(R75)),B75&lt;&gt;"")</formula>
    </cfRule>
    <cfRule type="expression" dxfId="5760" priority="8704">
      <formula>AND(R75="NA",NOT(ISTEXT(S75)))</formula>
    </cfRule>
    <cfRule type="expression" dxfId="5759" priority="8705">
      <formula>AND(AW75&gt;5,R75="NA")</formula>
    </cfRule>
    <cfRule type="expression" dxfId="5758" priority="8706">
      <formula>AND(AW75&lt;5,R75="NA")</formula>
    </cfRule>
    <cfRule type="expression" dxfId="5757" priority="8707">
      <formula>AND(R75&lt;&gt;"NA",R75&gt;$R$16)</formula>
    </cfRule>
  </conditionalFormatting>
  <conditionalFormatting sqref="S75">
    <cfRule type="expression" priority="8647" stopIfTrue="1">
      <formula>"ISBLANK($K$185)"</formula>
    </cfRule>
    <cfRule type="expression" dxfId="5756" priority="8698">
      <formula>AND(OR(AW75=0,ISBLANK(S75)),B75&lt;&gt;"")</formula>
    </cfRule>
    <cfRule type="expression" dxfId="5755" priority="8699">
      <formula>AND(S75="NA",NOT(ISTEXT(R75)))</formula>
    </cfRule>
    <cfRule type="expression" dxfId="5754" priority="8700">
      <formula>AND(AW75&gt;5,S75="NA")</formula>
    </cfRule>
    <cfRule type="expression" dxfId="5753" priority="8701">
      <formula>AND(AW75&lt;5,S75="NA")</formula>
    </cfRule>
    <cfRule type="expression" dxfId="5752" priority="8702">
      <formula>AND(S75&lt;&gt;"NA",S75&gt;$S$16)</formula>
    </cfRule>
  </conditionalFormatting>
  <conditionalFormatting sqref="T75">
    <cfRule type="expression" priority="8646" stopIfTrue="1">
      <formula>"ISBLANK($K$185)"</formula>
    </cfRule>
    <cfRule type="expression" dxfId="5751" priority="8693">
      <formula>AND(OR(AW75=0,ISBLANK(T75)),B75&lt;&gt;"")</formula>
    </cfRule>
    <cfRule type="expression" dxfId="5750" priority="8694">
      <formula>AND(T75="NA",NOT(ISTEXT(U75)))</formula>
    </cfRule>
    <cfRule type="expression" dxfId="5749" priority="8695">
      <formula>AND(AW75&gt;5,T75="NA")</formula>
    </cfRule>
    <cfRule type="expression" dxfId="5748" priority="8696">
      <formula>AND(AW75&lt;5,T75="NA")</formula>
    </cfRule>
    <cfRule type="expression" dxfId="5747" priority="8697">
      <formula>AND(T75&lt;&gt;"NA",T75&gt;$T$16)</formula>
    </cfRule>
  </conditionalFormatting>
  <conditionalFormatting sqref="U75">
    <cfRule type="expression" priority="8645" stopIfTrue="1">
      <formula>"ISBLANK($K$185)"</formula>
    </cfRule>
    <cfRule type="expression" dxfId="5746" priority="8688">
      <formula>AND(OR(AW75=0,ISBLANK(U75)),B75&lt;&gt;"")</formula>
    </cfRule>
    <cfRule type="expression" dxfId="5745" priority="8689">
      <formula>AND(U75="NA",NOT(ISTEXT(T75)))</formula>
    </cfRule>
    <cfRule type="expression" dxfId="5744" priority="8690">
      <formula>AND(AW75&gt;5,U75="NA")</formula>
    </cfRule>
    <cfRule type="expression" dxfId="5743" priority="8691">
      <formula>AND(AW75&lt;5,U75="NA")</formula>
    </cfRule>
    <cfRule type="expression" dxfId="5742" priority="8692">
      <formula>AND(U75&lt;&gt;"NA",U75&gt;$U$16)</formula>
    </cfRule>
  </conditionalFormatting>
  <conditionalFormatting sqref="V75">
    <cfRule type="expression" priority="8644" stopIfTrue="1">
      <formula>"ISBLANK($K$185)"</formula>
    </cfRule>
    <cfRule type="expression" dxfId="5741" priority="8683">
      <formula>AND(OR(AW75=0,ISBLANK(V75)),B75&lt;&gt;"")</formula>
    </cfRule>
    <cfRule type="expression" dxfId="5740" priority="8684">
      <formula>AND(V75="NA",NOT(ISTEXT(W75)))</formula>
    </cfRule>
    <cfRule type="expression" dxfId="5739" priority="8685">
      <formula>AND(AW75&gt;5,V75="NA")</formula>
    </cfRule>
    <cfRule type="expression" dxfId="5738" priority="8686">
      <formula>AND(AW75&lt;5,V75="NA")</formula>
    </cfRule>
    <cfRule type="expression" dxfId="5737" priority="8687">
      <formula>AND(V75&lt;&gt;"NA",V75&gt;$V$16)</formula>
    </cfRule>
  </conditionalFormatting>
  <conditionalFormatting sqref="W75">
    <cfRule type="expression" priority="8643" stopIfTrue="1">
      <formula>"ISBLANK($K$185)"</formula>
    </cfRule>
    <cfRule type="expression" dxfId="5736" priority="8678">
      <formula>AND(OR(AW75=0,ISBLANK(W75)),B75&lt;&gt;"")</formula>
    </cfRule>
    <cfRule type="expression" dxfId="5735" priority="8679">
      <formula>AND(W75="NA",NOT(ISTEXT(V75)))</formula>
    </cfRule>
    <cfRule type="expression" dxfId="5734" priority="8680">
      <formula>AND(AW75&gt;5,W75="NA")</formula>
    </cfRule>
    <cfRule type="expression" dxfId="5733" priority="8681">
      <formula>AND(AW75&lt;5,W75="NA")</formula>
    </cfRule>
    <cfRule type="expression" dxfId="5732" priority="8682">
      <formula>AND(W75&lt;&gt;"NA",W75&gt;$W$16)</formula>
    </cfRule>
  </conditionalFormatting>
  <conditionalFormatting sqref="X75">
    <cfRule type="expression" priority="8642" stopIfTrue="1">
      <formula>"ISBLANK($K$185)"</formula>
    </cfRule>
    <cfRule type="expression" dxfId="5731" priority="8673">
      <formula>AND(OR(AW75=0,ISBLANK(X75)),B75&lt;&gt;"")</formula>
    </cfRule>
    <cfRule type="expression" dxfId="5730" priority="8674">
      <formula>AND(X75="NA",NOT(ISTEXT(Y75)))</formula>
    </cfRule>
    <cfRule type="expression" dxfId="5729" priority="8675">
      <formula>AND(AW75&gt;5,X75="NA")</formula>
    </cfRule>
    <cfRule type="expression" dxfId="5728" priority="8676">
      <formula>AND(AW75&lt;5,X75="NA")</formula>
    </cfRule>
    <cfRule type="expression" dxfId="5727" priority="8677">
      <formula>AND(X75&lt;&gt;"NA",X75&gt;$Y$16)</formula>
    </cfRule>
  </conditionalFormatting>
  <conditionalFormatting sqref="Y75">
    <cfRule type="expression" priority="8641" stopIfTrue="1">
      <formula>"ISBLANK($K$185)"</formula>
    </cfRule>
    <cfRule type="expression" dxfId="5726" priority="8668">
      <formula>AND(OR(AW75=0,ISBLANK(Y75)),B75&lt;&gt;"")</formula>
    </cfRule>
    <cfRule type="expression" dxfId="5725" priority="8669">
      <formula>AND(Y75="NA",NOT(ISTEXT(X75)))</formula>
    </cfRule>
    <cfRule type="expression" dxfId="5724" priority="8670">
      <formula>AND(AW75&gt;5,Y75="NA")</formula>
    </cfRule>
    <cfRule type="expression" dxfId="5723" priority="8671">
      <formula>AND(AW75&lt;5,Y75="NA")</formula>
    </cfRule>
    <cfRule type="expression" dxfId="5722" priority="8672">
      <formula>AND(Y75&lt;&gt;"NA",Y75&gt;$Y$16)</formula>
    </cfRule>
  </conditionalFormatting>
  <conditionalFormatting sqref="N75">
    <cfRule type="expression" priority="8652" stopIfTrue="1">
      <formula>"ISBLANK($K$185)"</formula>
    </cfRule>
    <cfRule type="expression" dxfId="5721" priority="8723">
      <formula>AND(OR(AW75=0,ISBLANK(N75)),B75&lt;&gt;"")</formula>
    </cfRule>
    <cfRule type="expression" dxfId="5720" priority="8724">
      <formula>AND(N75="NA",NOT(ISTEXT(O75)))</formula>
    </cfRule>
    <cfRule type="expression" dxfId="5719" priority="8725">
      <formula>AND(AW75&gt;5,N75="NA")</formula>
    </cfRule>
    <cfRule type="expression" dxfId="5718" priority="8726">
      <formula>AND(AW75&lt;5,N75="NA")</formula>
    </cfRule>
    <cfRule type="expression" dxfId="5717" priority="8727">
      <formula>AND(N75&lt;&gt;"NA",N75&gt;$N$16)</formula>
    </cfRule>
  </conditionalFormatting>
  <conditionalFormatting sqref="O76">
    <cfRule type="expression" priority="8560" stopIfTrue="1">
      <formula>"ISBLANK($K$185)"</formula>
    </cfRule>
    <cfRule type="expression" dxfId="5716" priority="8627">
      <formula>AND(OR(AW76=0,ISBLANK(O76)),B76&lt;&gt;"")</formula>
    </cfRule>
    <cfRule type="expression" dxfId="5715" priority="8628">
      <formula>AND(O76="NA",NOT(ISTEXT(N76)))</formula>
    </cfRule>
    <cfRule type="expression" dxfId="5714" priority="8629">
      <formula>AND(AW76&gt;5,O76="NA")</formula>
    </cfRule>
    <cfRule type="expression" dxfId="5713" priority="8630">
      <formula>AND(AW76&lt;5,O76="NA")</formula>
    </cfRule>
    <cfRule type="expression" dxfId="5712" priority="8631">
      <formula>AND(O76&lt;&gt;"NA",O76&gt;$O$16)</formula>
    </cfRule>
  </conditionalFormatting>
  <conditionalFormatting sqref="P76">
    <cfRule type="expression" priority="8559" stopIfTrue="1">
      <formula>"ISBLANK($K$185)"</formula>
    </cfRule>
    <cfRule type="expression" dxfId="5711" priority="8622">
      <formula>AND(OR(AW76=0,ISBLANK(P76)),B76&lt;&gt;"")</formula>
    </cfRule>
    <cfRule type="expression" dxfId="5710" priority="8623">
      <formula>AND(P76="NA",NOT(ISTEXT(Q76)))</formula>
    </cfRule>
    <cfRule type="expression" dxfId="5709" priority="8624">
      <formula>AND(AW76&gt;5,P76="NA")</formula>
    </cfRule>
    <cfRule type="expression" dxfId="5708" priority="8625">
      <formula>AND(AW76&lt;5,P76="NA")</formula>
    </cfRule>
    <cfRule type="expression" dxfId="5707" priority="8626">
      <formula>AND(P76&lt;&gt;"NA",P76&gt;$P$16)</formula>
    </cfRule>
  </conditionalFormatting>
  <conditionalFormatting sqref="Q76">
    <cfRule type="expression" priority="8558" stopIfTrue="1">
      <formula>"ISBLANK($K$185)"</formula>
    </cfRule>
    <cfRule type="expression" dxfId="5706" priority="8617">
      <formula>AND(OR(AW76=0,ISBLANK(Q76)),B76&lt;&gt;"")</formula>
    </cfRule>
    <cfRule type="expression" dxfId="5705" priority="8618">
      <formula>AND(Q76="NA",NOT(ISTEXT(P76)))</formula>
    </cfRule>
    <cfRule type="expression" dxfId="5704" priority="8619">
      <formula>AND(AW76&gt;5,Q76="NA")</formula>
    </cfRule>
    <cfRule type="expression" dxfId="5703" priority="8620">
      <formula>AND(AW76&lt;5,Q76="NA")</formula>
    </cfRule>
    <cfRule type="expression" dxfId="5702" priority="8621">
      <formula>AND(Q76&lt;&gt;"NA",Q76&gt;$Q$16)</formula>
    </cfRule>
  </conditionalFormatting>
  <conditionalFormatting sqref="R76">
    <cfRule type="expression" priority="8557" stopIfTrue="1">
      <formula>"ISBLANK($K$185)"</formula>
    </cfRule>
    <cfRule type="expression" dxfId="5701" priority="8612">
      <formula>AND(OR(AW76=0,ISBLANK(R76)),B76&lt;&gt;"")</formula>
    </cfRule>
    <cfRule type="expression" dxfId="5700" priority="8613">
      <formula>AND(R76="NA",NOT(ISTEXT(S76)))</formula>
    </cfRule>
    <cfRule type="expression" dxfId="5699" priority="8614">
      <formula>AND(AW76&gt;5,R76="NA")</formula>
    </cfRule>
    <cfRule type="expression" dxfId="5698" priority="8615">
      <formula>AND(AW76&lt;5,R76="NA")</formula>
    </cfRule>
    <cfRule type="expression" dxfId="5697" priority="8616">
      <formula>AND(R76&lt;&gt;"NA",R76&gt;$R$16)</formula>
    </cfRule>
  </conditionalFormatting>
  <conditionalFormatting sqref="S76">
    <cfRule type="expression" priority="8556" stopIfTrue="1">
      <formula>"ISBLANK($K$185)"</formula>
    </cfRule>
    <cfRule type="expression" dxfId="5696" priority="8607">
      <formula>AND(OR(AW76=0,ISBLANK(S76)),B76&lt;&gt;"")</formula>
    </cfRule>
    <cfRule type="expression" dxfId="5695" priority="8608">
      <formula>AND(S76="NA",NOT(ISTEXT(R76)))</formula>
    </cfRule>
    <cfRule type="expression" dxfId="5694" priority="8609">
      <formula>AND(AW76&gt;5,S76="NA")</formula>
    </cfRule>
    <cfRule type="expression" dxfId="5693" priority="8610">
      <formula>AND(AW76&lt;5,S76="NA")</formula>
    </cfRule>
    <cfRule type="expression" dxfId="5692" priority="8611">
      <formula>AND(S76&lt;&gt;"NA",S76&gt;$S$16)</formula>
    </cfRule>
  </conditionalFormatting>
  <conditionalFormatting sqref="T76">
    <cfRule type="expression" priority="8555" stopIfTrue="1">
      <formula>"ISBLANK($K$185)"</formula>
    </cfRule>
    <cfRule type="expression" dxfId="5691" priority="8602">
      <formula>AND(OR(AW76=0,ISBLANK(T76)),B76&lt;&gt;"")</formula>
    </cfRule>
    <cfRule type="expression" dxfId="5690" priority="8603">
      <formula>AND(T76="NA",NOT(ISTEXT(U76)))</formula>
    </cfRule>
    <cfRule type="expression" dxfId="5689" priority="8604">
      <formula>AND(AW76&gt;5,T76="NA")</formula>
    </cfRule>
    <cfRule type="expression" dxfId="5688" priority="8605">
      <formula>AND(AW76&lt;5,T76="NA")</formula>
    </cfRule>
    <cfRule type="expression" dxfId="5687" priority="8606">
      <formula>AND(T76&lt;&gt;"NA",T76&gt;$T$16)</formula>
    </cfRule>
  </conditionalFormatting>
  <conditionalFormatting sqref="U76">
    <cfRule type="expression" priority="8554" stopIfTrue="1">
      <formula>"ISBLANK($K$185)"</formula>
    </cfRule>
    <cfRule type="expression" dxfId="5686" priority="8597">
      <formula>AND(OR(AW76=0,ISBLANK(U76)),B76&lt;&gt;"")</formula>
    </cfRule>
    <cfRule type="expression" dxfId="5685" priority="8598">
      <formula>AND(U76="NA",NOT(ISTEXT(T76)))</formula>
    </cfRule>
    <cfRule type="expression" dxfId="5684" priority="8599">
      <formula>AND(AW76&gt;5,U76="NA")</formula>
    </cfRule>
    <cfRule type="expression" dxfId="5683" priority="8600">
      <formula>AND(AW76&lt;5,U76="NA")</formula>
    </cfRule>
    <cfRule type="expression" dxfId="5682" priority="8601">
      <formula>AND(U76&lt;&gt;"NA",U76&gt;$U$16)</formula>
    </cfRule>
  </conditionalFormatting>
  <conditionalFormatting sqref="V76">
    <cfRule type="expression" priority="8553" stopIfTrue="1">
      <formula>"ISBLANK($K$185)"</formula>
    </cfRule>
    <cfRule type="expression" dxfId="5681" priority="8592">
      <formula>AND(OR(AW76=0,ISBLANK(V76)),B76&lt;&gt;"")</formula>
    </cfRule>
    <cfRule type="expression" dxfId="5680" priority="8593">
      <formula>AND(V76="NA",NOT(ISTEXT(W76)))</formula>
    </cfRule>
    <cfRule type="expression" dxfId="5679" priority="8594">
      <formula>AND(AW76&gt;5,V76="NA")</formula>
    </cfRule>
    <cfRule type="expression" dxfId="5678" priority="8595">
      <formula>AND(AW76&lt;5,V76="NA")</formula>
    </cfRule>
    <cfRule type="expression" dxfId="5677" priority="8596">
      <formula>AND(V76&lt;&gt;"NA",V76&gt;$V$16)</formula>
    </cfRule>
  </conditionalFormatting>
  <conditionalFormatting sqref="W76">
    <cfRule type="expression" priority="8552" stopIfTrue="1">
      <formula>"ISBLANK($K$185)"</formula>
    </cfRule>
    <cfRule type="expression" dxfId="5676" priority="8587">
      <formula>AND(OR(AW76=0,ISBLANK(W76)),B76&lt;&gt;"")</formula>
    </cfRule>
    <cfRule type="expression" dxfId="5675" priority="8588">
      <formula>AND(W76="NA",NOT(ISTEXT(V76)))</formula>
    </cfRule>
    <cfRule type="expression" dxfId="5674" priority="8589">
      <formula>AND(AW76&gt;5,W76="NA")</formula>
    </cfRule>
    <cfRule type="expression" dxfId="5673" priority="8590">
      <formula>AND(AW76&lt;5,W76="NA")</formula>
    </cfRule>
    <cfRule type="expression" dxfId="5672" priority="8591">
      <formula>AND(W76&lt;&gt;"NA",W76&gt;$W$16)</formula>
    </cfRule>
  </conditionalFormatting>
  <conditionalFormatting sqref="X76">
    <cfRule type="expression" priority="8551" stopIfTrue="1">
      <formula>"ISBLANK($K$185)"</formula>
    </cfRule>
    <cfRule type="expression" dxfId="5671" priority="8582">
      <formula>AND(OR(AW76=0,ISBLANK(X76)),B76&lt;&gt;"")</formula>
    </cfRule>
    <cfRule type="expression" dxfId="5670" priority="8583">
      <formula>AND(X76="NA",NOT(ISTEXT(Y76)))</formula>
    </cfRule>
    <cfRule type="expression" dxfId="5669" priority="8584">
      <formula>AND(AW76&gt;5,X76="NA")</formula>
    </cfRule>
    <cfRule type="expression" dxfId="5668" priority="8585">
      <formula>AND(AW76&lt;5,X76="NA")</formula>
    </cfRule>
    <cfRule type="expression" dxfId="5667" priority="8586">
      <formula>AND(X76&lt;&gt;"NA",X76&gt;$Y$16)</formula>
    </cfRule>
  </conditionalFormatting>
  <conditionalFormatting sqref="Y76">
    <cfRule type="expression" priority="8550" stopIfTrue="1">
      <formula>"ISBLANK($K$185)"</formula>
    </cfRule>
    <cfRule type="expression" dxfId="5666" priority="8577">
      <formula>AND(OR(AW76=0,ISBLANK(Y76)),B76&lt;&gt;"")</formula>
    </cfRule>
    <cfRule type="expression" dxfId="5665" priority="8578">
      <formula>AND(Y76="NA",NOT(ISTEXT(X76)))</formula>
    </cfRule>
    <cfRule type="expression" dxfId="5664" priority="8579">
      <formula>AND(AW76&gt;5,Y76="NA")</formula>
    </cfRule>
    <cfRule type="expression" dxfId="5663" priority="8580">
      <formula>AND(AW76&lt;5,Y76="NA")</formula>
    </cfRule>
    <cfRule type="expression" dxfId="5662" priority="8581">
      <formula>AND(Y76&lt;&gt;"NA",Y76&gt;$Y$16)</formula>
    </cfRule>
  </conditionalFormatting>
  <conditionalFormatting sqref="N76">
    <cfRule type="expression" priority="8561" stopIfTrue="1">
      <formula>"ISBLANK($K$185)"</formula>
    </cfRule>
    <cfRule type="expression" dxfId="5661" priority="8632">
      <formula>AND(OR(AW76=0,ISBLANK(N76)),B76&lt;&gt;"")</formula>
    </cfRule>
    <cfRule type="expression" dxfId="5660" priority="8633">
      <formula>AND(N76="NA",NOT(ISTEXT(O76)))</formula>
    </cfRule>
    <cfRule type="expression" dxfId="5659" priority="8634">
      <formula>AND(AW76&gt;5,N76="NA")</formula>
    </cfRule>
    <cfRule type="expression" dxfId="5658" priority="8635">
      <formula>AND(AW76&lt;5,N76="NA")</formula>
    </cfRule>
    <cfRule type="expression" dxfId="5657" priority="8636">
      <formula>AND(N76&lt;&gt;"NA",N76&gt;$N$16)</formula>
    </cfRule>
  </conditionalFormatting>
  <conditionalFormatting sqref="O77">
    <cfRule type="expression" priority="8469" stopIfTrue="1">
      <formula>"ISBLANK($K$185)"</formula>
    </cfRule>
    <cfRule type="expression" dxfId="5656" priority="8536">
      <formula>AND(OR(AW77=0,ISBLANK(O77)),B77&lt;&gt;"")</formula>
    </cfRule>
    <cfRule type="expression" dxfId="5655" priority="8537">
      <formula>AND(O77="NA",NOT(ISTEXT(N77)))</formula>
    </cfRule>
    <cfRule type="expression" dxfId="5654" priority="8538">
      <formula>AND(AW77&gt;5,O77="NA")</formula>
    </cfRule>
    <cfRule type="expression" dxfId="5653" priority="8539">
      <formula>AND(AW77&lt;5,O77="NA")</formula>
    </cfRule>
    <cfRule type="expression" dxfId="5652" priority="8540">
      <formula>AND(O77&lt;&gt;"NA",O77&gt;$O$16)</formula>
    </cfRule>
  </conditionalFormatting>
  <conditionalFormatting sqref="P77">
    <cfRule type="expression" priority="8468" stopIfTrue="1">
      <formula>"ISBLANK($K$185)"</formula>
    </cfRule>
    <cfRule type="expression" dxfId="5651" priority="8531">
      <formula>AND(OR(AW77=0,ISBLANK(P77)),B77&lt;&gt;"")</formula>
    </cfRule>
    <cfRule type="expression" dxfId="5650" priority="8532">
      <formula>AND(P77="NA",NOT(ISTEXT(Q77)))</formula>
    </cfRule>
    <cfRule type="expression" dxfId="5649" priority="8533">
      <formula>AND(AW77&gt;5,P77="NA")</formula>
    </cfRule>
    <cfRule type="expression" dxfId="5648" priority="8534">
      <formula>AND(AW77&lt;5,P77="NA")</formula>
    </cfRule>
    <cfRule type="expression" dxfId="5647" priority="8535">
      <formula>AND(P77&lt;&gt;"NA",P77&gt;$P$16)</formula>
    </cfRule>
  </conditionalFormatting>
  <conditionalFormatting sqref="Q77">
    <cfRule type="expression" priority="8467" stopIfTrue="1">
      <formula>"ISBLANK($K$185)"</formula>
    </cfRule>
    <cfRule type="expression" dxfId="5646" priority="8526">
      <formula>AND(OR(AW77=0,ISBLANK(Q77)),B77&lt;&gt;"")</formula>
    </cfRule>
    <cfRule type="expression" dxfId="5645" priority="8527">
      <formula>AND(Q77="NA",NOT(ISTEXT(P77)))</formula>
    </cfRule>
    <cfRule type="expression" dxfId="5644" priority="8528">
      <formula>AND(AW77&gt;5,Q77="NA")</formula>
    </cfRule>
    <cfRule type="expression" dxfId="5643" priority="8529">
      <formula>AND(AW77&lt;5,Q77="NA")</formula>
    </cfRule>
    <cfRule type="expression" dxfId="5642" priority="8530">
      <formula>AND(Q77&lt;&gt;"NA",Q77&gt;$Q$16)</formula>
    </cfRule>
  </conditionalFormatting>
  <conditionalFormatting sqref="R77">
    <cfRule type="expression" priority="8466" stopIfTrue="1">
      <formula>"ISBLANK($K$185)"</formula>
    </cfRule>
    <cfRule type="expression" dxfId="5641" priority="8521">
      <formula>AND(OR(AW77=0,ISBLANK(R77)),B77&lt;&gt;"")</formula>
    </cfRule>
    <cfRule type="expression" dxfId="5640" priority="8522">
      <formula>AND(R77="NA",NOT(ISTEXT(S77)))</formula>
    </cfRule>
    <cfRule type="expression" dxfId="5639" priority="8523">
      <formula>AND(AW77&gt;5,R77="NA")</formula>
    </cfRule>
    <cfRule type="expression" dxfId="5638" priority="8524">
      <formula>AND(AW77&lt;5,R77="NA")</formula>
    </cfRule>
    <cfRule type="expression" dxfId="5637" priority="8525">
      <formula>AND(R77&lt;&gt;"NA",R77&gt;$R$16)</formula>
    </cfRule>
  </conditionalFormatting>
  <conditionalFormatting sqref="S77">
    <cfRule type="expression" priority="8465" stopIfTrue="1">
      <formula>"ISBLANK($K$185)"</formula>
    </cfRule>
    <cfRule type="expression" dxfId="5636" priority="8516">
      <formula>AND(OR(AW77=0,ISBLANK(S77)),B77&lt;&gt;"")</formula>
    </cfRule>
    <cfRule type="expression" dxfId="5635" priority="8517">
      <formula>AND(S77="NA",NOT(ISTEXT(R77)))</formula>
    </cfRule>
    <cfRule type="expression" dxfId="5634" priority="8518">
      <formula>AND(AW77&gt;5,S77="NA")</formula>
    </cfRule>
    <cfRule type="expression" dxfId="5633" priority="8519">
      <formula>AND(AW77&lt;5,S77="NA")</formula>
    </cfRule>
    <cfRule type="expression" dxfId="5632" priority="8520">
      <formula>AND(S77&lt;&gt;"NA",S77&gt;$S$16)</formula>
    </cfRule>
  </conditionalFormatting>
  <conditionalFormatting sqref="T77">
    <cfRule type="expression" priority="8464" stopIfTrue="1">
      <formula>"ISBLANK($K$185)"</formula>
    </cfRule>
    <cfRule type="expression" dxfId="5631" priority="8511">
      <formula>AND(OR(AW77=0,ISBLANK(T77)),B77&lt;&gt;"")</formula>
    </cfRule>
    <cfRule type="expression" dxfId="5630" priority="8512">
      <formula>AND(T77="NA",NOT(ISTEXT(U77)))</formula>
    </cfRule>
    <cfRule type="expression" dxfId="5629" priority="8513">
      <formula>AND(AW77&gt;5,T77="NA")</formula>
    </cfRule>
    <cfRule type="expression" dxfId="5628" priority="8514">
      <formula>AND(AW77&lt;5,T77="NA")</formula>
    </cfRule>
    <cfRule type="expression" dxfId="5627" priority="8515">
      <formula>AND(T77&lt;&gt;"NA",T77&gt;$T$16)</formula>
    </cfRule>
  </conditionalFormatting>
  <conditionalFormatting sqref="U77">
    <cfRule type="expression" priority="8463" stopIfTrue="1">
      <formula>"ISBLANK($K$185)"</formula>
    </cfRule>
    <cfRule type="expression" dxfId="5626" priority="8506">
      <formula>AND(OR(AW77=0,ISBLANK(U77)),B77&lt;&gt;"")</formula>
    </cfRule>
    <cfRule type="expression" dxfId="5625" priority="8507">
      <formula>AND(U77="NA",NOT(ISTEXT(T77)))</formula>
    </cfRule>
    <cfRule type="expression" dxfId="5624" priority="8508">
      <formula>AND(AW77&gt;5,U77="NA")</formula>
    </cfRule>
    <cfRule type="expression" dxfId="5623" priority="8509">
      <formula>AND(AW77&lt;5,U77="NA")</formula>
    </cfRule>
    <cfRule type="expression" dxfId="5622" priority="8510">
      <formula>AND(U77&lt;&gt;"NA",U77&gt;$U$16)</formula>
    </cfRule>
  </conditionalFormatting>
  <conditionalFormatting sqref="V77">
    <cfRule type="expression" priority="8462" stopIfTrue="1">
      <formula>"ISBLANK($K$185)"</formula>
    </cfRule>
    <cfRule type="expression" dxfId="5621" priority="8501">
      <formula>AND(OR(AW77=0,ISBLANK(V77)),B77&lt;&gt;"")</formula>
    </cfRule>
    <cfRule type="expression" dxfId="5620" priority="8502">
      <formula>AND(V77="NA",NOT(ISTEXT(W77)))</formula>
    </cfRule>
    <cfRule type="expression" dxfId="5619" priority="8503">
      <formula>AND(AW77&gt;5,V77="NA")</formula>
    </cfRule>
    <cfRule type="expression" dxfId="5618" priority="8504">
      <formula>AND(AW77&lt;5,V77="NA")</formula>
    </cfRule>
    <cfRule type="expression" dxfId="5617" priority="8505">
      <formula>AND(V77&lt;&gt;"NA",V77&gt;$V$16)</formula>
    </cfRule>
  </conditionalFormatting>
  <conditionalFormatting sqref="W77">
    <cfRule type="expression" priority="8461" stopIfTrue="1">
      <formula>"ISBLANK($K$185)"</formula>
    </cfRule>
    <cfRule type="expression" dxfId="5616" priority="8496">
      <formula>AND(OR(AW77=0,ISBLANK(W77)),B77&lt;&gt;"")</formula>
    </cfRule>
    <cfRule type="expression" dxfId="5615" priority="8497">
      <formula>AND(W77="NA",NOT(ISTEXT(V77)))</formula>
    </cfRule>
    <cfRule type="expression" dxfId="5614" priority="8498">
      <formula>AND(AW77&gt;5,W77="NA")</formula>
    </cfRule>
    <cfRule type="expression" dxfId="5613" priority="8499">
      <formula>AND(AW77&lt;5,W77="NA")</formula>
    </cfRule>
    <cfRule type="expression" dxfId="5612" priority="8500">
      <formula>AND(W77&lt;&gt;"NA",W77&gt;$W$16)</formula>
    </cfRule>
  </conditionalFormatting>
  <conditionalFormatting sqref="X77">
    <cfRule type="expression" priority="8460" stopIfTrue="1">
      <formula>"ISBLANK($K$185)"</formula>
    </cfRule>
    <cfRule type="expression" dxfId="5611" priority="8491">
      <formula>AND(OR(AW77=0,ISBLANK(X77)),B77&lt;&gt;"")</formula>
    </cfRule>
    <cfRule type="expression" dxfId="5610" priority="8492">
      <formula>AND(X77="NA",NOT(ISTEXT(Y77)))</formula>
    </cfRule>
    <cfRule type="expression" dxfId="5609" priority="8493">
      <formula>AND(AW77&gt;5,X77="NA")</formula>
    </cfRule>
    <cfRule type="expression" dxfId="5608" priority="8494">
      <formula>AND(AW77&lt;5,X77="NA")</formula>
    </cfRule>
    <cfRule type="expression" dxfId="5607" priority="8495">
      <formula>AND(X77&lt;&gt;"NA",X77&gt;$Y$16)</formula>
    </cfRule>
  </conditionalFormatting>
  <conditionalFormatting sqref="Y77">
    <cfRule type="expression" priority="8459" stopIfTrue="1">
      <formula>"ISBLANK($K$185)"</formula>
    </cfRule>
    <cfRule type="expression" dxfId="5606" priority="8486">
      <formula>AND(OR(AW77=0,ISBLANK(Y77)),B77&lt;&gt;"")</formula>
    </cfRule>
    <cfRule type="expression" dxfId="5605" priority="8487">
      <formula>AND(Y77="NA",NOT(ISTEXT(X77)))</formula>
    </cfRule>
    <cfRule type="expression" dxfId="5604" priority="8488">
      <formula>AND(AW77&gt;5,Y77="NA")</formula>
    </cfRule>
    <cfRule type="expression" dxfId="5603" priority="8489">
      <formula>AND(AW77&lt;5,Y77="NA")</formula>
    </cfRule>
    <cfRule type="expression" dxfId="5602" priority="8490">
      <formula>AND(Y77&lt;&gt;"NA",Y77&gt;$Y$16)</formula>
    </cfRule>
  </conditionalFormatting>
  <conditionalFormatting sqref="N77">
    <cfRule type="expression" priority="8470" stopIfTrue="1">
      <formula>"ISBLANK($K$185)"</formula>
    </cfRule>
    <cfRule type="expression" dxfId="5601" priority="8541">
      <formula>AND(OR(AW77=0,ISBLANK(N77)),B77&lt;&gt;"")</formula>
    </cfRule>
    <cfRule type="expression" dxfId="5600" priority="8542">
      <formula>AND(N77="NA",NOT(ISTEXT(O77)))</formula>
    </cfRule>
    <cfRule type="expression" dxfId="5599" priority="8543">
      <formula>AND(AW77&gt;5,N77="NA")</formula>
    </cfRule>
    <cfRule type="expression" dxfId="5598" priority="8544">
      <formula>AND(AW77&lt;5,N77="NA")</formula>
    </cfRule>
    <cfRule type="expression" dxfId="5597" priority="8545">
      <formula>AND(N77&lt;&gt;"NA",N77&gt;$N$16)</formula>
    </cfRule>
  </conditionalFormatting>
  <conditionalFormatting sqref="O78">
    <cfRule type="expression" priority="8378" stopIfTrue="1">
      <formula>"ISBLANK($K$185)"</formula>
    </cfRule>
    <cfRule type="expression" dxfId="5596" priority="8445">
      <formula>AND(OR(AW78=0,ISBLANK(O78)),B78&lt;&gt;"")</formula>
    </cfRule>
    <cfRule type="expression" dxfId="5595" priority="8446">
      <formula>AND(O78="NA",NOT(ISTEXT(N78)))</formula>
    </cfRule>
    <cfRule type="expression" dxfId="5594" priority="8447">
      <formula>AND(AW78&gt;5,O78="NA")</formula>
    </cfRule>
    <cfRule type="expression" dxfId="5593" priority="8448">
      <formula>AND(AW78&lt;5,O78="NA")</formula>
    </cfRule>
    <cfRule type="expression" dxfId="5592" priority="8449">
      <formula>AND(O78&lt;&gt;"NA",O78&gt;$O$16)</formula>
    </cfRule>
  </conditionalFormatting>
  <conditionalFormatting sqref="P78">
    <cfRule type="expression" priority="8377" stopIfTrue="1">
      <formula>"ISBLANK($K$185)"</formula>
    </cfRule>
    <cfRule type="expression" dxfId="5591" priority="8440">
      <formula>AND(OR(AW78=0,ISBLANK(P78)),B78&lt;&gt;"")</formula>
    </cfRule>
    <cfRule type="expression" dxfId="5590" priority="8441">
      <formula>AND(P78="NA",NOT(ISTEXT(Q78)))</formula>
    </cfRule>
    <cfRule type="expression" dxfId="5589" priority="8442">
      <formula>AND(AW78&gt;5,P78="NA")</formula>
    </cfRule>
    <cfRule type="expression" dxfId="5588" priority="8443">
      <formula>AND(AW78&lt;5,P78="NA")</formula>
    </cfRule>
    <cfRule type="expression" dxfId="5587" priority="8444">
      <formula>AND(P78&lt;&gt;"NA",P78&gt;$P$16)</formula>
    </cfRule>
  </conditionalFormatting>
  <conditionalFormatting sqref="Q78">
    <cfRule type="expression" priority="8376" stopIfTrue="1">
      <formula>"ISBLANK($K$185)"</formula>
    </cfRule>
    <cfRule type="expression" dxfId="5586" priority="8435">
      <formula>AND(OR(AW78=0,ISBLANK(Q78)),B78&lt;&gt;"")</formula>
    </cfRule>
    <cfRule type="expression" dxfId="5585" priority="8436">
      <formula>AND(Q78="NA",NOT(ISTEXT(P78)))</formula>
    </cfRule>
    <cfRule type="expression" dxfId="5584" priority="8437">
      <formula>AND(AW78&gt;5,Q78="NA")</formula>
    </cfRule>
    <cfRule type="expression" dxfId="5583" priority="8438">
      <formula>AND(AW78&lt;5,Q78="NA")</formula>
    </cfRule>
    <cfRule type="expression" dxfId="5582" priority="8439">
      <formula>AND(Q78&lt;&gt;"NA",Q78&gt;$Q$16)</formula>
    </cfRule>
  </conditionalFormatting>
  <conditionalFormatting sqref="R78">
    <cfRule type="expression" priority="8375" stopIfTrue="1">
      <formula>"ISBLANK($K$185)"</formula>
    </cfRule>
    <cfRule type="expression" dxfId="5581" priority="8430">
      <formula>AND(OR(AW78=0,ISBLANK(R78)),B78&lt;&gt;"")</formula>
    </cfRule>
    <cfRule type="expression" dxfId="5580" priority="8431">
      <formula>AND(R78="NA",NOT(ISTEXT(S78)))</formula>
    </cfRule>
    <cfRule type="expression" dxfId="5579" priority="8432">
      <formula>AND(AW78&gt;5,R78="NA")</formula>
    </cfRule>
    <cfRule type="expression" dxfId="5578" priority="8433">
      <formula>AND(AW78&lt;5,R78="NA")</formula>
    </cfRule>
    <cfRule type="expression" dxfId="5577" priority="8434">
      <formula>AND(R78&lt;&gt;"NA",R78&gt;$R$16)</formula>
    </cfRule>
  </conditionalFormatting>
  <conditionalFormatting sqref="S78">
    <cfRule type="expression" priority="8374" stopIfTrue="1">
      <formula>"ISBLANK($K$185)"</formula>
    </cfRule>
    <cfRule type="expression" dxfId="5576" priority="8425">
      <formula>AND(OR(AW78=0,ISBLANK(S78)),B78&lt;&gt;"")</formula>
    </cfRule>
    <cfRule type="expression" dxfId="5575" priority="8426">
      <formula>AND(S78="NA",NOT(ISTEXT(R78)))</formula>
    </cfRule>
    <cfRule type="expression" dxfId="5574" priority="8427">
      <formula>AND(AW78&gt;5,S78="NA")</formula>
    </cfRule>
    <cfRule type="expression" dxfId="5573" priority="8428">
      <formula>AND(AW78&lt;5,S78="NA")</formula>
    </cfRule>
    <cfRule type="expression" dxfId="5572" priority="8429">
      <formula>AND(S78&lt;&gt;"NA",S78&gt;$S$16)</formula>
    </cfRule>
  </conditionalFormatting>
  <conditionalFormatting sqref="T78">
    <cfRule type="expression" priority="8373" stopIfTrue="1">
      <formula>"ISBLANK($K$185)"</formula>
    </cfRule>
    <cfRule type="expression" dxfId="5571" priority="8420">
      <formula>AND(OR(AW78=0,ISBLANK(T78)),B78&lt;&gt;"")</formula>
    </cfRule>
    <cfRule type="expression" dxfId="5570" priority="8421">
      <formula>AND(T78="NA",NOT(ISTEXT(U78)))</formula>
    </cfRule>
    <cfRule type="expression" dxfId="5569" priority="8422">
      <formula>AND(AW78&gt;5,T78="NA")</formula>
    </cfRule>
    <cfRule type="expression" dxfId="5568" priority="8423">
      <formula>AND(AW78&lt;5,T78="NA")</formula>
    </cfRule>
    <cfRule type="expression" dxfId="5567" priority="8424">
      <formula>AND(T78&lt;&gt;"NA",T78&gt;$T$16)</formula>
    </cfRule>
  </conditionalFormatting>
  <conditionalFormatting sqref="U78">
    <cfRule type="expression" priority="8372" stopIfTrue="1">
      <formula>"ISBLANK($K$185)"</formula>
    </cfRule>
    <cfRule type="expression" dxfId="5566" priority="8415">
      <formula>AND(OR(AW78=0,ISBLANK(U78)),B78&lt;&gt;"")</formula>
    </cfRule>
    <cfRule type="expression" dxfId="5565" priority="8416">
      <formula>AND(U78="NA",NOT(ISTEXT(T78)))</formula>
    </cfRule>
    <cfRule type="expression" dxfId="5564" priority="8417">
      <formula>AND(AW78&gt;5,U78="NA")</formula>
    </cfRule>
    <cfRule type="expression" dxfId="5563" priority="8418">
      <formula>AND(AW78&lt;5,U78="NA")</formula>
    </cfRule>
    <cfRule type="expression" dxfId="5562" priority="8419">
      <formula>AND(U78&lt;&gt;"NA",U78&gt;$U$16)</formula>
    </cfRule>
  </conditionalFormatting>
  <conditionalFormatting sqref="V78">
    <cfRule type="expression" priority="8371" stopIfTrue="1">
      <formula>"ISBLANK($K$185)"</formula>
    </cfRule>
    <cfRule type="expression" dxfId="5561" priority="8410">
      <formula>AND(OR(AW78=0,ISBLANK(V78)),B78&lt;&gt;"")</formula>
    </cfRule>
    <cfRule type="expression" dxfId="5560" priority="8411">
      <formula>AND(V78="NA",NOT(ISTEXT(W78)))</formula>
    </cfRule>
    <cfRule type="expression" dxfId="5559" priority="8412">
      <formula>AND(AW78&gt;5,V78="NA")</formula>
    </cfRule>
    <cfRule type="expression" dxfId="5558" priority="8413">
      <formula>AND(AW78&lt;5,V78="NA")</formula>
    </cfRule>
    <cfRule type="expression" dxfId="5557" priority="8414">
      <formula>AND(V78&lt;&gt;"NA",V78&gt;$V$16)</formula>
    </cfRule>
  </conditionalFormatting>
  <conditionalFormatting sqref="W78">
    <cfRule type="expression" priority="8370" stopIfTrue="1">
      <formula>"ISBLANK($K$185)"</formula>
    </cfRule>
    <cfRule type="expression" dxfId="5556" priority="8405">
      <formula>AND(OR(AW78=0,ISBLANK(W78)),B78&lt;&gt;"")</formula>
    </cfRule>
    <cfRule type="expression" dxfId="5555" priority="8406">
      <formula>AND(W78="NA",NOT(ISTEXT(V78)))</formula>
    </cfRule>
    <cfRule type="expression" dxfId="5554" priority="8407">
      <formula>AND(AW78&gt;5,W78="NA")</formula>
    </cfRule>
    <cfRule type="expression" dxfId="5553" priority="8408">
      <formula>AND(AW78&lt;5,W78="NA")</formula>
    </cfRule>
    <cfRule type="expression" dxfId="5552" priority="8409">
      <formula>AND(W78&lt;&gt;"NA",W78&gt;$W$16)</formula>
    </cfRule>
  </conditionalFormatting>
  <conditionalFormatting sqref="X78">
    <cfRule type="expression" priority="8369" stopIfTrue="1">
      <formula>"ISBLANK($K$185)"</formula>
    </cfRule>
    <cfRule type="expression" dxfId="5551" priority="8400">
      <formula>AND(OR(AW78=0,ISBLANK(X78)),B78&lt;&gt;"")</formula>
    </cfRule>
    <cfRule type="expression" dxfId="5550" priority="8401">
      <formula>AND(X78="NA",NOT(ISTEXT(Y78)))</formula>
    </cfRule>
    <cfRule type="expression" dxfId="5549" priority="8402">
      <formula>AND(AW78&gt;5,X78="NA")</formula>
    </cfRule>
    <cfRule type="expression" dxfId="5548" priority="8403">
      <formula>AND(AW78&lt;5,X78="NA")</formula>
    </cfRule>
    <cfRule type="expression" dxfId="5547" priority="8404">
      <formula>AND(X78&lt;&gt;"NA",X78&gt;$Y$16)</formula>
    </cfRule>
  </conditionalFormatting>
  <conditionalFormatting sqref="Y78">
    <cfRule type="expression" priority="8368" stopIfTrue="1">
      <formula>"ISBLANK($K$185)"</formula>
    </cfRule>
    <cfRule type="expression" dxfId="5546" priority="8395">
      <formula>AND(OR(AW78=0,ISBLANK(Y78)),B78&lt;&gt;"")</formula>
    </cfRule>
    <cfRule type="expression" dxfId="5545" priority="8396">
      <formula>AND(Y78="NA",NOT(ISTEXT(X78)))</formula>
    </cfRule>
    <cfRule type="expression" dxfId="5544" priority="8397">
      <formula>AND(AW78&gt;5,Y78="NA")</formula>
    </cfRule>
    <cfRule type="expression" dxfId="5543" priority="8398">
      <formula>AND(AW78&lt;5,Y78="NA")</formula>
    </cfRule>
    <cfRule type="expression" dxfId="5542" priority="8399">
      <formula>AND(Y78&lt;&gt;"NA",Y78&gt;$Y$16)</formula>
    </cfRule>
  </conditionalFormatting>
  <conditionalFormatting sqref="N78">
    <cfRule type="expression" priority="8379" stopIfTrue="1">
      <formula>"ISBLANK($K$185)"</formula>
    </cfRule>
    <cfRule type="expression" dxfId="5541" priority="8450">
      <formula>AND(OR(AW78=0,ISBLANK(N78)),B78&lt;&gt;"")</formula>
    </cfRule>
    <cfRule type="expression" dxfId="5540" priority="8451">
      <formula>AND(N78="NA",NOT(ISTEXT(O78)))</formula>
    </cfRule>
    <cfRule type="expression" dxfId="5539" priority="8452">
      <formula>AND(AW78&gt;5,N78="NA")</formula>
    </cfRule>
    <cfRule type="expression" dxfId="5538" priority="8453">
      <formula>AND(AW78&lt;5,N78="NA")</formula>
    </cfRule>
    <cfRule type="expression" dxfId="5537" priority="8454">
      <formula>AND(N78&lt;&gt;"NA",N78&gt;$N$16)</formula>
    </cfRule>
  </conditionalFormatting>
  <conditionalFormatting sqref="O79">
    <cfRule type="expression" priority="8287" stopIfTrue="1">
      <formula>"ISBLANK($K$185)"</formula>
    </cfRule>
    <cfRule type="expression" dxfId="5536" priority="8354">
      <formula>AND(OR(AW79=0,ISBLANK(O79)),B79&lt;&gt;"")</formula>
    </cfRule>
    <cfRule type="expression" dxfId="5535" priority="8355">
      <formula>AND(O79="NA",NOT(ISTEXT(N79)))</formula>
    </cfRule>
    <cfRule type="expression" dxfId="5534" priority="8356">
      <formula>AND(AW79&gt;5,O79="NA")</formula>
    </cfRule>
    <cfRule type="expression" dxfId="5533" priority="8357">
      <formula>AND(AW79&lt;5,O79="NA")</formula>
    </cfRule>
    <cfRule type="expression" dxfId="5532" priority="8358">
      <formula>AND(O79&lt;&gt;"NA",O79&gt;$O$16)</formula>
    </cfRule>
  </conditionalFormatting>
  <conditionalFormatting sqref="P79">
    <cfRule type="expression" priority="8286" stopIfTrue="1">
      <formula>"ISBLANK($K$185)"</formula>
    </cfRule>
    <cfRule type="expression" dxfId="5531" priority="8349">
      <formula>AND(OR(AW79=0,ISBLANK(P79)),B79&lt;&gt;"")</formula>
    </cfRule>
    <cfRule type="expression" dxfId="5530" priority="8350">
      <formula>AND(P79="NA",NOT(ISTEXT(Q79)))</formula>
    </cfRule>
    <cfRule type="expression" dxfId="5529" priority="8351">
      <formula>AND(AW79&gt;5,P79="NA")</formula>
    </cfRule>
    <cfRule type="expression" dxfId="5528" priority="8352">
      <formula>AND(AW79&lt;5,P79="NA")</formula>
    </cfRule>
    <cfRule type="expression" dxfId="5527" priority="8353">
      <formula>AND(P79&lt;&gt;"NA",P79&gt;$P$16)</formula>
    </cfRule>
  </conditionalFormatting>
  <conditionalFormatting sqref="Q79">
    <cfRule type="expression" priority="8285" stopIfTrue="1">
      <formula>"ISBLANK($K$185)"</formula>
    </cfRule>
    <cfRule type="expression" dxfId="5526" priority="8344">
      <formula>AND(OR(AW79=0,ISBLANK(Q79)),B79&lt;&gt;"")</formula>
    </cfRule>
    <cfRule type="expression" dxfId="5525" priority="8345">
      <formula>AND(Q79="NA",NOT(ISTEXT(P79)))</formula>
    </cfRule>
    <cfRule type="expression" dxfId="5524" priority="8346">
      <formula>AND(AW79&gt;5,Q79="NA")</formula>
    </cfRule>
    <cfRule type="expression" dxfId="5523" priority="8347">
      <formula>AND(AW79&lt;5,Q79="NA")</formula>
    </cfRule>
    <cfRule type="expression" dxfId="5522" priority="8348">
      <formula>AND(Q79&lt;&gt;"NA",Q79&gt;$Q$16)</formula>
    </cfRule>
  </conditionalFormatting>
  <conditionalFormatting sqref="R79">
    <cfRule type="expression" priority="8284" stopIfTrue="1">
      <formula>"ISBLANK($K$185)"</formula>
    </cfRule>
    <cfRule type="expression" dxfId="5521" priority="8339">
      <formula>AND(OR(AW79=0,ISBLANK(R79)),B79&lt;&gt;"")</formula>
    </cfRule>
    <cfRule type="expression" dxfId="5520" priority="8340">
      <formula>AND(R79="NA",NOT(ISTEXT(S79)))</formula>
    </cfRule>
    <cfRule type="expression" dxfId="5519" priority="8341">
      <formula>AND(AW79&gt;5,R79="NA")</formula>
    </cfRule>
    <cfRule type="expression" dxfId="5518" priority="8342">
      <formula>AND(AW79&lt;5,R79="NA")</formula>
    </cfRule>
    <cfRule type="expression" dxfId="5517" priority="8343">
      <formula>AND(R79&lt;&gt;"NA",R79&gt;$R$16)</formula>
    </cfRule>
  </conditionalFormatting>
  <conditionalFormatting sqref="S79">
    <cfRule type="expression" priority="8283" stopIfTrue="1">
      <formula>"ISBLANK($K$185)"</formula>
    </cfRule>
    <cfRule type="expression" dxfId="5516" priority="8334">
      <formula>AND(OR(AW79=0,ISBLANK(S79)),B79&lt;&gt;"")</formula>
    </cfRule>
    <cfRule type="expression" dxfId="5515" priority="8335">
      <formula>AND(S79="NA",NOT(ISTEXT(R79)))</formula>
    </cfRule>
    <cfRule type="expression" dxfId="5514" priority="8336">
      <formula>AND(AW79&gt;5,S79="NA")</formula>
    </cfRule>
    <cfRule type="expression" dxfId="5513" priority="8337">
      <formula>AND(AW79&lt;5,S79="NA")</formula>
    </cfRule>
    <cfRule type="expression" dxfId="5512" priority="8338">
      <formula>AND(S79&lt;&gt;"NA",S79&gt;$S$16)</formula>
    </cfRule>
  </conditionalFormatting>
  <conditionalFormatting sqref="T79">
    <cfRule type="expression" priority="8282" stopIfTrue="1">
      <formula>"ISBLANK($K$185)"</formula>
    </cfRule>
    <cfRule type="expression" dxfId="5511" priority="8329">
      <formula>AND(OR(AW79=0,ISBLANK(T79)),B79&lt;&gt;"")</formula>
    </cfRule>
    <cfRule type="expression" dxfId="5510" priority="8330">
      <formula>AND(T79="NA",NOT(ISTEXT(U79)))</formula>
    </cfRule>
    <cfRule type="expression" dxfId="5509" priority="8331">
      <formula>AND(AW79&gt;5,T79="NA")</formula>
    </cfRule>
    <cfRule type="expression" dxfId="5508" priority="8332">
      <formula>AND(AW79&lt;5,T79="NA")</formula>
    </cfRule>
    <cfRule type="expression" dxfId="5507" priority="8333">
      <formula>AND(T79&lt;&gt;"NA",T79&gt;$T$16)</formula>
    </cfRule>
  </conditionalFormatting>
  <conditionalFormatting sqref="U79">
    <cfRule type="expression" priority="8281" stopIfTrue="1">
      <formula>"ISBLANK($K$185)"</formula>
    </cfRule>
    <cfRule type="expression" dxfId="5506" priority="8324">
      <formula>AND(OR(AW79=0,ISBLANK(U79)),B79&lt;&gt;"")</formula>
    </cfRule>
    <cfRule type="expression" dxfId="5505" priority="8325">
      <formula>AND(U79="NA",NOT(ISTEXT(T79)))</formula>
    </cfRule>
    <cfRule type="expression" dxfId="5504" priority="8326">
      <formula>AND(AW79&gt;5,U79="NA")</formula>
    </cfRule>
    <cfRule type="expression" dxfId="5503" priority="8327">
      <formula>AND(AW79&lt;5,U79="NA")</formula>
    </cfRule>
    <cfRule type="expression" dxfId="5502" priority="8328">
      <formula>AND(U79&lt;&gt;"NA",U79&gt;$U$16)</formula>
    </cfRule>
  </conditionalFormatting>
  <conditionalFormatting sqref="V79">
    <cfRule type="expression" priority="8280" stopIfTrue="1">
      <formula>"ISBLANK($K$185)"</formula>
    </cfRule>
    <cfRule type="expression" dxfId="5501" priority="8319">
      <formula>AND(OR(AW79=0,ISBLANK(V79)),B79&lt;&gt;"")</formula>
    </cfRule>
    <cfRule type="expression" dxfId="5500" priority="8320">
      <formula>AND(V79="NA",NOT(ISTEXT(W79)))</formula>
    </cfRule>
    <cfRule type="expression" dxfId="5499" priority="8321">
      <formula>AND(AW79&gt;5,V79="NA")</formula>
    </cfRule>
    <cfRule type="expression" dxfId="5498" priority="8322">
      <formula>AND(AW79&lt;5,V79="NA")</formula>
    </cfRule>
    <cfRule type="expression" dxfId="5497" priority="8323">
      <formula>AND(V79&lt;&gt;"NA",V79&gt;$V$16)</formula>
    </cfRule>
  </conditionalFormatting>
  <conditionalFormatting sqref="W79">
    <cfRule type="expression" priority="8279" stopIfTrue="1">
      <formula>"ISBLANK($K$185)"</formula>
    </cfRule>
    <cfRule type="expression" dxfId="5496" priority="8314">
      <formula>AND(OR(AW79=0,ISBLANK(W79)),B79&lt;&gt;"")</formula>
    </cfRule>
    <cfRule type="expression" dxfId="5495" priority="8315">
      <formula>AND(W79="NA",NOT(ISTEXT(V79)))</formula>
    </cfRule>
    <cfRule type="expression" dxfId="5494" priority="8316">
      <formula>AND(AW79&gt;5,W79="NA")</formula>
    </cfRule>
    <cfRule type="expression" dxfId="5493" priority="8317">
      <formula>AND(AW79&lt;5,W79="NA")</formula>
    </cfRule>
    <cfRule type="expression" dxfId="5492" priority="8318">
      <formula>AND(W79&lt;&gt;"NA",W79&gt;$W$16)</formula>
    </cfRule>
  </conditionalFormatting>
  <conditionalFormatting sqref="X79">
    <cfRule type="expression" priority="8278" stopIfTrue="1">
      <formula>"ISBLANK($K$185)"</formula>
    </cfRule>
    <cfRule type="expression" dxfId="5491" priority="8309">
      <formula>AND(OR(AW79=0,ISBLANK(X79)),B79&lt;&gt;"")</formula>
    </cfRule>
    <cfRule type="expression" dxfId="5490" priority="8310">
      <formula>AND(X79="NA",NOT(ISTEXT(Y79)))</formula>
    </cfRule>
    <cfRule type="expression" dxfId="5489" priority="8311">
      <formula>AND(AW79&gt;5,X79="NA")</formula>
    </cfRule>
    <cfRule type="expression" dxfId="5488" priority="8312">
      <formula>AND(AW79&lt;5,X79="NA")</formula>
    </cfRule>
    <cfRule type="expression" dxfId="5487" priority="8313">
      <formula>AND(X79&lt;&gt;"NA",X79&gt;$Y$16)</formula>
    </cfRule>
  </conditionalFormatting>
  <conditionalFormatting sqref="Y79">
    <cfRule type="expression" priority="8277" stopIfTrue="1">
      <formula>"ISBLANK($K$185)"</formula>
    </cfRule>
    <cfRule type="expression" dxfId="5486" priority="8304">
      <formula>AND(OR(AW79=0,ISBLANK(Y79)),B79&lt;&gt;"")</formula>
    </cfRule>
    <cfRule type="expression" dxfId="5485" priority="8305">
      <formula>AND(Y79="NA",NOT(ISTEXT(X79)))</formula>
    </cfRule>
    <cfRule type="expression" dxfId="5484" priority="8306">
      <formula>AND(AW79&gt;5,Y79="NA")</formula>
    </cfRule>
    <cfRule type="expression" dxfId="5483" priority="8307">
      <formula>AND(AW79&lt;5,Y79="NA")</formula>
    </cfRule>
    <cfRule type="expression" dxfId="5482" priority="8308">
      <formula>AND(Y79&lt;&gt;"NA",Y79&gt;$Y$16)</formula>
    </cfRule>
  </conditionalFormatting>
  <conditionalFormatting sqref="N79">
    <cfRule type="expression" priority="8288" stopIfTrue="1">
      <formula>"ISBLANK($K$185)"</formula>
    </cfRule>
    <cfRule type="expression" dxfId="5481" priority="8359">
      <formula>AND(OR(AW79=0,ISBLANK(N79)),B79&lt;&gt;"")</formula>
    </cfRule>
    <cfRule type="expression" dxfId="5480" priority="8360">
      <formula>AND(N79="NA",NOT(ISTEXT(O79)))</formula>
    </cfRule>
    <cfRule type="expression" dxfId="5479" priority="8361">
      <formula>AND(AW79&gt;5,N79="NA")</formula>
    </cfRule>
    <cfRule type="expression" dxfId="5478" priority="8362">
      <formula>AND(AW79&lt;5,N79="NA")</formula>
    </cfRule>
    <cfRule type="expression" dxfId="5477" priority="8363">
      <formula>AND(N79&lt;&gt;"NA",N79&gt;$N$16)</formula>
    </cfRule>
  </conditionalFormatting>
  <conditionalFormatting sqref="O80">
    <cfRule type="expression" priority="8196" stopIfTrue="1">
      <formula>"ISBLANK($K$185)"</formula>
    </cfRule>
    <cfRule type="expression" dxfId="5476" priority="8263">
      <formula>AND(OR(AW80=0,ISBLANK(O80)),B80&lt;&gt;"")</formula>
    </cfRule>
    <cfRule type="expression" dxfId="5475" priority="8264">
      <formula>AND(O80="NA",NOT(ISTEXT(N80)))</formula>
    </cfRule>
    <cfRule type="expression" dxfId="5474" priority="8265">
      <formula>AND(AW80&gt;5,O80="NA")</formula>
    </cfRule>
    <cfRule type="expression" dxfId="5473" priority="8266">
      <formula>AND(AW80&lt;5,O80="NA")</formula>
    </cfRule>
    <cfRule type="expression" dxfId="5472" priority="8267">
      <formula>AND(O80&lt;&gt;"NA",O80&gt;$O$16)</formula>
    </cfRule>
  </conditionalFormatting>
  <conditionalFormatting sqref="P80">
    <cfRule type="expression" priority="8195" stopIfTrue="1">
      <formula>"ISBLANK($K$185)"</formula>
    </cfRule>
    <cfRule type="expression" dxfId="5471" priority="8258">
      <formula>AND(OR(AW80=0,ISBLANK(P80)),B80&lt;&gt;"")</formula>
    </cfRule>
    <cfRule type="expression" dxfId="5470" priority="8259">
      <formula>AND(P80="NA",NOT(ISTEXT(Q80)))</formula>
    </cfRule>
    <cfRule type="expression" dxfId="5469" priority="8260">
      <formula>AND(AW80&gt;5,P80="NA")</formula>
    </cfRule>
    <cfRule type="expression" dxfId="5468" priority="8261">
      <formula>AND(AW80&lt;5,P80="NA")</formula>
    </cfRule>
    <cfRule type="expression" dxfId="5467" priority="8262">
      <formula>AND(P80&lt;&gt;"NA",P80&gt;$P$16)</formula>
    </cfRule>
  </conditionalFormatting>
  <conditionalFormatting sqref="Q80">
    <cfRule type="expression" priority="8194" stopIfTrue="1">
      <formula>"ISBLANK($K$185)"</formula>
    </cfRule>
    <cfRule type="expression" dxfId="5466" priority="8253">
      <formula>AND(OR(AW80=0,ISBLANK(Q80)),B80&lt;&gt;"")</formula>
    </cfRule>
    <cfRule type="expression" dxfId="5465" priority="8254">
      <formula>AND(Q80="NA",NOT(ISTEXT(P80)))</formula>
    </cfRule>
    <cfRule type="expression" dxfId="5464" priority="8255">
      <formula>AND(AW80&gt;5,Q80="NA")</formula>
    </cfRule>
    <cfRule type="expression" dxfId="5463" priority="8256">
      <formula>AND(AW80&lt;5,Q80="NA")</formula>
    </cfRule>
    <cfRule type="expression" dxfId="5462" priority="8257">
      <formula>AND(Q80&lt;&gt;"NA",Q80&gt;$Q$16)</formula>
    </cfRule>
  </conditionalFormatting>
  <conditionalFormatting sqref="R80">
    <cfRule type="expression" priority="8193" stopIfTrue="1">
      <formula>"ISBLANK($K$185)"</formula>
    </cfRule>
    <cfRule type="expression" dxfId="5461" priority="8248">
      <formula>AND(OR(AW80=0,ISBLANK(R80)),B80&lt;&gt;"")</formula>
    </cfRule>
    <cfRule type="expression" dxfId="5460" priority="8249">
      <formula>AND(R80="NA",NOT(ISTEXT(S80)))</formula>
    </cfRule>
    <cfRule type="expression" dxfId="5459" priority="8250">
      <formula>AND(AW80&gt;5,R80="NA")</formula>
    </cfRule>
    <cfRule type="expression" dxfId="5458" priority="8251">
      <formula>AND(AW80&lt;5,R80="NA")</formula>
    </cfRule>
    <cfRule type="expression" dxfId="5457" priority="8252">
      <formula>AND(R80&lt;&gt;"NA",R80&gt;$R$16)</formula>
    </cfRule>
  </conditionalFormatting>
  <conditionalFormatting sqref="S80">
    <cfRule type="expression" priority="8192" stopIfTrue="1">
      <formula>"ISBLANK($K$185)"</formula>
    </cfRule>
    <cfRule type="expression" dxfId="5456" priority="8243">
      <formula>AND(OR(AW80=0,ISBLANK(S80)),B80&lt;&gt;"")</formula>
    </cfRule>
    <cfRule type="expression" dxfId="5455" priority="8244">
      <formula>AND(S80="NA",NOT(ISTEXT(R80)))</formula>
    </cfRule>
    <cfRule type="expression" dxfId="5454" priority="8245">
      <formula>AND(AW80&gt;5,S80="NA")</formula>
    </cfRule>
    <cfRule type="expression" dxfId="5453" priority="8246">
      <formula>AND(AW80&lt;5,S80="NA")</formula>
    </cfRule>
    <cfRule type="expression" dxfId="5452" priority="8247">
      <formula>AND(S80&lt;&gt;"NA",S80&gt;$S$16)</formula>
    </cfRule>
  </conditionalFormatting>
  <conditionalFormatting sqref="T80">
    <cfRule type="expression" priority="8191" stopIfTrue="1">
      <formula>"ISBLANK($K$185)"</formula>
    </cfRule>
    <cfRule type="expression" dxfId="5451" priority="8238">
      <formula>AND(OR(AW80=0,ISBLANK(T80)),B80&lt;&gt;"")</formula>
    </cfRule>
    <cfRule type="expression" dxfId="5450" priority="8239">
      <formula>AND(T80="NA",NOT(ISTEXT(U80)))</formula>
    </cfRule>
    <cfRule type="expression" dxfId="5449" priority="8240">
      <formula>AND(AW80&gt;5,T80="NA")</formula>
    </cfRule>
    <cfRule type="expression" dxfId="5448" priority="8241">
      <formula>AND(AW80&lt;5,T80="NA")</formula>
    </cfRule>
    <cfRule type="expression" dxfId="5447" priority="8242">
      <formula>AND(T80&lt;&gt;"NA",T80&gt;$T$16)</formula>
    </cfRule>
  </conditionalFormatting>
  <conditionalFormatting sqref="U80">
    <cfRule type="expression" priority="8190" stopIfTrue="1">
      <formula>"ISBLANK($K$185)"</formula>
    </cfRule>
    <cfRule type="expression" dxfId="5446" priority="8233">
      <formula>AND(OR(AW80=0,ISBLANK(U80)),B80&lt;&gt;"")</formula>
    </cfRule>
    <cfRule type="expression" dxfId="5445" priority="8234">
      <formula>AND(U80="NA",NOT(ISTEXT(T80)))</formula>
    </cfRule>
    <cfRule type="expression" dxfId="5444" priority="8235">
      <formula>AND(AW80&gt;5,U80="NA")</formula>
    </cfRule>
    <cfRule type="expression" dxfId="5443" priority="8236">
      <formula>AND(AW80&lt;5,U80="NA")</formula>
    </cfRule>
    <cfRule type="expression" dxfId="5442" priority="8237">
      <formula>AND(U80&lt;&gt;"NA",U80&gt;$U$16)</formula>
    </cfRule>
  </conditionalFormatting>
  <conditionalFormatting sqref="V80">
    <cfRule type="expression" priority="8189" stopIfTrue="1">
      <formula>"ISBLANK($K$185)"</formula>
    </cfRule>
    <cfRule type="expression" dxfId="5441" priority="8228">
      <formula>AND(OR(AW80=0,ISBLANK(V80)),B80&lt;&gt;"")</formula>
    </cfRule>
    <cfRule type="expression" dxfId="5440" priority="8229">
      <formula>AND(V80="NA",NOT(ISTEXT(W80)))</formula>
    </cfRule>
    <cfRule type="expression" dxfId="5439" priority="8230">
      <formula>AND(AW80&gt;5,V80="NA")</formula>
    </cfRule>
    <cfRule type="expression" dxfId="5438" priority="8231">
      <formula>AND(AW80&lt;5,V80="NA")</formula>
    </cfRule>
    <cfRule type="expression" dxfId="5437" priority="8232">
      <formula>AND(V80&lt;&gt;"NA",V80&gt;$V$16)</formula>
    </cfRule>
  </conditionalFormatting>
  <conditionalFormatting sqref="W80">
    <cfRule type="expression" priority="8188" stopIfTrue="1">
      <formula>"ISBLANK($K$185)"</formula>
    </cfRule>
    <cfRule type="expression" dxfId="5436" priority="8223">
      <formula>AND(OR(AW80=0,ISBLANK(W80)),B80&lt;&gt;"")</formula>
    </cfRule>
    <cfRule type="expression" dxfId="5435" priority="8224">
      <formula>AND(W80="NA",NOT(ISTEXT(V80)))</formula>
    </cfRule>
    <cfRule type="expression" dxfId="5434" priority="8225">
      <formula>AND(AW80&gt;5,W80="NA")</formula>
    </cfRule>
    <cfRule type="expression" dxfId="5433" priority="8226">
      <formula>AND(AW80&lt;5,W80="NA")</formula>
    </cfRule>
    <cfRule type="expression" dxfId="5432" priority="8227">
      <formula>AND(W80&lt;&gt;"NA",W80&gt;$W$16)</formula>
    </cfRule>
  </conditionalFormatting>
  <conditionalFormatting sqref="X80">
    <cfRule type="expression" priority="8187" stopIfTrue="1">
      <formula>"ISBLANK($K$185)"</formula>
    </cfRule>
    <cfRule type="expression" dxfId="5431" priority="8218">
      <formula>AND(OR(AW80=0,ISBLANK(X80)),B80&lt;&gt;"")</formula>
    </cfRule>
    <cfRule type="expression" dxfId="5430" priority="8219">
      <formula>AND(X80="NA",NOT(ISTEXT(Y80)))</formula>
    </cfRule>
    <cfRule type="expression" dxfId="5429" priority="8220">
      <formula>AND(AW80&gt;5,X80="NA")</formula>
    </cfRule>
    <cfRule type="expression" dxfId="5428" priority="8221">
      <formula>AND(AW80&lt;5,X80="NA")</formula>
    </cfRule>
    <cfRule type="expression" dxfId="5427" priority="8222">
      <formula>AND(X80&lt;&gt;"NA",X80&gt;$Y$16)</formula>
    </cfRule>
  </conditionalFormatting>
  <conditionalFormatting sqref="Y80">
    <cfRule type="expression" priority="8186" stopIfTrue="1">
      <formula>"ISBLANK($K$185)"</formula>
    </cfRule>
    <cfRule type="expression" dxfId="5426" priority="8213">
      <formula>AND(OR(AW80=0,ISBLANK(Y80)),B80&lt;&gt;"")</formula>
    </cfRule>
    <cfRule type="expression" dxfId="5425" priority="8214">
      <formula>AND(Y80="NA",NOT(ISTEXT(X80)))</formula>
    </cfRule>
    <cfRule type="expression" dxfId="5424" priority="8215">
      <formula>AND(AW80&gt;5,Y80="NA")</formula>
    </cfRule>
    <cfRule type="expression" dxfId="5423" priority="8216">
      <formula>AND(AW80&lt;5,Y80="NA")</formula>
    </cfRule>
    <cfRule type="expression" dxfId="5422" priority="8217">
      <formula>AND(Y80&lt;&gt;"NA",Y80&gt;$Y$16)</formula>
    </cfRule>
  </conditionalFormatting>
  <conditionalFormatting sqref="N80">
    <cfRule type="expression" priority="8197" stopIfTrue="1">
      <formula>"ISBLANK($K$185)"</formula>
    </cfRule>
    <cfRule type="expression" dxfId="5421" priority="8268">
      <formula>AND(OR(AW80=0,ISBLANK(N80)),B80&lt;&gt;"")</formula>
    </cfRule>
    <cfRule type="expression" dxfId="5420" priority="8269">
      <formula>AND(N80="NA",NOT(ISTEXT(O80)))</formula>
    </cfRule>
    <cfRule type="expression" dxfId="5419" priority="8270">
      <formula>AND(AW80&gt;5,N80="NA")</formula>
    </cfRule>
    <cfRule type="expression" dxfId="5418" priority="8271">
      <formula>AND(AW80&lt;5,N80="NA")</formula>
    </cfRule>
    <cfRule type="expression" dxfId="5417" priority="8272">
      <formula>AND(N80&lt;&gt;"NA",N80&gt;$N$16)</formula>
    </cfRule>
  </conditionalFormatting>
  <conditionalFormatting sqref="O81">
    <cfRule type="expression" priority="8105" stopIfTrue="1">
      <formula>"ISBLANK($K$185)"</formula>
    </cfRule>
    <cfRule type="expression" dxfId="5416" priority="8172">
      <formula>AND(OR(AW81=0,ISBLANK(O81)),B81&lt;&gt;"")</formula>
    </cfRule>
    <cfRule type="expression" dxfId="5415" priority="8173">
      <formula>AND(O81="NA",NOT(ISTEXT(N81)))</formula>
    </cfRule>
    <cfRule type="expression" dxfId="5414" priority="8174">
      <formula>AND(AW81&gt;5,O81="NA")</formula>
    </cfRule>
    <cfRule type="expression" dxfId="5413" priority="8175">
      <formula>AND(AW81&lt;5,O81="NA")</formula>
    </cfRule>
    <cfRule type="expression" dxfId="5412" priority="8176">
      <formula>AND(O81&lt;&gt;"NA",O81&gt;$O$16)</formula>
    </cfRule>
  </conditionalFormatting>
  <conditionalFormatting sqref="P81">
    <cfRule type="expression" priority="8104" stopIfTrue="1">
      <formula>"ISBLANK($K$185)"</formula>
    </cfRule>
    <cfRule type="expression" dxfId="5411" priority="8167">
      <formula>AND(OR(AW81=0,ISBLANK(P81)),B81&lt;&gt;"")</formula>
    </cfRule>
    <cfRule type="expression" dxfId="5410" priority="8168">
      <formula>AND(P81="NA",NOT(ISTEXT(Q81)))</formula>
    </cfRule>
    <cfRule type="expression" dxfId="5409" priority="8169">
      <formula>AND(AW81&gt;5,P81="NA")</formula>
    </cfRule>
    <cfRule type="expression" dxfId="5408" priority="8170">
      <formula>AND(AW81&lt;5,P81="NA")</formula>
    </cfRule>
    <cfRule type="expression" dxfId="5407" priority="8171">
      <formula>AND(P81&lt;&gt;"NA",P81&gt;$P$16)</formula>
    </cfRule>
  </conditionalFormatting>
  <conditionalFormatting sqref="Q81">
    <cfRule type="expression" priority="8103" stopIfTrue="1">
      <formula>"ISBLANK($K$185)"</formula>
    </cfRule>
    <cfRule type="expression" dxfId="5406" priority="8162">
      <formula>AND(OR(AW81=0,ISBLANK(Q81)),B81&lt;&gt;"")</formula>
    </cfRule>
    <cfRule type="expression" dxfId="5405" priority="8163">
      <formula>AND(Q81="NA",NOT(ISTEXT(P81)))</formula>
    </cfRule>
    <cfRule type="expression" dxfId="5404" priority="8164">
      <formula>AND(AW81&gt;5,Q81="NA")</formula>
    </cfRule>
    <cfRule type="expression" dxfId="5403" priority="8165">
      <formula>AND(AW81&lt;5,Q81="NA")</formula>
    </cfRule>
    <cfRule type="expression" dxfId="5402" priority="8166">
      <formula>AND(Q81&lt;&gt;"NA",Q81&gt;$Q$16)</formula>
    </cfRule>
  </conditionalFormatting>
  <conditionalFormatting sqref="R81">
    <cfRule type="expression" priority="8102" stopIfTrue="1">
      <formula>"ISBLANK($K$185)"</formula>
    </cfRule>
    <cfRule type="expression" dxfId="5401" priority="8157">
      <formula>AND(OR(AW81=0,ISBLANK(R81)),B81&lt;&gt;"")</formula>
    </cfRule>
    <cfRule type="expression" dxfId="5400" priority="8158">
      <formula>AND(R81="NA",NOT(ISTEXT(S81)))</formula>
    </cfRule>
    <cfRule type="expression" dxfId="5399" priority="8159">
      <formula>AND(AW81&gt;5,R81="NA")</formula>
    </cfRule>
    <cfRule type="expression" dxfId="5398" priority="8160">
      <formula>AND(AW81&lt;5,R81="NA")</formula>
    </cfRule>
    <cfRule type="expression" dxfId="5397" priority="8161">
      <formula>AND(R81&lt;&gt;"NA",R81&gt;$R$16)</formula>
    </cfRule>
  </conditionalFormatting>
  <conditionalFormatting sqref="S81">
    <cfRule type="expression" priority="8101" stopIfTrue="1">
      <formula>"ISBLANK($K$185)"</formula>
    </cfRule>
    <cfRule type="expression" dxfId="5396" priority="8152">
      <formula>AND(OR(AW81=0,ISBLANK(S81)),B81&lt;&gt;"")</formula>
    </cfRule>
    <cfRule type="expression" dxfId="5395" priority="8153">
      <formula>AND(S81="NA",NOT(ISTEXT(R81)))</formula>
    </cfRule>
    <cfRule type="expression" dxfId="5394" priority="8154">
      <formula>AND(AW81&gt;5,S81="NA")</formula>
    </cfRule>
    <cfRule type="expression" dxfId="5393" priority="8155">
      <formula>AND(AW81&lt;5,S81="NA")</formula>
    </cfRule>
    <cfRule type="expression" dxfId="5392" priority="8156">
      <formula>AND(S81&lt;&gt;"NA",S81&gt;$S$16)</formula>
    </cfRule>
  </conditionalFormatting>
  <conditionalFormatting sqref="T81">
    <cfRule type="expression" priority="8100" stopIfTrue="1">
      <formula>"ISBLANK($K$185)"</formula>
    </cfRule>
    <cfRule type="expression" dxfId="5391" priority="8147">
      <formula>AND(OR(AW81=0,ISBLANK(T81)),B81&lt;&gt;"")</formula>
    </cfRule>
    <cfRule type="expression" dxfId="5390" priority="8148">
      <formula>AND(T81="NA",NOT(ISTEXT(U81)))</formula>
    </cfRule>
    <cfRule type="expression" dxfId="5389" priority="8149">
      <formula>AND(AW81&gt;5,T81="NA")</formula>
    </cfRule>
    <cfRule type="expression" dxfId="5388" priority="8150">
      <formula>AND(AW81&lt;5,T81="NA")</formula>
    </cfRule>
    <cfRule type="expression" dxfId="5387" priority="8151">
      <formula>AND(T81&lt;&gt;"NA",T81&gt;$T$16)</formula>
    </cfRule>
  </conditionalFormatting>
  <conditionalFormatting sqref="U81">
    <cfRule type="expression" priority="8099" stopIfTrue="1">
      <formula>"ISBLANK($K$185)"</formula>
    </cfRule>
    <cfRule type="expression" dxfId="5386" priority="8142">
      <formula>AND(OR(AW81=0,ISBLANK(U81)),B81&lt;&gt;"")</formula>
    </cfRule>
    <cfRule type="expression" dxfId="5385" priority="8143">
      <formula>AND(U81="NA",NOT(ISTEXT(T81)))</formula>
    </cfRule>
    <cfRule type="expression" dxfId="5384" priority="8144">
      <formula>AND(AW81&gt;5,U81="NA")</formula>
    </cfRule>
    <cfRule type="expression" dxfId="5383" priority="8145">
      <formula>AND(AW81&lt;5,U81="NA")</formula>
    </cfRule>
    <cfRule type="expression" dxfId="5382" priority="8146">
      <formula>AND(U81&lt;&gt;"NA",U81&gt;$U$16)</formula>
    </cfRule>
  </conditionalFormatting>
  <conditionalFormatting sqref="V81">
    <cfRule type="expression" priority="8098" stopIfTrue="1">
      <formula>"ISBLANK($K$185)"</formula>
    </cfRule>
    <cfRule type="expression" dxfId="5381" priority="8137">
      <formula>AND(OR(AW81=0,ISBLANK(V81)),B81&lt;&gt;"")</formula>
    </cfRule>
    <cfRule type="expression" dxfId="5380" priority="8138">
      <formula>AND(V81="NA",NOT(ISTEXT(W81)))</formula>
    </cfRule>
    <cfRule type="expression" dxfId="5379" priority="8139">
      <formula>AND(AW81&gt;5,V81="NA")</formula>
    </cfRule>
    <cfRule type="expression" dxfId="5378" priority="8140">
      <formula>AND(AW81&lt;5,V81="NA")</formula>
    </cfRule>
    <cfRule type="expression" dxfId="5377" priority="8141">
      <formula>AND(V81&lt;&gt;"NA",V81&gt;$V$16)</formula>
    </cfRule>
  </conditionalFormatting>
  <conditionalFormatting sqref="W81">
    <cfRule type="expression" priority="8097" stopIfTrue="1">
      <formula>"ISBLANK($K$185)"</formula>
    </cfRule>
    <cfRule type="expression" dxfId="5376" priority="8132">
      <formula>AND(OR(AW81=0,ISBLANK(W81)),B81&lt;&gt;"")</formula>
    </cfRule>
    <cfRule type="expression" dxfId="5375" priority="8133">
      <formula>AND(W81="NA",NOT(ISTEXT(V81)))</formula>
    </cfRule>
    <cfRule type="expression" dxfId="5374" priority="8134">
      <formula>AND(AW81&gt;5,W81="NA")</formula>
    </cfRule>
    <cfRule type="expression" dxfId="5373" priority="8135">
      <formula>AND(AW81&lt;5,W81="NA")</formula>
    </cfRule>
    <cfRule type="expression" dxfId="5372" priority="8136">
      <formula>AND(W81&lt;&gt;"NA",W81&gt;$W$16)</formula>
    </cfRule>
  </conditionalFormatting>
  <conditionalFormatting sqref="X81">
    <cfRule type="expression" priority="8096" stopIfTrue="1">
      <formula>"ISBLANK($K$185)"</formula>
    </cfRule>
    <cfRule type="expression" dxfId="5371" priority="8127">
      <formula>AND(OR(AW81=0,ISBLANK(X81)),B81&lt;&gt;"")</formula>
    </cfRule>
    <cfRule type="expression" dxfId="5370" priority="8128">
      <formula>AND(X81="NA",NOT(ISTEXT(Y81)))</formula>
    </cfRule>
    <cfRule type="expression" dxfId="5369" priority="8129">
      <formula>AND(AW81&gt;5,X81="NA")</formula>
    </cfRule>
    <cfRule type="expression" dxfId="5368" priority="8130">
      <formula>AND(AW81&lt;5,X81="NA")</formula>
    </cfRule>
    <cfRule type="expression" dxfId="5367" priority="8131">
      <formula>AND(X81&lt;&gt;"NA",X81&gt;$Y$16)</formula>
    </cfRule>
  </conditionalFormatting>
  <conditionalFormatting sqref="Y81">
    <cfRule type="expression" priority="8095" stopIfTrue="1">
      <formula>"ISBLANK($K$185)"</formula>
    </cfRule>
    <cfRule type="expression" dxfId="5366" priority="8122">
      <formula>AND(OR(AW81=0,ISBLANK(Y81)),B81&lt;&gt;"")</formula>
    </cfRule>
    <cfRule type="expression" dxfId="5365" priority="8123">
      <formula>AND(Y81="NA",NOT(ISTEXT(X81)))</formula>
    </cfRule>
    <cfRule type="expression" dxfId="5364" priority="8124">
      <formula>AND(AW81&gt;5,Y81="NA")</formula>
    </cfRule>
    <cfRule type="expression" dxfId="5363" priority="8125">
      <formula>AND(AW81&lt;5,Y81="NA")</formula>
    </cfRule>
    <cfRule type="expression" dxfId="5362" priority="8126">
      <formula>AND(Y81&lt;&gt;"NA",Y81&gt;$Y$16)</formula>
    </cfRule>
  </conditionalFormatting>
  <conditionalFormatting sqref="N81">
    <cfRule type="expression" priority="8106" stopIfTrue="1">
      <formula>"ISBLANK($K$185)"</formula>
    </cfRule>
    <cfRule type="expression" dxfId="5361" priority="8177">
      <formula>AND(OR(AW81=0,ISBLANK(N81)),B81&lt;&gt;"")</formula>
    </cfRule>
    <cfRule type="expression" dxfId="5360" priority="8178">
      <formula>AND(N81="NA",NOT(ISTEXT(O81)))</formula>
    </cfRule>
    <cfRule type="expression" dxfId="5359" priority="8179">
      <formula>AND(AW81&gt;5,N81="NA")</formula>
    </cfRule>
    <cfRule type="expression" dxfId="5358" priority="8180">
      <formula>AND(AW81&lt;5,N81="NA")</formula>
    </cfRule>
    <cfRule type="expression" dxfId="5357" priority="8181">
      <formula>AND(N81&lt;&gt;"NA",N81&gt;$N$16)</formula>
    </cfRule>
  </conditionalFormatting>
  <conditionalFormatting sqref="O82">
    <cfRule type="expression" priority="8014" stopIfTrue="1">
      <formula>"ISBLANK($K$185)"</formula>
    </cfRule>
    <cfRule type="expression" dxfId="5356" priority="8081">
      <formula>AND(OR(AW82=0,ISBLANK(O82)),B82&lt;&gt;"")</formula>
    </cfRule>
    <cfRule type="expression" dxfId="5355" priority="8082">
      <formula>AND(O82="NA",NOT(ISTEXT(N82)))</formula>
    </cfRule>
    <cfRule type="expression" dxfId="5354" priority="8083">
      <formula>AND(AW82&gt;5,O82="NA")</formula>
    </cfRule>
    <cfRule type="expression" dxfId="5353" priority="8084">
      <formula>AND(AW82&lt;5,O82="NA")</formula>
    </cfRule>
    <cfRule type="expression" dxfId="5352" priority="8085">
      <formula>AND(O82&lt;&gt;"NA",O82&gt;$O$16)</formula>
    </cfRule>
  </conditionalFormatting>
  <conditionalFormatting sqref="P82">
    <cfRule type="expression" priority="8013" stopIfTrue="1">
      <formula>"ISBLANK($K$185)"</formula>
    </cfRule>
    <cfRule type="expression" dxfId="5351" priority="8076">
      <formula>AND(OR(AW82=0,ISBLANK(P82)),B82&lt;&gt;"")</formula>
    </cfRule>
    <cfRule type="expression" dxfId="5350" priority="8077">
      <formula>AND(P82="NA",NOT(ISTEXT(Q82)))</formula>
    </cfRule>
    <cfRule type="expression" dxfId="5349" priority="8078">
      <formula>AND(AW82&gt;5,P82="NA")</formula>
    </cfRule>
    <cfRule type="expression" dxfId="5348" priority="8079">
      <formula>AND(AW82&lt;5,P82="NA")</formula>
    </cfRule>
    <cfRule type="expression" dxfId="5347" priority="8080">
      <formula>AND(P82&lt;&gt;"NA",P82&gt;$P$16)</formula>
    </cfRule>
  </conditionalFormatting>
  <conditionalFormatting sqref="Q82">
    <cfRule type="expression" priority="8012" stopIfTrue="1">
      <formula>"ISBLANK($K$185)"</formula>
    </cfRule>
    <cfRule type="expression" dxfId="5346" priority="8071">
      <formula>AND(OR(AW82=0,ISBLANK(Q82)),B82&lt;&gt;"")</formula>
    </cfRule>
    <cfRule type="expression" dxfId="5345" priority="8072">
      <formula>AND(Q82="NA",NOT(ISTEXT(P82)))</formula>
    </cfRule>
    <cfRule type="expression" dxfId="5344" priority="8073">
      <formula>AND(AW82&gt;5,Q82="NA")</formula>
    </cfRule>
    <cfRule type="expression" dxfId="5343" priority="8074">
      <formula>AND(AW82&lt;5,Q82="NA")</formula>
    </cfRule>
    <cfRule type="expression" dxfId="5342" priority="8075">
      <formula>AND(Q82&lt;&gt;"NA",Q82&gt;$Q$16)</formula>
    </cfRule>
  </conditionalFormatting>
  <conditionalFormatting sqref="R82">
    <cfRule type="expression" priority="8011" stopIfTrue="1">
      <formula>"ISBLANK($K$185)"</formula>
    </cfRule>
    <cfRule type="expression" dxfId="5341" priority="8066">
      <formula>AND(OR(AW82=0,ISBLANK(R82)),B82&lt;&gt;"")</formula>
    </cfRule>
    <cfRule type="expression" dxfId="5340" priority="8067">
      <formula>AND(R82="NA",NOT(ISTEXT(S82)))</formula>
    </cfRule>
    <cfRule type="expression" dxfId="5339" priority="8068">
      <formula>AND(AW82&gt;5,R82="NA")</formula>
    </cfRule>
    <cfRule type="expression" dxfId="5338" priority="8069">
      <formula>AND(AW82&lt;5,R82="NA")</formula>
    </cfRule>
    <cfRule type="expression" dxfId="5337" priority="8070">
      <formula>AND(R82&lt;&gt;"NA",R82&gt;$R$16)</formula>
    </cfRule>
  </conditionalFormatting>
  <conditionalFormatting sqref="S82">
    <cfRule type="expression" priority="8010" stopIfTrue="1">
      <formula>"ISBLANK($K$185)"</formula>
    </cfRule>
    <cfRule type="expression" dxfId="5336" priority="8061">
      <formula>AND(OR(AW82=0,ISBLANK(S82)),B82&lt;&gt;"")</formula>
    </cfRule>
    <cfRule type="expression" dxfId="5335" priority="8062">
      <formula>AND(S82="NA",NOT(ISTEXT(R82)))</formula>
    </cfRule>
    <cfRule type="expression" dxfId="5334" priority="8063">
      <formula>AND(AW82&gt;5,S82="NA")</formula>
    </cfRule>
    <cfRule type="expression" dxfId="5333" priority="8064">
      <formula>AND(AW82&lt;5,S82="NA")</formula>
    </cfRule>
    <cfRule type="expression" dxfId="5332" priority="8065">
      <formula>AND(S82&lt;&gt;"NA",S82&gt;$S$16)</formula>
    </cfRule>
  </conditionalFormatting>
  <conditionalFormatting sqref="T82">
    <cfRule type="expression" priority="8009" stopIfTrue="1">
      <formula>"ISBLANK($K$185)"</formula>
    </cfRule>
    <cfRule type="expression" dxfId="5331" priority="8056">
      <formula>AND(OR(AW82=0,ISBLANK(T82)),B82&lt;&gt;"")</formula>
    </cfRule>
    <cfRule type="expression" dxfId="5330" priority="8057">
      <formula>AND(T82="NA",NOT(ISTEXT(U82)))</formula>
    </cfRule>
    <cfRule type="expression" dxfId="5329" priority="8058">
      <formula>AND(AW82&gt;5,T82="NA")</formula>
    </cfRule>
    <cfRule type="expression" dxfId="5328" priority="8059">
      <formula>AND(AW82&lt;5,T82="NA")</formula>
    </cfRule>
    <cfRule type="expression" dxfId="5327" priority="8060">
      <formula>AND(T82&lt;&gt;"NA",T82&gt;$T$16)</formula>
    </cfRule>
  </conditionalFormatting>
  <conditionalFormatting sqref="U82">
    <cfRule type="expression" priority="8008" stopIfTrue="1">
      <formula>"ISBLANK($K$185)"</formula>
    </cfRule>
    <cfRule type="expression" dxfId="5326" priority="8051">
      <formula>AND(OR(AW82=0,ISBLANK(U82)),B82&lt;&gt;"")</formula>
    </cfRule>
    <cfRule type="expression" dxfId="5325" priority="8052">
      <formula>AND(U82="NA",NOT(ISTEXT(T82)))</formula>
    </cfRule>
    <cfRule type="expression" dxfId="5324" priority="8053">
      <formula>AND(AW82&gt;5,U82="NA")</formula>
    </cfRule>
    <cfRule type="expression" dxfId="5323" priority="8054">
      <formula>AND(AW82&lt;5,U82="NA")</formula>
    </cfRule>
    <cfRule type="expression" dxfId="5322" priority="8055">
      <formula>AND(U82&lt;&gt;"NA",U82&gt;$U$16)</formula>
    </cfRule>
  </conditionalFormatting>
  <conditionalFormatting sqref="V82">
    <cfRule type="expression" priority="8007" stopIfTrue="1">
      <formula>"ISBLANK($K$185)"</formula>
    </cfRule>
    <cfRule type="expression" dxfId="5321" priority="8046">
      <formula>AND(OR(AW82=0,ISBLANK(V82)),B82&lt;&gt;"")</formula>
    </cfRule>
    <cfRule type="expression" dxfId="5320" priority="8047">
      <formula>AND(V82="NA",NOT(ISTEXT(W82)))</formula>
    </cfRule>
    <cfRule type="expression" dxfId="5319" priority="8048">
      <formula>AND(AW82&gt;5,V82="NA")</formula>
    </cfRule>
    <cfRule type="expression" dxfId="5318" priority="8049">
      <formula>AND(AW82&lt;5,V82="NA")</formula>
    </cfRule>
    <cfRule type="expression" dxfId="5317" priority="8050">
      <formula>AND(V82&lt;&gt;"NA",V82&gt;$V$16)</formula>
    </cfRule>
  </conditionalFormatting>
  <conditionalFormatting sqref="W82">
    <cfRule type="expression" priority="8006" stopIfTrue="1">
      <formula>"ISBLANK($K$185)"</formula>
    </cfRule>
    <cfRule type="expression" dxfId="5316" priority="8041">
      <formula>AND(OR(AW82=0,ISBLANK(W82)),B82&lt;&gt;"")</formula>
    </cfRule>
    <cfRule type="expression" dxfId="5315" priority="8042">
      <formula>AND(W82="NA",NOT(ISTEXT(V82)))</formula>
    </cfRule>
    <cfRule type="expression" dxfId="5314" priority="8043">
      <formula>AND(AW82&gt;5,W82="NA")</formula>
    </cfRule>
    <cfRule type="expression" dxfId="5313" priority="8044">
      <formula>AND(AW82&lt;5,W82="NA")</formula>
    </cfRule>
    <cfRule type="expression" dxfId="5312" priority="8045">
      <formula>AND(W82&lt;&gt;"NA",W82&gt;$W$16)</formula>
    </cfRule>
  </conditionalFormatting>
  <conditionalFormatting sqref="X82">
    <cfRule type="expression" priority="8005" stopIfTrue="1">
      <formula>"ISBLANK($K$185)"</formula>
    </cfRule>
    <cfRule type="expression" dxfId="5311" priority="8036">
      <formula>AND(OR(AW82=0,ISBLANK(X82)),B82&lt;&gt;"")</formula>
    </cfRule>
    <cfRule type="expression" dxfId="5310" priority="8037">
      <formula>AND(X82="NA",NOT(ISTEXT(Y82)))</formula>
    </cfRule>
    <cfRule type="expression" dxfId="5309" priority="8038">
      <formula>AND(AW82&gt;5,X82="NA")</formula>
    </cfRule>
    <cfRule type="expression" dxfId="5308" priority="8039">
      <formula>AND(AW82&lt;5,X82="NA")</formula>
    </cfRule>
    <cfRule type="expression" dxfId="5307" priority="8040">
      <formula>AND(X82&lt;&gt;"NA",X82&gt;$Y$16)</formula>
    </cfRule>
  </conditionalFormatting>
  <conditionalFormatting sqref="Y82">
    <cfRule type="expression" priority="8004" stopIfTrue="1">
      <formula>"ISBLANK($K$185)"</formula>
    </cfRule>
    <cfRule type="expression" dxfId="5306" priority="8031">
      <formula>AND(OR(AW82=0,ISBLANK(Y82)),B82&lt;&gt;"")</formula>
    </cfRule>
    <cfRule type="expression" dxfId="5305" priority="8032">
      <formula>AND(Y82="NA",NOT(ISTEXT(X82)))</formula>
    </cfRule>
    <cfRule type="expression" dxfId="5304" priority="8033">
      <formula>AND(AW82&gt;5,Y82="NA")</formula>
    </cfRule>
    <cfRule type="expression" dxfId="5303" priority="8034">
      <formula>AND(AW82&lt;5,Y82="NA")</formula>
    </cfRule>
    <cfRule type="expression" dxfId="5302" priority="8035">
      <formula>AND(Y82&lt;&gt;"NA",Y82&gt;$Y$16)</formula>
    </cfRule>
  </conditionalFormatting>
  <conditionalFormatting sqref="N82">
    <cfRule type="expression" priority="8015" stopIfTrue="1">
      <formula>"ISBLANK($K$185)"</formula>
    </cfRule>
    <cfRule type="expression" dxfId="5301" priority="8086">
      <formula>AND(OR(AW82=0,ISBLANK(N82)),B82&lt;&gt;"")</formula>
    </cfRule>
    <cfRule type="expression" dxfId="5300" priority="8087">
      <formula>AND(N82="NA",NOT(ISTEXT(O82)))</formula>
    </cfRule>
    <cfRule type="expression" dxfId="5299" priority="8088">
      <formula>AND(AW82&gt;5,N82="NA")</formula>
    </cfRule>
    <cfRule type="expression" dxfId="5298" priority="8089">
      <formula>AND(AW82&lt;5,N82="NA")</formula>
    </cfRule>
    <cfRule type="expression" dxfId="5297" priority="8090">
      <formula>AND(N82&lt;&gt;"NA",N82&gt;$N$16)</formula>
    </cfRule>
  </conditionalFormatting>
  <conditionalFormatting sqref="O83">
    <cfRule type="expression" priority="7923" stopIfTrue="1">
      <formula>"ISBLANK($K$185)"</formula>
    </cfRule>
    <cfRule type="expression" dxfId="5296" priority="7990">
      <formula>AND(OR(AW83=0,ISBLANK(O83)),B83&lt;&gt;"")</formula>
    </cfRule>
    <cfRule type="expression" dxfId="5295" priority="7991">
      <formula>AND(O83="NA",NOT(ISTEXT(N83)))</formula>
    </cfRule>
    <cfRule type="expression" dxfId="5294" priority="7992">
      <formula>AND(AW83&gt;5,O83="NA")</formula>
    </cfRule>
    <cfRule type="expression" dxfId="5293" priority="7993">
      <formula>AND(AW83&lt;5,O83="NA")</formula>
    </cfRule>
    <cfRule type="expression" dxfId="5292" priority="7994">
      <formula>AND(O83&lt;&gt;"NA",O83&gt;$O$16)</formula>
    </cfRule>
  </conditionalFormatting>
  <conditionalFormatting sqref="P83">
    <cfRule type="expression" priority="7922" stopIfTrue="1">
      <formula>"ISBLANK($K$185)"</formula>
    </cfRule>
    <cfRule type="expression" dxfId="5291" priority="7985">
      <formula>AND(OR(AW83=0,ISBLANK(P83)),B83&lt;&gt;"")</formula>
    </cfRule>
    <cfRule type="expression" dxfId="5290" priority="7986">
      <formula>AND(P83="NA",NOT(ISTEXT(Q83)))</formula>
    </cfRule>
    <cfRule type="expression" dxfId="5289" priority="7987">
      <formula>AND(AW83&gt;5,P83="NA")</formula>
    </cfRule>
    <cfRule type="expression" dxfId="5288" priority="7988">
      <formula>AND(AW83&lt;5,P83="NA")</formula>
    </cfRule>
    <cfRule type="expression" dxfId="5287" priority="7989">
      <formula>AND(P83&lt;&gt;"NA",P83&gt;$P$16)</formula>
    </cfRule>
  </conditionalFormatting>
  <conditionalFormatting sqref="Q83">
    <cfRule type="expression" priority="7921" stopIfTrue="1">
      <formula>"ISBLANK($K$185)"</formula>
    </cfRule>
    <cfRule type="expression" dxfId="5286" priority="7980">
      <formula>AND(OR(AW83=0,ISBLANK(Q83)),B83&lt;&gt;"")</formula>
    </cfRule>
    <cfRule type="expression" dxfId="5285" priority="7981">
      <formula>AND(Q83="NA",NOT(ISTEXT(P83)))</formula>
    </cfRule>
    <cfRule type="expression" dxfId="5284" priority="7982">
      <formula>AND(AW83&gt;5,Q83="NA")</formula>
    </cfRule>
    <cfRule type="expression" dxfId="5283" priority="7983">
      <formula>AND(AW83&lt;5,Q83="NA")</formula>
    </cfRule>
    <cfRule type="expression" dxfId="5282" priority="7984">
      <formula>AND(Q83&lt;&gt;"NA",Q83&gt;$Q$16)</formula>
    </cfRule>
  </conditionalFormatting>
  <conditionalFormatting sqref="R83">
    <cfRule type="expression" priority="7920" stopIfTrue="1">
      <formula>"ISBLANK($K$185)"</formula>
    </cfRule>
    <cfRule type="expression" dxfId="5281" priority="7975">
      <formula>AND(OR(AW83=0,ISBLANK(R83)),B83&lt;&gt;"")</formula>
    </cfRule>
    <cfRule type="expression" dxfId="5280" priority="7976">
      <formula>AND(R83="NA",NOT(ISTEXT(S83)))</formula>
    </cfRule>
    <cfRule type="expression" dxfId="5279" priority="7977">
      <formula>AND(AW83&gt;5,R83="NA")</formula>
    </cfRule>
    <cfRule type="expression" dxfId="5278" priority="7978">
      <formula>AND(AW83&lt;5,R83="NA")</formula>
    </cfRule>
    <cfRule type="expression" dxfId="5277" priority="7979">
      <formula>AND(R83&lt;&gt;"NA",R83&gt;$R$16)</formula>
    </cfRule>
  </conditionalFormatting>
  <conditionalFormatting sqref="S83">
    <cfRule type="expression" priority="7919" stopIfTrue="1">
      <formula>"ISBLANK($K$185)"</formula>
    </cfRule>
    <cfRule type="expression" dxfId="5276" priority="7970">
      <formula>AND(OR(AW83=0,ISBLANK(S83)),B83&lt;&gt;"")</formula>
    </cfRule>
    <cfRule type="expression" dxfId="5275" priority="7971">
      <formula>AND(S83="NA",NOT(ISTEXT(R83)))</formula>
    </cfRule>
    <cfRule type="expression" dxfId="5274" priority="7972">
      <formula>AND(AW83&gt;5,S83="NA")</formula>
    </cfRule>
    <cfRule type="expression" dxfId="5273" priority="7973">
      <formula>AND(AW83&lt;5,S83="NA")</formula>
    </cfRule>
    <cfRule type="expression" dxfId="5272" priority="7974">
      <formula>AND(S83&lt;&gt;"NA",S83&gt;$S$16)</formula>
    </cfRule>
  </conditionalFormatting>
  <conditionalFormatting sqref="T83">
    <cfRule type="expression" priority="7918" stopIfTrue="1">
      <formula>"ISBLANK($K$185)"</formula>
    </cfRule>
    <cfRule type="expression" dxfId="5271" priority="7965">
      <formula>AND(OR(AW83=0,ISBLANK(T83)),B83&lt;&gt;"")</formula>
    </cfRule>
    <cfRule type="expression" dxfId="5270" priority="7966">
      <formula>AND(T83="NA",NOT(ISTEXT(U83)))</formula>
    </cfRule>
    <cfRule type="expression" dxfId="5269" priority="7967">
      <formula>AND(AW83&gt;5,T83="NA")</formula>
    </cfRule>
    <cfRule type="expression" dxfId="5268" priority="7968">
      <formula>AND(AW83&lt;5,T83="NA")</formula>
    </cfRule>
    <cfRule type="expression" dxfId="5267" priority="7969">
      <formula>AND(T83&lt;&gt;"NA",T83&gt;$T$16)</formula>
    </cfRule>
  </conditionalFormatting>
  <conditionalFormatting sqref="U83">
    <cfRule type="expression" priority="7917" stopIfTrue="1">
      <formula>"ISBLANK($K$185)"</formula>
    </cfRule>
    <cfRule type="expression" dxfId="5266" priority="7960">
      <formula>AND(OR(AW83=0,ISBLANK(U83)),B83&lt;&gt;"")</formula>
    </cfRule>
    <cfRule type="expression" dxfId="5265" priority="7961">
      <formula>AND(U83="NA",NOT(ISTEXT(T83)))</formula>
    </cfRule>
    <cfRule type="expression" dxfId="5264" priority="7962">
      <formula>AND(AW83&gt;5,U83="NA")</formula>
    </cfRule>
    <cfRule type="expression" dxfId="5263" priority="7963">
      <formula>AND(AW83&lt;5,U83="NA")</formula>
    </cfRule>
    <cfRule type="expression" dxfId="5262" priority="7964">
      <formula>AND(U83&lt;&gt;"NA",U83&gt;$U$16)</formula>
    </cfRule>
  </conditionalFormatting>
  <conditionalFormatting sqref="V83">
    <cfRule type="expression" priority="7916" stopIfTrue="1">
      <formula>"ISBLANK($K$185)"</formula>
    </cfRule>
    <cfRule type="expression" dxfId="5261" priority="7955">
      <formula>AND(OR(AW83=0,ISBLANK(V83)),B83&lt;&gt;"")</formula>
    </cfRule>
    <cfRule type="expression" dxfId="5260" priority="7956">
      <formula>AND(V83="NA",NOT(ISTEXT(W83)))</formula>
    </cfRule>
    <cfRule type="expression" dxfId="5259" priority="7957">
      <formula>AND(AW83&gt;5,V83="NA")</formula>
    </cfRule>
    <cfRule type="expression" dxfId="5258" priority="7958">
      <formula>AND(AW83&lt;5,V83="NA")</formula>
    </cfRule>
    <cfRule type="expression" dxfId="5257" priority="7959">
      <formula>AND(V83&lt;&gt;"NA",V83&gt;$V$16)</formula>
    </cfRule>
  </conditionalFormatting>
  <conditionalFormatting sqref="W83">
    <cfRule type="expression" priority="7915" stopIfTrue="1">
      <formula>"ISBLANK($K$185)"</formula>
    </cfRule>
    <cfRule type="expression" dxfId="5256" priority="7950">
      <formula>AND(OR(AW83=0,ISBLANK(W83)),B83&lt;&gt;"")</formula>
    </cfRule>
    <cfRule type="expression" dxfId="5255" priority="7951">
      <formula>AND(W83="NA",NOT(ISTEXT(V83)))</formula>
    </cfRule>
    <cfRule type="expression" dxfId="5254" priority="7952">
      <formula>AND(AW83&gt;5,W83="NA")</formula>
    </cfRule>
    <cfRule type="expression" dxfId="5253" priority="7953">
      <formula>AND(AW83&lt;5,W83="NA")</formula>
    </cfRule>
    <cfRule type="expression" dxfId="5252" priority="7954">
      <formula>AND(W83&lt;&gt;"NA",W83&gt;$W$16)</formula>
    </cfRule>
  </conditionalFormatting>
  <conditionalFormatting sqref="X83">
    <cfRule type="expression" priority="7914" stopIfTrue="1">
      <formula>"ISBLANK($K$185)"</formula>
    </cfRule>
    <cfRule type="expression" dxfId="5251" priority="7945">
      <formula>AND(OR(AW83=0,ISBLANK(X83)),B83&lt;&gt;"")</formula>
    </cfRule>
    <cfRule type="expression" dxfId="5250" priority="7946">
      <formula>AND(X83="NA",NOT(ISTEXT(Y83)))</formula>
    </cfRule>
    <cfRule type="expression" dxfId="5249" priority="7947">
      <formula>AND(AW83&gt;5,X83="NA")</formula>
    </cfRule>
    <cfRule type="expression" dxfId="5248" priority="7948">
      <formula>AND(AW83&lt;5,X83="NA")</formula>
    </cfRule>
    <cfRule type="expression" dxfId="5247" priority="7949">
      <formula>AND(X83&lt;&gt;"NA",X83&gt;$Y$16)</formula>
    </cfRule>
  </conditionalFormatting>
  <conditionalFormatting sqref="Y83">
    <cfRule type="expression" priority="7913" stopIfTrue="1">
      <formula>"ISBLANK($K$185)"</formula>
    </cfRule>
    <cfRule type="expression" dxfId="5246" priority="7940">
      <formula>AND(OR(AW83=0,ISBLANK(Y83)),B83&lt;&gt;"")</formula>
    </cfRule>
    <cfRule type="expression" dxfId="5245" priority="7941">
      <formula>AND(Y83="NA",NOT(ISTEXT(X83)))</formula>
    </cfRule>
    <cfRule type="expression" dxfId="5244" priority="7942">
      <formula>AND(AW83&gt;5,Y83="NA")</formula>
    </cfRule>
    <cfRule type="expression" dxfId="5243" priority="7943">
      <formula>AND(AW83&lt;5,Y83="NA")</formula>
    </cfRule>
    <cfRule type="expression" dxfId="5242" priority="7944">
      <formula>AND(Y83&lt;&gt;"NA",Y83&gt;$Y$16)</formula>
    </cfRule>
  </conditionalFormatting>
  <conditionalFormatting sqref="N83">
    <cfRule type="expression" priority="7924" stopIfTrue="1">
      <formula>"ISBLANK($K$185)"</formula>
    </cfRule>
    <cfRule type="expression" dxfId="5241" priority="7995">
      <formula>AND(OR(AW83=0,ISBLANK(N83)),B83&lt;&gt;"")</formula>
    </cfRule>
    <cfRule type="expression" dxfId="5240" priority="7996">
      <formula>AND(N83="NA",NOT(ISTEXT(O83)))</formula>
    </cfRule>
    <cfRule type="expression" dxfId="5239" priority="7997">
      <formula>AND(AW83&gt;5,N83="NA")</formula>
    </cfRule>
    <cfRule type="expression" dxfId="5238" priority="7998">
      <formula>AND(AW83&lt;5,N83="NA")</formula>
    </cfRule>
    <cfRule type="expression" dxfId="5237" priority="7999">
      <formula>AND(N83&lt;&gt;"NA",N83&gt;$N$16)</formula>
    </cfRule>
  </conditionalFormatting>
  <conditionalFormatting sqref="O84">
    <cfRule type="expression" priority="7832" stopIfTrue="1">
      <formula>"ISBLANK($K$185)"</formula>
    </cfRule>
    <cfRule type="expression" dxfId="5236" priority="7899">
      <formula>AND(OR(AW84=0,ISBLANK(O84)),B84&lt;&gt;"")</formula>
    </cfRule>
    <cfRule type="expression" dxfId="5235" priority="7900">
      <formula>AND(O84="NA",NOT(ISTEXT(N84)))</formula>
    </cfRule>
    <cfRule type="expression" dxfId="5234" priority="7901">
      <formula>AND(AW84&gt;5,O84="NA")</formula>
    </cfRule>
    <cfRule type="expression" dxfId="5233" priority="7902">
      <formula>AND(AW84&lt;5,O84="NA")</formula>
    </cfRule>
    <cfRule type="expression" dxfId="5232" priority="7903">
      <formula>AND(O84&lt;&gt;"NA",O84&gt;$O$16)</formula>
    </cfRule>
  </conditionalFormatting>
  <conditionalFormatting sqref="P84">
    <cfRule type="expression" priority="7831" stopIfTrue="1">
      <formula>"ISBLANK($K$185)"</formula>
    </cfRule>
    <cfRule type="expression" dxfId="5231" priority="7894">
      <formula>AND(OR(AW84=0,ISBLANK(P84)),B84&lt;&gt;"")</formula>
    </cfRule>
    <cfRule type="expression" dxfId="5230" priority="7895">
      <formula>AND(P84="NA",NOT(ISTEXT(Q84)))</formula>
    </cfRule>
    <cfRule type="expression" dxfId="5229" priority="7896">
      <formula>AND(AW84&gt;5,P84="NA")</formula>
    </cfRule>
    <cfRule type="expression" dxfId="5228" priority="7897">
      <formula>AND(AW84&lt;5,P84="NA")</formula>
    </cfRule>
    <cfRule type="expression" dxfId="5227" priority="7898">
      <formula>AND(P84&lt;&gt;"NA",P84&gt;$P$16)</formula>
    </cfRule>
  </conditionalFormatting>
  <conditionalFormatting sqref="Q84">
    <cfRule type="expression" priority="7830" stopIfTrue="1">
      <formula>"ISBLANK($K$185)"</formula>
    </cfRule>
    <cfRule type="expression" dxfId="5226" priority="7889">
      <formula>AND(OR(AW84=0,ISBLANK(Q84)),B84&lt;&gt;"")</formula>
    </cfRule>
    <cfRule type="expression" dxfId="5225" priority="7890">
      <formula>AND(Q84="NA",NOT(ISTEXT(P84)))</formula>
    </cfRule>
    <cfRule type="expression" dxfId="5224" priority="7891">
      <formula>AND(AW84&gt;5,Q84="NA")</formula>
    </cfRule>
    <cfRule type="expression" dxfId="5223" priority="7892">
      <formula>AND(AW84&lt;5,Q84="NA")</formula>
    </cfRule>
    <cfRule type="expression" dxfId="5222" priority="7893">
      <formula>AND(Q84&lt;&gt;"NA",Q84&gt;$Q$16)</formula>
    </cfRule>
  </conditionalFormatting>
  <conditionalFormatting sqref="R84">
    <cfRule type="expression" priority="7829" stopIfTrue="1">
      <formula>"ISBLANK($K$185)"</formula>
    </cfRule>
    <cfRule type="expression" dxfId="5221" priority="7884">
      <formula>AND(OR(AW84=0,ISBLANK(R84)),B84&lt;&gt;"")</formula>
    </cfRule>
    <cfRule type="expression" dxfId="5220" priority="7885">
      <formula>AND(R84="NA",NOT(ISTEXT(S84)))</formula>
    </cfRule>
    <cfRule type="expression" dxfId="5219" priority="7886">
      <formula>AND(AW84&gt;5,R84="NA")</formula>
    </cfRule>
    <cfRule type="expression" dxfId="5218" priority="7887">
      <formula>AND(AW84&lt;5,R84="NA")</formula>
    </cfRule>
    <cfRule type="expression" dxfId="5217" priority="7888">
      <formula>AND(R84&lt;&gt;"NA",R84&gt;$R$16)</formula>
    </cfRule>
  </conditionalFormatting>
  <conditionalFormatting sqref="S84">
    <cfRule type="expression" priority="7828" stopIfTrue="1">
      <formula>"ISBLANK($K$185)"</formula>
    </cfRule>
    <cfRule type="expression" dxfId="5216" priority="7879">
      <formula>AND(OR(AW84=0,ISBLANK(S84)),B84&lt;&gt;"")</formula>
    </cfRule>
    <cfRule type="expression" dxfId="5215" priority="7880">
      <formula>AND(S84="NA",NOT(ISTEXT(R84)))</formula>
    </cfRule>
    <cfRule type="expression" dxfId="5214" priority="7881">
      <formula>AND(AW84&gt;5,S84="NA")</formula>
    </cfRule>
    <cfRule type="expression" dxfId="5213" priority="7882">
      <formula>AND(AW84&lt;5,S84="NA")</formula>
    </cfRule>
    <cfRule type="expression" dxfId="5212" priority="7883">
      <formula>AND(S84&lt;&gt;"NA",S84&gt;$S$16)</formula>
    </cfRule>
  </conditionalFormatting>
  <conditionalFormatting sqref="T84">
    <cfRule type="expression" priority="7827" stopIfTrue="1">
      <formula>"ISBLANK($K$185)"</formula>
    </cfRule>
    <cfRule type="expression" dxfId="5211" priority="7874">
      <formula>AND(OR(AW84=0,ISBLANK(T84)),B84&lt;&gt;"")</formula>
    </cfRule>
    <cfRule type="expression" dxfId="5210" priority="7875">
      <formula>AND(T84="NA",NOT(ISTEXT(U84)))</formula>
    </cfRule>
    <cfRule type="expression" dxfId="5209" priority="7876">
      <formula>AND(AW84&gt;5,T84="NA")</formula>
    </cfRule>
    <cfRule type="expression" dxfId="5208" priority="7877">
      <formula>AND(AW84&lt;5,T84="NA")</formula>
    </cfRule>
    <cfRule type="expression" dxfId="5207" priority="7878">
      <formula>AND(T84&lt;&gt;"NA",T84&gt;$T$16)</formula>
    </cfRule>
  </conditionalFormatting>
  <conditionalFormatting sqref="U84">
    <cfRule type="expression" priority="7826" stopIfTrue="1">
      <formula>"ISBLANK($K$185)"</formula>
    </cfRule>
    <cfRule type="expression" dxfId="5206" priority="7869">
      <formula>AND(OR(AW84=0,ISBLANK(U84)),B84&lt;&gt;"")</formula>
    </cfRule>
    <cfRule type="expression" dxfId="5205" priority="7870">
      <formula>AND(U84="NA",NOT(ISTEXT(T84)))</formula>
    </cfRule>
    <cfRule type="expression" dxfId="5204" priority="7871">
      <formula>AND(AW84&gt;5,U84="NA")</formula>
    </cfRule>
    <cfRule type="expression" dxfId="5203" priority="7872">
      <formula>AND(AW84&lt;5,U84="NA")</formula>
    </cfRule>
    <cfRule type="expression" dxfId="5202" priority="7873">
      <formula>AND(U84&lt;&gt;"NA",U84&gt;$U$16)</formula>
    </cfRule>
  </conditionalFormatting>
  <conditionalFormatting sqref="V84">
    <cfRule type="expression" priority="7825" stopIfTrue="1">
      <formula>"ISBLANK($K$185)"</formula>
    </cfRule>
    <cfRule type="expression" dxfId="5201" priority="7864">
      <formula>AND(OR(AW84=0,ISBLANK(V84)),B84&lt;&gt;"")</formula>
    </cfRule>
    <cfRule type="expression" dxfId="5200" priority="7865">
      <formula>AND(V84="NA",NOT(ISTEXT(W84)))</formula>
    </cfRule>
    <cfRule type="expression" dxfId="5199" priority="7866">
      <formula>AND(AW84&gt;5,V84="NA")</formula>
    </cfRule>
    <cfRule type="expression" dxfId="5198" priority="7867">
      <formula>AND(AW84&lt;5,V84="NA")</formula>
    </cfRule>
    <cfRule type="expression" dxfId="5197" priority="7868">
      <formula>AND(V84&lt;&gt;"NA",V84&gt;$V$16)</formula>
    </cfRule>
  </conditionalFormatting>
  <conditionalFormatting sqref="W84">
    <cfRule type="expression" priority="7824" stopIfTrue="1">
      <formula>"ISBLANK($K$185)"</formula>
    </cfRule>
    <cfRule type="expression" dxfId="5196" priority="7859">
      <formula>AND(OR(AW84=0,ISBLANK(W84)),B84&lt;&gt;"")</formula>
    </cfRule>
    <cfRule type="expression" dxfId="5195" priority="7860">
      <formula>AND(W84="NA",NOT(ISTEXT(V84)))</formula>
    </cfRule>
    <cfRule type="expression" dxfId="5194" priority="7861">
      <formula>AND(AW84&gt;5,W84="NA")</formula>
    </cfRule>
    <cfRule type="expression" dxfId="5193" priority="7862">
      <formula>AND(AW84&lt;5,W84="NA")</formula>
    </cfRule>
    <cfRule type="expression" dxfId="5192" priority="7863">
      <formula>AND(W84&lt;&gt;"NA",W84&gt;$W$16)</formula>
    </cfRule>
  </conditionalFormatting>
  <conditionalFormatting sqref="X84">
    <cfRule type="expression" priority="7823" stopIfTrue="1">
      <formula>"ISBLANK($K$185)"</formula>
    </cfRule>
    <cfRule type="expression" dxfId="5191" priority="7854">
      <formula>AND(OR(AW84=0,ISBLANK(X84)),B84&lt;&gt;"")</formula>
    </cfRule>
    <cfRule type="expression" dxfId="5190" priority="7855">
      <formula>AND(X84="NA",NOT(ISTEXT(Y84)))</formula>
    </cfRule>
    <cfRule type="expression" dxfId="5189" priority="7856">
      <formula>AND(AW84&gt;5,X84="NA")</formula>
    </cfRule>
    <cfRule type="expression" dxfId="5188" priority="7857">
      <formula>AND(AW84&lt;5,X84="NA")</formula>
    </cfRule>
    <cfRule type="expression" dxfId="5187" priority="7858">
      <formula>AND(X84&lt;&gt;"NA",X84&gt;$Y$16)</formula>
    </cfRule>
  </conditionalFormatting>
  <conditionalFormatting sqref="Y84">
    <cfRule type="expression" priority="7822" stopIfTrue="1">
      <formula>"ISBLANK($K$185)"</formula>
    </cfRule>
    <cfRule type="expression" dxfId="5186" priority="7849">
      <formula>AND(OR(AW84=0,ISBLANK(Y84)),B84&lt;&gt;"")</formula>
    </cfRule>
    <cfRule type="expression" dxfId="5185" priority="7850">
      <formula>AND(Y84="NA",NOT(ISTEXT(X84)))</formula>
    </cfRule>
    <cfRule type="expression" dxfId="5184" priority="7851">
      <formula>AND(AW84&gt;5,Y84="NA")</formula>
    </cfRule>
    <cfRule type="expression" dxfId="5183" priority="7852">
      <formula>AND(AW84&lt;5,Y84="NA")</formula>
    </cfRule>
    <cfRule type="expression" dxfId="5182" priority="7853">
      <formula>AND(Y84&lt;&gt;"NA",Y84&gt;$Y$16)</formula>
    </cfRule>
  </conditionalFormatting>
  <conditionalFormatting sqref="N84">
    <cfRule type="expression" priority="7833" stopIfTrue="1">
      <formula>"ISBLANK($K$185)"</formula>
    </cfRule>
    <cfRule type="expression" dxfId="5181" priority="7904">
      <formula>AND(OR(AW84=0,ISBLANK(N84)),B84&lt;&gt;"")</formula>
    </cfRule>
    <cfRule type="expression" dxfId="5180" priority="7905">
      <formula>AND(N84="NA",NOT(ISTEXT(O84)))</formula>
    </cfRule>
    <cfRule type="expression" dxfId="5179" priority="7906">
      <formula>AND(AW84&gt;5,N84="NA")</formula>
    </cfRule>
    <cfRule type="expression" dxfId="5178" priority="7907">
      <formula>AND(AW84&lt;5,N84="NA")</formula>
    </cfRule>
    <cfRule type="expression" dxfId="5177" priority="7908">
      <formula>AND(N84&lt;&gt;"NA",N84&gt;$N$16)</formula>
    </cfRule>
  </conditionalFormatting>
  <conditionalFormatting sqref="O85">
    <cfRule type="expression" priority="7741" stopIfTrue="1">
      <formula>"ISBLANK($K$185)"</formula>
    </cfRule>
    <cfRule type="expression" dxfId="5176" priority="7808">
      <formula>AND(OR(AW85=0,ISBLANK(O85)),B85&lt;&gt;"")</formula>
    </cfRule>
    <cfRule type="expression" dxfId="5175" priority="7809">
      <formula>AND(O85="NA",NOT(ISTEXT(N85)))</formula>
    </cfRule>
    <cfRule type="expression" dxfId="5174" priority="7810">
      <formula>AND(AW85&gt;5,O85="NA")</formula>
    </cfRule>
    <cfRule type="expression" dxfId="5173" priority="7811">
      <formula>AND(AW85&lt;5,O85="NA")</formula>
    </cfRule>
    <cfRule type="expression" dxfId="5172" priority="7812">
      <formula>AND(O85&lt;&gt;"NA",O85&gt;$O$16)</formula>
    </cfRule>
  </conditionalFormatting>
  <conditionalFormatting sqref="P85">
    <cfRule type="expression" priority="7740" stopIfTrue="1">
      <formula>"ISBLANK($K$185)"</formula>
    </cfRule>
    <cfRule type="expression" dxfId="5171" priority="7803">
      <formula>AND(OR(AW85=0,ISBLANK(P85)),B85&lt;&gt;"")</formula>
    </cfRule>
    <cfRule type="expression" dxfId="5170" priority="7804">
      <formula>AND(P85="NA",NOT(ISTEXT(Q85)))</formula>
    </cfRule>
    <cfRule type="expression" dxfId="5169" priority="7805">
      <formula>AND(AW85&gt;5,P85="NA")</formula>
    </cfRule>
    <cfRule type="expression" dxfId="5168" priority="7806">
      <formula>AND(AW85&lt;5,P85="NA")</formula>
    </cfRule>
    <cfRule type="expression" dxfId="5167" priority="7807">
      <formula>AND(P85&lt;&gt;"NA",P85&gt;$P$16)</formula>
    </cfRule>
  </conditionalFormatting>
  <conditionalFormatting sqref="Q85">
    <cfRule type="expression" priority="7739" stopIfTrue="1">
      <formula>"ISBLANK($K$185)"</formula>
    </cfRule>
    <cfRule type="expression" dxfId="5166" priority="7798">
      <formula>AND(OR(AW85=0,ISBLANK(Q85)),B85&lt;&gt;"")</formula>
    </cfRule>
    <cfRule type="expression" dxfId="5165" priority="7799">
      <formula>AND(Q85="NA",NOT(ISTEXT(P85)))</formula>
    </cfRule>
    <cfRule type="expression" dxfId="5164" priority="7800">
      <formula>AND(AW85&gt;5,Q85="NA")</formula>
    </cfRule>
    <cfRule type="expression" dxfId="5163" priority="7801">
      <formula>AND(AW85&lt;5,Q85="NA")</formula>
    </cfRule>
    <cfRule type="expression" dxfId="5162" priority="7802">
      <formula>AND(Q85&lt;&gt;"NA",Q85&gt;$Q$16)</formula>
    </cfRule>
  </conditionalFormatting>
  <conditionalFormatting sqref="R85">
    <cfRule type="expression" priority="7738" stopIfTrue="1">
      <formula>"ISBLANK($K$185)"</formula>
    </cfRule>
    <cfRule type="expression" dxfId="5161" priority="7793">
      <formula>AND(OR(AW85=0,ISBLANK(R85)),B85&lt;&gt;"")</formula>
    </cfRule>
    <cfRule type="expression" dxfId="5160" priority="7794">
      <formula>AND(R85="NA",NOT(ISTEXT(S85)))</formula>
    </cfRule>
    <cfRule type="expression" dxfId="5159" priority="7795">
      <formula>AND(AW85&gt;5,R85="NA")</formula>
    </cfRule>
    <cfRule type="expression" dxfId="5158" priority="7796">
      <formula>AND(AW85&lt;5,R85="NA")</formula>
    </cfRule>
    <cfRule type="expression" dxfId="5157" priority="7797">
      <formula>AND(R85&lt;&gt;"NA",R85&gt;$R$16)</formula>
    </cfRule>
  </conditionalFormatting>
  <conditionalFormatting sqref="S85">
    <cfRule type="expression" priority="7737" stopIfTrue="1">
      <formula>"ISBLANK($K$185)"</formula>
    </cfRule>
    <cfRule type="expression" dxfId="5156" priority="7788">
      <formula>AND(OR(AW85=0,ISBLANK(S85)),B85&lt;&gt;"")</formula>
    </cfRule>
    <cfRule type="expression" dxfId="5155" priority="7789">
      <formula>AND(S85="NA",NOT(ISTEXT(R85)))</formula>
    </cfRule>
    <cfRule type="expression" dxfId="5154" priority="7790">
      <formula>AND(AW85&gt;5,S85="NA")</formula>
    </cfRule>
    <cfRule type="expression" dxfId="5153" priority="7791">
      <formula>AND(AW85&lt;5,S85="NA")</formula>
    </cfRule>
    <cfRule type="expression" dxfId="5152" priority="7792">
      <formula>AND(S85&lt;&gt;"NA",S85&gt;$S$16)</formula>
    </cfRule>
  </conditionalFormatting>
  <conditionalFormatting sqref="T85">
    <cfRule type="expression" priority="7736" stopIfTrue="1">
      <formula>"ISBLANK($K$185)"</formula>
    </cfRule>
    <cfRule type="expression" dxfId="5151" priority="7783">
      <formula>AND(OR(AW85=0,ISBLANK(T85)),B85&lt;&gt;"")</formula>
    </cfRule>
    <cfRule type="expression" dxfId="5150" priority="7784">
      <formula>AND(T85="NA",NOT(ISTEXT(U85)))</formula>
    </cfRule>
    <cfRule type="expression" dxfId="5149" priority="7785">
      <formula>AND(AW85&gt;5,T85="NA")</formula>
    </cfRule>
    <cfRule type="expression" dxfId="5148" priority="7786">
      <formula>AND(AW85&lt;5,T85="NA")</formula>
    </cfRule>
    <cfRule type="expression" dxfId="5147" priority="7787">
      <formula>AND(T85&lt;&gt;"NA",T85&gt;$T$16)</formula>
    </cfRule>
  </conditionalFormatting>
  <conditionalFormatting sqref="U85">
    <cfRule type="expression" priority="7735" stopIfTrue="1">
      <formula>"ISBLANK($K$185)"</formula>
    </cfRule>
    <cfRule type="expression" dxfId="5146" priority="7778">
      <formula>AND(OR(AW85=0,ISBLANK(U85)),B85&lt;&gt;"")</formula>
    </cfRule>
    <cfRule type="expression" dxfId="5145" priority="7779">
      <formula>AND(U85="NA",NOT(ISTEXT(T85)))</formula>
    </cfRule>
    <cfRule type="expression" dxfId="5144" priority="7780">
      <formula>AND(AW85&gt;5,U85="NA")</formula>
    </cfRule>
    <cfRule type="expression" dxfId="5143" priority="7781">
      <formula>AND(AW85&lt;5,U85="NA")</formula>
    </cfRule>
    <cfRule type="expression" dxfId="5142" priority="7782">
      <formula>AND(U85&lt;&gt;"NA",U85&gt;$U$16)</formula>
    </cfRule>
  </conditionalFormatting>
  <conditionalFormatting sqref="V85">
    <cfRule type="expression" priority="7734" stopIfTrue="1">
      <formula>"ISBLANK($K$185)"</formula>
    </cfRule>
    <cfRule type="expression" dxfId="5141" priority="7773">
      <formula>AND(OR(AW85=0,ISBLANK(V85)),B85&lt;&gt;"")</formula>
    </cfRule>
    <cfRule type="expression" dxfId="5140" priority="7774">
      <formula>AND(V85="NA",NOT(ISTEXT(W85)))</formula>
    </cfRule>
    <cfRule type="expression" dxfId="5139" priority="7775">
      <formula>AND(AW85&gt;5,V85="NA")</formula>
    </cfRule>
    <cfRule type="expression" dxfId="5138" priority="7776">
      <formula>AND(AW85&lt;5,V85="NA")</formula>
    </cfRule>
    <cfRule type="expression" dxfId="5137" priority="7777">
      <formula>AND(V85&lt;&gt;"NA",V85&gt;$V$16)</formula>
    </cfRule>
  </conditionalFormatting>
  <conditionalFormatting sqref="W85">
    <cfRule type="expression" priority="7733" stopIfTrue="1">
      <formula>"ISBLANK($K$185)"</formula>
    </cfRule>
    <cfRule type="expression" dxfId="5136" priority="7768">
      <formula>AND(OR(AW85=0,ISBLANK(W85)),B85&lt;&gt;"")</formula>
    </cfRule>
    <cfRule type="expression" dxfId="5135" priority="7769">
      <formula>AND(W85="NA",NOT(ISTEXT(V85)))</formula>
    </cfRule>
    <cfRule type="expression" dxfId="5134" priority="7770">
      <formula>AND(AW85&gt;5,W85="NA")</formula>
    </cfRule>
    <cfRule type="expression" dxfId="5133" priority="7771">
      <formula>AND(AW85&lt;5,W85="NA")</formula>
    </cfRule>
    <cfRule type="expression" dxfId="5132" priority="7772">
      <formula>AND(W85&lt;&gt;"NA",W85&gt;$W$16)</formula>
    </cfRule>
  </conditionalFormatting>
  <conditionalFormatting sqref="X85">
    <cfRule type="expression" priority="7732" stopIfTrue="1">
      <formula>"ISBLANK($K$185)"</formula>
    </cfRule>
    <cfRule type="expression" dxfId="5131" priority="7763">
      <formula>AND(OR(AW85=0,ISBLANK(X85)),B85&lt;&gt;"")</formula>
    </cfRule>
    <cfRule type="expression" dxfId="5130" priority="7764">
      <formula>AND(X85="NA",NOT(ISTEXT(Y85)))</formula>
    </cfRule>
    <cfRule type="expression" dxfId="5129" priority="7765">
      <formula>AND(AW85&gt;5,X85="NA")</formula>
    </cfRule>
    <cfRule type="expression" dxfId="5128" priority="7766">
      <formula>AND(AW85&lt;5,X85="NA")</formula>
    </cfRule>
    <cfRule type="expression" dxfId="5127" priority="7767">
      <formula>AND(X85&lt;&gt;"NA",X85&gt;$Y$16)</formula>
    </cfRule>
  </conditionalFormatting>
  <conditionalFormatting sqref="Y85">
    <cfRule type="expression" priority="7731" stopIfTrue="1">
      <formula>"ISBLANK($K$185)"</formula>
    </cfRule>
    <cfRule type="expression" dxfId="5126" priority="7758">
      <formula>AND(OR(AW85=0,ISBLANK(Y85)),B85&lt;&gt;"")</formula>
    </cfRule>
    <cfRule type="expression" dxfId="5125" priority="7759">
      <formula>AND(Y85="NA",NOT(ISTEXT(X85)))</formula>
    </cfRule>
    <cfRule type="expression" dxfId="5124" priority="7760">
      <formula>AND(AW85&gt;5,Y85="NA")</formula>
    </cfRule>
    <cfRule type="expression" dxfId="5123" priority="7761">
      <formula>AND(AW85&lt;5,Y85="NA")</formula>
    </cfRule>
    <cfRule type="expression" dxfId="5122" priority="7762">
      <formula>AND(Y85&lt;&gt;"NA",Y85&gt;$Y$16)</formula>
    </cfRule>
  </conditionalFormatting>
  <conditionalFormatting sqref="N85">
    <cfRule type="expression" priority="7742" stopIfTrue="1">
      <formula>"ISBLANK($K$185)"</formula>
    </cfRule>
    <cfRule type="expression" dxfId="5121" priority="7813">
      <formula>AND(OR(AW85=0,ISBLANK(N85)),B85&lt;&gt;"")</formula>
    </cfRule>
    <cfRule type="expression" dxfId="5120" priority="7814">
      <formula>AND(N85="NA",NOT(ISTEXT(O85)))</formula>
    </cfRule>
    <cfRule type="expression" dxfId="5119" priority="7815">
      <formula>AND(AW85&gt;5,N85="NA")</formula>
    </cfRule>
    <cfRule type="expression" dxfId="5118" priority="7816">
      <formula>AND(AW85&lt;5,N85="NA")</formula>
    </cfRule>
    <cfRule type="expression" dxfId="5117" priority="7817">
      <formula>AND(N85&lt;&gt;"NA",N85&gt;$N$16)</formula>
    </cfRule>
  </conditionalFormatting>
  <conditionalFormatting sqref="O86">
    <cfRule type="expression" priority="7650" stopIfTrue="1">
      <formula>"ISBLANK($K$185)"</formula>
    </cfRule>
    <cfRule type="expression" dxfId="5116" priority="7717">
      <formula>AND(OR(AW86=0,ISBLANK(O86)),B86&lt;&gt;"")</formula>
    </cfRule>
    <cfRule type="expression" dxfId="5115" priority="7718">
      <formula>AND(O86="NA",NOT(ISTEXT(N86)))</formula>
    </cfRule>
    <cfRule type="expression" dxfId="5114" priority="7719">
      <formula>AND(AW86&gt;5,O86="NA")</formula>
    </cfRule>
    <cfRule type="expression" dxfId="5113" priority="7720">
      <formula>AND(AW86&lt;5,O86="NA")</formula>
    </cfRule>
    <cfRule type="expression" dxfId="5112" priority="7721">
      <formula>AND(O86&lt;&gt;"NA",O86&gt;$O$16)</formula>
    </cfRule>
  </conditionalFormatting>
  <conditionalFormatting sqref="P86">
    <cfRule type="expression" priority="7649" stopIfTrue="1">
      <formula>"ISBLANK($K$185)"</formula>
    </cfRule>
    <cfRule type="expression" dxfId="5111" priority="7712">
      <formula>AND(OR(AW86=0,ISBLANK(P86)),B86&lt;&gt;"")</formula>
    </cfRule>
    <cfRule type="expression" dxfId="5110" priority="7713">
      <formula>AND(P86="NA",NOT(ISTEXT(Q86)))</formula>
    </cfRule>
    <cfRule type="expression" dxfId="5109" priority="7714">
      <formula>AND(AW86&gt;5,P86="NA")</formula>
    </cfRule>
    <cfRule type="expression" dxfId="5108" priority="7715">
      <formula>AND(AW86&lt;5,P86="NA")</formula>
    </cfRule>
    <cfRule type="expression" dxfId="5107" priority="7716">
      <formula>AND(P86&lt;&gt;"NA",P86&gt;$P$16)</formula>
    </cfRule>
  </conditionalFormatting>
  <conditionalFormatting sqref="Q86">
    <cfRule type="expression" priority="7648" stopIfTrue="1">
      <formula>"ISBLANK($K$185)"</formula>
    </cfRule>
    <cfRule type="expression" dxfId="5106" priority="7707">
      <formula>AND(OR(AW86=0,ISBLANK(Q86)),B86&lt;&gt;"")</formula>
    </cfRule>
    <cfRule type="expression" dxfId="5105" priority="7708">
      <formula>AND(Q86="NA",NOT(ISTEXT(P86)))</formula>
    </cfRule>
    <cfRule type="expression" dxfId="5104" priority="7709">
      <formula>AND(AW86&gt;5,Q86="NA")</formula>
    </cfRule>
    <cfRule type="expression" dxfId="5103" priority="7710">
      <formula>AND(AW86&lt;5,Q86="NA")</formula>
    </cfRule>
    <cfRule type="expression" dxfId="5102" priority="7711">
      <formula>AND(Q86&lt;&gt;"NA",Q86&gt;$Q$16)</formula>
    </cfRule>
  </conditionalFormatting>
  <conditionalFormatting sqref="R86">
    <cfRule type="expression" priority="7647" stopIfTrue="1">
      <formula>"ISBLANK($K$185)"</formula>
    </cfRule>
    <cfRule type="expression" dxfId="5101" priority="7702">
      <formula>AND(OR(AW86=0,ISBLANK(R86)),B86&lt;&gt;"")</formula>
    </cfRule>
    <cfRule type="expression" dxfId="5100" priority="7703">
      <formula>AND(R86="NA",NOT(ISTEXT(S86)))</formula>
    </cfRule>
    <cfRule type="expression" dxfId="5099" priority="7704">
      <formula>AND(AW86&gt;5,R86="NA")</formula>
    </cfRule>
    <cfRule type="expression" dxfId="5098" priority="7705">
      <formula>AND(AW86&lt;5,R86="NA")</formula>
    </cfRule>
    <cfRule type="expression" dxfId="5097" priority="7706">
      <formula>AND(R86&lt;&gt;"NA",R86&gt;$R$16)</formula>
    </cfRule>
  </conditionalFormatting>
  <conditionalFormatting sqref="S86">
    <cfRule type="expression" priority="7646" stopIfTrue="1">
      <formula>"ISBLANK($K$185)"</formula>
    </cfRule>
    <cfRule type="expression" dxfId="5096" priority="7697">
      <formula>AND(OR(AW86=0,ISBLANK(S86)),B86&lt;&gt;"")</formula>
    </cfRule>
    <cfRule type="expression" dxfId="5095" priority="7698">
      <formula>AND(S86="NA",NOT(ISTEXT(R86)))</formula>
    </cfRule>
    <cfRule type="expression" dxfId="5094" priority="7699">
      <formula>AND(AW86&gt;5,S86="NA")</formula>
    </cfRule>
    <cfRule type="expression" dxfId="5093" priority="7700">
      <formula>AND(AW86&lt;5,S86="NA")</formula>
    </cfRule>
    <cfRule type="expression" dxfId="5092" priority="7701">
      <formula>AND(S86&lt;&gt;"NA",S86&gt;$S$16)</formula>
    </cfRule>
  </conditionalFormatting>
  <conditionalFormatting sqref="T86">
    <cfRule type="expression" priority="7645" stopIfTrue="1">
      <formula>"ISBLANK($K$185)"</formula>
    </cfRule>
    <cfRule type="expression" dxfId="5091" priority="7692">
      <formula>AND(OR(AW86=0,ISBLANK(T86)),B86&lt;&gt;"")</formula>
    </cfRule>
    <cfRule type="expression" dxfId="5090" priority="7693">
      <formula>AND(T86="NA",NOT(ISTEXT(U86)))</formula>
    </cfRule>
    <cfRule type="expression" dxfId="5089" priority="7694">
      <formula>AND(AW86&gt;5,T86="NA")</formula>
    </cfRule>
    <cfRule type="expression" dxfId="5088" priority="7695">
      <formula>AND(AW86&lt;5,T86="NA")</formula>
    </cfRule>
    <cfRule type="expression" dxfId="5087" priority="7696">
      <formula>AND(T86&lt;&gt;"NA",T86&gt;$T$16)</formula>
    </cfRule>
  </conditionalFormatting>
  <conditionalFormatting sqref="U86">
    <cfRule type="expression" priority="7644" stopIfTrue="1">
      <formula>"ISBLANK($K$185)"</formula>
    </cfRule>
    <cfRule type="expression" dxfId="5086" priority="7687">
      <formula>AND(OR(AW86=0,ISBLANK(U86)),B86&lt;&gt;"")</formula>
    </cfRule>
    <cfRule type="expression" dxfId="5085" priority="7688">
      <formula>AND(U86="NA",NOT(ISTEXT(T86)))</formula>
    </cfRule>
    <cfRule type="expression" dxfId="5084" priority="7689">
      <formula>AND(AW86&gt;5,U86="NA")</formula>
    </cfRule>
    <cfRule type="expression" dxfId="5083" priority="7690">
      <formula>AND(AW86&lt;5,U86="NA")</formula>
    </cfRule>
    <cfRule type="expression" dxfId="5082" priority="7691">
      <formula>AND(U86&lt;&gt;"NA",U86&gt;$U$16)</formula>
    </cfRule>
  </conditionalFormatting>
  <conditionalFormatting sqref="V86">
    <cfRule type="expression" priority="7643" stopIfTrue="1">
      <formula>"ISBLANK($K$185)"</formula>
    </cfRule>
    <cfRule type="expression" dxfId="5081" priority="7682">
      <formula>AND(OR(AW86=0,ISBLANK(V86)),B86&lt;&gt;"")</formula>
    </cfRule>
    <cfRule type="expression" dxfId="5080" priority="7683">
      <formula>AND(V86="NA",NOT(ISTEXT(W86)))</formula>
    </cfRule>
    <cfRule type="expression" dxfId="5079" priority="7684">
      <formula>AND(AW86&gt;5,V86="NA")</formula>
    </cfRule>
    <cfRule type="expression" dxfId="5078" priority="7685">
      <formula>AND(AW86&lt;5,V86="NA")</formula>
    </cfRule>
    <cfRule type="expression" dxfId="5077" priority="7686">
      <formula>AND(V86&lt;&gt;"NA",V86&gt;$V$16)</formula>
    </cfRule>
  </conditionalFormatting>
  <conditionalFormatting sqref="W86">
    <cfRule type="expression" priority="7642" stopIfTrue="1">
      <formula>"ISBLANK($K$185)"</formula>
    </cfRule>
    <cfRule type="expression" dxfId="5076" priority="7677">
      <formula>AND(OR(AW86=0,ISBLANK(W86)),B86&lt;&gt;"")</formula>
    </cfRule>
    <cfRule type="expression" dxfId="5075" priority="7678">
      <formula>AND(W86="NA",NOT(ISTEXT(V86)))</formula>
    </cfRule>
    <cfRule type="expression" dxfId="5074" priority="7679">
      <formula>AND(AW86&gt;5,W86="NA")</formula>
    </cfRule>
    <cfRule type="expression" dxfId="5073" priority="7680">
      <formula>AND(AW86&lt;5,W86="NA")</formula>
    </cfRule>
    <cfRule type="expression" dxfId="5072" priority="7681">
      <formula>AND(W86&lt;&gt;"NA",W86&gt;$W$16)</formula>
    </cfRule>
  </conditionalFormatting>
  <conditionalFormatting sqref="X86">
    <cfRule type="expression" priority="7641" stopIfTrue="1">
      <formula>"ISBLANK($K$185)"</formula>
    </cfRule>
    <cfRule type="expression" dxfId="5071" priority="7672">
      <formula>AND(OR(AW86=0,ISBLANK(X86)),B86&lt;&gt;"")</formula>
    </cfRule>
    <cfRule type="expression" dxfId="5070" priority="7673">
      <formula>AND(X86="NA",NOT(ISTEXT(Y86)))</formula>
    </cfRule>
    <cfRule type="expression" dxfId="5069" priority="7674">
      <formula>AND(AW86&gt;5,X86="NA")</formula>
    </cfRule>
    <cfRule type="expression" dxfId="5068" priority="7675">
      <formula>AND(AW86&lt;5,X86="NA")</formula>
    </cfRule>
    <cfRule type="expression" dxfId="5067" priority="7676">
      <formula>AND(X86&lt;&gt;"NA",X86&gt;$Y$16)</formula>
    </cfRule>
  </conditionalFormatting>
  <conditionalFormatting sqref="Y86">
    <cfRule type="expression" priority="7640" stopIfTrue="1">
      <formula>"ISBLANK($K$185)"</formula>
    </cfRule>
    <cfRule type="expression" dxfId="5066" priority="7667">
      <formula>AND(OR(AW86=0,ISBLANK(Y86)),B86&lt;&gt;"")</formula>
    </cfRule>
    <cfRule type="expression" dxfId="5065" priority="7668">
      <formula>AND(Y86="NA",NOT(ISTEXT(X86)))</formula>
    </cfRule>
    <cfRule type="expression" dxfId="5064" priority="7669">
      <formula>AND(AW86&gt;5,Y86="NA")</formula>
    </cfRule>
    <cfRule type="expression" dxfId="5063" priority="7670">
      <formula>AND(AW86&lt;5,Y86="NA")</formula>
    </cfRule>
    <cfRule type="expression" dxfId="5062" priority="7671">
      <formula>AND(Y86&lt;&gt;"NA",Y86&gt;$Y$16)</formula>
    </cfRule>
  </conditionalFormatting>
  <conditionalFormatting sqref="N86">
    <cfRule type="expression" priority="7651" stopIfTrue="1">
      <formula>"ISBLANK($K$185)"</formula>
    </cfRule>
    <cfRule type="expression" dxfId="5061" priority="7722">
      <formula>AND(OR(AW86=0,ISBLANK(N86)),B86&lt;&gt;"")</formula>
    </cfRule>
    <cfRule type="expression" dxfId="5060" priority="7723">
      <formula>AND(N86="NA",NOT(ISTEXT(O86)))</formula>
    </cfRule>
    <cfRule type="expression" dxfId="5059" priority="7724">
      <formula>AND(AW86&gt;5,N86="NA")</formula>
    </cfRule>
    <cfRule type="expression" dxfId="5058" priority="7725">
      <formula>AND(AW86&lt;5,N86="NA")</formula>
    </cfRule>
    <cfRule type="expression" dxfId="5057" priority="7726">
      <formula>AND(N86&lt;&gt;"NA",N86&gt;$N$16)</formula>
    </cfRule>
  </conditionalFormatting>
  <conditionalFormatting sqref="O87">
    <cfRule type="expression" priority="7559" stopIfTrue="1">
      <formula>"ISBLANK($K$185)"</formula>
    </cfRule>
    <cfRule type="expression" dxfId="5056" priority="7626">
      <formula>AND(OR(AW87=0,ISBLANK(O87)),B87&lt;&gt;"")</formula>
    </cfRule>
    <cfRule type="expression" dxfId="5055" priority="7627">
      <formula>AND(O87="NA",NOT(ISTEXT(N87)))</formula>
    </cfRule>
    <cfRule type="expression" dxfId="5054" priority="7628">
      <formula>AND(AW87&gt;5,O87="NA")</formula>
    </cfRule>
    <cfRule type="expression" dxfId="5053" priority="7629">
      <formula>AND(AW87&lt;5,O87="NA")</formula>
    </cfRule>
    <cfRule type="expression" dxfId="5052" priority="7630">
      <formula>AND(O87&lt;&gt;"NA",O87&gt;$O$16)</formula>
    </cfRule>
  </conditionalFormatting>
  <conditionalFormatting sqref="P87">
    <cfRule type="expression" priority="7558" stopIfTrue="1">
      <formula>"ISBLANK($K$185)"</formula>
    </cfRule>
    <cfRule type="expression" dxfId="5051" priority="7621">
      <formula>AND(OR(AW87=0,ISBLANK(P87)),B87&lt;&gt;"")</formula>
    </cfRule>
    <cfRule type="expression" dxfId="5050" priority="7622">
      <formula>AND(P87="NA",NOT(ISTEXT(Q87)))</formula>
    </cfRule>
    <cfRule type="expression" dxfId="5049" priority="7623">
      <formula>AND(AW87&gt;5,P87="NA")</formula>
    </cfRule>
    <cfRule type="expression" dxfId="5048" priority="7624">
      <formula>AND(AW87&lt;5,P87="NA")</formula>
    </cfRule>
    <cfRule type="expression" dxfId="5047" priority="7625">
      <formula>AND(P87&lt;&gt;"NA",P87&gt;$P$16)</formula>
    </cfRule>
  </conditionalFormatting>
  <conditionalFormatting sqref="Q87">
    <cfRule type="expression" priority="7557" stopIfTrue="1">
      <formula>"ISBLANK($K$185)"</formula>
    </cfRule>
    <cfRule type="expression" dxfId="5046" priority="7616">
      <formula>AND(OR(AW87=0,ISBLANK(Q87)),B87&lt;&gt;"")</formula>
    </cfRule>
    <cfRule type="expression" dxfId="5045" priority="7617">
      <formula>AND(Q87="NA",NOT(ISTEXT(P87)))</formula>
    </cfRule>
    <cfRule type="expression" dxfId="5044" priority="7618">
      <formula>AND(AW87&gt;5,Q87="NA")</formula>
    </cfRule>
    <cfRule type="expression" dxfId="5043" priority="7619">
      <formula>AND(AW87&lt;5,Q87="NA")</formula>
    </cfRule>
    <cfRule type="expression" dxfId="5042" priority="7620">
      <formula>AND(Q87&lt;&gt;"NA",Q87&gt;$Q$16)</formula>
    </cfRule>
  </conditionalFormatting>
  <conditionalFormatting sqref="R87">
    <cfRule type="expression" priority="7556" stopIfTrue="1">
      <formula>"ISBLANK($K$185)"</formula>
    </cfRule>
    <cfRule type="expression" dxfId="5041" priority="7611">
      <formula>AND(OR(AW87=0,ISBLANK(R87)),B87&lt;&gt;"")</formula>
    </cfRule>
    <cfRule type="expression" dxfId="5040" priority="7612">
      <formula>AND(R87="NA",NOT(ISTEXT(S87)))</formula>
    </cfRule>
    <cfRule type="expression" dxfId="5039" priority="7613">
      <formula>AND(AW87&gt;5,R87="NA")</formula>
    </cfRule>
    <cfRule type="expression" dxfId="5038" priority="7614">
      <formula>AND(AW87&lt;5,R87="NA")</formula>
    </cfRule>
    <cfRule type="expression" dxfId="5037" priority="7615">
      <formula>AND(R87&lt;&gt;"NA",R87&gt;$R$16)</formula>
    </cfRule>
  </conditionalFormatting>
  <conditionalFormatting sqref="S87">
    <cfRule type="expression" priority="7555" stopIfTrue="1">
      <formula>"ISBLANK($K$185)"</formula>
    </cfRule>
    <cfRule type="expression" dxfId="5036" priority="7606">
      <formula>AND(OR(AW87=0,ISBLANK(S87)),B87&lt;&gt;"")</formula>
    </cfRule>
    <cfRule type="expression" dxfId="5035" priority="7607">
      <formula>AND(S87="NA",NOT(ISTEXT(R87)))</formula>
    </cfRule>
    <cfRule type="expression" dxfId="5034" priority="7608">
      <formula>AND(AW87&gt;5,S87="NA")</formula>
    </cfRule>
    <cfRule type="expression" dxfId="5033" priority="7609">
      <formula>AND(AW87&lt;5,S87="NA")</formula>
    </cfRule>
    <cfRule type="expression" dxfId="5032" priority="7610">
      <formula>AND(S87&lt;&gt;"NA",S87&gt;$S$16)</formula>
    </cfRule>
  </conditionalFormatting>
  <conditionalFormatting sqref="T87">
    <cfRule type="expression" priority="7554" stopIfTrue="1">
      <formula>"ISBLANK($K$185)"</formula>
    </cfRule>
    <cfRule type="expression" dxfId="5031" priority="7601">
      <formula>AND(OR(AW87=0,ISBLANK(T87)),B87&lt;&gt;"")</formula>
    </cfRule>
    <cfRule type="expression" dxfId="5030" priority="7602">
      <formula>AND(T87="NA",NOT(ISTEXT(U87)))</formula>
    </cfRule>
    <cfRule type="expression" dxfId="5029" priority="7603">
      <formula>AND(AW87&gt;5,T87="NA")</formula>
    </cfRule>
    <cfRule type="expression" dxfId="5028" priority="7604">
      <formula>AND(AW87&lt;5,T87="NA")</formula>
    </cfRule>
    <cfRule type="expression" dxfId="5027" priority="7605">
      <formula>AND(T87&lt;&gt;"NA",T87&gt;$T$16)</formula>
    </cfRule>
  </conditionalFormatting>
  <conditionalFormatting sqref="U87">
    <cfRule type="expression" priority="7553" stopIfTrue="1">
      <formula>"ISBLANK($K$185)"</formula>
    </cfRule>
    <cfRule type="expression" dxfId="5026" priority="7596">
      <formula>AND(OR(AW87=0,ISBLANK(U87)),B87&lt;&gt;"")</formula>
    </cfRule>
    <cfRule type="expression" dxfId="5025" priority="7597">
      <formula>AND(U87="NA",NOT(ISTEXT(T87)))</formula>
    </cfRule>
    <cfRule type="expression" dxfId="5024" priority="7598">
      <formula>AND(AW87&gt;5,U87="NA")</formula>
    </cfRule>
    <cfRule type="expression" dxfId="5023" priority="7599">
      <formula>AND(AW87&lt;5,U87="NA")</formula>
    </cfRule>
    <cfRule type="expression" dxfId="5022" priority="7600">
      <formula>AND(U87&lt;&gt;"NA",U87&gt;$U$16)</formula>
    </cfRule>
  </conditionalFormatting>
  <conditionalFormatting sqref="V87">
    <cfRule type="expression" priority="7552" stopIfTrue="1">
      <formula>"ISBLANK($K$185)"</formula>
    </cfRule>
    <cfRule type="expression" dxfId="5021" priority="7591">
      <formula>AND(OR(AW87=0,ISBLANK(V87)),B87&lt;&gt;"")</formula>
    </cfRule>
    <cfRule type="expression" dxfId="5020" priority="7592">
      <formula>AND(V87="NA",NOT(ISTEXT(W87)))</formula>
    </cfRule>
    <cfRule type="expression" dxfId="5019" priority="7593">
      <formula>AND(AW87&gt;5,V87="NA")</formula>
    </cfRule>
    <cfRule type="expression" dxfId="5018" priority="7594">
      <formula>AND(AW87&lt;5,V87="NA")</formula>
    </cfRule>
    <cfRule type="expression" dxfId="5017" priority="7595">
      <formula>AND(V87&lt;&gt;"NA",V87&gt;$V$16)</formula>
    </cfRule>
  </conditionalFormatting>
  <conditionalFormatting sqref="W87">
    <cfRule type="expression" priority="7551" stopIfTrue="1">
      <formula>"ISBLANK($K$185)"</formula>
    </cfRule>
    <cfRule type="expression" dxfId="5016" priority="7586">
      <formula>AND(OR(AW87=0,ISBLANK(W87)),B87&lt;&gt;"")</formula>
    </cfRule>
    <cfRule type="expression" dxfId="5015" priority="7587">
      <formula>AND(W87="NA",NOT(ISTEXT(V87)))</formula>
    </cfRule>
    <cfRule type="expression" dxfId="5014" priority="7588">
      <formula>AND(AW87&gt;5,W87="NA")</formula>
    </cfRule>
    <cfRule type="expression" dxfId="5013" priority="7589">
      <formula>AND(AW87&lt;5,W87="NA")</formula>
    </cfRule>
    <cfRule type="expression" dxfId="5012" priority="7590">
      <formula>AND(W87&lt;&gt;"NA",W87&gt;$W$16)</formula>
    </cfRule>
  </conditionalFormatting>
  <conditionalFormatting sqref="X87">
    <cfRule type="expression" priority="7550" stopIfTrue="1">
      <formula>"ISBLANK($K$185)"</formula>
    </cfRule>
    <cfRule type="expression" dxfId="5011" priority="7581">
      <formula>AND(OR(AW87=0,ISBLANK(X87)),B87&lt;&gt;"")</formula>
    </cfRule>
    <cfRule type="expression" dxfId="5010" priority="7582">
      <formula>AND(X87="NA",NOT(ISTEXT(Y87)))</formula>
    </cfRule>
    <cfRule type="expression" dxfId="5009" priority="7583">
      <formula>AND(AW87&gt;5,X87="NA")</formula>
    </cfRule>
    <cfRule type="expression" dxfId="5008" priority="7584">
      <formula>AND(AW87&lt;5,X87="NA")</formula>
    </cfRule>
    <cfRule type="expression" dxfId="5007" priority="7585">
      <formula>AND(X87&lt;&gt;"NA",X87&gt;$Y$16)</formula>
    </cfRule>
  </conditionalFormatting>
  <conditionalFormatting sqref="Y87">
    <cfRule type="expression" priority="7549" stopIfTrue="1">
      <formula>"ISBLANK($K$185)"</formula>
    </cfRule>
    <cfRule type="expression" dxfId="5006" priority="7576">
      <formula>AND(OR(AW87=0,ISBLANK(Y87)),B87&lt;&gt;"")</formula>
    </cfRule>
    <cfRule type="expression" dxfId="5005" priority="7577">
      <formula>AND(Y87="NA",NOT(ISTEXT(X87)))</formula>
    </cfRule>
    <cfRule type="expression" dxfId="5004" priority="7578">
      <formula>AND(AW87&gt;5,Y87="NA")</formula>
    </cfRule>
    <cfRule type="expression" dxfId="5003" priority="7579">
      <formula>AND(AW87&lt;5,Y87="NA")</formula>
    </cfRule>
    <cfRule type="expression" dxfId="5002" priority="7580">
      <formula>AND(Y87&lt;&gt;"NA",Y87&gt;$Y$16)</formula>
    </cfRule>
  </conditionalFormatting>
  <conditionalFormatting sqref="N87">
    <cfRule type="expression" priority="7560" stopIfTrue="1">
      <formula>"ISBLANK($K$185)"</formula>
    </cfRule>
    <cfRule type="expression" dxfId="5001" priority="7631">
      <formula>AND(OR(AW87=0,ISBLANK(N87)),B87&lt;&gt;"")</formula>
    </cfRule>
    <cfRule type="expression" dxfId="5000" priority="7632">
      <formula>AND(N87="NA",NOT(ISTEXT(O87)))</formula>
    </cfRule>
    <cfRule type="expression" dxfId="4999" priority="7633">
      <formula>AND(AW87&gt;5,N87="NA")</formula>
    </cfRule>
    <cfRule type="expression" dxfId="4998" priority="7634">
      <formula>AND(AW87&lt;5,N87="NA")</formula>
    </cfRule>
    <cfRule type="expression" dxfId="4997" priority="7635">
      <formula>AND(N87&lt;&gt;"NA",N87&gt;$N$16)</formula>
    </cfRule>
  </conditionalFormatting>
  <conditionalFormatting sqref="O88">
    <cfRule type="expression" priority="7468" stopIfTrue="1">
      <formula>"ISBLANK($K$185)"</formula>
    </cfRule>
    <cfRule type="expression" dxfId="4996" priority="7535">
      <formula>AND(OR(AW88=0,ISBLANK(O88)),B88&lt;&gt;"")</formula>
    </cfRule>
    <cfRule type="expression" dxfId="4995" priority="7536">
      <formula>AND(O88="NA",NOT(ISTEXT(N88)))</formula>
    </cfRule>
    <cfRule type="expression" dxfId="4994" priority="7537">
      <formula>AND(AW88&gt;5,O88="NA")</formula>
    </cfRule>
    <cfRule type="expression" dxfId="4993" priority="7538">
      <formula>AND(AW88&lt;5,O88="NA")</formula>
    </cfRule>
    <cfRule type="expression" dxfId="4992" priority="7539">
      <formula>AND(O88&lt;&gt;"NA",O88&gt;$O$16)</formula>
    </cfRule>
  </conditionalFormatting>
  <conditionalFormatting sqref="P88">
    <cfRule type="expression" priority="7467" stopIfTrue="1">
      <formula>"ISBLANK($K$185)"</formula>
    </cfRule>
    <cfRule type="expression" dxfId="4991" priority="7530">
      <formula>AND(OR(AW88=0,ISBLANK(P88)),B88&lt;&gt;"")</formula>
    </cfRule>
    <cfRule type="expression" dxfId="4990" priority="7531">
      <formula>AND(P88="NA",NOT(ISTEXT(Q88)))</formula>
    </cfRule>
    <cfRule type="expression" dxfId="4989" priority="7532">
      <formula>AND(AW88&gt;5,P88="NA")</formula>
    </cfRule>
    <cfRule type="expression" dxfId="4988" priority="7533">
      <formula>AND(AW88&lt;5,P88="NA")</formula>
    </cfRule>
    <cfRule type="expression" dxfId="4987" priority="7534">
      <formula>AND(P88&lt;&gt;"NA",P88&gt;$P$16)</formula>
    </cfRule>
  </conditionalFormatting>
  <conditionalFormatting sqref="Q88">
    <cfRule type="expression" priority="7466" stopIfTrue="1">
      <formula>"ISBLANK($K$185)"</formula>
    </cfRule>
    <cfRule type="expression" dxfId="4986" priority="7525">
      <formula>AND(OR(AW88=0,ISBLANK(Q88)),B88&lt;&gt;"")</formula>
    </cfRule>
    <cfRule type="expression" dxfId="4985" priority="7526">
      <formula>AND(Q88="NA",NOT(ISTEXT(P88)))</formula>
    </cfRule>
    <cfRule type="expression" dxfId="4984" priority="7527">
      <formula>AND(AW88&gt;5,Q88="NA")</formula>
    </cfRule>
    <cfRule type="expression" dxfId="4983" priority="7528">
      <formula>AND(AW88&lt;5,Q88="NA")</formula>
    </cfRule>
    <cfRule type="expression" dxfId="4982" priority="7529">
      <formula>AND(Q88&lt;&gt;"NA",Q88&gt;$Q$16)</formula>
    </cfRule>
  </conditionalFormatting>
  <conditionalFormatting sqref="R88">
    <cfRule type="expression" priority="7465" stopIfTrue="1">
      <formula>"ISBLANK($K$185)"</formula>
    </cfRule>
    <cfRule type="expression" dxfId="4981" priority="7520">
      <formula>AND(OR(AW88=0,ISBLANK(R88)),B88&lt;&gt;"")</formula>
    </cfRule>
    <cfRule type="expression" dxfId="4980" priority="7521">
      <formula>AND(R88="NA",NOT(ISTEXT(S88)))</formula>
    </cfRule>
    <cfRule type="expression" dxfId="4979" priority="7522">
      <formula>AND(AW88&gt;5,R88="NA")</formula>
    </cfRule>
    <cfRule type="expression" dxfId="4978" priority="7523">
      <formula>AND(AW88&lt;5,R88="NA")</formula>
    </cfRule>
    <cfRule type="expression" dxfId="4977" priority="7524">
      <formula>AND(R88&lt;&gt;"NA",R88&gt;$R$16)</formula>
    </cfRule>
  </conditionalFormatting>
  <conditionalFormatting sqref="S88">
    <cfRule type="expression" priority="7464" stopIfTrue="1">
      <formula>"ISBLANK($K$185)"</formula>
    </cfRule>
    <cfRule type="expression" dxfId="4976" priority="7515">
      <formula>AND(OR(AW88=0,ISBLANK(S88)),B88&lt;&gt;"")</formula>
    </cfRule>
    <cfRule type="expression" dxfId="4975" priority="7516">
      <formula>AND(S88="NA",NOT(ISTEXT(R88)))</formula>
    </cfRule>
    <cfRule type="expression" dxfId="4974" priority="7517">
      <formula>AND(AW88&gt;5,S88="NA")</formula>
    </cfRule>
    <cfRule type="expression" dxfId="4973" priority="7518">
      <formula>AND(AW88&lt;5,S88="NA")</formula>
    </cfRule>
    <cfRule type="expression" dxfId="4972" priority="7519">
      <formula>AND(S88&lt;&gt;"NA",S88&gt;$S$16)</formula>
    </cfRule>
  </conditionalFormatting>
  <conditionalFormatting sqref="T88">
    <cfRule type="expression" priority="7463" stopIfTrue="1">
      <formula>"ISBLANK($K$185)"</formula>
    </cfRule>
    <cfRule type="expression" dxfId="4971" priority="7510">
      <formula>AND(OR(AW88=0,ISBLANK(T88)),B88&lt;&gt;"")</formula>
    </cfRule>
    <cfRule type="expression" dxfId="4970" priority="7511">
      <formula>AND(T88="NA",NOT(ISTEXT(U88)))</formula>
    </cfRule>
    <cfRule type="expression" dxfId="4969" priority="7512">
      <formula>AND(AW88&gt;5,T88="NA")</formula>
    </cfRule>
    <cfRule type="expression" dxfId="4968" priority="7513">
      <formula>AND(AW88&lt;5,T88="NA")</formula>
    </cfRule>
    <cfRule type="expression" dxfId="4967" priority="7514">
      <formula>AND(T88&lt;&gt;"NA",T88&gt;$T$16)</formula>
    </cfRule>
  </conditionalFormatting>
  <conditionalFormatting sqref="U88">
    <cfRule type="expression" priority="7462" stopIfTrue="1">
      <formula>"ISBLANK($K$185)"</formula>
    </cfRule>
    <cfRule type="expression" dxfId="4966" priority="7505">
      <formula>AND(OR(AW88=0,ISBLANK(U88)),B88&lt;&gt;"")</formula>
    </cfRule>
    <cfRule type="expression" dxfId="4965" priority="7506">
      <formula>AND(U88="NA",NOT(ISTEXT(T88)))</formula>
    </cfRule>
    <cfRule type="expression" dxfId="4964" priority="7507">
      <formula>AND(AW88&gt;5,U88="NA")</formula>
    </cfRule>
    <cfRule type="expression" dxfId="4963" priority="7508">
      <formula>AND(AW88&lt;5,U88="NA")</formula>
    </cfRule>
    <cfRule type="expression" dxfId="4962" priority="7509">
      <formula>AND(U88&lt;&gt;"NA",U88&gt;$U$16)</formula>
    </cfRule>
  </conditionalFormatting>
  <conditionalFormatting sqref="V88">
    <cfRule type="expression" priority="7461" stopIfTrue="1">
      <formula>"ISBLANK($K$185)"</formula>
    </cfRule>
    <cfRule type="expression" dxfId="4961" priority="7500">
      <formula>AND(OR(AW88=0,ISBLANK(V88)),B88&lt;&gt;"")</formula>
    </cfRule>
    <cfRule type="expression" dxfId="4960" priority="7501">
      <formula>AND(V88="NA",NOT(ISTEXT(W88)))</formula>
    </cfRule>
    <cfRule type="expression" dxfId="4959" priority="7502">
      <formula>AND(AW88&gt;5,V88="NA")</formula>
    </cfRule>
    <cfRule type="expression" dxfId="4958" priority="7503">
      <formula>AND(AW88&lt;5,V88="NA")</formula>
    </cfRule>
    <cfRule type="expression" dxfId="4957" priority="7504">
      <formula>AND(V88&lt;&gt;"NA",V88&gt;$V$16)</formula>
    </cfRule>
  </conditionalFormatting>
  <conditionalFormatting sqref="W88">
    <cfRule type="expression" priority="7460" stopIfTrue="1">
      <formula>"ISBLANK($K$185)"</formula>
    </cfRule>
    <cfRule type="expression" dxfId="4956" priority="7495">
      <formula>AND(OR(AW88=0,ISBLANK(W88)),B88&lt;&gt;"")</formula>
    </cfRule>
    <cfRule type="expression" dxfId="4955" priority="7496">
      <formula>AND(W88="NA",NOT(ISTEXT(V88)))</formula>
    </cfRule>
    <cfRule type="expression" dxfId="4954" priority="7497">
      <formula>AND(AW88&gt;5,W88="NA")</formula>
    </cfRule>
    <cfRule type="expression" dxfId="4953" priority="7498">
      <formula>AND(AW88&lt;5,W88="NA")</formula>
    </cfRule>
    <cfRule type="expression" dxfId="4952" priority="7499">
      <formula>AND(W88&lt;&gt;"NA",W88&gt;$W$16)</formula>
    </cfRule>
  </conditionalFormatting>
  <conditionalFormatting sqref="X88">
    <cfRule type="expression" priority="7459" stopIfTrue="1">
      <formula>"ISBLANK($K$185)"</formula>
    </cfRule>
    <cfRule type="expression" dxfId="4951" priority="7490">
      <formula>AND(OR(AW88=0,ISBLANK(X88)),B88&lt;&gt;"")</formula>
    </cfRule>
    <cfRule type="expression" dxfId="4950" priority="7491">
      <formula>AND(X88="NA",NOT(ISTEXT(Y88)))</formula>
    </cfRule>
    <cfRule type="expression" dxfId="4949" priority="7492">
      <formula>AND(AW88&gt;5,X88="NA")</formula>
    </cfRule>
    <cfRule type="expression" dxfId="4948" priority="7493">
      <formula>AND(AW88&lt;5,X88="NA")</formula>
    </cfRule>
    <cfRule type="expression" dxfId="4947" priority="7494">
      <formula>AND(X88&lt;&gt;"NA",X88&gt;$Y$16)</formula>
    </cfRule>
  </conditionalFormatting>
  <conditionalFormatting sqref="Y88">
    <cfRule type="expression" priority="7458" stopIfTrue="1">
      <formula>"ISBLANK($K$185)"</formula>
    </cfRule>
    <cfRule type="expression" dxfId="4946" priority="7485">
      <formula>AND(OR(AW88=0,ISBLANK(Y88)),B88&lt;&gt;"")</formula>
    </cfRule>
    <cfRule type="expression" dxfId="4945" priority="7486">
      <formula>AND(Y88="NA",NOT(ISTEXT(X88)))</formula>
    </cfRule>
    <cfRule type="expression" dxfId="4944" priority="7487">
      <formula>AND(AW88&gt;5,Y88="NA")</formula>
    </cfRule>
    <cfRule type="expression" dxfId="4943" priority="7488">
      <formula>AND(AW88&lt;5,Y88="NA")</formula>
    </cfRule>
    <cfRule type="expression" dxfId="4942" priority="7489">
      <formula>AND(Y88&lt;&gt;"NA",Y88&gt;$Y$16)</formula>
    </cfRule>
  </conditionalFormatting>
  <conditionalFormatting sqref="N88">
    <cfRule type="expression" priority="7469" stopIfTrue="1">
      <formula>"ISBLANK($K$185)"</formula>
    </cfRule>
    <cfRule type="expression" dxfId="4941" priority="7540">
      <formula>AND(OR(AW88=0,ISBLANK(N88)),B88&lt;&gt;"")</formula>
    </cfRule>
    <cfRule type="expression" dxfId="4940" priority="7541">
      <formula>AND(N88="NA",NOT(ISTEXT(O88)))</formula>
    </cfRule>
    <cfRule type="expression" dxfId="4939" priority="7542">
      <formula>AND(AW88&gt;5,N88="NA")</formula>
    </cfRule>
    <cfRule type="expression" dxfId="4938" priority="7543">
      <formula>AND(AW88&lt;5,N88="NA")</formula>
    </cfRule>
    <cfRule type="expression" dxfId="4937" priority="7544">
      <formula>AND(N88&lt;&gt;"NA",N88&gt;$N$16)</formula>
    </cfRule>
  </conditionalFormatting>
  <conditionalFormatting sqref="O89">
    <cfRule type="expression" priority="7377" stopIfTrue="1">
      <formula>"ISBLANK($K$185)"</formula>
    </cfRule>
    <cfRule type="expression" dxfId="4936" priority="7444">
      <formula>AND(OR(AW89=0,ISBLANK(O89)),B89&lt;&gt;"")</formula>
    </cfRule>
    <cfRule type="expression" dxfId="4935" priority="7445">
      <formula>AND(O89="NA",NOT(ISTEXT(N89)))</formula>
    </cfRule>
    <cfRule type="expression" dxfId="4934" priority="7446">
      <formula>AND(AW89&gt;5,O89="NA")</formula>
    </cfRule>
    <cfRule type="expression" dxfId="4933" priority="7447">
      <formula>AND(AW89&lt;5,O89="NA")</formula>
    </cfRule>
    <cfRule type="expression" dxfId="4932" priority="7448">
      <formula>AND(O89&lt;&gt;"NA",O89&gt;$O$16)</formula>
    </cfRule>
  </conditionalFormatting>
  <conditionalFormatting sqref="P89">
    <cfRule type="expression" priority="7376" stopIfTrue="1">
      <formula>"ISBLANK($K$185)"</formula>
    </cfRule>
    <cfRule type="expression" dxfId="4931" priority="7439">
      <formula>AND(OR(AW89=0,ISBLANK(P89)),B89&lt;&gt;"")</formula>
    </cfRule>
    <cfRule type="expression" dxfId="4930" priority="7440">
      <formula>AND(P89="NA",NOT(ISTEXT(Q89)))</formula>
    </cfRule>
    <cfRule type="expression" dxfId="4929" priority="7441">
      <formula>AND(AW89&gt;5,P89="NA")</formula>
    </cfRule>
    <cfRule type="expression" dxfId="4928" priority="7442">
      <formula>AND(AW89&lt;5,P89="NA")</formula>
    </cfRule>
    <cfRule type="expression" dxfId="4927" priority="7443">
      <formula>AND(P89&lt;&gt;"NA",P89&gt;$P$16)</formula>
    </cfRule>
  </conditionalFormatting>
  <conditionalFormatting sqref="Q89">
    <cfRule type="expression" priority="7375" stopIfTrue="1">
      <formula>"ISBLANK($K$185)"</formula>
    </cfRule>
    <cfRule type="expression" dxfId="4926" priority="7434">
      <formula>AND(OR(AW89=0,ISBLANK(Q89)),B89&lt;&gt;"")</formula>
    </cfRule>
    <cfRule type="expression" dxfId="4925" priority="7435">
      <formula>AND(Q89="NA",NOT(ISTEXT(P89)))</formula>
    </cfRule>
    <cfRule type="expression" dxfId="4924" priority="7436">
      <formula>AND(AW89&gt;5,Q89="NA")</formula>
    </cfRule>
    <cfRule type="expression" dxfId="4923" priority="7437">
      <formula>AND(AW89&lt;5,Q89="NA")</formula>
    </cfRule>
    <cfRule type="expression" dxfId="4922" priority="7438">
      <formula>AND(Q89&lt;&gt;"NA",Q89&gt;$Q$16)</formula>
    </cfRule>
  </conditionalFormatting>
  <conditionalFormatting sqref="R89">
    <cfRule type="expression" priority="7374" stopIfTrue="1">
      <formula>"ISBLANK($K$185)"</formula>
    </cfRule>
    <cfRule type="expression" dxfId="4921" priority="7429">
      <formula>AND(OR(AW89=0,ISBLANK(R89)),B89&lt;&gt;"")</formula>
    </cfRule>
    <cfRule type="expression" dxfId="4920" priority="7430">
      <formula>AND(R89="NA",NOT(ISTEXT(S89)))</formula>
    </cfRule>
    <cfRule type="expression" dxfId="4919" priority="7431">
      <formula>AND(AW89&gt;5,R89="NA")</formula>
    </cfRule>
    <cfRule type="expression" dxfId="4918" priority="7432">
      <formula>AND(AW89&lt;5,R89="NA")</formula>
    </cfRule>
    <cfRule type="expression" dxfId="4917" priority="7433">
      <formula>AND(R89&lt;&gt;"NA",R89&gt;$R$16)</formula>
    </cfRule>
  </conditionalFormatting>
  <conditionalFormatting sqref="S89">
    <cfRule type="expression" priority="7373" stopIfTrue="1">
      <formula>"ISBLANK($K$185)"</formula>
    </cfRule>
    <cfRule type="expression" dxfId="4916" priority="7424">
      <formula>AND(OR(AW89=0,ISBLANK(S89)),B89&lt;&gt;"")</formula>
    </cfRule>
    <cfRule type="expression" dxfId="4915" priority="7425">
      <formula>AND(S89="NA",NOT(ISTEXT(R89)))</formula>
    </cfRule>
    <cfRule type="expression" dxfId="4914" priority="7426">
      <formula>AND(AW89&gt;5,S89="NA")</formula>
    </cfRule>
    <cfRule type="expression" dxfId="4913" priority="7427">
      <formula>AND(AW89&lt;5,S89="NA")</formula>
    </cfRule>
    <cfRule type="expression" dxfId="4912" priority="7428">
      <formula>AND(S89&lt;&gt;"NA",S89&gt;$S$16)</formula>
    </cfRule>
  </conditionalFormatting>
  <conditionalFormatting sqref="T89">
    <cfRule type="expression" priority="7372" stopIfTrue="1">
      <formula>"ISBLANK($K$185)"</formula>
    </cfRule>
    <cfRule type="expression" dxfId="4911" priority="7419">
      <formula>AND(OR(AW89=0,ISBLANK(T89)),B89&lt;&gt;"")</formula>
    </cfRule>
    <cfRule type="expression" dxfId="4910" priority="7420">
      <formula>AND(T89="NA",NOT(ISTEXT(U89)))</formula>
    </cfRule>
    <cfRule type="expression" dxfId="4909" priority="7421">
      <formula>AND(AW89&gt;5,T89="NA")</formula>
    </cfRule>
    <cfRule type="expression" dxfId="4908" priority="7422">
      <formula>AND(AW89&lt;5,T89="NA")</formula>
    </cfRule>
    <cfRule type="expression" dxfId="4907" priority="7423">
      <formula>AND(T89&lt;&gt;"NA",T89&gt;$T$16)</formula>
    </cfRule>
  </conditionalFormatting>
  <conditionalFormatting sqref="U89">
    <cfRule type="expression" priority="7371" stopIfTrue="1">
      <formula>"ISBLANK($K$185)"</formula>
    </cfRule>
    <cfRule type="expression" dxfId="4906" priority="7414">
      <formula>AND(OR(AW89=0,ISBLANK(U89)),B89&lt;&gt;"")</formula>
    </cfRule>
    <cfRule type="expression" dxfId="4905" priority="7415">
      <formula>AND(U89="NA",NOT(ISTEXT(T89)))</formula>
    </cfRule>
    <cfRule type="expression" dxfId="4904" priority="7416">
      <formula>AND(AW89&gt;5,U89="NA")</formula>
    </cfRule>
    <cfRule type="expression" dxfId="4903" priority="7417">
      <formula>AND(AW89&lt;5,U89="NA")</formula>
    </cfRule>
    <cfRule type="expression" dxfId="4902" priority="7418">
      <formula>AND(U89&lt;&gt;"NA",U89&gt;$U$16)</formula>
    </cfRule>
  </conditionalFormatting>
  <conditionalFormatting sqref="V89">
    <cfRule type="expression" priority="7370" stopIfTrue="1">
      <formula>"ISBLANK($K$185)"</formula>
    </cfRule>
    <cfRule type="expression" dxfId="4901" priority="7409">
      <formula>AND(OR(AW89=0,ISBLANK(V89)),B89&lt;&gt;"")</formula>
    </cfRule>
    <cfRule type="expression" dxfId="4900" priority="7410">
      <formula>AND(V89="NA",NOT(ISTEXT(W89)))</formula>
    </cfRule>
    <cfRule type="expression" dxfId="4899" priority="7411">
      <formula>AND(AW89&gt;5,V89="NA")</formula>
    </cfRule>
    <cfRule type="expression" dxfId="4898" priority="7412">
      <formula>AND(AW89&lt;5,V89="NA")</formula>
    </cfRule>
    <cfRule type="expression" dxfId="4897" priority="7413">
      <formula>AND(V89&lt;&gt;"NA",V89&gt;$V$16)</formula>
    </cfRule>
  </conditionalFormatting>
  <conditionalFormatting sqref="W89">
    <cfRule type="expression" priority="7369" stopIfTrue="1">
      <formula>"ISBLANK($K$185)"</formula>
    </cfRule>
    <cfRule type="expression" dxfId="4896" priority="7404">
      <formula>AND(OR(AW89=0,ISBLANK(W89)),B89&lt;&gt;"")</formula>
    </cfRule>
    <cfRule type="expression" dxfId="4895" priority="7405">
      <formula>AND(W89="NA",NOT(ISTEXT(V89)))</formula>
    </cfRule>
    <cfRule type="expression" dxfId="4894" priority="7406">
      <formula>AND(AW89&gt;5,W89="NA")</formula>
    </cfRule>
    <cfRule type="expression" dxfId="4893" priority="7407">
      <formula>AND(AW89&lt;5,W89="NA")</formula>
    </cfRule>
    <cfRule type="expression" dxfId="4892" priority="7408">
      <formula>AND(W89&lt;&gt;"NA",W89&gt;$W$16)</formula>
    </cfRule>
  </conditionalFormatting>
  <conditionalFormatting sqref="X89">
    <cfRule type="expression" priority="7368" stopIfTrue="1">
      <formula>"ISBLANK($K$185)"</formula>
    </cfRule>
    <cfRule type="expression" dxfId="4891" priority="7399">
      <formula>AND(OR(AW89=0,ISBLANK(X89)),B89&lt;&gt;"")</formula>
    </cfRule>
    <cfRule type="expression" dxfId="4890" priority="7400">
      <formula>AND(X89="NA",NOT(ISTEXT(Y89)))</formula>
    </cfRule>
    <cfRule type="expression" dxfId="4889" priority="7401">
      <formula>AND(AW89&gt;5,X89="NA")</formula>
    </cfRule>
    <cfRule type="expression" dxfId="4888" priority="7402">
      <formula>AND(AW89&lt;5,X89="NA")</formula>
    </cfRule>
    <cfRule type="expression" dxfId="4887" priority="7403">
      <formula>AND(X89&lt;&gt;"NA",X89&gt;$Y$16)</formula>
    </cfRule>
  </conditionalFormatting>
  <conditionalFormatting sqref="Y89">
    <cfRule type="expression" priority="7367" stopIfTrue="1">
      <formula>"ISBLANK($K$185)"</formula>
    </cfRule>
    <cfRule type="expression" dxfId="4886" priority="7394">
      <formula>AND(OR(AW89=0,ISBLANK(Y89)),B89&lt;&gt;"")</formula>
    </cfRule>
    <cfRule type="expression" dxfId="4885" priority="7395">
      <formula>AND(Y89="NA",NOT(ISTEXT(X89)))</formula>
    </cfRule>
    <cfRule type="expression" dxfId="4884" priority="7396">
      <formula>AND(AW89&gt;5,Y89="NA")</formula>
    </cfRule>
    <cfRule type="expression" dxfId="4883" priority="7397">
      <formula>AND(AW89&lt;5,Y89="NA")</formula>
    </cfRule>
    <cfRule type="expression" dxfId="4882" priority="7398">
      <formula>AND(Y89&lt;&gt;"NA",Y89&gt;$Y$16)</formula>
    </cfRule>
  </conditionalFormatting>
  <conditionalFormatting sqref="N89">
    <cfRule type="expression" priority="7378" stopIfTrue="1">
      <formula>"ISBLANK($K$185)"</formula>
    </cfRule>
    <cfRule type="expression" dxfId="4881" priority="7449">
      <formula>AND(OR(AW89=0,ISBLANK(N89)),B89&lt;&gt;"")</formula>
    </cfRule>
    <cfRule type="expression" dxfId="4880" priority="7450">
      <formula>AND(N89="NA",NOT(ISTEXT(O89)))</formula>
    </cfRule>
    <cfRule type="expression" dxfId="4879" priority="7451">
      <formula>AND(AW89&gt;5,N89="NA")</formula>
    </cfRule>
    <cfRule type="expression" dxfId="4878" priority="7452">
      <formula>AND(AW89&lt;5,N89="NA")</formula>
    </cfRule>
    <cfRule type="expression" dxfId="4877" priority="7453">
      <formula>AND(N89&lt;&gt;"NA",N89&gt;$N$16)</formula>
    </cfRule>
  </conditionalFormatting>
  <conditionalFormatting sqref="O90">
    <cfRule type="expression" priority="7286" stopIfTrue="1">
      <formula>"ISBLANK($K$185)"</formula>
    </cfRule>
    <cfRule type="expression" dxfId="4876" priority="7353">
      <formula>AND(OR(AW90=0,ISBLANK(O90)),B90&lt;&gt;"")</formula>
    </cfRule>
    <cfRule type="expression" dxfId="4875" priority="7354">
      <formula>AND(O90="NA",NOT(ISTEXT(N90)))</formula>
    </cfRule>
    <cfRule type="expression" dxfId="4874" priority="7355">
      <formula>AND(AW90&gt;5,O90="NA")</formula>
    </cfRule>
    <cfRule type="expression" dxfId="4873" priority="7356">
      <formula>AND(AW90&lt;5,O90="NA")</formula>
    </cfRule>
    <cfRule type="expression" dxfId="4872" priority="7357">
      <formula>AND(O90&lt;&gt;"NA",O90&gt;$O$16)</formula>
    </cfRule>
  </conditionalFormatting>
  <conditionalFormatting sqref="P90">
    <cfRule type="expression" priority="7285" stopIfTrue="1">
      <formula>"ISBLANK($K$185)"</formula>
    </cfRule>
    <cfRule type="expression" dxfId="4871" priority="7348">
      <formula>AND(OR(AW90=0,ISBLANK(P90)),B90&lt;&gt;"")</formula>
    </cfRule>
    <cfRule type="expression" dxfId="4870" priority="7349">
      <formula>AND(P90="NA",NOT(ISTEXT(Q90)))</formula>
    </cfRule>
    <cfRule type="expression" dxfId="4869" priority="7350">
      <formula>AND(AW90&gt;5,P90="NA")</formula>
    </cfRule>
    <cfRule type="expression" dxfId="4868" priority="7351">
      <formula>AND(AW90&lt;5,P90="NA")</formula>
    </cfRule>
    <cfRule type="expression" dxfId="4867" priority="7352">
      <formula>AND(P90&lt;&gt;"NA",P90&gt;$P$16)</formula>
    </cfRule>
  </conditionalFormatting>
  <conditionalFormatting sqref="Q90">
    <cfRule type="expression" priority="7284" stopIfTrue="1">
      <formula>"ISBLANK($K$185)"</formula>
    </cfRule>
    <cfRule type="expression" dxfId="4866" priority="7343">
      <formula>AND(OR(AW90=0,ISBLANK(Q90)),B90&lt;&gt;"")</formula>
    </cfRule>
    <cfRule type="expression" dxfId="4865" priority="7344">
      <formula>AND(Q90="NA",NOT(ISTEXT(P90)))</formula>
    </cfRule>
    <cfRule type="expression" dxfId="4864" priority="7345">
      <formula>AND(AW90&gt;5,Q90="NA")</formula>
    </cfRule>
    <cfRule type="expression" dxfId="4863" priority="7346">
      <formula>AND(AW90&lt;5,Q90="NA")</formula>
    </cfRule>
    <cfRule type="expression" dxfId="4862" priority="7347">
      <formula>AND(Q90&lt;&gt;"NA",Q90&gt;$Q$16)</formula>
    </cfRule>
  </conditionalFormatting>
  <conditionalFormatting sqref="R90">
    <cfRule type="expression" priority="7283" stopIfTrue="1">
      <formula>"ISBLANK($K$185)"</formula>
    </cfRule>
    <cfRule type="expression" dxfId="4861" priority="7338">
      <formula>AND(OR(AW90=0,ISBLANK(R90)),B90&lt;&gt;"")</formula>
    </cfRule>
    <cfRule type="expression" dxfId="4860" priority="7339">
      <formula>AND(R90="NA",NOT(ISTEXT(S90)))</formula>
    </cfRule>
    <cfRule type="expression" dxfId="4859" priority="7340">
      <formula>AND(AW90&gt;5,R90="NA")</formula>
    </cfRule>
    <cfRule type="expression" dxfId="4858" priority="7341">
      <formula>AND(AW90&lt;5,R90="NA")</formula>
    </cfRule>
    <cfRule type="expression" dxfId="4857" priority="7342">
      <formula>AND(R90&lt;&gt;"NA",R90&gt;$R$16)</formula>
    </cfRule>
  </conditionalFormatting>
  <conditionalFormatting sqref="S90">
    <cfRule type="expression" priority="7282" stopIfTrue="1">
      <formula>"ISBLANK($K$185)"</formula>
    </cfRule>
    <cfRule type="expression" dxfId="4856" priority="7333">
      <formula>AND(OR(AW90=0,ISBLANK(S90)),B90&lt;&gt;"")</formula>
    </cfRule>
    <cfRule type="expression" dxfId="4855" priority="7334">
      <formula>AND(S90="NA",NOT(ISTEXT(R90)))</formula>
    </cfRule>
    <cfRule type="expression" dxfId="4854" priority="7335">
      <formula>AND(AW90&gt;5,S90="NA")</formula>
    </cfRule>
    <cfRule type="expression" dxfId="4853" priority="7336">
      <formula>AND(AW90&lt;5,S90="NA")</formula>
    </cfRule>
    <cfRule type="expression" dxfId="4852" priority="7337">
      <formula>AND(S90&lt;&gt;"NA",S90&gt;$S$16)</formula>
    </cfRule>
  </conditionalFormatting>
  <conditionalFormatting sqref="T90">
    <cfRule type="expression" priority="7281" stopIfTrue="1">
      <formula>"ISBLANK($K$185)"</formula>
    </cfRule>
    <cfRule type="expression" dxfId="4851" priority="7328">
      <formula>AND(OR(AW90=0,ISBLANK(T90)),B90&lt;&gt;"")</formula>
    </cfRule>
    <cfRule type="expression" dxfId="4850" priority="7329">
      <formula>AND(T90="NA",NOT(ISTEXT(U90)))</formula>
    </cfRule>
    <cfRule type="expression" dxfId="4849" priority="7330">
      <formula>AND(AW90&gt;5,T90="NA")</formula>
    </cfRule>
    <cfRule type="expression" dxfId="4848" priority="7331">
      <formula>AND(AW90&lt;5,T90="NA")</formula>
    </cfRule>
    <cfRule type="expression" dxfId="4847" priority="7332">
      <formula>AND(T90&lt;&gt;"NA",T90&gt;$T$16)</formula>
    </cfRule>
  </conditionalFormatting>
  <conditionalFormatting sqref="U90">
    <cfRule type="expression" priority="7280" stopIfTrue="1">
      <formula>"ISBLANK($K$185)"</formula>
    </cfRule>
    <cfRule type="expression" dxfId="4846" priority="7323">
      <formula>AND(OR(AW90=0,ISBLANK(U90)),B90&lt;&gt;"")</formula>
    </cfRule>
    <cfRule type="expression" dxfId="4845" priority="7324">
      <formula>AND(U90="NA",NOT(ISTEXT(T90)))</formula>
    </cfRule>
    <cfRule type="expression" dxfId="4844" priority="7325">
      <formula>AND(AW90&gt;5,U90="NA")</formula>
    </cfRule>
    <cfRule type="expression" dxfId="4843" priority="7326">
      <formula>AND(AW90&lt;5,U90="NA")</formula>
    </cfRule>
    <cfRule type="expression" dxfId="4842" priority="7327">
      <formula>AND(U90&lt;&gt;"NA",U90&gt;$U$16)</formula>
    </cfRule>
  </conditionalFormatting>
  <conditionalFormatting sqref="V90">
    <cfRule type="expression" priority="7279" stopIfTrue="1">
      <formula>"ISBLANK($K$185)"</formula>
    </cfRule>
    <cfRule type="expression" dxfId="4841" priority="7318">
      <formula>AND(OR(AW90=0,ISBLANK(V90)),B90&lt;&gt;"")</formula>
    </cfRule>
    <cfRule type="expression" dxfId="4840" priority="7319">
      <formula>AND(V90="NA",NOT(ISTEXT(W90)))</formula>
    </cfRule>
    <cfRule type="expression" dxfId="4839" priority="7320">
      <formula>AND(AW90&gt;5,V90="NA")</formula>
    </cfRule>
    <cfRule type="expression" dxfId="4838" priority="7321">
      <formula>AND(AW90&lt;5,V90="NA")</formula>
    </cfRule>
    <cfRule type="expression" dxfId="4837" priority="7322">
      <formula>AND(V90&lt;&gt;"NA",V90&gt;$V$16)</formula>
    </cfRule>
  </conditionalFormatting>
  <conditionalFormatting sqref="W90">
    <cfRule type="expression" priority="7278" stopIfTrue="1">
      <formula>"ISBLANK($K$185)"</formula>
    </cfRule>
    <cfRule type="expression" dxfId="4836" priority="7313">
      <formula>AND(OR(AW90=0,ISBLANK(W90)),B90&lt;&gt;"")</formula>
    </cfRule>
    <cfRule type="expression" dxfId="4835" priority="7314">
      <formula>AND(W90="NA",NOT(ISTEXT(V90)))</formula>
    </cfRule>
    <cfRule type="expression" dxfId="4834" priority="7315">
      <formula>AND(AW90&gt;5,W90="NA")</formula>
    </cfRule>
    <cfRule type="expression" dxfId="4833" priority="7316">
      <formula>AND(AW90&lt;5,W90="NA")</formula>
    </cfRule>
    <cfRule type="expression" dxfId="4832" priority="7317">
      <formula>AND(W90&lt;&gt;"NA",W90&gt;$W$16)</formula>
    </cfRule>
  </conditionalFormatting>
  <conditionalFormatting sqref="X90">
    <cfRule type="expression" priority="7277" stopIfTrue="1">
      <formula>"ISBLANK($K$185)"</formula>
    </cfRule>
    <cfRule type="expression" dxfId="4831" priority="7308">
      <formula>AND(OR(AW90=0,ISBLANK(X90)),B90&lt;&gt;"")</formula>
    </cfRule>
    <cfRule type="expression" dxfId="4830" priority="7309">
      <formula>AND(X90="NA",NOT(ISTEXT(Y90)))</formula>
    </cfRule>
    <cfRule type="expression" dxfId="4829" priority="7310">
      <formula>AND(AW90&gt;5,X90="NA")</formula>
    </cfRule>
    <cfRule type="expression" dxfId="4828" priority="7311">
      <formula>AND(AW90&lt;5,X90="NA")</formula>
    </cfRule>
    <cfRule type="expression" dxfId="4827" priority="7312">
      <formula>AND(X90&lt;&gt;"NA",X90&gt;$Y$16)</formula>
    </cfRule>
  </conditionalFormatting>
  <conditionalFormatting sqref="Y90">
    <cfRule type="expression" priority="7276" stopIfTrue="1">
      <formula>"ISBLANK($K$185)"</formula>
    </cfRule>
    <cfRule type="expression" dxfId="4826" priority="7303">
      <formula>AND(OR(AW90=0,ISBLANK(Y90)),B90&lt;&gt;"")</formula>
    </cfRule>
    <cfRule type="expression" dxfId="4825" priority="7304">
      <formula>AND(Y90="NA",NOT(ISTEXT(X90)))</formula>
    </cfRule>
    <cfRule type="expression" dxfId="4824" priority="7305">
      <formula>AND(AW90&gt;5,Y90="NA")</formula>
    </cfRule>
    <cfRule type="expression" dxfId="4823" priority="7306">
      <formula>AND(AW90&lt;5,Y90="NA")</formula>
    </cfRule>
    <cfRule type="expression" dxfId="4822" priority="7307">
      <formula>AND(Y90&lt;&gt;"NA",Y90&gt;$Y$16)</formula>
    </cfRule>
  </conditionalFormatting>
  <conditionalFormatting sqref="N90">
    <cfRule type="expression" priority="7287" stopIfTrue="1">
      <formula>"ISBLANK($K$185)"</formula>
    </cfRule>
    <cfRule type="expression" dxfId="4821" priority="7358">
      <formula>AND(OR(AW90=0,ISBLANK(N90)),B90&lt;&gt;"")</formula>
    </cfRule>
    <cfRule type="expression" dxfId="4820" priority="7359">
      <formula>AND(N90="NA",NOT(ISTEXT(O90)))</formula>
    </cfRule>
    <cfRule type="expression" dxfId="4819" priority="7360">
      <formula>AND(AW90&gt;5,N90="NA")</formula>
    </cfRule>
    <cfRule type="expression" dxfId="4818" priority="7361">
      <formula>AND(AW90&lt;5,N90="NA")</formula>
    </cfRule>
    <cfRule type="expression" dxfId="4817" priority="7362">
      <formula>AND(N90&lt;&gt;"NA",N90&gt;$N$16)</formula>
    </cfRule>
  </conditionalFormatting>
  <conditionalFormatting sqref="O91">
    <cfRule type="expression" priority="7195" stopIfTrue="1">
      <formula>"ISBLANK($K$185)"</formula>
    </cfRule>
    <cfRule type="expression" dxfId="4816" priority="7262">
      <formula>AND(OR(AW91=0,ISBLANK(O91)),B91&lt;&gt;"")</formula>
    </cfRule>
    <cfRule type="expression" dxfId="4815" priority="7263">
      <formula>AND(O91="NA",NOT(ISTEXT(N91)))</formula>
    </cfRule>
    <cfRule type="expression" dxfId="4814" priority="7264">
      <formula>AND(AW91&gt;5,O91="NA")</formula>
    </cfRule>
    <cfRule type="expression" dxfId="4813" priority="7265">
      <formula>AND(AW91&lt;5,O91="NA")</formula>
    </cfRule>
    <cfRule type="expression" dxfId="4812" priority="7266">
      <formula>AND(O91&lt;&gt;"NA",O91&gt;$O$16)</formula>
    </cfRule>
  </conditionalFormatting>
  <conditionalFormatting sqref="P91">
    <cfRule type="expression" priority="7194" stopIfTrue="1">
      <formula>"ISBLANK($K$185)"</formula>
    </cfRule>
    <cfRule type="expression" dxfId="4811" priority="7257">
      <formula>AND(OR(AW91=0,ISBLANK(P91)),B91&lt;&gt;"")</formula>
    </cfRule>
    <cfRule type="expression" dxfId="4810" priority="7258">
      <formula>AND(P91="NA",NOT(ISTEXT(Q91)))</formula>
    </cfRule>
    <cfRule type="expression" dxfId="4809" priority="7259">
      <formula>AND(AW91&gt;5,P91="NA")</formula>
    </cfRule>
    <cfRule type="expression" dxfId="4808" priority="7260">
      <formula>AND(AW91&lt;5,P91="NA")</formula>
    </cfRule>
    <cfRule type="expression" dxfId="4807" priority="7261">
      <formula>AND(P91&lt;&gt;"NA",P91&gt;$P$16)</formula>
    </cfRule>
  </conditionalFormatting>
  <conditionalFormatting sqref="Q91">
    <cfRule type="expression" priority="7193" stopIfTrue="1">
      <formula>"ISBLANK($K$185)"</formula>
    </cfRule>
    <cfRule type="expression" dxfId="4806" priority="7252">
      <formula>AND(OR(AW91=0,ISBLANK(Q91)),B91&lt;&gt;"")</formula>
    </cfRule>
    <cfRule type="expression" dxfId="4805" priority="7253">
      <formula>AND(Q91="NA",NOT(ISTEXT(P91)))</formula>
    </cfRule>
    <cfRule type="expression" dxfId="4804" priority="7254">
      <formula>AND(AW91&gt;5,Q91="NA")</formula>
    </cfRule>
    <cfRule type="expression" dxfId="4803" priority="7255">
      <formula>AND(AW91&lt;5,Q91="NA")</formula>
    </cfRule>
    <cfRule type="expression" dxfId="4802" priority="7256">
      <formula>AND(Q91&lt;&gt;"NA",Q91&gt;$Q$16)</formula>
    </cfRule>
  </conditionalFormatting>
  <conditionalFormatting sqref="R91">
    <cfRule type="expression" priority="7192" stopIfTrue="1">
      <formula>"ISBLANK($K$185)"</formula>
    </cfRule>
    <cfRule type="expression" dxfId="4801" priority="7247">
      <formula>AND(OR(AW91=0,ISBLANK(R91)),B91&lt;&gt;"")</formula>
    </cfRule>
    <cfRule type="expression" dxfId="4800" priority="7248">
      <formula>AND(R91="NA",NOT(ISTEXT(S91)))</formula>
    </cfRule>
    <cfRule type="expression" dxfId="4799" priority="7249">
      <formula>AND(AW91&gt;5,R91="NA")</formula>
    </cfRule>
    <cfRule type="expression" dxfId="4798" priority="7250">
      <formula>AND(AW91&lt;5,R91="NA")</formula>
    </cfRule>
    <cfRule type="expression" dxfId="4797" priority="7251">
      <formula>AND(R91&lt;&gt;"NA",R91&gt;$R$16)</formula>
    </cfRule>
  </conditionalFormatting>
  <conditionalFormatting sqref="S91">
    <cfRule type="expression" priority="7191" stopIfTrue="1">
      <formula>"ISBLANK($K$185)"</formula>
    </cfRule>
    <cfRule type="expression" dxfId="4796" priority="7242">
      <formula>AND(OR(AW91=0,ISBLANK(S91)),B91&lt;&gt;"")</formula>
    </cfRule>
    <cfRule type="expression" dxfId="4795" priority="7243">
      <formula>AND(S91="NA",NOT(ISTEXT(R91)))</formula>
    </cfRule>
    <cfRule type="expression" dxfId="4794" priority="7244">
      <formula>AND(AW91&gt;5,S91="NA")</formula>
    </cfRule>
    <cfRule type="expression" dxfId="4793" priority="7245">
      <formula>AND(AW91&lt;5,S91="NA")</formula>
    </cfRule>
    <cfRule type="expression" dxfId="4792" priority="7246">
      <formula>AND(S91&lt;&gt;"NA",S91&gt;$S$16)</formula>
    </cfRule>
  </conditionalFormatting>
  <conditionalFormatting sqref="T91">
    <cfRule type="expression" priority="7190" stopIfTrue="1">
      <formula>"ISBLANK($K$185)"</formula>
    </cfRule>
    <cfRule type="expression" dxfId="4791" priority="7237">
      <formula>AND(OR(AW91=0,ISBLANK(T91)),B91&lt;&gt;"")</formula>
    </cfRule>
    <cfRule type="expression" dxfId="4790" priority="7238">
      <formula>AND(T91="NA",NOT(ISTEXT(U91)))</formula>
    </cfRule>
    <cfRule type="expression" dxfId="4789" priority="7239">
      <formula>AND(AW91&gt;5,T91="NA")</formula>
    </cfRule>
    <cfRule type="expression" dxfId="4788" priority="7240">
      <formula>AND(AW91&lt;5,T91="NA")</formula>
    </cfRule>
    <cfRule type="expression" dxfId="4787" priority="7241">
      <formula>AND(T91&lt;&gt;"NA",T91&gt;$T$16)</formula>
    </cfRule>
  </conditionalFormatting>
  <conditionalFormatting sqref="U91">
    <cfRule type="expression" priority="7189" stopIfTrue="1">
      <formula>"ISBLANK($K$185)"</formula>
    </cfRule>
    <cfRule type="expression" dxfId="4786" priority="7232">
      <formula>AND(OR(AW91=0,ISBLANK(U91)),B91&lt;&gt;"")</formula>
    </cfRule>
    <cfRule type="expression" dxfId="4785" priority="7233">
      <formula>AND(U91="NA",NOT(ISTEXT(T91)))</formula>
    </cfRule>
    <cfRule type="expression" dxfId="4784" priority="7234">
      <formula>AND(AW91&gt;5,U91="NA")</formula>
    </cfRule>
    <cfRule type="expression" dxfId="4783" priority="7235">
      <formula>AND(AW91&lt;5,U91="NA")</formula>
    </cfRule>
    <cfRule type="expression" dxfId="4782" priority="7236">
      <formula>AND(U91&lt;&gt;"NA",U91&gt;$U$16)</formula>
    </cfRule>
  </conditionalFormatting>
  <conditionalFormatting sqref="V91">
    <cfRule type="expression" priority="7188" stopIfTrue="1">
      <formula>"ISBLANK($K$185)"</formula>
    </cfRule>
    <cfRule type="expression" dxfId="4781" priority="7227">
      <formula>AND(OR(AW91=0,ISBLANK(V91)),B91&lt;&gt;"")</formula>
    </cfRule>
    <cfRule type="expression" dxfId="4780" priority="7228">
      <formula>AND(V91="NA",NOT(ISTEXT(W91)))</formula>
    </cfRule>
    <cfRule type="expression" dxfId="4779" priority="7229">
      <formula>AND(AW91&gt;5,V91="NA")</formula>
    </cfRule>
    <cfRule type="expression" dxfId="4778" priority="7230">
      <formula>AND(AW91&lt;5,V91="NA")</formula>
    </cfRule>
    <cfRule type="expression" dxfId="4777" priority="7231">
      <formula>AND(V91&lt;&gt;"NA",V91&gt;$V$16)</formula>
    </cfRule>
  </conditionalFormatting>
  <conditionalFormatting sqref="W91">
    <cfRule type="expression" priority="7187" stopIfTrue="1">
      <formula>"ISBLANK($K$185)"</formula>
    </cfRule>
    <cfRule type="expression" dxfId="4776" priority="7222">
      <formula>AND(OR(AW91=0,ISBLANK(W91)),B91&lt;&gt;"")</formula>
    </cfRule>
    <cfRule type="expression" dxfId="4775" priority="7223">
      <formula>AND(W91="NA",NOT(ISTEXT(V91)))</formula>
    </cfRule>
    <cfRule type="expression" dxfId="4774" priority="7224">
      <formula>AND(AW91&gt;5,W91="NA")</formula>
    </cfRule>
    <cfRule type="expression" dxfId="4773" priority="7225">
      <formula>AND(AW91&lt;5,W91="NA")</formula>
    </cfRule>
    <cfRule type="expression" dxfId="4772" priority="7226">
      <formula>AND(W91&lt;&gt;"NA",W91&gt;$W$16)</formula>
    </cfRule>
  </conditionalFormatting>
  <conditionalFormatting sqref="X91">
    <cfRule type="expression" priority="7186" stopIfTrue="1">
      <formula>"ISBLANK($K$185)"</formula>
    </cfRule>
    <cfRule type="expression" dxfId="4771" priority="7217">
      <formula>AND(OR(AW91=0,ISBLANK(X91)),B91&lt;&gt;"")</formula>
    </cfRule>
    <cfRule type="expression" dxfId="4770" priority="7218">
      <formula>AND(X91="NA",NOT(ISTEXT(Y91)))</formula>
    </cfRule>
    <cfRule type="expression" dxfId="4769" priority="7219">
      <formula>AND(AW91&gt;5,X91="NA")</formula>
    </cfRule>
    <cfRule type="expression" dxfId="4768" priority="7220">
      <formula>AND(AW91&lt;5,X91="NA")</formula>
    </cfRule>
    <cfRule type="expression" dxfId="4767" priority="7221">
      <formula>AND(X91&lt;&gt;"NA",X91&gt;$Y$16)</formula>
    </cfRule>
  </conditionalFormatting>
  <conditionalFormatting sqref="Y91">
    <cfRule type="expression" priority="7185" stopIfTrue="1">
      <formula>"ISBLANK($K$185)"</formula>
    </cfRule>
    <cfRule type="expression" dxfId="4766" priority="7212">
      <formula>AND(OR(AW91=0,ISBLANK(Y91)),B91&lt;&gt;"")</formula>
    </cfRule>
    <cfRule type="expression" dxfId="4765" priority="7213">
      <formula>AND(Y91="NA",NOT(ISTEXT(X91)))</formula>
    </cfRule>
    <cfRule type="expression" dxfId="4764" priority="7214">
      <formula>AND(AW91&gt;5,Y91="NA")</formula>
    </cfRule>
    <cfRule type="expression" dxfId="4763" priority="7215">
      <formula>AND(AW91&lt;5,Y91="NA")</formula>
    </cfRule>
    <cfRule type="expression" dxfId="4762" priority="7216">
      <formula>AND(Y91&lt;&gt;"NA",Y91&gt;$Y$16)</formula>
    </cfRule>
  </conditionalFormatting>
  <conditionalFormatting sqref="N91">
    <cfRule type="expression" priority="7196" stopIfTrue="1">
      <formula>"ISBLANK($K$185)"</formula>
    </cfRule>
    <cfRule type="expression" dxfId="4761" priority="7267">
      <formula>AND(OR(AW91=0,ISBLANK(N91)),B91&lt;&gt;"")</formula>
    </cfRule>
    <cfRule type="expression" dxfId="4760" priority="7268">
      <formula>AND(N91="NA",NOT(ISTEXT(O91)))</formula>
    </cfRule>
    <cfRule type="expression" dxfId="4759" priority="7269">
      <formula>AND(AW91&gt;5,N91="NA")</formula>
    </cfRule>
    <cfRule type="expression" dxfId="4758" priority="7270">
      <formula>AND(AW91&lt;5,N91="NA")</formula>
    </cfRule>
    <cfRule type="expression" dxfId="4757" priority="7271">
      <formula>AND(N91&lt;&gt;"NA",N91&gt;$N$16)</formula>
    </cfRule>
  </conditionalFormatting>
  <conditionalFormatting sqref="O92">
    <cfRule type="expression" priority="7104" stopIfTrue="1">
      <formula>"ISBLANK($K$185)"</formula>
    </cfRule>
    <cfRule type="expression" dxfId="4756" priority="7171">
      <formula>AND(OR(AW92=0,ISBLANK(O92)),B92&lt;&gt;"")</formula>
    </cfRule>
    <cfRule type="expression" dxfId="4755" priority="7172">
      <formula>AND(O92="NA",NOT(ISTEXT(N92)))</formula>
    </cfRule>
    <cfRule type="expression" dxfId="4754" priority="7173">
      <formula>AND(AW92&gt;5,O92="NA")</formula>
    </cfRule>
    <cfRule type="expression" dxfId="4753" priority="7174">
      <formula>AND(AW92&lt;5,O92="NA")</formula>
    </cfRule>
    <cfRule type="expression" dxfId="4752" priority="7175">
      <formula>AND(O92&lt;&gt;"NA",O92&gt;$O$16)</formula>
    </cfRule>
  </conditionalFormatting>
  <conditionalFormatting sqref="P92">
    <cfRule type="expression" priority="7103" stopIfTrue="1">
      <formula>"ISBLANK($K$185)"</formula>
    </cfRule>
    <cfRule type="expression" dxfId="4751" priority="7166">
      <formula>AND(OR(AW92=0,ISBLANK(P92)),B92&lt;&gt;"")</formula>
    </cfRule>
    <cfRule type="expression" dxfId="4750" priority="7167">
      <formula>AND(P92="NA",NOT(ISTEXT(Q92)))</formula>
    </cfRule>
    <cfRule type="expression" dxfId="4749" priority="7168">
      <formula>AND(AW92&gt;5,P92="NA")</formula>
    </cfRule>
    <cfRule type="expression" dxfId="4748" priority="7169">
      <formula>AND(AW92&lt;5,P92="NA")</formula>
    </cfRule>
    <cfRule type="expression" dxfId="4747" priority="7170">
      <formula>AND(P92&lt;&gt;"NA",P92&gt;$P$16)</formula>
    </cfRule>
  </conditionalFormatting>
  <conditionalFormatting sqref="Q92">
    <cfRule type="expression" priority="7102" stopIfTrue="1">
      <formula>"ISBLANK($K$185)"</formula>
    </cfRule>
    <cfRule type="expression" dxfId="4746" priority="7161">
      <formula>AND(OR(AW92=0,ISBLANK(Q92)),B92&lt;&gt;"")</formula>
    </cfRule>
    <cfRule type="expression" dxfId="4745" priority="7162">
      <formula>AND(Q92="NA",NOT(ISTEXT(P92)))</formula>
    </cfRule>
    <cfRule type="expression" dxfId="4744" priority="7163">
      <formula>AND(AW92&gt;5,Q92="NA")</formula>
    </cfRule>
    <cfRule type="expression" dxfId="4743" priority="7164">
      <formula>AND(AW92&lt;5,Q92="NA")</formula>
    </cfRule>
    <cfRule type="expression" dxfId="4742" priority="7165">
      <formula>AND(Q92&lt;&gt;"NA",Q92&gt;$Q$16)</formula>
    </cfRule>
  </conditionalFormatting>
  <conditionalFormatting sqref="R92">
    <cfRule type="expression" priority="7101" stopIfTrue="1">
      <formula>"ISBLANK($K$185)"</formula>
    </cfRule>
    <cfRule type="expression" dxfId="4741" priority="7156">
      <formula>AND(OR(AW92=0,ISBLANK(R92)),B92&lt;&gt;"")</formula>
    </cfRule>
    <cfRule type="expression" dxfId="4740" priority="7157">
      <formula>AND(R92="NA",NOT(ISTEXT(S92)))</formula>
    </cfRule>
    <cfRule type="expression" dxfId="4739" priority="7158">
      <formula>AND(AW92&gt;5,R92="NA")</formula>
    </cfRule>
    <cfRule type="expression" dxfId="4738" priority="7159">
      <formula>AND(AW92&lt;5,R92="NA")</formula>
    </cfRule>
    <cfRule type="expression" dxfId="4737" priority="7160">
      <formula>AND(R92&lt;&gt;"NA",R92&gt;$R$16)</formula>
    </cfRule>
  </conditionalFormatting>
  <conditionalFormatting sqref="S92">
    <cfRule type="expression" priority="7100" stopIfTrue="1">
      <formula>"ISBLANK($K$185)"</formula>
    </cfRule>
    <cfRule type="expression" dxfId="4736" priority="7151">
      <formula>AND(OR(AW92=0,ISBLANK(S92)),B92&lt;&gt;"")</formula>
    </cfRule>
    <cfRule type="expression" dxfId="4735" priority="7152">
      <formula>AND(S92="NA",NOT(ISTEXT(R92)))</formula>
    </cfRule>
    <cfRule type="expression" dxfId="4734" priority="7153">
      <formula>AND(AW92&gt;5,S92="NA")</formula>
    </cfRule>
    <cfRule type="expression" dxfId="4733" priority="7154">
      <formula>AND(AW92&lt;5,S92="NA")</formula>
    </cfRule>
    <cfRule type="expression" dxfId="4732" priority="7155">
      <formula>AND(S92&lt;&gt;"NA",S92&gt;$S$16)</formula>
    </cfRule>
  </conditionalFormatting>
  <conditionalFormatting sqref="T92">
    <cfRule type="expression" priority="7099" stopIfTrue="1">
      <formula>"ISBLANK($K$185)"</formula>
    </cfRule>
    <cfRule type="expression" dxfId="4731" priority="7146">
      <formula>AND(OR(AW92=0,ISBLANK(T92)),B92&lt;&gt;"")</formula>
    </cfRule>
    <cfRule type="expression" dxfId="4730" priority="7147">
      <formula>AND(T92="NA",NOT(ISTEXT(U92)))</formula>
    </cfRule>
    <cfRule type="expression" dxfId="4729" priority="7148">
      <formula>AND(AW92&gt;5,T92="NA")</formula>
    </cfRule>
    <cfRule type="expression" dxfId="4728" priority="7149">
      <formula>AND(AW92&lt;5,T92="NA")</formula>
    </cfRule>
    <cfRule type="expression" dxfId="4727" priority="7150">
      <formula>AND(T92&lt;&gt;"NA",T92&gt;$T$16)</formula>
    </cfRule>
  </conditionalFormatting>
  <conditionalFormatting sqref="U92">
    <cfRule type="expression" priority="7098" stopIfTrue="1">
      <formula>"ISBLANK($K$185)"</formula>
    </cfRule>
    <cfRule type="expression" dxfId="4726" priority="7141">
      <formula>AND(OR(AW92=0,ISBLANK(U92)),B92&lt;&gt;"")</formula>
    </cfRule>
    <cfRule type="expression" dxfId="4725" priority="7142">
      <formula>AND(U92="NA",NOT(ISTEXT(T92)))</formula>
    </cfRule>
    <cfRule type="expression" dxfId="4724" priority="7143">
      <formula>AND(AW92&gt;5,U92="NA")</formula>
    </cfRule>
    <cfRule type="expression" dxfId="4723" priority="7144">
      <formula>AND(AW92&lt;5,U92="NA")</formula>
    </cfRule>
    <cfRule type="expression" dxfId="4722" priority="7145">
      <formula>AND(U92&lt;&gt;"NA",U92&gt;$U$16)</formula>
    </cfRule>
  </conditionalFormatting>
  <conditionalFormatting sqref="V92">
    <cfRule type="expression" priority="7097" stopIfTrue="1">
      <formula>"ISBLANK($K$185)"</formula>
    </cfRule>
    <cfRule type="expression" dxfId="4721" priority="7136">
      <formula>AND(OR(AW92=0,ISBLANK(V92)),B92&lt;&gt;"")</formula>
    </cfRule>
    <cfRule type="expression" dxfId="4720" priority="7137">
      <formula>AND(V92="NA",NOT(ISTEXT(W92)))</formula>
    </cfRule>
    <cfRule type="expression" dxfId="4719" priority="7138">
      <formula>AND(AW92&gt;5,V92="NA")</formula>
    </cfRule>
    <cfRule type="expression" dxfId="4718" priority="7139">
      <formula>AND(AW92&lt;5,V92="NA")</formula>
    </cfRule>
    <cfRule type="expression" dxfId="4717" priority="7140">
      <formula>AND(V92&lt;&gt;"NA",V92&gt;$V$16)</formula>
    </cfRule>
  </conditionalFormatting>
  <conditionalFormatting sqref="W92">
    <cfRule type="expression" priority="7096" stopIfTrue="1">
      <formula>"ISBLANK($K$185)"</formula>
    </cfRule>
    <cfRule type="expression" dxfId="4716" priority="7131">
      <formula>AND(OR(AW92=0,ISBLANK(W92)),B92&lt;&gt;"")</formula>
    </cfRule>
    <cfRule type="expression" dxfId="4715" priority="7132">
      <formula>AND(W92="NA",NOT(ISTEXT(V92)))</formula>
    </cfRule>
    <cfRule type="expression" dxfId="4714" priority="7133">
      <formula>AND(AW92&gt;5,W92="NA")</formula>
    </cfRule>
    <cfRule type="expression" dxfId="4713" priority="7134">
      <formula>AND(AW92&lt;5,W92="NA")</formula>
    </cfRule>
    <cfRule type="expression" dxfId="4712" priority="7135">
      <formula>AND(W92&lt;&gt;"NA",W92&gt;$W$16)</formula>
    </cfRule>
  </conditionalFormatting>
  <conditionalFormatting sqref="X92">
    <cfRule type="expression" priority="7095" stopIfTrue="1">
      <formula>"ISBLANK($K$185)"</formula>
    </cfRule>
    <cfRule type="expression" dxfId="4711" priority="7126">
      <formula>AND(OR(AW92=0,ISBLANK(X92)),B92&lt;&gt;"")</formula>
    </cfRule>
    <cfRule type="expression" dxfId="4710" priority="7127">
      <formula>AND(X92="NA",NOT(ISTEXT(Y92)))</formula>
    </cfRule>
    <cfRule type="expression" dxfId="4709" priority="7128">
      <formula>AND(AW92&gt;5,X92="NA")</formula>
    </cfRule>
    <cfRule type="expression" dxfId="4708" priority="7129">
      <formula>AND(AW92&lt;5,X92="NA")</formula>
    </cfRule>
    <cfRule type="expression" dxfId="4707" priority="7130">
      <formula>AND(X92&lt;&gt;"NA",X92&gt;$Y$16)</formula>
    </cfRule>
  </conditionalFormatting>
  <conditionalFormatting sqref="Y92">
    <cfRule type="expression" priority="7094" stopIfTrue="1">
      <formula>"ISBLANK($K$185)"</formula>
    </cfRule>
    <cfRule type="expression" dxfId="4706" priority="7121">
      <formula>AND(OR(AW92=0,ISBLANK(Y92)),B92&lt;&gt;"")</formula>
    </cfRule>
    <cfRule type="expression" dxfId="4705" priority="7122">
      <formula>AND(Y92="NA",NOT(ISTEXT(X92)))</formula>
    </cfRule>
    <cfRule type="expression" dxfId="4704" priority="7123">
      <formula>AND(AW92&gt;5,Y92="NA")</formula>
    </cfRule>
    <cfRule type="expression" dxfId="4703" priority="7124">
      <formula>AND(AW92&lt;5,Y92="NA")</formula>
    </cfRule>
    <cfRule type="expression" dxfId="4702" priority="7125">
      <formula>AND(Y92&lt;&gt;"NA",Y92&gt;$Y$16)</formula>
    </cfRule>
  </conditionalFormatting>
  <conditionalFormatting sqref="N92">
    <cfRule type="expression" priority="7105" stopIfTrue="1">
      <formula>"ISBLANK($K$185)"</formula>
    </cfRule>
    <cfRule type="expression" dxfId="4701" priority="7176">
      <formula>AND(OR(AW92=0,ISBLANK(N92)),B92&lt;&gt;"")</formula>
    </cfRule>
    <cfRule type="expression" dxfId="4700" priority="7177">
      <formula>AND(N92="NA",NOT(ISTEXT(O92)))</formula>
    </cfRule>
    <cfRule type="expression" dxfId="4699" priority="7178">
      <formula>AND(AW92&gt;5,N92="NA")</formula>
    </cfRule>
    <cfRule type="expression" dxfId="4698" priority="7179">
      <formula>AND(AW92&lt;5,N92="NA")</formula>
    </cfRule>
    <cfRule type="expression" dxfId="4697" priority="7180">
      <formula>AND(N92&lt;&gt;"NA",N92&gt;$N$16)</formula>
    </cfRule>
  </conditionalFormatting>
  <conditionalFormatting sqref="O93">
    <cfRule type="expression" priority="7013" stopIfTrue="1">
      <formula>"ISBLANK($K$185)"</formula>
    </cfRule>
    <cfRule type="expression" dxfId="4696" priority="7080">
      <formula>AND(OR(AW93=0,ISBLANK(O93)),B93&lt;&gt;"")</formula>
    </cfRule>
    <cfRule type="expression" dxfId="4695" priority="7081">
      <formula>AND(O93="NA",NOT(ISTEXT(N93)))</formula>
    </cfRule>
    <cfRule type="expression" dxfId="4694" priority="7082">
      <formula>AND(AW93&gt;5,O93="NA")</formula>
    </cfRule>
    <cfRule type="expression" dxfId="4693" priority="7083">
      <formula>AND(AW93&lt;5,O93="NA")</formula>
    </cfRule>
    <cfRule type="expression" dxfId="4692" priority="7084">
      <formula>AND(O93&lt;&gt;"NA",O93&gt;$O$16)</formula>
    </cfRule>
  </conditionalFormatting>
  <conditionalFormatting sqref="P93">
    <cfRule type="expression" priority="7012" stopIfTrue="1">
      <formula>"ISBLANK($K$185)"</formula>
    </cfRule>
    <cfRule type="expression" dxfId="4691" priority="7075">
      <formula>AND(OR(AW93=0,ISBLANK(P93)),B93&lt;&gt;"")</formula>
    </cfRule>
    <cfRule type="expression" dxfId="4690" priority="7076">
      <formula>AND(P93="NA",NOT(ISTEXT(Q93)))</formula>
    </cfRule>
    <cfRule type="expression" dxfId="4689" priority="7077">
      <formula>AND(AW93&gt;5,P93="NA")</formula>
    </cfRule>
    <cfRule type="expression" dxfId="4688" priority="7078">
      <formula>AND(AW93&lt;5,P93="NA")</formula>
    </cfRule>
    <cfRule type="expression" dxfId="4687" priority="7079">
      <formula>AND(P93&lt;&gt;"NA",P93&gt;$P$16)</formula>
    </cfRule>
  </conditionalFormatting>
  <conditionalFormatting sqref="Q93">
    <cfRule type="expression" priority="7011" stopIfTrue="1">
      <formula>"ISBLANK($K$185)"</formula>
    </cfRule>
    <cfRule type="expression" dxfId="4686" priority="7070">
      <formula>AND(OR(AW93=0,ISBLANK(Q93)),B93&lt;&gt;"")</formula>
    </cfRule>
    <cfRule type="expression" dxfId="4685" priority="7071">
      <formula>AND(Q93="NA",NOT(ISTEXT(P93)))</formula>
    </cfRule>
    <cfRule type="expression" dxfId="4684" priority="7072">
      <formula>AND(AW93&gt;5,Q93="NA")</formula>
    </cfRule>
    <cfRule type="expression" dxfId="4683" priority="7073">
      <formula>AND(AW93&lt;5,Q93="NA")</formula>
    </cfRule>
    <cfRule type="expression" dxfId="4682" priority="7074">
      <formula>AND(Q93&lt;&gt;"NA",Q93&gt;$Q$16)</formula>
    </cfRule>
  </conditionalFormatting>
  <conditionalFormatting sqref="R93">
    <cfRule type="expression" priority="7010" stopIfTrue="1">
      <formula>"ISBLANK($K$185)"</formula>
    </cfRule>
    <cfRule type="expression" dxfId="4681" priority="7065">
      <formula>AND(OR(AW93=0,ISBLANK(R93)),B93&lt;&gt;"")</formula>
    </cfRule>
    <cfRule type="expression" dxfId="4680" priority="7066">
      <formula>AND(R93="NA",NOT(ISTEXT(S93)))</formula>
    </cfRule>
    <cfRule type="expression" dxfId="4679" priority="7067">
      <formula>AND(AW93&gt;5,R93="NA")</formula>
    </cfRule>
    <cfRule type="expression" dxfId="4678" priority="7068">
      <formula>AND(AW93&lt;5,R93="NA")</formula>
    </cfRule>
    <cfRule type="expression" dxfId="4677" priority="7069">
      <formula>AND(R93&lt;&gt;"NA",R93&gt;$R$16)</formula>
    </cfRule>
  </conditionalFormatting>
  <conditionalFormatting sqref="S93">
    <cfRule type="expression" priority="7009" stopIfTrue="1">
      <formula>"ISBLANK($K$185)"</formula>
    </cfRule>
    <cfRule type="expression" dxfId="4676" priority="7060">
      <formula>AND(OR(AW93=0,ISBLANK(S93)),B93&lt;&gt;"")</formula>
    </cfRule>
    <cfRule type="expression" dxfId="4675" priority="7061">
      <formula>AND(S93="NA",NOT(ISTEXT(R93)))</formula>
    </cfRule>
    <cfRule type="expression" dxfId="4674" priority="7062">
      <formula>AND(AW93&gt;5,S93="NA")</formula>
    </cfRule>
    <cfRule type="expression" dxfId="4673" priority="7063">
      <formula>AND(AW93&lt;5,S93="NA")</formula>
    </cfRule>
    <cfRule type="expression" dxfId="4672" priority="7064">
      <formula>AND(S93&lt;&gt;"NA",S93&gt;$S$16)</formula>
    </cfRule>
  </conditionalFormatting>
  <conditionalFormatting sqref="T93">
    <cfRule type="expression" priority="7008" stopIfTrue="1">
      <formula>"ISBLANK($K$185)"</formula>
    </cfRule>
    <cfRule type="expression" dxfId="4671" priority="7055">
      <formula>AND(OR(AW93=0,ISBLANK(T93)),B93&lt;&gt;"")</formula>
    </cfRule>
    <cfRule type="expression" dxfId="4670" priority="7056">
      <formula>AND(T93="NA",NOT(ISTEXT(U93)))</formula>
    </cfRule>
    <cfRule type="expression" dxfId="4669" priority="7057">
      <formula>AND(AW93&gt;5,T93="NA")</formula>
    </cfRule>
    <cfRule type="expression" dxfId="4668" priority="7058">
      <formula>AND(AW93&lt;5,T93="NA")</formula>
    </cfRule>
    <cfRule type="expression" dxfId="4667" priority="7059">
      <formula>AND(T93&lt;&gt;"NA",T93&gt;$T$16)</formula>
    </cfRule>
  </conditionalFormatting>
  <conditionalFormatting sqref="U93">
    <cfRule type="expression" priority="7007" stopIfTrue="1">
      <formula>"ISBLANK($K$185)"</formula>
    </cfRule>
    <cfRule type="expression" dxfId="4666" priority="7050">
      <formula>AND(OR(AW93=0,ISBLANK(U93)),B93&lt;&gt;"")</formula>
    </cfRule>
    <cfRule type="expression" dxfId="4665" priority="7051">
      <formula>AND(U93="NA",NOT(ISTEXT(T93)))</formula>
    </cfRule>
    <cfRule type="expression" dxfId="4664" priority="7052">
      <formula>AND(AW93&gt;5,U93="NA")</formula>
    </cfRule>
    <cfRule type="expression" dxfId="4663" priority="7053">
      <formula>AND(AW93&lt;5,U93="NA")</formula>
    </cfRule>
    <cfRule type="expression" dxfId="4662" priority="7054">
      <formula>AND(U93&lt;&gt;"NA",U93&gt;$U$16)</formula>
    </cfRule>
  </conditionalFormatting>
  <conditionalFormatting sqref="V93">
    <cfRule type="expression" priority="7006" stopIfTrue="1">
      <formula>"ISBLANK($K$185)"</formula>
    </cfRule>
    <cfRule type="expression" dxfId="4661" priority="7045">
      <formula>AND(OR(AW93=0,ISBLANK(V93)),B93&lt;&gt;"")</formula>
    </cfRule>
    <cfRule type="expression" dxfId="4660" priority="7046">
      <formula>AND(V93="NA",NOT(ISTEXT(W93)))</formula>
    </cfRule>
    <cfRule type="expression" dxfId="4659" priority="7047">
      <formula>AND(AW93&gt;5,V93="NA")</formula>
    </cfRule>
    <cfRule type="expression" dxfId="4658" priority="7048">
      <formula>AND(AW93&lt;5,V93="NA")</formula>
    </cfRule>
    <cfRule type="expression" dxfId="4657" priority="7049">
      <formula>AND(V93&lt;&gt;"NA",V93&gt;$V$16)</formula>
    </cfRule>
  </conditionalFormatting>
  <conditionalFormatting sqref="W93">
    <cfRule type="expression" priority="7005" stopIfTrue="1">
      <formula>"ISBLANK($K$185)"</formula>
    </cfRule>
    <cfRule type="expression" dxfId="4656" priority="7040">
      <formula>AND(OR(AW93=0,ISBLANK(W93)),B93&lt;&gt;"")</formula>
    </cfRule>
    <cfRule type="expression" dxfId="4655" priority="7041">
      <formula>AND(W93="NA",NOT(ISTEXT(V93)))</formula>
    </cfRule>
    <cfRule type="expression" dxfId="4654" priority="7042">
      <formula>AND(AW93&gt;5,W93="NA")</formula>
    </cfRule>
    <cfRule type="expression" dxfId="4653" priority="7043">
      <formula>AND(AW93&lt;5,W93="NA")</formula>
    </cfRule>
    <cfRule type="expression" dxfId="4652" priority="7044">
      <formula>AND(W93&lt;&gt;"NA",W93&gt;$W$16)</formula>
    </cfRule>
  </conditionalFormatting>
  <conditionalFormatting sqref="X93">
    <cfRule type="expression" priority="7004" stopIfTrue="1">
      <formula>"ISBLANK($K$185)"</formula>
    </cfRule>
    <cfRule type="expression" dxfId="4651" priority="7035">
      <formula>AND(OR(AW93=0,ISBLANK(X93)),B93&lt;&gt;"")</formula>
    </cfRule>
    <cfRule type="expression" dxfId="4650" priority="7036">
      <formula>AND(X93="NA",NOT(ISTEXT(Y93)))</formula>
    </cfRule>
    <cfRule type="expression" dxfId="4649" priority="7037">
      <formula>AND(AW93&gt;5,X93="NA")</formula>
    </cfRule>
    <cfRule type="expression" dxfId="4648" priority="7038">
      <formula>AND(AW93&lt;5,X93="NA")</formula>
    </cfRule>
    <cfRule type="expression" dxfId="4647" priority="7039">
      <formula>AND(X93&lt;&gt;"NA",X93&gt;$Y$16)</formula>
    </cfRule>
  </conditionalFormatting>
  <conditionalFormatting sqref="Y93">
    <cfRule type="expression" priority="7003" stopIfTrue="1">
      <formula>"ISBLANK($K$185)"</formula>
    </cfRule>
    <cfRule type="expression" dxfId="4646" priority="7030">
      <formula>AND(OR(AW93=0,ISBLANK(Y93)),B93&lt;&gt;"")</formula>
    </cfRule>
    <cfRule type="expression" dxfId="4645" priority="7031">
      <formula>AND(Y93="NA",NOT(ISTEXT(X93)))</formula>
    </cfRule>
    <cfRule type="expression" dxfId="4644" priority="7032">
      <formula>AND(AW93&gt;5,Y93="NA")</formula>
    </cfRule>
    <cfRule type="expression" dxfId="4643" priority="7033">
      <formula>AND(AW93&lt;5,Y93="NA")</formula>
    </cfRule>
    <cfRule type="expression" dxfId="4642" priority="7034">
      <formula>AND(Y93&lt;&gt;"NA",Y93&gt;$Y$16)</formula>
    </cfRule>
  </conditionalFormatting>
  <conditionalFormatting sqref="N93">
    <cfRule type="expression" priority="7014" stopIfTrue="1">
      <formula>"ISBLANK($K$185)"</formula>
    </cfRule>
    <cfRule type="expression" dxfId="4641" priority="7085">
      <formula>AND(OR(AW93=0,ISBLANK(N93)),B93&lt;&gt;"")</formula>
    </cfRule>
    <cfRule type="expression" dxfId="4640" priority="7086">
      <formula>AND(N93="NA",NOT(ISTEXT(O93)))</formula>
    </cfRule>
    <cfRule type="expression" dxfId="4639" priority="7087">
      <formula>AND(AW93&gt;5,N93="NA")</formula>
    </cfRule>
    <cfRule type="expression" dxfId="4638" priority="7088">
      <formula>AND(AW93&lt;5,N93="NA")</formula>
    </cfRule>
    <cfRule type="expression" dxfId="4637" priority="7089">
      <formula>AND(N93&lt;&gt;"NA",N93&gt;$N$16)</formula>
    </cfRule>
  </conditionalFormatting>
  <conditionalFormatting sqref="O94">
    <cfRule type="expression" priority="6922" stopIfTrue="1">
      <formula>"ISBLANK($K$185)"</formula>
    </cfRule>
    <cfRule type="expression" dxfId="4636" priority="6989">
      <formula>AND(OR(AW94=0,ISBLANK(O94)),B94&lt;&gt;"")</formula>
    </cfRule>
    <cfRule type="expression" dxfId="4635" priority="6990">
      <formula>AND(O94="NA",NOT(ISTEXT(N94)))</formula>
    </cfRule>
    <cfRule type="expression" dxfId="4634" priority="6991">
      <formula>AND(AW94&gt;5,O94="NA")</formula>
    </cfRule>
    <cfRule type="expression" dxfId="4633" priority="6992">
      <formula>AND(AW94&lt;5,O94="NA")</formula>
    </cfRule>
    <cfRule type="expression" dxfId="4632" priority="6993">
      <formula>AND(O94&lt;&gt;"NA",O94&gt;$O$16)</formula>
    </cfRule>
  </conditionalFormatting>
  <conditionalFormatting sqref="P94">
    <cfRule type="expression" priority="6921" stopIfTrue="1">
      <formula>"ISBLANK($K$185)"</formula>
    </cfRule>
    <cfRule type="expression" dxfId="4631" priority="6984">
      <formula>AND(OR(AW94=0,ISBLANK(P94)),B94&lt;&gt;"")</formula>
    </cfRule>
    <cfRule type="expression" dxfId="4630" priority="6985">
      <formula>AND(P94="NA",NOT(ISTEXT(Q94)))</formula>
    </cfRule>
    <cfRule type="expression" dxfId="4629" priority="6986">
      <formula>AND(AW94&gt;5,P94="NA")</formula>
    </cfRule>
    <cfRule type="expression" dxfId="4628" priority="6987">
      <formula>AND(AW94&lt;5,P94="NA")</formula>
    </cfRule>
    <cfRule type="expression" dxfId="4627" priority="6988">
      <formula>AND(P94&lt;&gt;"NA",P94&gt;$P$16)</formula>
    </cfRule>
  </conditionalFormatting>
  <conditionalFormatting sqref="Q94">
    <cfRule type="expression" priority="6920" stopIfTrue="1">
      <formula>"ISBLANK($K$185)"</formula>
    </cfRule>
    <cfRule type="expression" dxfId="4626" priority="6979">
      <formula>AND(OR(AW94=0,ISBLANK(Q94)),B94&lt;&gt;"")</formula>
    </cfRule>
    <cfRule type="expression" dxfId="4625" priority="6980">
      <formula>AND(Q94="NA",NOT(ISTEXT(P94)))</formula>
    </cfRule>
    <cfRule type="expression" dxfId="4624" priority="6981">
      <formula>AND(AW94&gt;5,Q94="NA")</formula>
    </cfRule>
    <cfRule type="expression" dxfId="4623" priority="6982">
      <formula>AND(AW94&lt;5,Q94="NA")</formula>
    </cfRule>
    <cfRule type="expression" dxfId="4622" priority="6983">
      <formula>AND(Q94&lt;&gt;"NA",Q94&gt;$Q$16)</formula>
    </cfRule>
  </conditionalFormatting>
  <conditionalFormatting sqref="R94">
    <cfRule type="expression" priority="6919" stopIfTrue="1">
      <formula>"ISBLANK($K$185)"</formula>
    </cfRule>
    <cfRule type="expression" dxfId="4621" priority="6974">
      <formula>AND(OR(AW94=0,ISBLANK(R94)),B94&lt;&gt;"")</formula>
    </cfRule>
    <cfRule type="expression" dxfId="4620" priority="6975">
      <formula>AND(R94="NA",NOT(ISTEXT(S94)))</formula>
    </cfRule>
    <cfRule type="expression" dxfId="4619" priority="6976">
      <formula>AND(AW94&gt;5,R94="NA")</formula>
    </cfRule>
    <cfRule type="expression" dxfId="4618" priority="6977">
      <formula>AND(AW94&lt;5,R94="NA")</formula>
    </cfRule>
    <cfRule type="expression" dxfId="4617" priority="6978">
      <formula>AND(R94&lt;&gt;"NA",R94&gt;$R$16)</formula>
    </cfRule>
  </conditionalFormatting>
  <conditionalFormatting sqref="S94">
    <cfRule type="expression" priority="6918" stopIfTrue="1">
      <formula>"ISBLANK($K$185)"</formula>
    </cfRule>
    <cfRule type="expression" dxfId="4616" priority="6969">
      <formula>AND(OR(AW94=0,ISBLANK(S94)),B94&lt;&gt;"")</formula>
    </cfRule>
    <cfRule type="expression" dxfId="4615" priority="6970">
      <formula>AND(S94="NA",NOT(ISTEXT(R94)))</formula>
    </cfRule>
    <cfRule type="expression" dxfId="4614" priority="6971">
      <formula>AND(AW94&gt;5,S94="NA")</formula>
    </cfRule>
    <cfRule type="expression" dxfId="4613" priority="6972">
      <formula>AND(AW94&lt;5,S94="NA")</formula>
    </cfRule>
    <cfRule type="expression" dxfId="4612" priority="6973">
      <formula>AND(S94&lt;&gt;"NA",S94&gt;$S$16)</formula>
    </cfRule>
  </conditionalFormatting>
  <conditionalFormatting sqref="T94">
    <cfRule type="expression" priority="6917" stopIfTrue="1">
      <formula>"ISBLANK($K$185)"</formula>
    </cfRule>
    <cfRule type="expression" dxfId="4611" priority="6964">
      <formula>AND(OR(AW94=0,ISBLANK(T94)),B94&lt;&gt;"")</formula>
    </cfRule>
    <cfRule type="expression" dxfId="4610" priority="6965">
      <formula>AND(T94="NA",NOT(ISTEXT(U94)))</formula>
    </cfRule>
    <cfRule type="expression" dxfId="4609" priority="6966">
      <formula>AND(AW94&gt;5,T94="NA")</formula>
    </cfRule>
    <cfRule type="expression" dxfId="4608" priority="6967">
      <formula>AND(AW94&lt;5,T94="NA")</formula>
    </cfRule>
    <cfRule type="expression" dxfId="4607" priority="6968">
      <formula>AND(T94&lt;&gt;"NA",T94&gt;$T$16)</formula>
    </cfRule>
  </conditionalFormatting>
  <conditionalFormatting sqref="U94">
    <cfRule type="expression" priority="6916" stopIfTrue="1">
      <formula>"ISBLANK($K$185)"</formula>
    </cfRule>
    <cfRule type="expression" dxfId="4606" priority="6959">
      <formula>AND(OR(AW94=0,ISBLANK(U94)),B94&lt;&gt;"")</formula>
    </cfRule>
    <cfRule type="expression" dxfId="4605" priority="6960">
      <formula>AND(U94="NA",NOT(ISTEXT(T94)))</formula>
    </cfRule>
    <cfRule type="expression" dxfId="4604" priority="6961">
      <formula>AND(AW94&gt;5,U94="NA")</formula>
    </cfRule>
    <cfRule type="expression" dxfId="4603" priority="6962">
      <formula>AND(AW94&lt;5,U94="NA")</formula>
    </cfRule>
    <cfRule type="expression" dxfId="4602" priority="6963">
      <formula>AND(U94&lt;&gt;"NA",U94&gt;$U$16)</formula>
    </cfRule>
  </conditionalFormatting>
  <conditionalFormatting sqref="V94">
    <cfRule type="expression" priority="6915" stopIfTrue="1">
      <formula>"ISBLANK($K$185)"</formula>
    </cfRule>
    <cfRule type="expression" dxfId="4601" priority="6954">
      <formula>AND(OR(AW94=0,ISBLANK(V94)),B94&lt;&gt;"")</formula>
    </cfRule>
    <cfRule type="expression" dxfId="4600" priority="6955">
      <formula>AND(V94="NA",NOT(ISTEXT(W94)))</formula>
    </cfRule>
    <cfRule type="expression" dxfId="4599" priority="6956">
      <formula>AND(AW94&gt;5,V94="NA")</formula>
    </cfRule>
    <cfRule type="expression" dxfId="4598" priority="6957">
      <formula>AND(AW94&lt;5,V94="NA")</formula>
    </cfRule>
    <cfRule type="expression" dxfId="4597" priority="6958">
      <formula>AND(V94&lt;&gt;"NA",V94&gt;$V$16)</formula>
    </cfRule>
  </conditionalFormatting>
  <conditionalFormatting sqref="W94">
    <cfRule type="expression" priority="6914" stopIfTrue="1">
      <formula>"ISBLANK($K$185)"</formula>
    </cfRule>
    <cfRule type="expression" dxfId="4596" priority="6949">
      <formula>AND(OR(AW94=0,ISBLANK(W94)),B94&lt;&gt;"")</formula>
    </cfRule>
    <cfRule type="expression" dxfId="4595" priority="6950">
      <formula>AND(W94="NA",NOT(ISTEXT(V94)))</formula>
    </cfRule>
    <cfRule type="expression" dxfId="4594" priority="6951">
      <formula>AND(AW94&gt;5,W94="NA")</formula>
    </cfRule>
    <cfRule type="expression" dxfId="4593" priority="6952">
      <formula>AND(AW94&lt;5,W94="NA")</formula>
    </cfRule>
    <cfRule type="expression" dxfId="4592" priority="6953">
      <formula>AND(W94&lt;&gt;"NA",W94&gt;$W$16)</formula>
    </cfRule>
  </conditionalFormatting>
  <conditionalFormatting sqref="X94">
    <cfRule type="expression" priority="6913" stopIfTrue="1">
      <formula>"ISBLANK($K$185)"</formula>
    </cfRule>
    <cfRule type="expression" dxfId="4591" priority="6944">
      <formula>AND(OR(AW94=0,ISBLANK(X94)),B94&lt;&gt;"")</formula>
    </cfRule>
    <cfRule type="expression" dxfId="4590" priority="6945">
      <formula>AND(X94="NA",NOT(ISTEXT(Y94)))</formula>
    </cfRule>
    <cfRule type="expression" dxfId="4589" priority="6946">
      <formula>AND(AW94&gt;5,X94="NA")</formula>
    </cfRule>
    <cfRule type="expression" dxfId="4588" priority="6947">
      <formula>AND(AW94&lt;5,X94="NA")</formula>
    </cfRule>
    <cfRule type="expression" dxfId="4587" priority="6948">
      <formula>AND(X94&lt;&gt;"NA",X94&gt;$Y$16)</formula>
    </cfRule>
  </conditionalFormatting>
  <conditionalFormatting sqref="Y94">
    <cfRule type="expression" priority="6912" stopIfTrue="1">
      <formula>"ISBLANK($K$185)"</formula>
    </cfRule>
    <cfRule type="expression" dxfId="4586" priority="6939">
      <formula>AND(OR(AW94=0,ISBLANK(Y94)),B94&lt;&gt;"")</formula>
    </cfRule>
    <cfRule type="expression" dxfId="4585" priority="6940">
      <formula>AND(Y94="NA",NOT(ISTEXT(X94)))</formula>
    </cfRule>
    <cfRule type="expression" dxfId="4584" priority="6941">
      <formula>AND(AW94&gt;5,Y94="NA")</formula>
    </cfRule>
    <cfRule type="expression" dxfId="4583" priority="6942">
      <formula>AND(AW94&lt;5,Y94="NA")</formula>
    </cfRule>
    <cfRule type="expression" dxfId="4582" priority="6943">
      <formula>AND(Y94&lt;&gt;"NA",Y94&gt;$Y$16)</formula>
    </cfRule>
  </conditionalFormatting>
  <conditionalFormatting sqref="N94">
    <cfRule type="expression" priority="6923" stopIfTrue="1">
      <formula>"ISBLANK($K$185)"</formula>
    </cfRule>
    <cfRule type="expression" dxfId="4581" priority="6994">
      <formula>AND(OR(AW94=0,ISBLANK(N94)),B94&lt;&gt;"")</formula>
    </cfRule>
    <cfRule type="expression" dxfId="4580" priority="6995">
      <formula>AND(N94="NA",NOT(ISTEXT(O94)))</formula>
    </cfRule>
    <cfRule type="expression" dxfId="4579" priority="6996">
      <formula>AND(AW94&gt;5,N94="NA")</formula>
    </cfRule>
    <cfRule type="expression" dxfId="4578" priority="6997">
      <formula>AND(AW94&lt;5,N94="NA")</formula>
    </cfRule>
    <cfRule type="expression" dxfId="4577" priority="6998">
      <formula>AND(N94&lt;&gt;"NA",N94&gt;$N$16)</formula>
    </cfRule>
  </conditionalFormatting>
  <conditionalFormatting sqref="O95">
    <cfRule type="expression" priority="6831" stopIfTrue="1">
      <formula>"ISBLANK($K$185)"</formula>
    </cfRule>
    <cfRule type="expression" dxfId="4576" priority="6898">
      <formula>AND(OR(AW95=0,ISBLANK(O95)),B95&lt;&gt;"")</formula>
    </cfRule>
    <cfRule type="expression" dxfId="4575" priority="6899">
      <formula>AND(O95="NA",NOT(ISTEXT(N95)))</formula>
    </cfRule>
    <cfRule type="expression" dxfId="4574" priority="6900">
      <formula>AND(AW95&gt;5,O95="NA")</formula>
    </cfRule>
    <cfRule type="expression" dxfId="4573" priority="6901">
      <formula>AND(AW95&lt;5,O95="NA")</formula>
    </cfRule>
    <cfRule type="expression" dxfId="4572" priority="6902">
      <formula>AND(O95&lt;&gt;"NA",O95&gt;$O$16)</formula>
    </cfRule>
  </conditionalFormatting>
  <conditionalFormatting sqref="P95">
    <cfRule type="expression" priority="6830" stopIfTrue="1">
      <formula>"ISBLANK($K$185)"</formula>
    </cfRule>
    <cfRule type="expression" dxfId="4571" priority="6893">
      <formula>AND(OR(AW95=0,ISBLANK(P95)),B95&lt;&gt;"")</formula>
    </cfRule>
    <cfRule type="expression" dxfId="4570" priority="6894">
      <formula>AND(P95="NA",NOT(ISTEXT(Q95)))</formula>
    </cfRule>
    <cfRule type="expression" dxfId="4569" priority="6895">
      <formula>AND(AW95&gt;5,P95="NA")</formula>
    </cfRule>
    <cfRule type="expression" dxfId="4568" priority="6896">
      <formula>AND(AW95&lt;5,P95="NA")</formula>
    </cfRule>
    <cfRule type="expression" dxfId="4567" priority="6897">
      <formula>AND(P95&lt;&gt;"NA",P95&gt;$P$16)</formula>
    </cfRule>
  </conditionalFormatting>
  <conditionalFormatting sqref="Q95">
    <cfRule type="expression" priority="6829" stopIfTrue="1">
      <formula>"ISBLANK($K$185)"</formula>
    </cfRule>
    <cfRule type="expression" dxfId="4566" priority="6888">
      <formula>AND(OR(AW95=0,ISBLANK(Q95)),B95&lt;&gt;"")</formula>
    </cfRule>
    <cfRule type="expression" dxfId="4565" priority="6889">
      <formula>AND(Q95="NA",NOT(ISTEXT(P95)))</formula>
    </cfRule>
    <cfRule type="expression" dxfId="4564" priority="6890">
      <formula>AND(AW95&gt;5,Q95="NA")</formula>
    </cfRule>
    <cfRule type="expression" dxfId="4563" priority="6891">
      <formula>AND(AW95&lt;5,Q95="NA")</formula>
    </cfRule>
    <cfRule type="expression" dxfId="4562" priority="6892">
      <formula>AND(Q95&lt;&gt;"NA",Q95&gt;$Q$16)</formula>
    </cfRule>
  </conditionalFormatting>
  <conditionalFormatting sqref="R95">
    <cfRule type="expression" priority="6828" stopIfTrue="1">
      <formula>"ISBLANK($K$185)"</formula>
    </cfRule>
    <cfRule type="expression" dxfId="4561" priority="6883">
      <formula>AND(OR(AW95=0,ISBLANK(R95)),B95&lt;&gt;"")</formula>
    </cfRule>
    <cfRule type="expression" dxfId="4560" priority="6884">
      <formula>AND(R95="NA",NOT(ISTEXT(S95)))</formula>
    </cfRule>
    <cfRule type="expression" dxfId="4559" priority="6885">
      <formula>AND(AW95&gt;5,R95="NA")</formula>
    </cfRule>
    <cfRule type="expression" dxfId="4558" priority="6886">
      <formula>AND(AW95&lt;5,R95="NA")</formula>
    </cfRule>
    <cfRule type="expression" dxfId="4557" priority="6887">
      <formula>AND(R95&lt;&gt;"NA",R95&gt;$R$16)</formula>
    </cfRule>
  </conditionalFormatting>
  <conditionalFormatting sqref="S95">
    <cfRule type="expression" priority="6827" stopIfTrue="1">
      <formula>"ISBLANK($K$185)"</formula>
    </cfRule>
    <cfRule type="expression" dxfId="4556" priority="6878">
      <formula>AND(OR(AW95=0,ISBLANK(S95)),B95&lt;&gt;"")</formula>
    </cfRule>
    <cfRule type="expression" dxfId="4555" priority="6879">
      <formula>AND(S95="NA",NOT(ISTEXT(R95)))</formula>
    </cfRule>
    <cfRule type="expression" dxfId="4554" priority="6880">
      <formula>AND(AW95&gt;5,S95="NA")</formula>
    </cfRule>
    <cfRule type="expression" dxfId="4553" priority="6881">
      <formula>AND(AW95&lt;5,S95="NA")</formula>
    </cfRule>
    <cfRule type="expression" dxfId="4552" priority="6882">
      <formula>AND(S95&lt;&gt;"NA",S95&gt;$S$16)</formula>
    </cfRule>
  </conditionalFormatting>
  <conditionalFormatting sqref="T95">
    <cfRule type="expression" priority="6826" stopIfTrue="1">
      <formula>"ISBLANK($K$185)"</formula>
    </cfRule>
    <cfRule type="expression" dxfId="4551" priority="6873">
      <formula>AND(OR(AW95=0,ISBLANK(T95)),B95&lt;&gt;"")</formula>
    </cfRule>
    <cfRule type="expression" dxfId="4550" priority="6874">
      <formula>AND(T95="NA",NOT(ISTEXT(U95)))</formula>
    </cfRule>
    <cfRule type="expression" dxfId="4549" priority="6875">
      <formula>AND(AW95&gt;5,T95="NA")</formula>
    </cfRule>
    <cfRule type="expression" dxfId="4548" priority="6876">
      <formula>AND(AW95&lt;5,T95="NA")</formula>
    </cfRule>
    <cfRule type="expression" dxfId="4547" priority="6877">
      <formula>AND(T95&lt;&gt;"NA",T95&gt;$T$16)</formula>
    </cfRule>
  </conditionalFormatting>
  <conditionalFormatting sqref="U95">
    <cfRule type="expression" priority="6825" stopIfTrue="1">
      <formula>"ISBLANK($K$185)"</formula>
    </cfRule>
    <cfRule type="expression" dxfId="4546" priority="6868">
      <formula>AND(OR(AW95=0,ISBLANK(U95)),B95&lt;&gt;"")</formula>
    </cfRule>
    <cfRule type="expression" dxfId="4545" priority="6869">
      <formula>AND(U95="NA",NOT(ISTEXT(T95)))</formula>
    </cfRule>
    <cfRule type="expression" dxfId="4544" priority="6870">
      <formula>AND(AW95&gt;5,U95="NA")</formula>
    </cfRule>
    <cfRule type="expression" dxfId="4543" priority="6871">
      <formula>AND(AW95&lt;5,U95="NA")</formula>
    </cfRule>
    <cfRule type="expression" dxfId="4542" priority="6872">
      <formula>AND(U95&lt;&gt;"NA",U95&gt;$U$16)</formula>
    </cfRule>
  </conditionalFormatting>
  <conditionalFormatting sqref="V95">
    <cfRule type="expression" priority="6824" stopIfTrue="1">
      <formula>"ISBLANK($K$185)"</formula>
    </cfRule>
    <cfRule type="expression" dxfId="4541" priority="6863">
      <formula>AND(OR(AW95=0,ISBLANK(V95)),B95&lt;&gt;"")</formula>
    </cfRule>
    <cfRule type="expression" dxfId="4540" priority="6864">
      <formula>AND(V95="NA",NOT(ISTEXT(W95)))</formula>
    </cfRule>
    <cfRule type="expression" dxfId="4539" priority="6865">
      <formula>AND(AW95&gt;5,V95="NA")</formula>
    </cfRule>
    <cfRule type="expression" dxfId="4538" priority="6866">
      <formula>AND(AW95&lt;5,V95="NA")</formula>
    </cfRule>
    <cfRule type="expression" dxfId="4537" priority="6867">
      <formula>AND(V95&lt;&gt;"NA",V95&gt;$V$16)</formula>
    </cfRule>
  </conditionalFormatting>
  <conditionalFormatting sqref="W95">
    <cfRule type="expression" priority="6823" stopIfTrue="1">
      <formula>"ISBLANK($K$185)"</formula>
    </cfRule>
    <cfRule type="expression" dxfId="4536" priority="6858">
      <formula>AND(OR(AW95=0,ISBLANK(W95)),B95&lt;&gt;"")</formula>
    </cfRule>
    <cfRule type="expression" dxfId="4535" priority="6859">
      <formula>AND(W95="NA",NOT(ISTEXT(V95)))</formula>
    </cfRule>
    <cfRule type="expression" dxfId="4534" priority="6860">
      <formula>AND(AW95&gt;5,W95="NA")</formula>
    </cfRule>
    <cfRule type="expression" dxfId="4533" priority="6861">
      <formula>AND(AW95&lt;5,W95="NA")</formula>
    </cfRule>
    <cfRule type="expression" dxfId="4532" priority="6862">
      <formula>AND(W95&lt;&gt;"NA",W95&gt;$W$16)</formula>
    </cfRule>
  </conditionalFormatting>
  <conditionalFormatting sqref="X95">
    <cfRule type="expression" priority="6822" stopIfTrue="1">
      <formula>"ISBLANK($K$185)"</formula>
    </cfRule>
    <cfRule type="expression" dxfId="4531" priority="6853">
      <formula>AND(OR(AW95=0,ISBLANK(X95)),B95&lt;&gt;"")</formula>
    </cfRule>
    <cfRule type="expression" dxfId="4530" priority="6854">
      <formula>AND(X95="NA",NOT(ISTEXT(Y95)))</formula>
    </cfRule>
    <cfRule type="expression" dxfId="4529" priority="6855">
      <formula>AND(AW95&gt;5,X95="NA")</formula>
    </cfRule>
    <cfRule type="expression" dxfId="4528" priority="6856">
      <formula>AND(AW95&lt;5,X95="NA")</formula>
    </cfRule>
    <cfRule type="expression" dxfId="4527" priority="6857">
      <formula>AND(X95&lt;&gt;"NA",X95&gt;$Y$16)</formula>
    </cfRule>
  </conditionalFormatting>
  <conditionalFormatting sqref="Y95">
    <cfRule type="expression" priority="6821" stopIfTrue="1">
      <formula>"ISBLANK($K$185)"</formula>
    </cfRule>
    <cfRule type="expression" dxfId="4526" priority="6848">
      <formula>AND(OR(AW95=0,ISBLANK(Y95)),B95&lt;&gt;"")</formula>
    </cfRule>
    <cfRule type="expression" dxfId="4525" priority="6849">
      <formula>AND(Y95="NA",NOT(ISTEXT(X95)))</formula>
    </cfRule>
    <cfRule type="expression" dxfId="4524" priority="6850">
      <formula>AND(AW95&gt;5,Y95="NA")</formula>
    </cfRule>
    <cfRule type="expression" dxfId="4523" priority="6851">
      <formula>AND(AW95&lt;5,Y95="NA")</formula>
    </cfRule>
    <cfRule type="expression" dxfId="4522" priority="6852">
      <formula>AND(Y95&lt;&gt;"NA",Y95&gt;$Y$16)</formula>
    </cfRule>
  </conditionalFormatting>
  <conditionalFormatting sqref="N95">
    <cfRule type="expression" priority="6832" stopIfTrue="1">
      <formula>"ISBLANK($K$185)"</formula>
    </cfRule>
    <cfRule type="expression" dxfId="4521" priority="6903">
      <formula>AND(OR(AW95=0,ISBLANK(N95)),B95&lt;&gt;"")</formula>
    </cfRule>
    <cfRule type="expression" dxfId="4520" priority="6904">
      <formula>AND(N95="NA",NOT(ISTEXT(O95)))</formula>
    </cfRule>
    <cfRule type="expression" dxfId="4519" priority="6905">
      <formula>AND(AW95&gt;5,N95="NA")</formula>
    </cfRule>
    <cfRule type="expression" dxfId="4518" priority="6906">
      <formula>AND(AW95&lt;5,N95="NA")</formula>
    </cfRule>
    <cfRule type="expression" dxfId="4517" priority="6907">
      <formula>AND(N95&lt;&gt;"NA",N95&gt;$N$16)</formula>
    </cfRule>
  </conditionalFormatting>
  <conditionalFormatting sqref="O96">
    <cfRule type="expression" priority="6740" stopIfTrue="1">
      <formula>"ISBLANK($K$185)"</formula>
    </cfRule>
    <cfRule type="expression" dxfId="4516" priority="6807">
      <formula>AND(OR(AW96=0,ISBLANK(O96)),B96&lt;&gt;"")</formula>
    </cfRule>
    <cfRule type="expression" dxfId="4515" priority="6808">
      <formula>AND(O96="NA",NOT(ISTEXT(N96)))</formula>
    </cfRule>
    <cfRule type="expression" dxfId="4514" priority="6809">
      <formula>AND(AW96&gt;5,O96="NA")</formula>
    </cfRule>
    <cfRule type="expression" dxfId="4513" priority="6810">
      <formula>AND(AW96&lt;5,O96="NA")</formula>
    </cfRule>
    <cfRule type="expression" dxfId="4512" priority="6811">
      <formula>AND(O96&lt;&gt;"NA",O96&gt;$O$16)</formula>
    </cfRule>
  </conditionalFormatting>
  <conditionalFormatting sqref="P96">
    <cfRule type="expression" priority="6739" stopIfTrue="1">
      <formula>"ISBLANK($K$185)"</formula>
    </cfRule>
    <cfRule type="expression" dxfId="4511" priority="6802">
      <formula>AND(OR(AW96=0,ISBLANK(P96)),B96&lt;&gt;"")</formula>
    </cfRule>
    <cfRule type="expression" dxfId="4510" priority="6803">
      <formula>AND(P96="NA",NOT(ISTEXT(Q96)))</formula>
    </cfRule>
    <cfRule type="expression" dxfId="4509" priority="6804">
      <formula>AND(AW96&gt;5,P96="NA")</formula>
    </cfRule>
    <cfRule type="expression" dxfId="4508" priority="6805">
      <formula>AND(AW96&lt;5,P96="NA")</formula>
    </cfRule>
    <cfRule type="expression" dxfId="4507" priority="6806">
      <formula>AND(P96&lt;&gt;"NA",P96&gt;$P$16)</formula>
    </cfRule>
  </conditionalFormatting>
  <conditionalFormatting sqref="Q96">
    <cfRule type="expression" priority="6738" stopIfTrue="1">
      <formula>"ISBLANK($K$185)"</formula>
    </cfRule>
    <cfRule type="expression" dxfId="4506" priority="6797">
      <formula>AND(OR(AW96=0,ISBLANK(Q96)),B96&lt;&gt;"")</formula>
    </cfRule>
    <cfRule type="expression" dxfId="4505" priority="6798">
      <formula>AND(Q96="NA",NOT(ISTEXT(P96)))</formula>
    </cfRule>
    <cfRule type="expression" dxfId="4504" priority="6799">
      <formula>AND(AW96&gt;5,Q96="NA")</formula>
    </cfRule>
    <cfRule type="expression" dxfId="4503" priority="6800">
      <formula>AND(AW96&lt;5,Q96="NA")</formula>
    </cfRule>
    <cfRule type="expression" dxfId="4502" priority="6801">
      <formula>AND(Q96&lt;&gt;"NA",Q96&gt;$Q$16)</formula>
    </cfRule>
  </conditionalFormatting>
  <conditionalFormatting sqref="R96">
    <cfRule type="expression" priority="6737" stopIfTrue="1">
      <formula>"ISBLANK($K$185)"</formula>
    </cfRule>
    <cfRule type="expression" dxfId="4501" priority="6792">
      <formula>AND(OR(AW96=0,ISBLANK(R96)),B96&lt;&gt;"")</formula>
    </cfRule>
    <cfRule type="expression" dxfId="4500" priority="6793">
      <formula>AND(R96="NA",NOT(ISTEXT(S96)))</formula>
    </cfRule>
    <cfRule type="expression" dxfId="4499" priority="6794">
      <formula>AND(AW96&gt;5,R96="NA")</formula>
    </cfRule>
    <cfRule type="expression" dxfId="4498" priority="6795">
      <formula>AND(AW96&lt;5,R96="NA")</formula>
    </cfRule>
    <cfRule type="expression" dxfId="4497" priority="6796">
      <formula>AND(R96&lt;&gt;"NA",R96&gt;$R$16)</formula>
    </cfRule>
  </conditionalFormatting>
  <conditionalFormatting sqref="S96">
    <cfRule type="expression" priority="6736" stopIfTrue="1">
      <formula>"ISBLANK($K$185)"</formula>
    </cfRule>
    <cfRule type="expression" dxfId="4496" priority="6787">
      <formula>AND(OR(AW96=0,ISBLANK(S96)),B96&lt;&gt;"")</formula>
    </cfRule>
    <cfRule type="expression" dxfId="4495" priority="6788">
      <formula>AND(S96="NA",NOT(ISTEXT(R96)))</formula>
    </cfRule>
    <cfRule type="expression" dxfId="4494" priority="6789">
      <formula>AND(AW96&gt;5,S96="NA")</formula>
    </cfRule>
    <cfRule type="expression" dxfId="4493" priority="6790">
      <formula>AND(AW96&lt;5,S96="NA")</formula>
    </cfRule>
    <cfRule type="expression" dxfId="4492" priority="6791">
      <formula>AND(S96&lt;&gt;"NA",S96&gt;$S$16)</formula>
    </cfRule>
  </conditionalFormatting>
  <conditionalFormatting sqref="T96">
    <cfRule type="expression" priority="6735" stopIfTrue="1">
      <formula>"ISBLANK($K$185)"</formula>
    </cfRule>
    <cfRule type="expression" dxfId="4491" priority="6782">
      <formula>AND(OR(AW96=0,ISBLANK(T96)),B96&lt;&gt;"")</formula>
    </cfRule>
    <cfRule type="expression" dxfId="4490" priority="6783">
      <formula>AND(T96="NA",NOT(ISTEXT(U96)))</formula>
    </cfRule>
    <cfRule type="expression" dxfId="4489" priority="6784">
      <formula>AND(AW96&gt;5,T96="NA")</formula>
    </cfRule>
    <cfRule type="expression" dxfId="4488" priority="6785">
      <formula>AND(AW96&lt;5,T96="NA")</formula>
    </cfRule>
    <cfRule type="expression" dxfId="4487" priority="6786">
      <formula>AND(T96&lt;&gt;"NA",T96&gt;$T$16)</formula>
    </cfRule>
  </conditionalFormatting>
  <conditionalFormatting sqref="U96">
    <cfRule type="expression" priority="6734" stopIfTrue="1">
      <formula>"ISBLANK($K$185)"</formula>
    </cfRule>
    <cfRule type="expression" dxfId="4486" priority="6777">
      <formula>AND(OR(AW96=0,ISBLANK(U96)),B96&lt;&gt;"")</formula>
    </cfRule>
    <cfRule type="expression" dxfId="4485" priority="6778">
      <formula>AND(U96="NA",NOT(ISTEXT(T96)))</formula>
    </cfRule>
    <cfRule type="expression" dxfId="4484" priority="6779">
      <formula>AND(AW96&gt;5,U96="NA")</formula>
    </cfRule>
    <cfRule type="expression" dxfId="4483" priority="6780">
      <formula>AND(AW96&lt;5,U96="NA")</formula>
    </cfRule>
    <cfRule type="expression" dxfId="4482" priority="6781">
      <formula>AND(U96&lt;&gt;"NA",U96&gt;$U$16)</formula>
    </cfRule>
  </conditionalFormatting>
  <conditionalFormatting sqref="V96">
    <cfRule type="expression" priority="6733" stopIfTrue="1">
      <formula>"ISBLANK($K$185)"</formula>
    </cfRule>
    <cfRule type="expression" dxfId="4481" priority="6772">
      <formula>AND(OR(AW96=0,ISBLANK(V96)),B96&lt;&gt;"")</formula>
    </cfRule>
    <cfRule type="expression" dxfId="4480" priority="6773">
      <formula>AND(V96="NA",NOT(ISTEXT(W96)))</formula>
    </cfRule>
    <cfRule type="expression" dxfId="4479" priority="6774">
      <formula>AND(AW96&gt;5,V96="NA")</formula>
    </cfRule>
    <cfRule type="expression" dxfId="4478" priority="6775">
      <formula>AND(AW96&lt;5,V96="NA")</formula>
    </cfRule>
    <cfRule type="expression" dxfId="4477" priority="6776">
      <formula>AND(V96&lt;&gt;"NA",V96&gt;$V$16)</formula>
    </cfRule>
  </conditionalFormatting>
  <conditionalFormatting sqref="W96">
    <cfRule type="expression" priority="6732" stopIfTrue="1">
      <formula>"ISBLANK($K$185)"</formula>
    </cfRule>
    <cfRule type="expression" dxfId="4476" priority="6767">
      <formula>AND(OR(AW96=0,ISBLANK(W96)),B96&lt;&gt;"")</formula>
    </cfRule>
    <cfRule type="expression" dxfId="4475" priority="6768">
      <formula>AND(W96="NA",NOT(ISTEXT(V96)))</formula>
    </cfRule>
    <cfRule type="expression" dxfId="4474" priority="6769">
      <formula>AND(AW96&gt;5,W96="NA")</formula>
    </cfRule>
    <cfRule type="expression" dxfId="4473" priority="6770">
      <formula>AND(AW96&lt;5,W96="NA")</formula>
    </cfRule>
    <cfRule type="expression" dxfId="4472" priority="6771">
      <formula>AND(W96&lt;&gt;"NA",W96&gt;$W$16)</formula>
    </cfRule>
  </conditionalFormatting>
  <conditionalFormatting sqref="X96">
    <cfRule type="expression" priority="6731" stopIfTrue="1">
      <formula>"ISBLANK($K$185)"</formula>
    </cfRule>
    <cfRule type="expression" dxfId="4471" priority="6762">
      <formula>AND(OR(AW96=0,ISBLANK(X96)),B96&lt;&gt;"")</formula>
    </cfRule>
    <cfRule type="expression" dxfId="4470" priority="6763">
      <formula>AND(X96="NA",NOT(ISTEXT(Y96)))</formula>
    </cfRule>
    <cfRule type="expression" dxfId="4469" priority="6764">
      <formula>AND(AW96&gt;5,X96="NA")</formula>
    </cfRule>
    <cfRule type="expression" dxfId="4468" priority="6765">
      <formula>AND(AW96&lt;5,X96="NA")</formula>
    </cfRule>
    <cfRule type="expression" dxfId="4467" priority="6766">
      <formula>AND(X96&lt;&gt;"NA",X96&gt;$Y$16)</formula>
    </cfRule>
  </conditionalFormatting>
  <conditionalFormatting sqref="Y96">
    <cfRule type="expression" priority="6730" stopIfTrue="1">
      <formula>"ISBLANK($K$185)"</formula>
    </cfRule>
    <cfRule type="expression" dxfId="4466" priority="6757">
      <formula>AND(OR(AW96=0,ISBLANK(Y96)),B96&lt;&gt;"")</formula>
    </cfRule>
    <cfRule type="expression" dxfId="4465" priority="6758">
      <formula>AND(Y96="NA",NOT(ISTEXT(X96)))</formula>
    </cfRule>
    <cfRule type="expression" dxfId="4464" priority="6759">
      <formula>AND(AW96&gt;5,Y96="NA")</formula>
    </cfRule>
    <cfRule type="expression" dxfId="4463" priority="6760">
      <formula>AND(AW96&lt;5,Y96="NA")</formula>
    </cfRule>
    <cfRule type="expression" dxfId="4462" priority="6761">
      <formula>AND(Y96&lt;&gt;"NA",Y96&gt;$Y$16)</formula>
    </cfRule>
  </conditionalFormatting>
  <conditionalFormatting sqref="N96">
    <cfRule type="expression" priority="6741" stopIfTrue="1">
      <formula>"ISBLANK($K$185)"</formula>
    </cfRule>
    <cfRule type="expression" dxfId="4461" priority="6812">
      <formula>AND(OR(AW96=0,ISBLANK(N96)),B96&lt;&gt;"")</formula>
    </cfRule>
    <cfRule type="expression" dxfId="4460" priority="6813">
      <formula>AND(N96="NA",NOT(ISTEXT(O96)))</formula>
    </cfRule>
    <cfRule type="expression" dxfId="4459" priority="6814">
      <formula>AND(AW96&gt;5,N96="NA")</formula>
    </cfRule>
    <cfRule type="expression" dxfId="4458" priority="6815">
      <formula>AND(AW96&lt;5,N96="NA")</formula>
    </cfRule>
    <cfRule type="expression" dxfId="4457" priority="6816">
      <formula>AND(N96&lt;&gt;"NA",N96&gt;$N$16)</formula>
    </cfRule>
  </conditionalFormatting>
  <conditionalFormatting sqref="O97">
    <cfRule type="expression" priority="6649" stopIfTrue="1">
      <formula>"ISBLANK($K$185)"</formula>
    </cfRule>
    <cfRule type="expression" dxfId="4456" priority="6716">
      <formula>AND(OR(AW97=0,ISBLANK(O97)),B97&lt;&gt;"")</formula>
    </cfRule>
    <cfRule type="expression" dxfId="4455" priority="6717">
      <formula>AND(O97="NA",NOT(ISTEXT(N97)))</formula>
    </cfRule>
    <cfRule type="expression" dxfId="4454" priority="6718">
      <formula>AND(AW97&gt;5,O97="NA")</formula>
    </cfRule>
    <cfRule type="expression" dxfId="4453" priority="6719">
      <formula>AND(AW97&lt;5,O97="NA")</formula>
    </cfRule>
    <cfRule type="expression" dxfId="4452" priority="6720">
      <formula>AND(O97&lt;&gt;"NA",O97&gt;$O$16)</formula>
    </cfRule>
  </conditionalFormatting>
  <conditionalFormatting sqref="P97">
    <cfRule type="expression" priority="6648" stopIfTrue="1">
      <formula>"ISBLANK($K$185)"</formula>
    </cfRule>
    <cfRule type="expression" dxfId="4451" priority="6711">
      <formula>AND(OR(AW97=0,ISBLANK(P97)),B97&lt;&gt;"")</formula>
    </cfRule>
    <cfRule type="expression" dxfId="4450" priority="6712">
      <formula>AND(P97="NA",NOT(ISTEXT(Q97)))</formula>
    </cfRule>
    <cfRule type="expression" dxfId="4449" priority="6713">
      <formula>AND(AW97&gt;5,P97="NA")</formula>
    </cfRule>
    <cfRule type="expression" dxfId="4448" priority="6714">
      <formula>AND(AW97&lt;5,P97="NA")</formula>
    </cfRule>
    <cfRule type="expression" dxfId="4447" priority="6715">
      <formula>AND(P97&lt;&gt;"NA",P97&gt;$P$16)</formula>
    </cfRule>
  </conditionalFormatting>
  <conditionalFormatting sqref="Q97">
    <cfRule type="expression" priority="6647" stopIfTrue="1">
      <formula>"ISBLANK($K$185)"</formula>
    </cfRule>
    <cfRule type="expression" dxfId="4446" priority="6706">
      <formula>AND(OR(AW97=0,ISBLANK(Q97)),B97&lt;&gt;"")</formula>
    </cfRule>
    <cfRule type="expression" dxfId="4445" priority="6707">
      <formula>AND(Q97="NA",NOT(ISTEXT(P97)))</formula>
    </cfRule>
    <cfRule type="expression" dxfId="4444" priority="6708">
      <formula>AND(AW97&gt;5,Q97="NA")</formula>
    </cfRule>
    <cfRule type="expression" dxfId="4443" priority="6709">
      <formula>AND(AW97&lt;5,Q97="NA")</formula>
    </cfRule>
    <cfRule type="expression" dxfId="4442" priority="6710">
      <formula>AND(Q97&lt;&gt;"NA",Q97&gt;$Q$16)</formula>
    </cfRule>
  </conditionalFormatting>
  <conditionalFormatting sqref="R97">
    <cfRule type="expression" priority="6646" stopIfTrue="1">
      <formula>"ISBLANK($K$185)"</formula>
    </cfRule>
    <cfRule type="expression" dxfId="4441" priority="6701">
      <formula>AND(OR(AW97=0,ISBLANK(R97)),B97&lt;&gt;"")</formula>
    </cfRule>
    <cfRule type="expression" dxfId="4440" priority="6702">
      <formula>AND(R97="NA",NOT(ISTEXT(S97)))</formula>
    </cfRule>
    <cfRule type="expression" dxfId="4439" priority="6703">
      <formula>AND(AW97&gt;5,R97="NA")</formula>
    </cfRule>
    <cfRule type="expression" dxfId="4438" priority="6704">
      <formula>AND(AW97&lt;5,R97="NA")</formula>
    </cfRule>
    <cfRule type="expression" dxfId="4437" priority="6705">
      <formula>AND(R97&lt;&gt;"NA",R97&gt;$R$16)</formula>
    </cfRule>
  </conditionalFormatting>
  <conditionalFormatting sqref="S97">
    <cfRule type="expression" priority="6645" stopIfTrue="1">
      <formula>"ISBLANK($K$185)"</formula>
    </cfRule>
    <cfRule type="expression" dxfId="4436" priority="6696">
      <formula>AND(OR(AW97=0,ISBLANK(S97)),B97&lt;&gt;"")</formula>
    </cfRule>
    <cfRule type="expression" dxfId="4435" priority="6697">
      <formula>AND(S97="NA",NOT(ISTEXT(R97)))</formula>
    </cfRule>
    <cfRule type="expression" dxfId="4434" priority="6698">
      <formula>AND(AW97&gt;5,S97="NA")</formula>
    </cfRule>
    <cfRule type="expression" dxfId="4433" priority="6699">
      <formula>AND(AW97&lt;5,S97="NA")</formula>
    </cfRule>
    <cfRule type="expression" dxfId="4432" priority="6700">
      <formula>AND(S97&lt;&gt;"NA",S97&gt;$S$16)</formula>
    </cfRule>
  </conditionalFormatting>
  <conditionalFormatting sqref="T97">
    <cfRule type="expression" priority="6644" stopIfTrue="1">
      <formula>"ISBLANK($K$185)"</formula>
    </cfRule>
    <cfRule type="expression" dxfId="4431" priority="6691">
      <formula>AND(OR(AW97=0,ISBLANK(T97)),B97&lt;&gt;"")</formula>
    </cfRule>
    <cfRule type="expression" dxfId="4430" priority="6692">
      <formula>AND(T97="NA",NOT(ISTEXT(U97)))</formula>
    </cfRule>
    <cfRule type="expression" dxfId="4429" priority="6693">
      <formula>AND(AW97&gt;5,T97="NA")</formula>
    </cfRule>
    <cfRule type="expression" dxfId="4428" priority="6694">
      <formula>AND(AW97&lt;5,T97="NA")</formula>
    </cfRule>
    <cfRule type="expression" dxfId="4427" priority="6695">
      <formula>AND(T97&lt;&gt;"NA",T97&gt;$T$16)</formula>
    </cfRule>
  </conditionalFormatting>
  <conditionalFormatting sqref="U97">
    <cfRule type="expression" priority="6643" stopIfTrue="1">
      <formula>"ISBLANK($K$185)"</formula>
    </cfRule>
    <cfRule type="expression" dxfId="4426" priority="6686">
      <formula>AND(OR(AW97=0,ISBLANK(U97)),B97&lt;&gt;"")</formula>
    </cfRule>
    <cfRule type="expression" dxfId="4425" priority="6687">
      <formula>AND(U97="NA",NOT(ISTEXT(T97)))</formula>
    </cfRule>
    <cfRule type="expression" dxfId="4424" priority="6688">
      <formula>AND(AW97&gt;5,U97="NA")</formula>
    </cfRule>
    <cfRule type="expression" dxfId="4423" priority="6689">
      <formula>AND(AW97&lt;5,U97="NA")</formula>
    </cfRule>
    <cfRule type="expression" dxfId="4422" priority="6690">
      <formula>AND(U97&lt;&gt;"NA",U97&gt;$U$16)</formula>
    </cfRule>
  </conditionalFormatting>
  <conditionalFormatting sqref="V97">
    <cfRule type="expression" priority="6642" stopIfTrue="1">
      <formula>"ISBLANK($K$185)"</formula>
    </cfRule>
    <cfRule type="expression" dxfId="4421" priority="6681">
      <formula>AND(OR(AW97=0,ISBLANK(V97)),B97&lt;&gt;"")</formula>
    </cfRule>
    <cfRule type="expression" dxfId="4420" priority="6682">
      <formula>AND(V97="NA",NOT(ISTEXT(W97)))</formula>
    </cfRule>
    <cfRule type="expression" dxfId="4419" priority="6683">
      <formula>AND(AW97&gt;5,V97="NA")</formula>
    </cfRule>
    <cfRule type="expression" dxfId="4418" priority="6684">
      <formula>AND(AW97&lt;5,V97="NA")</formula>
    </cfRule>
    <cfRule type="expression" dxfId="4417" priority="6685">
      <formula>AND(V97&lt;&gt;"NA",V97&gt;$V$16)</formula>
    </cfRule>
  </conditionalFormatting>
  <conditionalFormatting sqref="W97">
    <cfRule type="expression" priority="6641" stopIfTrue="1">
      <formula>"ISBLANK($K$185)"</formula>
    </cfRule>
    <cfRule type="expression" dxfId="4416" priority="6676">
      <formula>AND(OR(AW97=0,ISBLANK(W97)),B97&lt;&gt;"")</formula>
    </cfRule>
    <cfRule type="expression" dxfId="4415" priority="6677">
      <formula>AND(W97="NA",NOT(ISTEXT(V97)))</formula>
    </cfRule>
    <cfRule type="expression" dxfId="4414" priority="6678">
      <formula>AND(AW97&gt;5,W97="NA")</formula>
    </cfRule>
    <cfRule type="expression" dxfId="4413" priority="6679">
      <formula>AND(AW97&lt;5,W97="NA")</formula>
    </cfRule>
    <cfRule type="expression" dxfId="4412" priority="6680">
      <formula>AND(W97&lt;&gt;"NA",W97&gt;$W$16)</formula>
    </cfRule>
  </conditionalFormatting>
  <conditionalFormatting sqref="X97">
    <cfRule type="expression" priority="6640" stopIfTrue="1">
      <formula>"ISBLANK($K$185)"</formula>
    </cfRule>
    <cfRule type="expression" dxfId="4411" priority="6671">
      <formula>AND(OR(AW97=0,ISBLANK(X97)),B97&lt;&gt;"")</formula>
    </cfRule>
    <cfRule type="expression" dxfId="4410" priority="6672">
      <formula>AND(X97="NA",NOT(ISTEXT(Y97)))</formula>
    </cfRule>
    <cfRule type="expression" dxfId="4409" priority="6673">
      <formula>AND(AW97&gt;5,X97="NA")</formula>
    </cfRule>
    <cfRule type="expression" dxfId="4408" priority="6674">
      <formula>AND(AW97&lt;5,X97="NA")</formula>
    </cfRule>
    <cfRule type="expression" dxfId="4407" priority="6675">
      <formula>AND(X97&lt;&gt;"NA",X97&gt;$Y$16)</formula>
    </cfRule>
  </conditionalFormatting>
  <conditionalFormatting sqref="Y97">
    <cfRule type="expression" priority="6639" stopIfTrue="1">
      <formula>"ISBLANK($K$185)"</formula>
    </cfRule>
    <cfRule type="expression" dxfId="4406" priority="6666">
      <formula>AND(OR(AW97=0,ISBLANK(Y97)),B97&lt;&gt;"")</formula>
    </cfRule>
    <cfRule type="expression" dxfId="4405" priority="6667">
      <formula>AND(Y97="NA",NOT(ISTEXT(X97)))</formula>
    </cfRule>
    <cfRule type="expression" dxfId="4404" priority="6668">
      <formula>AND(AW97&gt;5,Y97="NA")</formula>
    </cfRule>
    <cfRule type="expression" dxfId="4403" priority="6669">
      <formula>AND(AW97&lt;5,Y97="NA")</formula>
    </cfRule>
    <cfRule type="expression" dxfId="4402" priority="6670">
      <formula>AND(Y97&lt;&gt;"NA",Y97&gt;$Y$16)</formula>
    </cfRule>
  </conditionalFormatting>
  <conditionalFormatting sqref="N97">
    <cfRule type="expression" priority="6650" stopIfTrue="1">
      <formula>"ISBLANK($K$185)"</formula>
    </cfRule>
    <cfRule type="expression" dxfId="4401" priority="6721">
      <formula>AND(OR(AW97=0,ISBLANK(N97)),B97&lt;&gt;"")</formula>
    </cfRule>
    <cfRule type="expression" dxfId="4400" priority="6722">
      <formula>AND(N97="NA",NOT(ISTEXT(O97)))</formula>
    </cfRule>
    <cfRule type="expression" dxfId="4399" priority="6723">
      <formula>AND(AW97&gt;5,N97="NA")</formula>
    </cfRule>
    <cfRule type="expression" dxfId="4398" priority="6724">
      <formula>AND(AW97&lt;5,N97="NA")</formula>
    </cfRule>
    <cfRule type="expression" dxfId="4397" priority="6725">
      <formula>AND(N97&lt;&gt;"NA",N97&gt;$N$16)</formula>
    </cfRule>
  </conditionalFormatting>
  <conditionalFormatting sqref="O98">
    <cfRule type="expression" priority="6558" stopIfTrue="1">
      <formula>"ISBLANK($K$185)"</formula>
    </cfRule>
    <cfRule type="expression" dxfId="4396" priority="6625">
      <formula>AND(OR(AW98=0,ISBLANK(O98)),B98&lt;&gt;"")</formula>
    </cfRule>
    <cfRule type="expression" dxfId="4395" priority="6626">
      <formula>AND(O98="NA",NOT(ISTEXT(N98)))</formula>
    </cfRule>
    <cfRule type="expression" dxfId="4394" priority="6627">
      <formula>AND(AW98&gt;5,O98="NA")</formula>
    </cfRule>
    <cfRule type="expression" dxfId="4393" priority="6628">
      <formula>AND(AW98&lt;5,O98="NA")</formula>
    </cfRule>
    <cfRule type="expression" dxfId="4392" priority="6629">
      <formula>AND(O98&lt;&gt;"NA",O98&gt;$O$16)</formula>
    </cfRule>
  </conditionalFormatting>
  <conditionalFormatting sqref="P98">
    <cfRule type="expression" priority="6557" stopIfTrue="1">
      <formula>"ISBLANK($K$185)"</formula>
    </cfRule>
    <cfRule type="expression" dxfId="4391" priority="6620">
      <formula>AND(OR(AW98=0,ISBLANK(P98)),B98&lt;&gt;"")</formula>
    </cfRule>
    <cfRule type="expression" dxfId="4390" priority="6621">
      <formula>AND(P98="NA",NOT(ISTEXT(Q98)))</formula>
    </cfRule>
    <cfRule type="expression" dxfId="4389" priority="6622">
      <formula>AND(AW98&gt;5,P98="NA")</formula>
    </cfRule>
    <cfRule type="expression" dxfId="4388" priority="6623">
      <formula>AND(AW98&lt;5,P98="NA")</formula>
    </cfRule>
    <cfRule type="expression" dxfId="4387" priority="6624">
      <formula>AND(P98&lt;&gt;"NA",P98&gt;$P$16)</formula>
    </cfRule>
  </conditionalFormatting>
  <conditionalFormatting sqref="Q98">
    <cfRule type="expression" priority="6556" stopIfTrue="1">
      <formula>"ISBLANK($K$185)"</formula>
    </cfRule>
    <cfRule type="expression" dxfId="4386" priority="6615">
      <formula>AND(OR(AW98=0,ISBLANK(Q98)),B98&lt;&gt;"")</formula>
    </cfRule>
    <cfRule type="expression" dxfId="4385" priority="6616">
      <formula>AND(Q98="NA",NOT(ISTEXT(P98)))</formula>
    </cfRule>
    <cfRule type="expression" dxfId="4384" priority="6617">
      <formula>AND(AW98&gt;5,Q98="NA")</formula>
    </cfRule>
    <cfRule type="expression" dxfId="4383" priority="6618">
      <formula>AND(AW98&lt;5,Q98="NA")</formula>
    </cfRule>
    <cfRule type="expression" dxfId="4382" priority="6619">
      <formula>AND(Q98&lt;&gt;"NA",Q98&gt;$Q$16)</formula>
    </cfRule>
  </conditionalFormatting>
  <conditionalFormatting sqref="R98">
    <cfRule type="expression" priority="6555" stopIfTrue="1">
      <formula>"ISBLANK($K$185)"</formula>
    </cfRule>
    <cfRule type="expression" dxfId="4381" priority="6610">
      <formula>AND(OR(AW98=0,ISBLANK(R98)),B98&lt;&gt;"")</formula>
    </cfRule>
    <cfRule type="expression" dxfId="4380" priority="6611">
      <formula>AND(R98="NA",NOT(ISTEXT(S98)))</formula>
    </cfRule>
    <cfRule type="expression" dxfId="4379" priority="6612">
      <formula>AND(AW98&gt;5,R98="NA")</formula>
    </cfRule>
    <cfRule type="expression" dxfId="4378" priority="6613">
      <formula>AND(AW98&lt;5,R98="NA")</formula>
    </cfRule>
    <cfRule type="expression" dxfId="4377" priority="6614">
      <formula>AND(R98&lt;&gt;"NA",R98&gt;$R$16)</formula>
    </cfRule>
  </conditionalFormatting>
  <conditionalFormatting sqref="S98">
    <cfRule type="expression" priority="6554" stopIfTrue="1">
      <formula>"ISBLANK($K$185)"</formula>
    </cfRule>
    <cfRule type="expression" dxfId="4376" priority="6605">
      <formula>AND(OR(AW98=0,ISBLANK(S98)),B98&lt;&gt;"")</formula>
    </cfRule>
    <cfRule type="expression" dxfId="4375" priority="6606">
      <formula>AND(S98="NA",NOT(ISTEXT(R98)))</formula>
    </cfRule>
    <cfRule type="expression" dxfId="4374" priority="6607">
      <formula>AND(AW98&gt;5,S98="NA")</formula>
    </cfRule>
    <cfRule type="expression" dxfId="4373" priority="6608">
      <formula>AND(AW98&lt;5,S98="NA")</formula>
    </cfRule>
    <cfRule type="expression" dxfId="4372" priority="6609">
      <formula>AND(S98&lt;&gt;"NA",S98&gt;$S$16)</formula>
    </cfRule>
  </conditionalFormatting>
  <conditionalFormatting sqref="T98">
    <cfRule type="expression" priority="6553" stopIfTrue="1">
      <formula>"ISBLANK($K$185)"</formula>
    </cfRule>
    <cfRule type="expression" dxfId="4371" priority="6600">
      <formula>AND(OR(AW98=0,ISBLANK(T98)),B98&lt;&gt;"")</formula>
    </cfRule>
    <cfRule type="expression" dxfId="4370" priority="6601">
      <formula>AND(T98="NA",NOT(ISTEXT(U98)))</formula>
    </cfRule>
    <cfRule type="expression" dxfId="4369" priority="6602">
      <formula>AND(AW98&gt;5,T98="NA")</formula>
    </cfRule>
    <cfRule type="expression" dxfId="4368" priority="6603">
      <formula>AND(AW98&lt;5,T98="NA")</formula>
    </cfRule>
    <cfRule type="expression" dxfId="4367" priority="6604">
      <formula>AND(T98&lt;&gt;"NA",T98&gt;$T$16)</formula>
    </cfRule>
  </conditionalFormatting>
  <conditionalFormatting sqref="U98">
    <cfRule type="expression" priority="6552" stopIfTrue="1">
      <formula>"ISBLANK($K$185)"</formula>
    </cfRule>
    <cfRule type="expression" dxfId="4366" priority="6595">
      <formula>AND(OR(AW98=0,ISBLANK(U98)),B98&lt;&gt;"")</formula>
    </cfRule>
    <cfRule type="expression" dxfId="4365" priority="6596">
      <formula>AND(U98="NA",NOT(ISTEXT(T98)))</formula>
    </cfRule>
    <cfRule type="expression" dxfId="4364" priority="6597">
      <formula>AND(AW98&gt;5,U98="NA")</formula>
    </cfRule>
    <cfRule type="expression" dxfId="4363" priority="6598">
      <formula>AND(AW98&lt;5,U98="NA")</formula>
    </cfRule>
    <cfRule type="expression" dxfId="4362" priority="6599">
      <formula>AND(U98&lt;&gt;"NA",U98&gt;$U$16)</formula>
    </cfRule>
  </conditionalFormatting>
  <conditionalFormatting sqref="V98">
    <cfRule type="expression" priority="6551" stopIfTrue="1">
      <formula>"ISBLANK($K$185)"</formula>
    </cfRule>
    <cfRule type="expression" dxfId="4361" priority="6590">
      <formula>AND(OR(AW98=0,ISBLANK(V98)),B98&lt;&gt;"")</formula>
    </cfRule>
    <cfRule type="expression" dxfId="4360" priority="6591">
      <formula>AND(V98="NA",NOT(ISTEXT(W98)))</formula>
    </cfRule>
    <cfRule type="expression" dxfId="4359" priority="6592">
      <formula>AND(AW98&gt;5,V98="NA")</formula>
    </cfRule>
    <cfRule type="expression" dxfId="4358" priority="6593">
      <formula>AND(AW98&lt;5,V98="NA")</formula>
    </cfRule>
    <cfRule type="expression" dxfId="4357" priority="6594">
      <formula>AND(V98&lt;&gt;"NA",V98&gt;$V$16)</formula>
    </cfRule>
  </conditionalFormatting>
  <conditionalFormatting sqref="W98">
    <cfRule type="expression" priority="6550" stopIfTrue="1">
      <formula>"ISBLANK($K$185)"</formula>
    </cfRule>
    <cfRule type="expression" dxfId="4356" priority="6585">
      <formula>AND(OR(AW98=0,ISBLANK(W98)),B98&lt;&gt;"")</formula>
    </cfRule>
    <cfRule type="expression" dxfId="4355" priority="6586">
      <formula>AND(W98="NA",NOT(ISTEXT(V98)))</formula>
    </cfRule>
    <cfRule type="expression" dxfId="4354" priority="6587">
      <formula>AND(AW98&gt;5,W98="NA")</formula>
    </cfRule>
    <cfRule type="expression" dxfId="4353" priority="6588">
      <formula>AND(AW98&lt;5,W98="NA")</formula>
    </cfRule>
    <cfRule type="expression" dxfId="4352" priority="6589">
      <formula>AND(W98&lt;&gt;"NA",W98&gt;$W$16)</formula>
    </cfRule>
  </conditionalFormatting>
  <conditionalFormatting sqref="X98">
    <cfRule type="expression" priority="6549" stopIfTrue="1">
      <formula>"ISBLANK($K$185)"</formula>
    </cfRule>
    <cfRule type="expression" dxfId="4351" priority="6580">
      <formula>AND(OR(AW98=0,ISBLANK(X98)),B98&lt;&gt;"")</formula>
    </cfRule>
    <cfRule type="expression" dxfId="4350" priority="6581">
      <formula>AND(X98="NA",NOT(ISTEXT(Y98)))</formula>
    </cfRule>
    <cfRule type="expression" dxfId="4349" priority="6582">
      <formula>AND(AW98&gt;5,X98="NA")</formula>
    </cfRule>
    <cfRule type="expression" dxfId="4348" priority="6583">
      <formula>AND(AW98&lt;5,X98="NA")</formula>
    </cfRule>
    <cfRule type="expression" dxfId="4347" priority="6584">
      <formula>AND(X98&lt;&gt;"NA",X98&gt;$Y$16)</formula>
    </cfRule>
  </conditionalFormatting>
  <conditionalFormatting sqref="Y98">
    <cfRule type="expression" priority="6548" stopIfTrue="1">
      <formula>"ISBLANK($K$185)"</formula>
    </cfRule>
    <cfRule type="expression" dxfId="4346" priority="6575">
      <formula>AND(OR(AW98=0,ISBLANK(Y98)),B98&lt;&gt;"")</formula>
    </cfRule>
    <cfRule type="expression" dxfId="4345" priority="6576">
      <formula>AND(Y98="NA",NOT(ISTEXT(X98)))</formula>
    </cfRule>
    <cfRule type="expression" dxfId="4344" priority="6577">
      <formula>AND(AW98&gt;5,Y98="NA")</formula>
    </cfRule>
    <cfRule type="expression" dxfId="4343" priority="6578">
      <formula>AND(AW98&lt;5,Y98="NA")</formula>
    </cfRule>
    <cfRule type="expression" dxfId="4342" priority="6579">
      <formula>AND(Y98&lt;&gt;"NA",Y98&gt;$Y$16)</formula>
    </cfRule>
  </conditionalFormatting>
  <conditionalFormatting sqref="N98">
    <cfRule type="expression" priority="6559" stopIfTrue="1">
      <formula>"ISBLANK($K$185)"</formula>
    </cfRule>
    <cfRule type="expression" dxfId="4341" priority="6630">
      <formula>AND(OR(AW98=0,ISBLANK(N98)),B98&lt;&gt;"")</formula>
    </cfRule>
    <cfRule type="expression" dxfId="4340" priority="6631">
      <formula>AND(N98="NA",NOT(ISTEXT(O98)))</formula>
    </cfRule>
    <cfRule type="expression" dxfId="4339" priority="6632">
      <formula>AND(AW98&gt;5,N98="NA")</formula>
    </cfRule>
    <cfRule type="expression" dxfId="4338" priority="6633">
      <formula>AND(AW98&lt;5,N98="NA")</formula>
    </cfRule>
    <cfRule type="expression" dxfId="4337" priority="6634">
      <formula>AND(N98&lt;&gt;"NA",N98&gt;$N$16)</formula>
    </cfRule>
  </conditionalFormatting>
  <conditionalFormatting sqref="O99">
    <cfRule type="expression" priority="6467" stopIfTrue="1">
      <formula>"ISBLANK($K$185)"</formula>
    </cfRule>
    <cfRule type="expression" dxfId="4336" priority="6534">
      <formula>AND(OR(AW99=0,ISBLANK(O99)),B99&lt;&gt;"")</formula>
    </cfRule>
    <cfRule type="expression" dxfId="4335" priority="6535">
      <formula>AND(O99="NA",NOT(ISTEXT(N99)))</formula>
    </cfRule>
    <cfRule type="expression" dxfId="4334" priority="6536">
      <formula>AND(AW99&gt;5,O99="NA")</formula>
    </cfRule>
    <cfRule type="expression" dxfId="4333" priority="6537">
      <formula>AND(AW99&lt;5,O99="NA")</formula>
    </cfRule>
    <cfRule type="expression" dxfId="4332" priority="6538">
      <formula>AND(O99&lt;&gt;"NA",O99&gt;$O$16)</formula>
    </cfRule>
  </conditionalFormatting>
  <conditionalFormatting sqref="P99">
    <cfRule type="expression" priority="6466" stopIfTrue="1">
      <formula>"ISBLANK($K$185)"</formula>
    </cfRule>
    <cfRule type="expression" dxfId="4331" priority="6529">
      <formula>AND(OR(AW99=0,ISBLANK(P99)),B99&lt;&gt;"")</formula>
    </cfRule>
    <cfRule type="expression" dxfId="4330" priority="6530">
      <formula>AND(P99="NA",NOT(ISTEXT(Q99)))</formula>
    </cfRule>
    <cfRule type="expression" dxfId="4329" priority="6531">
      <formula>AND(AW99&gt;5,P99="NA")</formula>
    </cfRule>
    <cfRule type="expression" dxfId="4328" priority="6532">
      <formula>AND(AW99&lt;5,P99="NA")</formula>
    </cfRule>
    <cfRule type="expression" dxfId="4327" priority="6533">
      <formula>AND(P99&lt;&gt;"NA",P99&gt;$P$16)</formula>
    </cfRule>
  </conditionalFormatting>
  <conditionalFormatting sqref="Q99">
    <cfRule type="expression" priority="6465" stopIfTrue="1">
      <formula>"ISBLANK($K$185)"</formula>
    </cfRule>
    <cfRule type="expression" dxfId="4326" priority="6524">
      <formula>AND(OR(AW99=0,ISBLANK(Q99)),B99&lt;&gt;"")</formula>
    </cfRule>
    <cfRule type="expression" dxfId="4325" priority="6525">
      <formula>AND(Q99="NA",NOT(ISTEXT(P99)))</formula>
    </cfRule>
    <cfRule type="expression" dxfId="4324" priority="6526">
      <formula>AND(AW99&gt;5,Q99="NA")</formula>
    </cfRule>
    <cfRule type="expression" dxfId="4323" priority="6527">
      <formula>AND(AW99&lt;5,Q99="NA")</formula>
    </cfRule>
    <cfRule type="expression" dxfId="4322" priority="6528">
      <formula>AND(Q99&lt;&gt;"NA",Q99&gt;$Q$16)</formula>
    </cfRule>
  </conditionalFormatting>
  <conditionalFormatting sqref="R99">
    <cfRule type="expression" priority="6464" stopIfTrue="1">
      <formula>"ISBLANK($K$185)"</formula>
    </cfRule>
    <cfRule type="expression" dxfId="4321" priority="6519">
      <formula>AND(OR(AW99=0,ISBLANK(R99)),B99&lt;&gt;"")</formula>
    </cfRule>
    <cfRule type="expression" dxfId="4320" priority="6520">
      <formula>AND(R99="NA",NOT(ISTEXT(S99)))</formula>
    </cfRule>
    <cfRule type="expression" dxfId="4319" priority="6521">
      <formula>AND(AW99&gt;5,R99="NA")</formula>
    </cfRule>
    <cfRule type="expression" dxfId="4318" priority="6522">
      <formula>AND(AW99&lt;5,R99="NA")</formula>
    </cfRule>
    <cfRule type="expression" dxfId="4317" priority="6523">
      <formula>AND(R99&lt;&gt;"NA",R99&gt;$R$16)</formula>
    </cfRule>
  </conditionalFormatting>
  <conditionalFormatting sqref="S99">
    <cfRule type="expression" priority="6463" stopIfTrue="1">
      <formula>"ISBLANK($K$185)"</formula>
    </cfRule>
    <cfRule type="expression" dxfId="4316" priority="6514">
      <formula>AND(OR(AW99=0,ISBLANK(S99)),B99&lt;&gt;"")</formula>
    </cfRule>
    <cfRule type="expression" dxfId="4315" priority="6515">
      <formula>AND(S99="NA",NOT(ISTEXT(R99)))</formula>
    </cfRule>
    <cfRule type="expression" dxfId="4314" priority="6516">
      <formula>AND(AW99&gt;5,S99="NA")</formula>
    </cfRule>
    <cfRule type="expression" dxfId="4313" priority="6517">
      <formula>AND(AW99&lt;5,S99="NA")</formula>
    </cfRule>
    <cfRule type="expression" dxfId="4312" priority="6518">
      <formula>AND(S99&lt;&gt;"NA",S99&gt;$S$16)</formula>
    </cfRule>
  </conditionalFormatting>
  <conditionalFormatting sqref="T99">
    <cfRule type="expression" priority="6462" stopIfTrue="1">
      <formula>"ISBLANK($K$185)"</formula>
    </cfRule>
    <cfRule type="expression" dxfId="4311" priority="6509">
      <formula>AND(OR(AW99=0,ISBLANK(T99)),B99&lt;&gt;"")</formula>
    </cfRule>
    <cfRule type="expression" dxfId="4310" priority="6510">
      <formula>AND(T99="NA",NOT(ISTEXT(U99)))</formula>
    </cfRule>
    <cfRule type="expression" dxfId="4309" priority="6511">
      <formula>AND(AW99&gt;5,T99="NA")</formula>
    </cfRule>
    <cfRule type="expression" dxfId="4308" priority="6512">
      <formula>AND(AW99&lt;5,T99="NA")</formula>
    </cfRule>
    <cfRule type="expression" dxfId="4307" priority="6513">
      <formula>AND(T99&lt;&gt;"NA",T99&gt;$T$16)</formula>
    </cfRule>
  </conditionalFormatting>
  <conditionalFormatting sqref="U99">
    <cfRule type="expression" priority="6461" stopIfTrue="1">
      <formula>"ISBLANK($K$185)"</formula>
    </cfRule>
    <cfRule type="expression" dxfId="4306" priority="6504">
      <formula>AND(OR(AW99=0,ISBLANK(U99)),B99&lt;&gt;"")</formula>
    </cfRule>
    <cfRule type="expression" dxfId="4305" priority="6505">
      <formula>AND(U99="NA",NOT(ISTEXT(T99)))</formula>
    </cfRule>
    <cfRule type="expression" dxfId="4304" priority="6506">
      <formula>AND(AW99&gt;5,U99="NA")</formula>
    </cfRule>
    <cfRule type="expression" dxfId="4303" priority="6507">
      <formula>AND(AW99&lt;5,U99="NA")</formula>
    </cfRule>
    <cfRule type="expression" dxfId="4302" priority="6508">
      <formula>AND(U99&lt;&gt;"NA",U99&gt;$U$16)</formula>
    </cfRule>
  </conditionalFormatting>
  <conditionalFormatting sqref="V99">
    <cfRule type="expression" priority="6460" stopIfTrue="1">
      <formula>"ISBLANK($K$185)"</formula>
    </cfRule>
    <cfRule type="expression" dxfId="4301" priority="6499">
      <formula>AND(OR(AW99=0,ISBLANK(V99)),B99&lt;&gt;"")</formula>
    </cfRule>
    <cfRule type="expression" dxfId="4300" priority="6500">
      <formula>AND(V99="NA",NOT(ISTEXT(W99)))</formula>
    </cfRule>
    <cfRule type="expression" dxfId="4299" priority="6501">
      <formula>AND(AW99&gt;5,V99="NA")</formula>
    </cfRule>
    <cfRule type="expression" dxfId="4298" priority="6502">
      <formula>AND(AW99&lt;5,V99="NA")</formula>
    </cfRule>
    <cfRule type="expression" dxfId="4297" priority="6503">
      <formula>AND(V99&lt;&gt;"NA",V99&gt;$V$16)</formula>
    </cfRule>
  </conditionalFormatting>
  <conditionalFormatting sqref="W99">
    <cfRule type="expression" priority="6459" stopIfTrue="1">
      <formula>"ISBLANK($K$185)"</formula>
    </cfRule>
    <cfRule type="expression" dxfId="4296" priority="6494">
      <formula>AND(OR(AW99=0,ISBLANK(W99)),B99&lt;&gt;"")</formula>
    </cfRule>
    <cfRule type="expression" dxfId="4295" priority="6495">
      <formula>AND(W99="NA",NOT(ISTEXT(V99)))</formula>
    </cfRule>
    <cfRule type="expression" dxfId="4294" priority="6496">
      <formula>AND(AW99&gt;5,W99="NA")</formula>
    </cfRule>
    <cfRule type="expression" dxfId="4293" priority="6497">
      <formula>AND(AW99&lt;5,W99="NA")</formula>
    </cfRule>
    <cfRule type="expression" dxfId="4292" priority="6498">
      <formula>AND(W99&lt;&gt;"NA",W99&gt;$W$16)</formula>
    </cfRule>
  </conditionalFormatting>
  <conditionalFormatting sqref="X99">
    <cfRule type="expression" priority="6458" stopIfTrue="1">
      <formula>"ISBLANK($K$185)"</formula>
    </cfRule>
    <cfRule type="expression" dxfId="4291" priority="6489">
      <formula>AND(OR(AW99=0,ISBLANK(X99)),B99&lt;&gt;"")</formula>
    </cfRule>
    <cfRule type="expression" dxfId="4290" priority="6490">
      <formula>AND(X99="NA",NOT(ISTEXT(Y99)))</formula>
    </cfRule>
    <cfRule type="expression" dxfId="4289" priority="6491">
      <formula>AND(AW99&gt;5,X99="NA")</formula>
    </cfRule>
    <cfRule type="expression" dxfId="4288" priority="6492">
      <formula>AND(AW99&lt;5,X99="NA")</formula>
    </cfRule>
    <cfRule type="expression" dxfId="4287" priority="6493">
      <formula>AND(X99&lt;&gt;"NA",X99&gt;$Y$16)</formula>
    </cfRule>
  </conditionalFormatting>
  <conditionalFormatting sqref="Y99">
    <cfRule type="expression" priority="6457" stopIfTrue="1">
      <formula>"ISBLANK($K$185)"</formula>
    </cfRule>
    <cfRule type="expression" dxfId="4286" priority="6484">
      <formula>AND(OR(AW99=0,ISBLANK(Y99)),B99&lt;&gt;"")</formula>
    </cfRule>
    <cfRule type="expression" dxfId="4285" priority="6485">
      <formula>AND(Y99="NA",NOT(ISTEXT(X99)))</formula>
    </cfRule>
    <cfRule type="expression" dxfId="4284" priority="6486">
      <formula>AND(AW99&gt;5,Y99="NA")</formula>
    </cfRule>
    <cfRule type="expression" dxfId="4283" priority="6487">
      <formula>AND(AW99&lt;5,Y99="NA")</formula>
    </cfRule>
    <cfRule type="expression" dxfId="4282" priority="6488">
      <formula>AND(Y99&lt;&gt;"NA",Y99&gt;$Y$16)</formula>
    </cfRule>
  </conditionalFormatting>
  <conditionalFormatting sqref="N99">
    <cfRule type="expression" priority="6468" stopIfTrue="1">
      <formula>"ISBLANK($K$185)"</formula>
    </cfRule>
    <cfRule type="expression" dxfId="4281" priority="6539">
      <formula>AND(OR(AW99=0,ISBLANK(N99)),B99&lt;&gt;"")</formula>
    </cfRule>
    <cfRule type="expression" dxfId="4280" priority="6540">
      <formula>AND(N99="NA",NOT(ISTEXT(O99)))</formula>
    </cfRule>
    <cfRule type="expression" dxfId="4279" priority="6541">
      <formula>AND(AW99&gt;5,N99="NA")</formula>
    </cfRule>
    <cfRule type="expression" dxfId="4278" priority="6542">
      <formula>AND(AW99&lt;5,N99="NA")</formula>
    </cfRule>
    <cfRule type="expression" dxfId="4277" priority="6543">
      <formula>AND(N99&lt;&gt;"NA",N99&gt;$N$16)</formula>
    </cfRule>
  </conditionalFormatting>
  <conditionalFormatting sqref="O100">
    <cfRule type="expression" priority="6376" stopIfTrue="1">
      <formula>"ISBLANK($K$185)"</formula>
    </cfRule>
    <cfRule type="expression" dxfId="4276" priority="6443">
      <formula>AND(OR(AW100=0,ISBLANK(O100)),B100&lt;&gt;"")</formula>
    </cfRule>
    <cfRule type="expression" dxfId="4275" priority="6444">
      <formula>AND(O100="NA",NOT(ISTEXT(N100)))</formula>
    </cfRule>
    <cfRule type="expression" dxfId="4274" priority="6445">
      <formula>AND(AW100&gt;5,O100="NA")</formula>
    </cfRule>
    <cfRule type="expression" dxfId="4273" priority="6446">
      <formula>AND(AW100&lt;5,O100="NA")</formula>
    </cfRule>
    <cfRule type="expression" dxfId="4272" priority="6447">
      <formula>AND(O100&lt;&gt;"NA",O100&gt;$O$16)</formula>
    </cfRule>
  </conditionalFormatting>
  <conditionalFormatting sqref="P100">
    <cfRule type="expression" priority="6375" stopIfTrue="1">
      <formula>"ISBLANK($K$185)"</formula>
    </cfRule>
    <cfRule type="expression" dxfId="4271" priority="6438">
      <formula>AND(OR(AW100=0,ISBLANK(P100)),B100&lt;&gt;"")</formula>
    </cfRule>
    <cfRule type="expression" dxfId="4270" priority="6439">
      <formula>AND(P100="NA",NOT(ISTEXT(Q100)))</formula>
    </cfRule>
    <cfRule type="expression" dxfId="4269" priority="6440">
      <formula>AND(AW100&gt;5,P100="NA")</formula>
    </cfRule>
    <cfRule type="expression" dxfId="4268" priority="6441">
      <formula>AND(AW100&lt;5,P100="NA")</formula>
    </cfRule>
    <cfRule type="expression" dxfId="4267" priority="6442">
      <formula>AND(P100&lt;&gt;"NA",P100&gt;$P$16)</formula>
    </cfRule>
  </conditionalFormatting>
  <conditionalFormatting sqref="Q100">
    <cfRule type="expression" priority="6374" stopIfTrue="1">
      <formula>"ISBLANK($K$185)"</formula>
    </cfRule>
    <cfRule type="expression" dxfId="4266" priority="6433">
      <formula>AND(OR(AW100=0,ISBLANK(Q100)),B100&lt;&gt;"")</formula>
    </cfRule>
    <cfRule type="expression" dxfId="4265" priority="6434">
      <formula>AND(Q100="NA",NOT(ISTEXT(P100)))</formula>
    </cfRule>
    <cfRule type="expression" dxfId="4264" priority="6435">
      <formula>AND(AW100&gt;5,Q100="NA")</formula>
    </cfRule>
    <cfRule type="expression" dxfId="4263" priority="6436">
      <formula>AND(AW100&lt;5,Q100="NA")</formula>
    </cfRule>
    <cfRule type="expression" dxfId="4262" priority="6437">
      <formula>AND(Q100&lt;&gt;"NA",Q100&gt;$Q$16)</formula>
    </cfRule>
  </conditionalFormatting>
  <conditionalFormatting sqref="R100">
    <cfRule type="expression" priority="6373" stopIfTrue="1">
      <formula>"ISBLANK($K$185)"</formula>
    </cfRule>
    <cfRule type="expression" dxfId="4261" priority="6428">
      <formula>AND(OR(AW100=0,ISBLANK(R100)),B100&lt;&gt;"")</formula>
    </cfRule>
    <cfRule type="expression" dxfId="4260" priority="6429">
      <formula>AND(R100="NA",NOT(ISTEXT(S100)))</formula>
    </cfRule>
    <cfRule type="expression" dxfId="4259" priority="6430">
      <formula>AND(AW100&gt;5,R100="NA")</formula>
    </cfRule>
    <cfRule type="expression" dxfId="4258" priority="6431">
      <formula>AND(AW100&lt;5,R100="NA")</formula>
    </cfRule>
    <cfRule type="expression" dxfId="4257" priority="6432">
      <formula>AND(R100&lt;&gt;"NA",R100&gt;$R$16)</formula>
    </cfRule>
  </conditionalFormatting>
  <conditionalFormatting sqref="S100">
    <cfRule type="expression" priority="6372" stopIfTrue="1">
      <formula>"ISBLANK($K$185)"</formula>
    </cfRule>
    <cfRule type="expression" dxfId="4256" priority="6423">
      <formula>AND(OR(AW100=0,ISBLANK(S100)),B100&lt;&gt;"")</formula>
    </cfRule>
    <cfRule type="expression" dxfId="4255" priority="6424">
      <formula>AND(S100="NA",NOT(ISTEXT(R100)))</formula>
    </cfRule>
    <cfRule type="expression" dxfId="4254" priority="6425">
      <formula>AND(AW100&gt;5,S100="NA")</formula>
    </cfRule>
    <cfRule type="expression" dxfId="4253" priority="6426">
      <formula>AND(AW100&lt;5,S100="NA")</formula>
    </cfRule>
    <cfRule type="expression" dxfId="4252" priority="6427">
      <formula>AND(S100&lt;&gt;"NA",S100&gt;$S$16)</formula>
    </cfRule>
  </conditionalFormatting>
  <conditionalFormatting sqref="T100">
    <cfRule type="expression" priority="6371" stopIfTrue="1">
      <formula>"ISBLANK($K$185)"</formula>
    </cfRule>
    <cfRule type="expression" dxfId="4251" priority="6418">
      <formula>AND(OR(AW100=0,ISBLANK(T100)),B100&lt;&gt;"")</formula>
    </cfRule>
    <cfRule type="expression" dxfId="4250" priority="6419">
      <formula>AND(T100="NA",NOT(ISTEXT(U100)))</formula>
    </cfRule>
    <cfRule type="expression" dxfId="4249" priority="6420">
      <formula>AND(AW100&gt;5,T100="NA")</formula>
    </cfRule>
    <cfRule type="expression" dxfId="4248" priority="6421">
      <formula>AND(AW100&lt;5,T100="NA")</formula>
    </cfRule>
    <cfRule type="expression" dxfId="4247" priority="6422">
      <formula>AND(T100&lt;&gt;"NA",T100&gt;$T$16)</formula>
    </cfRule>
  </conditionalFormatting>
  <conditionalFormatting sqref="U100">
    <cfRule type="expression" priority="6370" stopIfTrue="1">
      <formula>"ISBLANK($K$185)"</formula>
    </cfRule>
    <cfRule type="expression" dxfId="4246" priority="6413">
      <formula>AND(OR(AW100=0,ISBLANK(U100)),B100&lt;&gt;"")</formula>
    </cfRule>
    <cfRule type="expression" dxfId="4245" priority="6414">
      <formula>AND(U100="NA",NOT(ISTEXT(T100)))</formula>
    </cfRule>
    <cfRule type="expression" dxfId="4244" priority="6415">
      <formula>AND(AW100&gt;5,U100="NA")</formula>
    </cfRule>
    <cfRule type="expression" dxfId="4243" priority="6416">
      <formula>AND(AW100&lt;5,U100="NA")</formula>
    </cfRule>
    <cfRule type="expression" dxfId="4242" priority="6417">
      <formula>AND(U100&lt;&gt;"NA",U100&gt;$U$16)</formula>
    </cfRule>
  </conditionalFormatting>
  <conditionalFormatting sqref="V100">
    <cfRule type="expression" priority="6369" stopIfTrue="1">
      <formula>"ISBLANK($K$185)"</formula>
    </cfRule>
    <cfRule type="expression" dxfId="4241" priority="6408">
      <formula>AND(OR(AW100=0,ISBLANK(V100)),B100&lt;&gt;"")</formula>
    </cfRule>
    <cfRule type="expression" dxfId="4240" priority="6409">
      <formula>AND(V100="NA",NOT(ISTEXT(W100)))</formula>
    </cfRule>
    <cfRule type="expression" dxfId="4239" priority="6410">
      <formula>AND(AW100&gt;5,V100="NA")</formula>
    </cfRule>
    <cfRule type="expression" dxfId="4238" priority="6411">
      <formula>AND(AW100&lt;5,V100="NA")</formula>
    </cfRule>
    <cfRule type="expression" dxfId="4237" priority="6412">
      <formula>AND(V100&lt;&gt;"NA",V100&gt;$V$16)</formula>
    </cfRule>
  </conditionalFormatting>
  <conditionalFormatting sqref="W100">
    <cfRule type="expression" priority="6368" stopIfTrue="1">
      <formula>"ISBLANK($K$185)"</formula>
    </cfRule>
    <cfRule type="expression" dxfId="4236" priority="6403">
      <formula>AND(OR(AW100=0,ISBLANK(W100)),B100&lt;&gt;"")</formula>
    </cfRule>
    <cfRule type="expression" dxfId="4235" priority="6404">
      <formula>AND(W100="NA",NOT(ISTEXT(V100)))</formula>
    </cfRule>
    <cfRule type="expression" dxfId="4234" priority="6405">
      <formula>AND(AW100&gt;5,W100="NA")</formula>
    </cfRule>
    <cfRule type="expression" dxfId="4233" priority="6406">
      <formula>AND(AW100&lt;5,W100="NA")</formula>
    </cfRule>
    <cfRule type="expression" dxfId="4232" priority="6407">
      <formula>AND(W100&lt;&gt;"NA",W100&gt;$W$16)</formula>
    </cfRule>
  </conditionalFormatting>
  <conditionalFormatting sqref="X100">
    <cfRule type="expression" priority="6367" stopIfTrue="1">
      <formula>"ISBLANK($K$185)"</formula>
    </cfRule>
    <cfRule type="expression" dxfId="4231" priority="6398">
      <formula>AND(OR(AW100=0,ISBLANK(X100)),B100&lt;&gt;"")</formula>
    </cfRule>
    <cfRule type="expression" dxfId="4230" priority="6399">
      <formula>AND(X100="NA",NOT(ISTEXT(Y100)))</formula>
    </cfRule>
    <cfRule type="expression" dxfId="4229" priority="6400">
      <formula>AND(AW100&gt;5,X100="NA")</formula>
    </cfRule>
    <cfRule type="expression" dxfId="4228" priority="6401">
      <formula>AND(AW100&lt;5,X100="NA")</formula>
    </cfRule>
    <cfRule type="expression" dxfId="4227" priority="6402">
      <formula>AND(X100&lt;&gt;"NA",X100&gt;$Y$16)</formula>
    </cfRule>
  </conditionalFormatting>
  <conditionalFormatting sqref="Y100">
    <cfRule type="expression" priority="6366" stopIfTrue="1">
      <formula>"ISBLANK($K$185)"</formula>
    </cfRule>
    <cfRule type="expression" dxfId="4226" priority="6393">
      <formula>AND(OR(AW100=0,ISBLANK(Y100)),B100&lt;&gt;"")</formula>
    </cfRule>
    <cfRule type="expression" dxfId="4225" priority="6394">
      <formula>AND(Y100="NA",NOT(ISTEXT(X100)))</formula>
    </cfRule>
    <cfRule type="expression" dxfId="4224" priority="6395">
      <formula>AND(AW100&gt;5,Y100="NA")</formula>
    </cfRule>
    <cfRule type="expression" dxfId="4223" priority="6396">
      <formula>AND(AW100&lt;5,Y100="NA")</formula>
    </cfRule>
    <cfRule type="expression" dxfId="4222" priority="6397">
      <formula>AND(Y100&lt;&gt;"NA",Y100&gt;$Y$16)</formula>
    </cfRule>
  </conditionalFormatting>
  <conditionalFormatting sqref="N100">
    <cfRule type="expression" priority="6377" stopIfTrue="1">
      <formula>"ISBLANK($K$185)"</formula>
    </cfRule>
    <cfRule type="expression" dxfId="4221" priority="6448">
      <formula>AND(OR(AW100=0,ISBLANK(N100)),B100&lt;&gt;"")</formula>
    </cfRule>
    <cfRule type="expression" dxfId="4220" priority="6449">
      <formula>AND(N100="NA",NOT(ISTEXT(O100)))</formula>
    </cfRule>
    <cfRule type="expression" dxfId="4219" priority="6450">
      <formula>AND(AW100&gt;5,N100="NA")</formula>
    </cfRule>
    <cfRule type="expression" dxfId="4218" priority="6451">
      <formula>AND(AW100&lt;5,N100="NA")</formula>
    </cfRule>
    <cfRule type="expression" dxfId="4217" priority="6452">
      <formula>AND(N100&lt;&gt;"NA",N100&gt;$N$16)</formula>
    </cfRule>
  </conditionalFormatting>
  <conditionalFormatting sqref="O101">
    <cfRule type="expression" priority="6285" stopIfTrue="1">
      <formula>"ISBLANK($K$185)"</formula>
    </cfRule>
    <cfRule type="expression" dxfId="4216" priority="6352">
      <formula>AND(OR(AW101=0,ISBLANK(O101)),B101&lt;&gt;"")</formula>
    </cfRule>
    <cfRule type="expression" dxfId="4215" priority="6353">
      <formula>AND(O101="NA",NOT(ISTEXT(N101)))</formula>
    </cfRule>
    <cfRule type="expression" dxfId="4214" priority="6354">
      <formula>AND(AW101&gt;5,O101="NA")</formula>
    </cfRule>
    <cfRule type="expression" dxfId="4213" priority="6355">
      <formula>AND(AW101&lt;5,O101="NA")</formula>
    </cfRule>
    <cfRule type="expression" dxfId="4212" priority="6356">
      <formula>AND(O101&lt;&gt;"NA",O101&gt;$O$16)</formula>
    </cfRule>
  </conditionalFormatting>
  <conditionalFormatting sqref="P101">
    <cfRule type="expression" priority="6284" stopIfTrue="1">
      <formula>"ISBLANK($K$185)"</formula>
    </cfRule>
    <cfRule type="expression" dxfId="4211" priority="6347">
      <formula>AND(OR(AW101=0,ISBLANK(P101)),B101&lt;&gt;"")</formula>
    </cfRule>
    <cfRule type="expression" dxfId="4210" priority="6348">
      <formula>AND(P101="NA",NOT(ISTEXT(Q101)))</formula>
    </cfRule>
    <cfRule type="expression" dxfId="4209" priority="6349">
      <formula>AND(AW101&gt;5,P101="NA")</formula>
    </cfRule>
    <cfRule type="expression" dxfId="4208" priority="6350">
      <formula>AND(AW101&lt;5,P101="NA")</formula>
    </cfRule>
    <cfRule type="expression" dxfId="4207" priority="6351">
      <formula>AND(P101&lt;&gt;"NA",P101&gt;$P$16)</formula>
    </cfRule>
  </conditionalFormatting>
  <conditionalFormatting sqref="Q101">
    <cfRule type="expression" priority="6283" stopIfTrue="1">
      <formula>"ISBLANK($K$185)"</formula>
    </cfRule>
    <cfRule type="expression" dxfId="4206" priority="6342">
      <formula>AND(OR(AW101=0,ISBLANK(Q101)),B101&lt;&gt;"")</formula>
    </cfRule>
    <cfRule type="expression" dxfId="4205" priority="6343">
      <formula>AND(Q101="NA",NOT(ISTEXT(P101)))</formula>
    </cfRule>
    <cfRule type="expression" dxfId="4204" priority="6344">
      <formula>AND(AW101&gt;5,Q101="NA")</formula>
    </cfRule>
    <cfRule type="expression" dxfId="4203" priority="6345">
      <formula>AND(AW101&lt;5,Q101="NA")</formula>
    </cfRule>
    <cfRule type="expression" dxfId="4202" priority="6346">
      <formula>AND(Q101&lt;&gt;"NA",Q101&gt;$Q$16)</formula>
    </cfRule>
  </conditionalFormatting>
  <conditionalFormatting sqref="R101">
    <cfRule type="expression" priority="6282" stopIfTrue="1">
      <formula>"ISBLANK($K$185)"</formula>
    </cfRule>
    <cfRule type="expression" dxfId="4201" priority="6337">
      <formula>AND(OR(AW101=0,ISBLANK(R101)),B101&lt;&gt;"")</formula>
    </cfRule>
    <cfRule type="expression" dxfId="4200" priority="6338">
      <formula>AND(R101="NA",NOT(ISTEXT(S101)))</formula>
    </cfRule>
    <cfRule type="expression" dxfId="4199" priority="6339">
      <formula>AND(AW101&gt;5,R101="NA")</formula>
    </cfRule>
    <cfRule type="expression" dxfId="4198" priority="6340">
      <formula>AND(AW101&lt;5,R101="NA")</formula>
    </cfRule>
    <cfRule type="expression" dxfId="4197" priority="6341">
      <formula>AND(R101&lt;&gt;"NA",R101&gt;$R$16)</formula>
    </cfRule>
  </conditionalFormatting>
  <conditionalFormatting sqref="S101">
    <cfRule type="expression" priority="6281" stopIfTrue="1">
      <formula>"ISBLANK($K$185)"</formula>
    </cfRule>
    <cfRule type="expression" dxfId="4196" priority="6332">
      <formula>AND(OR(AW101=0,ISBLANK(S101)),B101&lt;&gt;"")</formula>
    </cfRule>
    <cfRule type="expression" dxfId="4195" priority="6333">
      <formula>AND(S101="NA",NOT(ISTEXT(R101)))</formula>
    </cfRule>
    <cfRule type="expression" dxfId="4194" priority="6334">
      <formula>AND(AW101&gt;5,S101="NA")</formula>
    </cfRule>
    <cfRule type="expression" dxfId="4193" priority="6335">
      <formula>AND(AW101&lt;5,S101="NA")</formula>
    </cfRule>
    <cfRule type="expression" dxfId="4192" priority="6336">
      <formula>AND(S101&lt;&gt;"NA",S101&gt;$S$16)</formula>
    </cfRule>
  </conditionalFormatting>
  <conditionalFormatting sqref="T101">
    <cfRule type="expression" priority="6280" stopIfTrue="1">
      <formula>"ISBLANK($K$185)"</formula>
    </cfRule>
    <cfRule type="expression" dxfId="4191" priority="6327">
      <formula>AND(OR(AW101=0,ISBLANK(T101)),B101&lt;&gt;"")</formula>
    </cfRule>
    <cfRule type="expression" dxfId="4190" priority="6328">
      <formula>AND(T101="NA",NOT(ISTEXT(U101)))</formula>
    </cfRule>
    <cfRule type="expression" dxfId="4189" priority="6329">
      <formula>AND(AW101&gt;5,T101="NA")</formula>
    </cfRule>
    <cfRule type="expression" dxfId="4188" priority="6330">
      <formula>AND(AW101&lt;5,T101="NA")</formula>
    </cfRule>
    <cfRule type="expression" dxfId="4187" priority="6331">
      <formula>AND(T101&lt;&gt;"NA",T101&gt;$T$16)</formula>
    </cfRule>
  </conditionalFormatting>
  <conditionalFormatting sqref="U101">
    <cfRule type="expression" priority="6279" stopIfTrue="1">
      <formula>"ISBLANK($K$185)"</formula>
    </cfRule>
    <cfRule type="expression" dxfId="4186" priority="6322">
      <formula>AND(OR(AW101=0,ISBLANK(U101)),B101&lt;&gt;"")</formula>
    </cfRule>
    <cfRule type="expression" dxfId="4185" priority="6323">
      <formula>AND(U101="NA",NOT(ISTEXT(T101)))</formula>
    </cfRule>
    <cfRule type="expression" dxfId="4184" priority="6324">
      <formula>AND(AW101&gt;5,U101="NA")</formula>
    </cfRule>
    <cfRule type="expression" dxfId="4183" priority="6325">
      <formula>AND(AW101&lt;5,U101="NA")</formula>
    </cfRule>
    <cfRule type="expression" dxfId="4182" priority="6326">
      <formula>AND(U101&lt;&gt;"NA",U101&gt;$U$16)</formula>
    </cfRule>
  </conditionalFormatting>
  <conditionalFormatting sqref="V101">
    <cfRule type="expression" priority="6278" stopIfTrue="1">
      <formula>"ISBLANK($K$185)"</formula>
    </cfRule>
    <cfRule type="expression" dxfId="4181" priority="6317">
      <formula>AND(OR(AW101=0,ISBLANK(V101)),B101&lt;&gt;"")</formula>
    </cfRule>
    <cfRule type="expression" dxfId="4180" priority="6318">
      <formula>AND(V101="NA",NOT(ISTEXT(W101)))</formula>
    </cfRule>
    <cfRule type="expression" dxfId="4179" priority="6319">
      <formula>AND(AW101&gt;5,V101="NA")</formula>
    </cfRule>
    <cfRule type="expression" dxfId="4178" priority="6320">
      <formula>AND(AW101&lt;5,V101="NA")</formula>
    </cfRule>
    <cfRule type="expression" dxfId="4177" priority="6321">
      <formula>AND(V101&lt;&gt;"NA",V101&gt;$V$16)</formula>
    </cfRule>
  </conditionalFormatting>
  <conditionalFormatting sqref="W101">
    <cfRule type="expression" priority="6277" stopIfTrue="1">
      <formula>"ISBLANK($K$185)"</formula>
    </cfRule>
    <cfRule type="expression" dxfId="4176" priority="6312">
      <formula>AND(OR(AW101=0,ISBLANK(W101)),B101&lt;&gt;"")</formula>
    </cfRule>
    <cfRule type="expression" dxfId="4175" priority="6313">
      <formula>AND(W101="NA",NOT(ISTEXT(V101)))</formula>
    </cfRule>
    <cfRule type="expression" dxfId="4174" priority="6314">
      <formula>AND(AW101&gt;5,W101="NA")</formula>
    </cfRule>
    <cfRule type="expression" dxfId="4173" priority="6315">
      <formula>AND(AW101&lt;5,W101="NA")</formula>
    </cfRule>
    <cfRule type="expression" dxfId="4172" priority="6316">
      <formula>AND(W101&lt;&gt;"NA",W101&gt;$W$16)</formula>
    </cfRule>
  </conditionalFormatting>
  <conditionalFormatting sqref="X101">
    <cfRule type="expression" priority="6276" stopIfTrue="1">
      <formula>"ISBLANK($K$185)"</formula>
    </cfRule>
    <cfRule type="expression" dxfId="4171" priority="6307">
      <formula>AND(OR(AW101=0,ISBLANK(X101)),B101&lt;&gt;"")</formula>
    </cfRule>
    <cfRule type="expression" dxfId="4170" priority="6308">
      <formula>AND(X101="NA",NOT(ISTEXT(Y101)))</formula>
    </cfRule>
    <cfRule type="expression" dxfId="4169" priority="6309">
      <formula>AND(AW101&gt;5,X101="NA")</formula>
    </cfRule>
    <cfRule type="expression" dxfId="4168" priority="6310">
      <formula>AND(AW101&lt;5,X101="NA")</formula>
    </cfRule>
    <cfRule type="expression" dxfId="4167" priority="6311">
      <formula>AND(X101&lt;&gt;"NA",X101&gt;$Y$16)</formula>
    </cfRule>
  </conditionalFormatting>
  <conditionalFormatting sqref="Y101">
    <cfRule type="expression" priority="6275" stopIfTrue="1">
      <formula>"ISBLANK($K$185)"</formula>
    </cfRule>
    <cfRule type="expression" dxfId="4166" priority="6302">
      <formula>AND(OR(AW101=0,ISBLANK(Y101)),B101&lt;&gt;"")</formula>
    </cfRule>
    <cfRule type="expression" dxfId="4165" priority="6303">
      <formula>AND(Y101="NA",NOT(ISTEXT(X101)))</formula>
    </cfRule>
    <cfRule type="expression" dxfId="4164" priority="6304">
      <formula>AND(AW101&gt;5,Y101="NA")</formula>
    </cfRule>
    <cfRule type="expression" dxfId="4163" priority="6305">
      <formula>AND(AW101&lt;5,Y101="NA")</formula>
    </cfRule>
    <cfRule type="expression" dxfId="4162" priority="6306">
      <formula>AND(Y101&lt;&gt;"NA",Y101&gt;$Y$16)</formula>
    </cfRule>
  </conditionalFormatting>
  <conditionalFormatting sqref="N101">
    <cfRule type="expression" priority="6286" stopIfTrue="1">
      <formula>"ISBLANK($K$185)"</formula>
    </cfRule>
    <cfRule type="expression" dxfId="4161" priority="6357">
      <formula>AND(OR(AW101=0,ISBLANK(N101)),B101&lt;&gt;"")</formula>
    </cfRule>
    <cfRule type="expression" dxfId="4160" priority="6358">
      <formula>AND(N101="NA",NOT(ISTEXT(O101)))</formula>
    </cfRule>
    <cfRule type="expression" dxfId="4159" priority="6359">
      <formula>AND(AW101&gt;5,N101="NA")</formula>
    </cfRule>
    <cfRule type="expression" dxfId="4158" priority="6360">
      <formula>AND(AW101&lt;5,N101="NA")</formula>
    </cfRule>
    <cfRule type="expression" dxfId="4157" priority="6361">
      <formula>AND(N101&lt;&gt;"NA",N101&gt;$N$16)</formula>
    </cfRule>
  </conditionalFormatting>
  <conditionalFormatting sqref="O102">
    <cfRule type="expression" priority="6194" stopIfTrue="1">
      <formula>"ISBLANK($K$185)"</formula>
    </cfRule>
    <cfRule type="expression" dxfId="4156" priority="6261">
      <formula>AND(OR(AW102=0,ISBLANK(O102)),B102&lt;&gt;"")</formula>
    </cfRule>
    <cfRule type="expression" dxfId="4155" priority="6262">
      <formula>AND(O102="NA",NOT(ISTEXT(N102)))</formula>
    </cfRule>
    <cfRule type="expression" dxfId="4154" priority="6263">
      <formula>AND(AW102&gt;5,O102="NA")</formula>
    </cfRule>
    <cfRule type="expression" dxfId="4153" priority="6264">
      <formula>AND(AW102&lt;5,O102="NA")</formula>
    </cfRule>
    <cfRule type="expression" dxfId="4152" priority="6265">
      <formula>AND(O102&lt;&gt;"NA",O102&gt;$O$16)</formula>
    </cfRule>
  </conditionalFormatting>
  <conditionalFormatting sqref="P102">
    <cfRule type="expression" priority="6193" stopIfTrue="1">
      <formula>"ISBLANK($K$185)"</formula>
    </cfRule>
    <cfRule type="expression" dxfId="4151" priority="6256">
      <formula>AND(OR(AW102=0,ISBLANK(P102)),B102&lt;&gt;"")</formula>
    </cfRule>
    <cfRule type="expression" dxfId="4150" priority="6257">
      <formula>AND(P102="NA",NOT(ISTEXT(Q102)))</formula>
    </cfRule>
    <cfRule type="expression" dxfId="4149" priority="6258">
      <formula>AND(AW102&gt;5,P102="NA")</formula>
    </cfRule>
    <cfRule type="expression" dxfId="4148" priority="6259">
      <formula>AND(AW102&lt;5,P102="NA")</formula>
    </cfRule>
    <cfRule type="expression" dxfId="4147" priority="6260">
      <formula>AND(P102&lt;&gt;"NA",P102&gt;$P$16)</formula>
    </cfRule>
  </conditionalFormatting>
  <conditionalFormatting sqref="Q102">
    <cfRule type="expression" priority="6192" stopIfTrue="1">
      <formula>"ISBLANK($K$185)"</formula>
    </cfRule>
    <cfRule type="expression" dxfId="4146" priority="6251">
      <formula>AND(OR(AW102=0,ISBLANK(Q102)),B102&lt;&gt;"")</formula>
    </cfRule>
    <cfRule type="expression" dxfId="4145" priority="6252">
      <formula>AND(Q102="NA",NOT(ISTEXT(P102)))</formula>
    </cfRule>
    <cfRule type="expression" dxfId="4144" priority="6253">
      <formula>AND(AW102&gt;5,Q102="NA")</formula>
    </cfRule>
    <cfRule type="expression" dxfId="4143" priority="6254">
      <formula>AND(AW102&lt;5,Q102="NA")</formula>
    </cfRule>
    <cfRule type="expression" dxfId="4142" priority="6255">
      <formula>AND(Q102&lt;&gt;"NA",Q102&gt;$Q$16)</formula>
    </cfRule>
  </conditionalFormatting>
  <conditionalFormatting sqref="R102">
    <cfRule type="expression" priority="6191" stopIfTrue="1">
      <formula>"ISBLANK($K$185)"</formula>
    </cfRule>
    <cfRule type="expression" dxfId="4141" priority="6246">
      <formula>AND(OR(AW102=0,ISBLANK(R102)),B102&lt;&gt;"")</formula>
    </cfRule>
    <cfRule type="expression" dxfId="4140" priority="6247">
      <formula>AND(R102="NA",NOT(ISTEXT(S102)))</formula>
    </cfRule>
    <cfRule type="expression" dxfId="4139" priority="6248">
      <formula>AND(AW102&gt;5,R102="NA")</formula>
    </cfRule>
    <cfRule type="expression" dxfId="4138" priority="6249">
      <formula>AND(AW102&lt;5,R102="NA")</formula>
    </cfRule>
    <cfRule type="expression" dxfId="4137" priority="6250">
      <formula>AND(R102&lt;&gt;"NA",R102&gt;$R$16)</formula>
    </cfRule>
  </conditionalFormatting>
  <conditionalFormatting sqref="S102">
    <cfRule type="expression" priority="6190" stopIfTrue="1">
      <formula>"ISBLANK($K$185)"</formula>
    </cfRule>
    <cfRule type="expression" dxfId="4136" priority="6241">
      <formula>AND(OR(AW102=0,ISBLANK(S102)),B102&lt;&gt;"")</formula>
    </cfRule>
    <cfRule type="expression" dxfId="4135" priority="6242">
      <formula>AND(S102="NA",NOT(ISTEXT(R102)))</formula>
    </cfRule>
    <cfRule type="expression" dxfId="4134" priority="6243">
      <formula>AND(AW102&gt;5,S102="NA")</formula>
    </cfRule>
    <cfRule type="expression" dxfId="4133" priority="6244">
      <formula>AND(AW102&lt;5,S102="NA")</formula>
    </cfRule>
    <cfRule type="expression" dxfId="4132" priority="6245">
      <formula>AND(S102&lt;&gt;"NA",S102&gt;$S$16)</formula>
    </cfRule>
  </conditionalFormatting>
  <conditionalFormatting sqref="T102">
    <cfRule type="expression" priority="6189" stopIfTrue="1">
      <formula>"ISBLANK($K$185)"</formula>
    </cfRule>
    <cfRule type="expression" dxfId="4131" priority="6236">
      <formula>AND(OR(AW102=0,ISBLANK(T102)),B102&lt;&gt;"")</formula>
    </cfRule>
    <cfRule type="expression" dxfId="4130" priority="6237">
      <formula>AND(T102="NA",NOT(ISTEXT(U102)))</formula>
    </cfRule>
    <cfRule type="expression" dxfId="4129" priority="6238">
      <formula>AND(AW102&gt;5,T102="NA")</formula>
    </cfRule>
    <cfRule type="expression" dxfId="4128" priority="6239">
      <formula>AND(AW102&lt;5,T102="NA")</formula>
    </cfRule>
    <cfRule type="expression" dxfId="4127" priority="6240">
      <formula>AND(T102&lt;&gt;"NA",T102&gt;$T$16)</formula>
    </cfRule>
  </conditionalFormatting>
  <conditionalFormatting sqref="U102">
    <cfRule type="expression" priority="6188" stopIfTrue="1">
      <formula>"ISBLANK($K$185)"</formula>
    </cfRule>
    <cfRule type="expression" dxfId="4126" priority="6231">
      <formula>AND(OR(AW102=0,ISBLANK(U102)),B102&lt;&gt;"")</formula>
    </cfRule>
    <cfRule type="expression" dxfId="4125" priority="6232">
      <formula>AND(U102="NA",NOT(ISTEXT(T102)))</formula>
    </cfRule>
    <cfRule type="expression" dxfId="4124" priority="6233">
      <formula>AND(AW102&gt;5,U102="NA")</formula>
    </cfRule>
    <cfRule type="expression" dxfId="4123" priority="6234">
      <formula>AND(AW102&lt;5,U102="NA")</formula>
    </cfRule>
    <cfRule type="expression" dxfId="4122" priority="6235">
      <formula>AND(U102&lt;&gt;"NA",U102&gt;$U$16)</formula>
    </cfRule>
  </conditionalFormatting>
  <conditionalFormatting sqref="V102">
    <cfRule type="expression" priority="6187" stopIfTrue="1">
      <formula>"ISBLANK($K$185)"</formula>
    </cfRule>
    <cfRule type="expression" dxfId="4121" priority="6226">
      <formula>AND(OR(AW102=0,ISBLANK(V102)),B102&lt;&gt;"")</formula>
    </cfRule>
    <cfRule type="expression" dxfId="4120" priority="6227">
      <formula>AND(V102="NA",NOT(ISTEXT(W102)))</formula>
    </cfRule>
    <cfRule type="expression" dxfId="4119" priority="6228">
      <formula>AND(AW102&gt;5,V102="NA")</formula>
    </cfRule>
    <cfRule type="expression" dxfId="4118" priority="6229">
      <formula>AND(AW102&lt;5,V102="NA")</formula>
    </cfRule>
    <cfRule type="expression" dxfId="4117" priority="6230">
      <formula>AND(V102&lt;&gt;"NA",V102&gt;$V$16)</formula>
    </cfRule>
  </conditionalFormatting>
  <conditionalFormatting sqref="W102">
    <cfRule type="expression" priority="6186" stopIfTrue="1">
      <formula>"ISBLANK($K$185)"</formula>
    </cfRule>
    <cfRule type="expression" dxfId="4116" priority="6221">
      <formula>AND(OR(AW102=0,ISBLANK(W102)),B102&lt;&gt;"")</formula>
    </cfRule>
    <cfRule type="expression" dxfId="4115" priority="6222">
      <formula>AND(W102="NA",NOT(ISTEXT(V102)))</formula>
    </cfRule>
    <cfRule type="expression" dxfId="4114" priority="6223">
      <formula>AND(AW102&gt;5,W102="NA")</formula>
    </cfRule>
    <cfRule type="expression" dxfId="4113" priority="6224">
      <formula>AND(AW102&lt;5,W102="NA")</formula>
    </cfRule>
    <cfRule type="expression" dxfId="4112" priority="6225">
      <formula>AND(W102&lt;&gt;"NA",W102&gt;$W$16)</formula>
    </cfRule>
  </conditionalFormatting>
  <conditionalFormatting sqref="X102">
    <cfRule type="expression" priority="6185" stopIfTrue="1">
      <formula>"ISBLANK($K$185)"</formula>
    </cfRule>
    <cfRule type="expression" dxfId="4111" priority="6216">
      <formula>AND(OR(AW102=0,ISBLANK(X102)),B102&lt;&gt;"")</formula>
    </cfRule>
    <cfRule type="expression" dxfId="4110" priority="6217">
      <formula>AND(X102="NA",NOT(ISTEXT(Y102)))</formula>
    </cfRule>
    <cfRule type="expression" dxfId="4109" priority="6218">
      <formula>AND(AW102&gt;5,X102="NA")</formula>
    </cfRule>
    <cfRule type="expression" dxfId="4108" priority="6219">
      <formula>AND(AW102&lt;5,X102="NA")</formula>
    </cfRule>
    <cfRule type="expression" dxfId="4107" priority="6220">
      <formula>AND(X102&lt;&gt;"NA",X102&gt;$Y$16)</formula>
    </cfRule>
  </conditionalFormatting>
  <conditionalFormatting sqref="Y102">
    <cfRule type="expression" priority="6184" stopIfTrue="1">
      <formula>"ISBLANK($K$185)"</formula>
    </cfRule>
    <cfRule type="expression" dxfId="4106" priority="6211">
      <formula>AND(OR(AW102=0,ISBLANK(Y102)),B102&lt;&gt;"")</formula>
    </cfRule>
    <cfRule type="expression" dxfId="4105" priority="6212">
      <formula>AND(Y102="NA",NOT(ISTEXT(X102)))</formula>
    </cfRule>
    <cfRule type="expression" dxfId="4104" priority="6213">
      <formula>AND(AW102&gt;5,Y102="NA")</formula>
    </cfRule>
    <cfRule type="expression" dxfId="4103" priority="6214">
      <formula>AND(AW102&lt;5,Y102="NA")</formula>
    </cfRule>
    <cfRule type="expression" dxfId="4102" priority="6215">
      <formula>AND(Y102&lt;&gt;"NA",Y102&gt;$Y$16)</formula>
    </cfRule>
  </conditionalFormatting>
  <conditionalFormatting sqref="N102">
    <cfRule type="expression" priority="6195" stopIfTrue="1">
      <formula>"ISBLANK($K$185)"</formula>
    </cfRule>
    <cfRule type="expression" dxfId="4101" priority="6266">
      <formula>AND(OR(AW102=0,ISBLANK(N102)),B102&lt;&gt;"")</formula>
    </cfRule>
    <cfRule type="expression" dxfId="4100" priority="6267">
      <formula>AND(N102="NA",NOT(ISTEXT(O102)))</formula>
    </cfRule>
    <cfRule type="expression" dxfId="4099" priority="6268">
      <formula>AND(AW102&gt;5,N102="NA")</formula>
    </cfRule>
    <cfRule type="expression" dxfId="4098" priority="6269">
      <formula>AND(AW102&lt;5,N102="NA")</formula>
    </cfRule>
    <cfRule type="expression" dxfId="4097" priority="6270">
      <formula>AND(N102&lt;&gt;"NA",N102&gt;$N$16)</formula>
    </cfRule>
  </conditionalFormatting>
  <conditionalFormatting sqref="O103">
    <cfRule type="expression" priority="6103" stopIfTrue="1">
      <formula>"ISBLANK($K$185)"</formula>
    </cfRule>
    <cfRule type="expression" dxfId="4096" priority="6170">
      <formula>AND(OR(AW103=0,ISBLANK(O103)),B103&lt;&gt;"")</formula>
    </cfRule>
    <cfRule type="expression" dxfId="4095" priority="6171">
      <formula>AND(O103="NA",NOT(ISTEXT(N103)))</formula>
    </cfRule>
    <cfRule type="expression" dxfId="4094" priority="6172">
      <formula>AND(AW103&gt;5,O103="NA")</formula>
    </cfRule>
    <cfRule type="expression" dxfId="4093" priority="6173">
      <formula>AND(AW103&lt;5,O103="NA")</formula>
    </cfRule>
    <cfRule type="expression" dxfId="4092" priority="6174">
      <formula>AND(O103&lt;&gt;"NA",O103&gt;$O$16)</formula>
    </cfRule>
  </conditionalFormatting>
  <conditionalFormatting sqref="P103">
    <cfRule type="expression" priority="6102" stopIfTrue="1">
      <formula>"ISBLANK($K$185)"</formula>
    </cfRule>
    <cfRule type="expression" dxfId="4091" priority="6165">
      <formula>AND(OR(AW103=0,ISBLANK(P103)),B103&lt;&gt;"")</formula>
    </cfRule>
    <cfRule type="expression" dxfId="4090" priority="6166">
      <formula>AND(P103="NA",NOT(ISTEXT(Q103)))</formula>
    </cfRule>
    <cfRule type="expression" dxfId="4089" priority="6167">
      <formula>AND(AW103&gt;5,P103="NA")</formula>
    </cfRule>
    <cfRule type="expression" dxfId="4088" priority="6168">
      <formula>AND(AW103&lt;5,P103="NA")</formula>
    </cfRule>
    <cfRule type="expression" dxfId="4087" priority="6169">
      <formula>AND(P103&lt;&gt;"NA",P103&gt;$P$16)</formula>
    </cfRule>
  </conditionalFormatting>
  <conditionalFormatting sqref="Q103">
    <cfRule type="expression" priority="6101" stopIfTrue="1">
      <formula>"ISBLANK($K$185)"</formula>
    </cfRule>
    <cfRule type="expression" dxfId="4086" priority="6160">
      <formula>AND(OR(AW103=0,ISBLANK(Q103)),B103&lt;&gt;"")</formula>
    </cfRule>
    <cfRule type="expression" dxfId="4085" priority="6161">
      <formula>AND(Q103="NA",NOT(ISTEXT(P103)))</formula>
    </cfRule>
    <cfRule type="expression" dxfId="4084" priority="6162">
      <formula>AND(AW103&gt;5,Q103="NA")</formula>
    </cfRule>
    <cfRule type="expression" dxfId="4083" priority="6163">
      <formula>AND(AW103&lt;5,Q103="NA")</formula>
    </cfRule>
    <cfRule type="expression" dxfId="4082" priority="6164">
      <formula>AND(Q103&lt;&gt;"NA",Q103&gt;$Q$16)</formula>
    </cfRule>
  </conditionalFormatting>
  <conditionalFormatting sqref="R103">
    <cfRule type="expression" priority="6100" stopIfTrue="1">
      <formula>"ISBLANK($K$185)"</formula>
    </cfRule>
    <cfRule type="expression" dxfId="4081" priority="6155">
      <formula>AND(OR(AW103=0,ISBLANK(R103)),B103&lt;&gt;"")</formula>
    </cfRule>
    <cfRule type="expression" dxfId="4080" priority="6156">
      <formula>AND(R103="NA",NOT(ISTEXT(S103)))</formula>
    </cfRule>
    <cfRule type="expression" dxfId="4079" priority="6157">
      <formula>AND(AW103&gt;5,R103="NA")</formula>
    </cfRule>
    <cfRule type="expression" dxfId="4078" priority="6158">
      <formula>AND(AW103&lt;5,R103="NA")</formula>
    </cfRule>
    <cfRule type="expression" dxfId="4077" priority="6159">
      <formula>AND(R103&lt;&gt;"NA",R103&gt;$R$16)</formula>
    </cfRule>
  </conditionalFormatting>
  <conditionalFormatting sqref="S103">
    <cfRule type="expression" priority="6099" stopIfTrue="1">
      <formula>"ISBLANK($K$185)"</formula>
    </cfRule>
    <cfRule type="expression" dxfId="4076" priority="6150">
      <formula>AND(OR(AW103=0,ISBLANK(S103)),B103&lt;&gt;"")</formula>
    </cfRule>
    <cfRule type="expression" dxfId="4075" priority="6151">
      <formula>AND(S103="NA",NOT(ISTEXT(R103)))</formula>
    </cfRule>
    <cfRule type="expression" dxfId="4074" priority="6152">
      <formula>AND(AW103&gt;5,S103="NA")</formula>
    </cfRule>
    <cfRule type="expression" dxfId="4073" priority="6153">
      <formula>AND(AW103&lt;5,S103="NA")</formula>
    </cfRule>
    <cfRule type="expression" dxfId="4072" priority="6154">
      <formula>AND(S103&lt;&gt;"NA",S103&gt;$S$16)</formula>
    </cfRule>
  </conditionalFormatting>
  <conditionalFormatting sqref="T103">
    <cfRule type="expression" priority="6098" stopIfTrue="1">
      <formula>"ISBLANK($K$185)"</formula>
    </cfRule>
    <cfRule type="expression" dxfId="4071" priority="6145">
      <formula>AND(OR(AW103=0,ISBLANK(T103)),B103&lt;&gt;"")</formula>
    </cfRule>
    <cfRule type="expression" dxfId="4070" priority="6146">
      <formula>AND(T103="NA",NOT(ISTEXT(U103)))</formula>
    </cfRule>
    <cfRule type="expression" dxfId="4069" priority="6147">
      <formula>AND(AW103&gt;5,T103="NA")</formula>
    </cfRule>
    <cfRule type="expression" dxfId="4068" priority="6148">
      <formula>AND(AW103&lt;5,T103="NA")</formula>
    </cfRule>
    <cfRule type="expression" dxfId="4067" priority="6149">
      <formula>AND(T103&lt;&gt;"NA",T103&gt;$T$16)</formula>
    </cfRule>
  </conditionalFormatting>
  <conditionalFormatting sqref="U103">
    <cfRule type="expression" priority="6097" stopIfTrue="1">
      <formula>"ISBLANK($K$185)"</formula>
    </cfRule>
    <cfRule type="expression" dxfId="4066" priority="6140">
      <formula>AND(OR(AW103=0,ISBLANK(U103)),B103&lt;&gt;"")</formula>
    </cfRule>
    <cfRule type="expression" dxfId="4065" priority="6141">
      <formula>AND(U103="NA",NOT(ISTEXT(T103)))</formula>
    </cfRule>
    <cfRule type="expression" dxfId="4064" priority="6142">
      <formula>AND(AW103&gt;5,U103="NA")</formula>
    </cfRule>
    <cfRule type="expression" dxfId="4063" priority="6143">
      <formula>AND(AW103&lt;5,U103="NA")</formula>
    </cfRule>
    <cfRule type="expression" dxfId="4062" priority="6144">
      <formula>AND(U103&lt;&gt;"NA",U103&gt;$U$16)</formula>
    </cfRule>
  </conditionalFormatting>
  <conditionalFormatting sqref="V103">
    <cfRule type="expression" priority="6096" stopIfTrue="1">
      <formula>"ISBLANK($K$185)"</formula>
    </cfRule>
    <cfRule type="expression" dxfId="4061" priority="6135">
      <formula>AND(OR(AW103=0,ISBLANK(V103)),B103&lt;&gt;"")</formula>
    </cfRule>
    <cfRule type="expression" dxfId="4060" priority="6136">
      <formula>AND(V103="NA",NOT(ISTEXT(W103)))</formula>
    </cfRule>
    <cfRule type="expression" dxfId="4059" priority="6137">
      <formula>AND(AW103&gt;5,V103="NA")</formula>
    </cfRule>
    <cfRule type="expression" dxfId="4058" priority="6138">
      <formula>AND(AW103&lt;5,V103="NA")</formula>
    </cfRule>
    <cfRule type="expression" dxfId="4057" priority="6139">
      <formula>AND(V103&lt;&gt;"NA",V103&gt;$V$16)</formula>
    </cfRule>
  </conditionalFormatting>
  <conditionalFormatting sqref="W103">
    <cfRule type="expression" priority="6095" stopIfTrue="1">
      <formula>"ISBLANK($K$185)"</formula>
    </cfRule>
    <cfRule type="expression" dxfId="4056" priority="6130">
      <formula>AND(OR(AW103=0,ISBLANK(W103)),B103&lt;&gt;"")</formula>
    </cfRule>
    <cfRule type="expression" dxfId="4055" priority="6131">
      <formula>AND(W103="NA",NOT(ISTEXT(V103)))</formula>
    </cfRule>
    <cfRule type="expression" dxfId="4054" priority="6132">
      <formula>AND(AW103&gt;5,W103="NA")</formula>
    </cfRule>
    <cfRule type="expression" dxfId="4053" priority="6133">
      <formula>AND(AW103&lt;5,W103="NA")</formula>
    </cfRule>
    <cfRule type="expression" dxfId="4052" priority="6134">
      <formula>AND(W103&lt;&gt;"NA",W103&gt;$W$16)</formula>
    </cfRule>
  </conditionalFormatting>
  <conditionalFormatting sqref="X103">
    <cfRule type="expression" priority="6094" stopIfTrue="1">
      <formula>"ISBLANK($K$185)"</formula>
    </cfRule>
    <cfRule type="expression" dxfId="4051" priority="6125">
      <formula>AND(OR(AW103=0,ISBLANK(X103)),B103&lt;&gt;"")</formula>
    </cfRule>
    <cfRule type="expression" dxfId="4050" priority="6126">
      <formula>AND(X103="NA",NOT(ISTEXT(Y103)))</formula>
    </cfRule>
    <cfRule type="expression" dxfId="4049" priority="6127">
      <formula>AND(AW103&gt;5,X103="NA")</formula>
    </cfRule>
    <cfRule type="expression" dxfId="4048" priority="6128">
      <formula>AND(AW103&lt;5,X103="NA")</formula>
    </cfRule>
    <cfRule type="expression" dxfId="4047" priority="6129">
      <formula>AND(X103&lt;&gt;"NA",X103&gt;$Y$16)</formula>
    </cfRule>
  </conditionalFormatting>
  <conditionalFormatting sqref="Y103">
    <cfRule type="expression" priority="6093" stopIfTrue="1">
      <formula>"ISBLANK($K$185)"</formula>
    </cfRule>
    <cfRule type="expression" dxfId="4046" priority="6120">
      <formula>AND(OR(AW103=0,ISBLANK(Y103)),B103&lt;&gt;"")</formula>
    </cfRule>
    <cfRule type="expression" dxfId="4045" priority="6121">
      <formula>AND(Y103="NA",NOT(ISTEXT(X103)))</formula>
    </cfRule>
    <cfRule type="expression" dxfId="4044" priority="6122">
      <formula>AND(AW103&gt;5,Y103="NA")</formula>
    </cfRule>
    <cfRule type="expression" dxfId="4043" priority="6123">
      <formula>AND(AW103&lt;5,Y103="NA")</formula>
    </cfRule>
    <cfRule type="expression" dxfId="4042" priority="6124">
      <formula>AND(Y103&lt;&gt;"NA",Y103&gt;$Y$16)</formula>
    </cfRule>
  </conditionalFormatting>
  <conditionalFormatting sqref="N103">
    <cfRule type="expression" priority="6104" stopIfTrue="1">
      <formula>"ISBLANK($K$185)"</formula>
    </cfRule>
    <cfRule type="expression" dxfId="4041" priority="6175">
      <formula>AND(OR(AW103=0,ISBLANK(N103)),B103&lt;&gt;"")</formula>
    </cfRule>
    <cfRule type="expression" dxfId="4040" priority="6176">
      <formula>AND(N103="NA",NOT(ISTEXT(O103)))</formula>
    </cfRule>
    <cfRule type="expression" dxfId="4039" priority="6177">
      <formula>AND(AW103&gt;5,N103="NA")</formula>
    </cfRule>
    <cfRule type="expression" dxfId="4038" priority="6178">
      <formula>AND(AW103&lt;5,N103="NA")</formula>
    </cfRule>
    <cfRule type="expression" dxfId="4037" priority="6179">
      <formula>AND(N103&lt;&gt;"NA",N103&gt;$N$16)</formula>
    </cfRule>
  </conditionalFormatting>
  <conditionalFormatting sqref="O104">
    <cfRule type="expression" priority="6012" stopIfTrue="1">
      <formula>"ISBLANK($K$185)"</formula>
    </cfRule>
    <cfRule type="expression" dxfId="4036" priority="6079">
      <formula>AND(OR(AW104=0,ISBLANK(O104)),B104&lt;&gt;"")</formula>
    </cfRule>
    <cfRule type="expression" dxfId="4035" priority="6080">
      <formula>AND(O104="NA",NOT(ISTEXT(N104)))</formula>
    </cfRule>
    <cfRule type="expression" dxfId="4034" priority="6081">
      <formula>AND(AW104&gt;5,O104="NA")</formula>
    </cfRule>
    <cfRule type="expression" dxfId="4033" priority="6082">
      <formula>AND(AW104&lt;5,O104="NA")</formula>
    </cfRule>
    <cfRule type="expression" dxfId="4032" priority="6083">
      <formula>AND(O104&lt;&gt;"NA",O104&gt;$O$16)</formula>
    </cfRule>
  </conditionalFormatting>
  <conditionalFormatting sqref="P104">
    <cfRule type="expression" priority="6011" stopIfTrue="1">
      <formula>"ISBLANK($K$185)"</formula>
    </cfRule>
    <cfRule type="expression" dxfId="4031" priority="6074">
      <formula>AND(OR(AW104=0,ISBLANK(P104)),B104&lt;&gt;"")</formula>
    </cfRule>
    <cfRule type="expression" dxfId="4030" priority="6075">
      <formula>AND(P104="NA",NOT(ISTEXT(Q104)))</formula>
    </cfRule>
    <cfRule type="expression" dxfId="4029" priority="6076">
      <formula>AND(AW104&gt;5,P104="NA")</formula>
    </cfRule>
    <cfRule type="expression" dxfId="4028" priority="6077">
      <formula>AND(AW104&lt;5,P104="NA")</formula>
    </cfRule>
    <cfRule type="expression" dxfId="4027" priority="6078">
      <formula>AND(P104&lt;&gt;"NA",P104&gt;$P$16)</formula>
    </cfRule>
  </conditionalFormatting>
  <conditionalFormatting sqref="Q104">
    <cfRule type="expression" priority="6010" stopIfTrue="1">
      <formula>"ISBLANK($K$185)"</formula>
    </cfRule>
    <cfRule type="expression" dxfId="4026" priority="6069">
      <formula>AND(OR(AW104=0,ISBLANK(Q104)),B104&lt;&gt;"")</formula>
    </cfRule>
    <cfRule type="expression" dxfId="4025" priority="6070">
      <formula>AND(Q104="NA",NOT(ISTEXT(P104)))</formula>
    </cfRule>
    <cfRule type="expression" dxfId="4024" priority="6071">
      <formula>AND(AW104&gt;5,Q104="NA")</formula>
    </cfRule>
    <cfRule type="expression" dxfId="4023" priority="6072">
      <formula>AND(AW104&lt;5,Q104="NA")</formula>
    </cfRule>
    <cfRule type="expression" dxfId="4022" priority="6073">
      <formula>AND(Q104&lt;&gt;"NA",Q104&gt;$Q$16)</formula>
    </cfRule>
  </conditionalFormatting>
  <conditionalFormatting sqref="R104">
    <cfRule type="expression" priority="6009" stopIfTrue="1">
      <formula>"ISBLANK($K$185)"</formula>
    </cfRule>
    <cfRule type="expression" dxfId="4021" priority="6064">
      <formula>AND(OR(AW104=0,ISBLANK(R104)),B104&lt;&gt;"")</formula>
    </cfRule>
    <cfRule type="expression" dxfId="4020" priority="6065">
      <formula>AND(R104="NA",NOT(ISTEXT(S104)))</formula>
    </cfRule>
    <cfRule type="expression" dxfId="4019" priority="6066">
      <formula>AND(AW104&gt;5,R104="NA")</formula>
    </cfRule>
    <cfRule type="expression" dxfId="4018" priority="6067">
      <formula>AND(AW104&lt;5,R104="NA")</formula>
    </cfRule>
    <cfRule type="expression" dxfId="4017" priority="6068">
      <formula>AND(R104&lt;&gt;"NA",R104&gt;$R$16)</formula>
    </cfRule>
  </conditionalFormatting>
  <conditionalFormatting sqref="S104">
    <cfRule type="expression" priority="6008" stopIfTrue="1">
      <formula>"ISBLANK($K$185)"</formula>
    </cfRule>
    <cfRule type="expression" dxfId="4016" priority="6059">
      <formula>AND(OR(AW104=0,ISBLANK(S104)),B104&lt;&gt;"")</formula>
    </cfRule>
    <cfRule type="expression" dxfId="4015" priority="6060">
      <formula>AND(S104="NA",NOT(ISTEXT(R104)))</formula>
    </cfRule>
    <cfRule type="expression" dxfId="4014" priority="6061">
      <formula>AND(AW104&gt;5,S104="NA")</formula>
    </cfRule>
    <cfRule type="expression" dxfId="4013" priority="6062">
      <formula>AND(AW104&lt;5,S104="NA")</formula>
    </cfRule>
    <cfRule type="expression" dxfId="4012" priority="6063">
      <formula>AND(S104&lt;&gt;"NA",S104&gt;$S$16)</formula>
    </cfRule>
  </conditionalFormatting>
  <conditionalFormatting sqref="T104">
    <cfRule type="expression" priority="6007" stopIfTrue="1">
      <formula>"ISBLANK($K$185)"</formula>
    </cfRule>
    <cfRule type="expression" dxfId="4011" priority="6054">
      <formula>AND(OR(AW104=0,ISBLANK(T104)),B104&lt;&gt;"")</formula>
    </cfRule>
    <cfRule type="expression" dxfId="4010" priority="6055">
      <formula>AND(T104="NA",NOT(ISTEXT(U104)))</formula>
    </cfRule>
    <cfRule type="expression" dxfId="4009" priority="6056">
      <formula>AND(AW104&gt;5,T104="NA")</formula>
    </cfRule>
    <cfRule type="expression" dxfId="4008" priority="6057">
      <formula>AND(AW104&lt;5,T104="NA")</formula>
    </cfRule>
    <cfRule type="expression" dxfId="4007" priority="6058">
      <formula>AND(T104&lt;&gt;"NA",T104&gt;$T$16)</formula>
    </cfRule>
  </conditionalFormatting>
  <conditionalFormatting sqref="U104">
    <cfRule type="expression" priority="6006" stopIfTrue="1">
      <formula>"ISBLANK($K$185)"</formula>
    </cfRule>
    <cfRule type="expression" dxfId="4006" priority="6049">
      <formula>AND(OR(AW104=0,ISBLANK(U104)),B104&lt;&gt;"")</formula>
    </cfRule>
    <cfRule type="expression" dxfId="4005" priority="6050">
      <formula>AND(U104="NA",NOT(ISTEXT(T104)))</formula>
    </cfRule>
    <cfRule type="expression" dxfId="4004" priority="6051">
      <formula>AND(AW104&gt;5,U104="NA")</formula>
    </cfRule>
    <cfRule type="expression" dxfId="4003" priority="6052">
      <formula>AND(AW104&lt;5,U104="NA")</formula>
    </cfRule>
    <cfRule type="expression" dxfId="4002" priority="6053">
      <formula>AND(U104&lt;&gt;"NA",U104&gt;$U$16)</formula>
    </cfRule>
  </conditionalFormatting>
  <conditionalFormatting sqref="V104">
    <cfRule type="expression" priority="6005" stopIfTrue="1">
      <formula>"ISBLANK($K$185)"</formula>
    </cfRule>
    <cfRule type="expression" dxfId="4001" priority="6044">
      <formula>AND(OR(AW104=0,ISBLANK(V104)),B104&lt;&gt;"")</formula>
    </cfRule>
    <cfRule type="expression" dxfId="4000" priority="6045">
      <formula>AND(V104="NA",NOT(ISTEXT(W104)))</formula>
    </cfRule>
    <cfRule type="expression" dxfId="3999" priority="6046">
      <formula>AND(AW104&gt;5,V104="NA")</formula>
    </cfRule>
    <cfRule type="expression" dxfId="3998" priority="6047">
      <formula>AND(AW104&lt;5,V104="NA")</formula>
    </cfRule>
    <cfRule type="expression" dxfId="3997" priority="6048">
      <formula>AND(V104&lt;&gt;"NA",V104&gt;$V$16)</formula>
    </cfRule>
  </conditionalFormatting>
  <conditionalFormatting sqref="W104">
    <cfRule type="expression" priority="6004" stopIfTrue="1">
      <formula>"ISBLANK($K$185)"</formula>
    </cfRule>
    <cfRule type="expression" dxfId="3996" priority="6039">
      <formula>AND(OR(AW104=0,ISBLANK(W104)),B104&lt;&gt;"")</formula>
    </cfRule>
    <cfRule type="expression" dxfId="3995" priority="6040">
      <formula>AND(W104="NA",NOT(ISTEXT(V104)))</formula>
    </cfRule>
    <cfRule type="expression" dxfId="3994" priority="6041">
      <formula>AND(AW104&gt;5,W104="NA")</formula>
    </cfRule>
    <cfRule type="expression" dxfId="3993" priority="6042">
      <formula>AND(AW104&lt;5,W104="NA")</formula>
    </cfRule>
    <cfRule type="expression" dxfId="3992" priority="6043">
      <formula>AND(W104&lt;&gt;"NA",W104&gt;$W$16)</formula>
    </cfRule>
  </conditionalFormatting>
  <conditionalFormatting sqref="X104">
    <cfRule type="expression" priority="6003" stopIfTrue="1">
      <formula>"ISBLANK($K$185)"</formula>
    </cfRule>
    <cfRule type="expression" dxfId="3991" priority="6034">
      <formula>AND(OR(AW104=0,ISBLANK(X104)),B104&lt;&gt;"")</formula>
    </cfRule>
    <cfRule type="expression" dxfId="3990" priority="6035">
      <formula>AND(X104="NA",NOT(ISTEXT(Y104)))</formula>
    </cfRule>
    <cfRule type="expression" dxfId="3989" priority="6036">
      <formula>AND(AW104&gt;5,X104="NA")</formula>
    </cfRule>
    <cfRule type="expression" dxfId="3988" priority="6037">
      <formula>AND(AW104&lt;5,X104="NA")</formula>
    </cfRule>
    <cfRule type="expression" dxfId="3987" priority="6038">
      <formula>AND(X104&lt;&gt;"NA",X104&gt;$Y$16)</formula>
    </cfRule>
  </conditionalFormatting>
  <conditionalFormatting sqref="Y104">
    <cfRule type="expression" priority="6002" stopIfTrue="1">
      <formula>"ISBLANK($K$185)"</formula>
    </cfRule>
    <cfRule type="expression" dxfId="3986" priority="6029">
      <formula>AND(OR(AW104=0,ISBLANK(Y104)),B104&lt;&gt;"")</formula>
    </cfRule>
    <cfRule type="expression" dxfId="3985" priority="6030">
      <formula>AND(Y104="NA",NOT(ISTEXT(X104)))</formula>
    </cfRule>
    <cfRule type="expression" dxfId="3984" priority="6031">
      <formula>AND(AW104&gt;5,Y104="NA")</formula>
    </cfRule>
    <cfRule type="expression" dxfId="3983" priority="6032">
      <formula>AND(AW104&lt;5,Y104="NA")</formula>
    </cfRule>
    <cfRule type="expression" dxfId="3982" priority="6033">
      <formula>AND(Y104&lt;&gt;"NA",Y104&gt;$Y$16)</formula>
    </cfRule>
  </conditionalFormatting>
  <conditionalFormatting sqref="N104">
    <cfRule type="expression" priority="6013" stopIfTrue="1">
      <formula>"ISBLANK($K$185)"</formula>
    </cfRule>
    <cfRule type="expression" dxfId="3981" priority="6084">
      <formula>AND(OR(AW104=0,ISBLANK(N104)),B104&lt;&gt;"")</formula>
    </cfRule>
    <cfRule type="expression" dxfId="3980" priority="6085">
      <formula>AND(N104="NA",NOT(ISTEXT(O104)))</formula>
    </cfRule>
    <cfRule type="expression" dxfId="3979" priority="6086">
      <formula>AND(AW104&gt;5,N104="NA")</formula>
    </cfRule>
    <cfRule type="expression" dxfId="3978" priority="6087">
      <formula>AND(AW104&lt;5,N104="NA")</formula>
    </cfRule>
    <cfRule type="expression" dxfId="3977" priority="6088">
      <formula>AND(N104&lt;&gt;"NA",N104&gt;$N$16)</formula>
    </cfRule>
  </conditionalFormatting>
  <conditionalFormatting sqref="O105">
    <cfRule type="expression" priority="5921" stopIfTrue="1">
      <formula>"ISBLANK($K$185)"</formula>
    </cfRule>
    <cfRule type="expression" dxfId="3976" priority="5988">
      <formula>AND(OR(AW105=0,ISBLANK(O105)),B105&lt;&gt;"")</formula>
    </cfRule>
    <cfRule type="expression" dxfId="3975" priority="5989">
      <formula>AND(O105="NA",NOT(ISTEXT(N105)))</formula>
    </cfRule>
    <cfRule type="expression" dxfId="3974" priority="5990">
      <formula>AND(AW105&gt;5,O105="NA")</formula>
    </cfRule>
    <cfRule type="expression" dxfId="3973" priority="5991">
      <formula>AND(AW105&lt;5,O105="NA")</formula>
    </cfRule>
    <cfRule type="expression" dxfId="3972" priority="5992">
      <formula>AND(O105&lt;&gt;"NA",O105&gt;$O$16)</formula>
    </cfRule>
  </conditionalFormatting>
  <conditionalFormatting sqref="P105">
    <cfRule type="expression" priority="5920" stopIfTrue="1">
      <formula>"ISBLANK($K$185)"</formula>
    </cfRule>
    <cfRule type="expression" dxfId="3971" priority="5983">
      <formula>AND(OR(AW105=0,ISBLANK(P105)),B105&lt;&gt;"")</formula>
    </cfRule>
    <cfRule type="expression" dxfId="3970" priority="5984">
      <formula>AND(P105="NA",NOT(ISTEXT(Q105)))</formula>
    </cfRule>
    <cfRule type="expression" dxfId="3969" priority="5985">
      <formula>AND(AW105&gt;5,P105="NA")</formula>
    </cfRule>
    <cfRule type="expression" dxfId="3968" priority="5986">
      <formula>AND(AW105&lt;5,P105="NA")</formula>
    </cfRule>
    <cfRule type="expression" dxfId="3967" priority="5987">
      <formula>AND(P105&lt;&gt;"NA",P105&gt;$P$16)</formula>
    </cfRule>
  </conditionalFormatting>
  <conditionalFormatting sqref="Q105">
    <cfRule type="expression" priority="5919" stopIfTrue="1">
      <formula>"ISBLANK($K$185)"</formula>
    </cfRule>
    <cfRule type="expression" dxfId="3966" priority="5978">
      <formula>AND(OR(AW105=0,ISBLANK(Q105)),B105&lt;&gt;"")</formula>
    </cfRule>
    <cfRule type="expression" dxfId="3965" priority="5979">
      <formula>AND(Q105="NA",NOT(ISTEXT(P105)))</formula>
    </cfRule>
    <cfRule type="expression" dxfId="3964" priority="5980">
      <formula>AND(AW105&gt;5,Q105="NA")</formula>
    </cfRule>
    <cfRule type="expression" dxfId="3963" priority="5981">
      <formula>AND(AW105&lt;5,Q105="NA")</formula>
    </cfRule>
    <cfRule type="expression" dxfId="3962" priority="5982">
      <formula>AND(Q105&lt;&gt;"NA",Q105&gt;$Q$16)</formula>
    </cfRule>
  </conditionalFormatting>
  <conditionalFormatting sqref="R105">
    <cfRule type="expression" priority="5918" stopIfTrue="1">
      <formula>"ISBLANK($K$185)"</formula>
    </cfRule>
    <cfRule type="expression" dxfId="3961" priority="5973">
      <formula>AND(OR(AW105=0,ISBLANK(R105)),B105&lt;&gt;"")</formula>
    </cfRule>
    <cfRule type="expression" dxfId="3960" priority="5974">
      <formula>AND(R105="NA",NOT(ISTEXT(S105)))</formula>
    </cfRule>
    <cfRule type="expression" dxfId="3959" priority="5975">
      <formula>AND(AW105&gt;5,R105="NA")</formula>
    </cfRule>
    <cfRule type="expression" dxfId="3958" priority="5976">
      <formula>AND(AW105&lt;5,R105="NA")</formula>
    </cfRule>
    <cfRule type="expression" dxfId="3957" priority="5977">
      <formula>AND(R105&lt;&gt;"NA",R105&gt;$R$16)</formula>
    </cfRule>
  </conditionalFormatting>
  <conditionalFormatting sqref="S105">
    <cfRule type="expression" priority="5917" stopIfTrue="1">
      <formula>"ISBLANK($K$185)"</formula>
    </cfRule>
    <cfRule type="expression" dxfId="3956" priority="5968">
      <formula>AND(OR(AW105=0,ISBLANK(S105)),B105&lt;&gt;"")</formula>
    </cfRule>
    <cfRule type="expression" dxfId="3955" priority="5969">
      <formula>AND(S105="NA",NOT(ISTEXT(R105)))</formula>
    </cfRule>
    <cfRule type="expression" dxfId="3954" priority="5970">
      <formula>AND(AW105&gt;5,S105="NA")</formula>
    </cfRule>
    <cfRule type="expression" dxfId="3953" priority="5971">
      <formula>AND(AW105&lt;5,S105="NA")</formula>
    </cfRule>
    <cfRule type="expression" dxfId="3952" priority="5972">
      <formula>AND(S105&lt;&gt;"NA",S105&gt;$S$16)</formula>
    </cfRule>
  </conditionalFormatting>
  <conditionalFormatting sqref="T105">
    <cfRule type="expression" priority="5916" stopIfTrue="1">
      <formula>"ISBLANK($K$185)"</formula>
    </cfRule>
    <cfRule type="expression" dxfId="3951" priority="5963">
      <formula>AND(OR(AW105=0,ISBLANK(T105)),B105&lt;&gt;"")</formula>
    </cfRule>
    <cfRule type="expression" dxfId="3950" priority="5964">
      <formula>AND(T105="NA",NOT(ISTEXT(U105)))</formula>
    </cfRule>
    <cfRule type="expression" dxfId="3949" priority="5965">
      <formula>AND(AW105&gt;5,T105="NA")</formula>
    </cfRule>
    <cfRule type="expression" dxfId="3948" priority="5966">
      <formula>AND(AW105&lt;5,T105="NA")</formula>
    </cfRule>
    <cfRule type="expression" dxfId="3947" priority="5967">
      <formula>AND(T105&lt;&gt;"NA",T105&gt;$T$16)</formula>
    </cfRule>
  </conditionalFormatting>
  <conditionalFormatting sqref="U105">
    <cfRule type="expression" priority="5915" stopIfTrue="1">
      <formula>"ISBLANK($K$185)"</formula>
    </cfRule>
    <cfRule type="expression" dxfId="3946" priority="5958">
      <formula>AND(OR(AW105=0,ISBLANK(U105)),B105&lt;&gt;"")</formula>
    </cfRule>
    <cfRule type="expression" dxfId="3945" priority="5959">
      <formula>AND(U105="NA",NOT(ISTEXT(T105)))</formula>
    </cfRule>
    <cfRule type="expression" dxfId="3944" priority="5960">
      <formula>AND(AW105&gt;5,U105="NA")</formula>
    </cfRule>
    <cfRule type="expression" dxfId="3943" priority="5961">
      <formula>AND(AW105&lt;5,U105="NA")</formula>
    </cfRule>
    <cfRule type="expression" dxfId="3942" priority="5962">
      <formula>AND(U105&lt;&gt;"NA",U105&gt;$U$16)</formula>
    </cfRule>
  </conditionalFormatting>
  <conditionalFormatting sqref="V105">
    <cfRule type="expression" priority="5914" stopIfTrue="1">
      <formula>"ISBLANK($K$185)"</formula>
    </cfRule>
    <cfRule type="expression" dxfId="3941" priority="5953">
      <formula>AND(OR(AW105=0,ISBLANK(V105)),B105&lt;&gt;"")</formula>
    </cfRule>
    <cfRule type="expression" dxfId="3940" priority="5954">
      <formula>AND(V105="NA",NOT(ISTEXT(W105)))</formula>
    </cfRule>
    <cfRule type="expression" dxfId="3939" priority="5955">
      <formula>AND(AW105&gt;5,V105="NA")</formula>
    </cfRule>
    <cfRule type="expression" dxfId="3938" priority="5956">
      <formula>AND(AW105&lt;5,V105="NA")</formula>
    </cfRule>
    <cfRule type="expression" dxfId="3937" priority="5957">
      <formula>AND(V105&lt;&gt;"NA",V105&gt;$V$16)</formula>
    </cfRule>
  </conditionalFormatting>
  <conditionalFormatting sqref="W105">
    <cfRule type="expression" priority="5913" stopIfTrue="1">
      <formula>"ISBLANK($K$185)"</formula>
    </cfRule>
    <cfRule type="expression" dxfId="3936" priority="5948">
      <formula>AND(OR(AW105=0,ISBLANK(W105)),B105&lt;&gt;"")</formula>
    </cfRule>
    <cfRule type="expression" dxfId="3935" priority="5949">
      <formula>AND(W105="NA",NOT(ISTEXT(V105)))</formula>
    </cfRule>
    <cfRule type="expression" dxfId="3934" priority="5950">
      <formula>AND(AW105&gt;5,W105="NA")</formula>
    </cfRule>
    <cfRule type="expression" dxfId="3933" priority="5951">
      <formula>AND(AW105&lt;5,W105="NA")</formula>
    </cfRule>
    <cfRule type="expression" dxfId="3932" priority="5952">
      <formula>AND(W105&lt;&gt;"NA",W105&gt;$W$16)</formula>
    </cfRule>
  </conditionalFormatting>
  <conditionalFormatting sqref="X105">
    <cfRule type="expression" priority="5912" stopIfTrue="1">
      <formula>"ISBLANK($K$185)"</formula>
    </cfRule>
    <cfRule type="expression" dxfId="3931" priority="5943">
      <formula>AND(OR(AW105=0,ISBLANK(X105)),B105&lt;&gt;"")</formula>
    </cfRule>
    <cfRule type="expression" dxfId="3930" priority="5944">
      <formula>AND(X105="NA",NOT(ISTEXT(Y105)))</formula>
    </cfRule>
    <cfRule type="expression" dxfId="3929" priority="5945">
      <formula>AND(AW105&gt;5,X105="NA")</formula>
    </cfRule>
    <cfRule type="expression" dxfId="3928" priority="5946">
      <formula>AND(AW105&lt;5,X105="NA")</formula>
    </cfRule>
    <cfRule type="expression" dxfId="3927" priority="5947">
      <formula>AND(X105&lt;&gt;"NA",X105&gt;$Y$16)</formula>
    </cfRule>
  </conditionalFormatting>
  <conditionalFormatting sqref="Y105">
    <cfRule type="expression" priority="5911" stopIfTrue="1">
      <formula>"ISBLANK($K$185)"</formula>
    </cfRule>
    <cfRule type="expression" dxfId="3926" priority="5938">
      <formula>AND(OR(AW105=0,ISBLANK(Y105)),B105&lt;&gt;"")</formula>
    </cfRule>
    <cfRule type="expression" dxfId="3925" priority="5939">
      <formula>AND(Y105="NA",NOT(ISTEXT(X105)))</formula>
    </cfRule>
    <cfRule type="expression" dxfId="3924" priority="5940">
      <formula>AND(AW105&gt;5,Y105="NA")</formula>
    </cfRule>
    <cfRule type="expression" dxfId="3923" priority="5941">
      <formula>AND(AW105&lt;5,Y105="NA")</formula>
    </cfRule>
    <cfRule type="expression" dxfId="3922" priority="5942">
      <formula>AND(Y105&lt;&gt;"NA",Y105&gt;$Y$16)</formula>
    </cfRule>
  </conditionalFormatting>
  <conditionalFormatting sqref="N105">
    <cfRule type="expression" priority="5922" stopIfTrue="1">
      <formula>"ISBLANK($K$185)"</formula>
    </cfRule>
    <cfRule type="expression" dxfId="3921" priority="5993">
      <formula>AND(OR(AW105=0,ISBLANK(N105)),B105&lt;&gt;"")</formula>
    </cfRule>
    <cfRule type="expression" dxfId="3920" priority="5994">
      <formula>AND(N105="NA",NOT(ISTEXT(O105)))</formula>
    </cfRule>
    <cfRule type="expression" dxfId="3919" priority="5995">
      <formula>AND(AW105&gt;5,N105="NA")</formula>
    </cfRule>
    <cfRule type="expression" dxfId="3918" priority="5996">
      <formula>AND(AW105&lt;5,N105="NA")</formula>
    </cfRule>
    <cfRule type="expression" dxfId="3917" priority="5997">
      <formula>AND(N105&lt;&gt;"NA",N105&gt;$N$16)</formula>
    </cfRule>
  </conditionalFormatting>
  <conditionalFormatting sqref="O106">
    <cfRule type="expression" priority="5830" stopIfTrue="1">
      <formula>"ISBLANK($K$185)"</formula>
    </cfRule>
    <cfRule type="expression" dxfId="3916" priority="5897">
      <formula>AND(OR(AW106=0,ISBLANK(O106)),B106&lt;&gt;"")</formula>
    </cfRule>
    <cfRule type="expression" dxfId="3915" priority="5898">
      <formula>AND(O106="NA",NOT(ISTEXT(N106)))</formula>
    </cfRule>
    <cfRule type="expression" dxfId="3914" priority="5899">
      <formula>AND(AW106&gt;5,O106="NA")</formula>
    </cfRule>
    <cfRule type="expression" dxfId="3913" priority="5900">
      <formula>AND(AW106&lt;5,O106="NA")</formula>
    </cfRule>
    <cfRule type="expression" dxfId="3912" priority="5901">
      <formula>AND(O106&lt;&gt;"NA",O106&gt;$O$16)</formula>
    </cfRule>
  </conditionalFormatting>
  <conditionalFormatting sqref="P106">
    <cfRule type="expression" priority="5829" stopIfTrue="1">
      <formula>"ISBLANK($K$185)"</formula>
    </cfRule>
    <cfRule type="expression" dxfId="3911" priority="5892">
      <formula>AND(OR(AW106=0,ISBLANK(P106)),B106&lt;&gt;"")</formula>
    </cfRule>
    <cfRule type="expression" dxfId="3910" priority="5893">
      <formula>AND(P106="NA",NOT(ISTEXT(Q106)))</formula>
    </cfRule>
    <cfRule type="expression" dxfId="3909" priority="5894">
      <formula>AND(AW106&gt;5,P106="NA")</formula>
    </cfRule>
    <cfRule type="expression" dxfId="3908" priority="5895">
      <formula>AND(AW106&lt;5,P106="NA")</formula>
    </cfRule>
    <cfRule type="expression" dxfId="3907" priority="5896">
      <formula>AND(P106&lt;&gt;"NA",P106&gt;$P$16)</formula>
    </cfRule>
  </conditionalFormatting>
  <conditionalFormatting sqref="Q106">
    <cfRule type="expression" priority="5828" stopIfTrue="1">
      <formula>"ISBLANK($K$185)"</formula>
    </cfRule>
    <cfRule type="expression" dxfId="3906" priority="5887">
      <formula>AND(OR(AW106=0,ISBLANK(Q106)),B106&lt;&gt;"")</formula>
    </cfRule>
    <cfRule type="expression" dxfId="3905" priority="5888">
      <formula>AND(Q106="NA",NOT(ISTEXT(P106)))</formula>
    </cfRule>
    <cfRule type="expression" dxfId="3904" priority="5889">
      <formula>AND(AW106&gt;5,Q106="NA")</formula>
    </cfRule>
    <cfRule type="expression" dxfId="3903" priority="5890">
      <formula>AND(AW106&lt;5,Q106="NA")</formula>
    </cfRule>
    <cfRule type="expression" dxfId="3902" priority="5891">
      <formula>AND(Q106&lt;&gt;"NA",Q106&gt;$Q$16)</formula>
    </cfRule>
  </conditionalFormatting>
  <conditionalFormatting sqref="R106">
    <cfRule type="expression" priority="5827" stopIfTrue="1">
      <formula>"ISBLANK($K$185)"</formula>
    </cfRule>
    <cfRule type="expression" dxfId="3901" priority="5882">
      <formula>AND(OR(AW106=0,ISBLANK(R106)),B106&lt;&gt;"")</formula>
    </cfRule>
    <cfRule type="expression" dxfId="3900" priority="5883">
      <formula>AND(R106="NA",NOT(ISTEXT(S106)))</formula>
    </cfRule>
    <cfRule type="expression" dxfId="3899" priority="5884">
      <formula>AND(AW106&gt;5,R106="NA")</formula>
    </cfRule>
    <cfRule type="expression" dxfId="3898" priority="5885">
      <formula>AND(AW106&lt;5,R106="NA")</formula>
    </cfRule>
    <cfRule type="expression" dxfId="3897" priority="5886">
      <formula>AND(R106&lt;&gt;"NA",R106&gt;$R$16)</formula>
    </cfRule>
  </conditionalFormatting>
  <conditionalFormatting sqref="S106">
    <cfRule type="expression" priority="5826" stopIfTrue="1">
      <formula>"ISBLANK($K$185)"</formula>
    </cfRule>
    <cfRule type="expression" dxfId="3896" priority="5877">
      <formula>AND(OR(AW106=0,ISBLANK(S106)),B106&lt;&gt;"")</formula>
    </cfRule>
    <cfRule type="expression" dxfId="3895" priority="5878">
      <formula>AND(S106="NA",NOT(ISTEXT(R106)))</formula>
    </cfRule>
    <cfRule type="expression" dxfId="3894" priority="5879">
      <formula>AND(AW106&gt;5,S106="NA")</formula>
    </cfRule>
    <cfRule type="expression" dxfId="3893" priority="5880">
      <formula>AND(AW106&lt;5,S106="NA")</formula>
    </cfRule>
    <cfRule type="expression" dxfId="3892" priority="5881">
      <formula>AND(S106&lt;&gt;"NA",S106&gt;$S$16)</formula>
    </cfRule>
  </conditionalFormatting>
  <conditionalFormatting sqref="T106">
    <cfRule type="expression" priority="5825" stopIfTrue="1">
      <formula>"ISBLANK($K$185)"</formula>
    </cfRule>
    <cfRule type="expression" dxfId="3891" priority="5872">
      <formula>AND(OR(AW106=0,ISBLANK(T106)),B106&lt;&gt;"")</formula>
    </cfRule>
    <cfRule type="expression" dxfId="3890" priority="5873">
      <formula>AND(T106="NA",NOT(ISTEXT(U106)))</formula>
    </cfRule>
    <cfRule type="expression" dxfId="3889" priority="5874">
      <formula>AND(AW106&gt;5,T106="NA")</formula>
    </cfRule>
    <cfRule type="expression" dxfId="3888" priority="5875">
      <formula>AND(AW106&lt;5,T106="NA")</formula>
    </cfRule>
    <cfRule type="expression" dxfId="3887" priority="5876">
      <formula>AND(T106&lt;&gt;"NA",T106&gt;$T$16)</formula>
    </cfRule>
  </conditionalFormatting>
  <conditionalFormatting sqref="U106">
    <cfRule type="expression" priority="5824" stopIfTrue="1">
      <formula>"ISBLANK($K$185)"</formula>
    </cfRule>
    <cfRule type="expression" dxfId="3886" priority="5867">
      <formula>AND(OR(AW106=0,ISBLANK(U106)),B106&lt;&gt;"")</formula>
    </cfRule>
    <cfRule type="expression" dxfId="3885" priority="5868">
      <formula>AND(U106="NA",NOT(ISTEXT(T106)))</formula>
    </cfRule>
    <cfRule type="expression" dxfId="3884" priority="5869">
      <formula>AND(AW106&gt;5,U106="NA")</formula>
    </cfRule>
    <cfRule type="expression" dxfId="3883" priority="5870">
      <formula>AND(AW106&lt;5,U106="NA")</formula>
    </cfRule>
    <cfRule type="expression" dxfId="3882" priority="5871">
      <formula>AND(U106&lt;&gt;"NA",U106&gt;$U$16)</formula>
    </cfRule>
  </conditionalFormatting>
  <conditionalFormatting sqref="V106">
    <cfRule type="expression" priority="5823" stopIfTrue="1">
      <formula>"ISBLANK($K$185)"</formula>
    </cfRule>
    <cfRule type="expression" dxfId="3881" priority="5862">
      <formula>AND(OR(AW106=0,ISBLANK(V106)),B106&lt;&gt;"")</formula>
    </cfRule>
    <cfRule type="expression" dxfId="3880" priority="5863">
      <formula>AND(V106="NA",NOT(ISTEXT(W106)))</formula>
    </cfRule>
    <cfRule type="expression" dxfId="3879" priority="5864">
      <formula>AND(AW106&gt;5,V106="NA")</formula>
    </cfRule>
    <cfRule type="expression" dxfId="3878" priority="5865">
      <formula>AND(AW106&lt;5,V106="NA")</formula>
    </cfRule>
    <cfRule type="expression" dxfId="3877" priority="5866">
      <formula>AND(V106&lt;&gt;"NA",V106&gt;$V$16)</formula>
    </cfRule>
  </conditionalFormatting>
  <conditionalFormatting sqref="W106">
    <cfRule type="expression" priority="5822" stopIfTrue="1">
      <formula>"ISBLANK($K$185)"</formula>
    </cfRule>
    <cfRule type="expression" dxfId="3876" priority="5857">
      <formula>AND(OR(AW106=0,ISBLANK(W106)),B106&lt;&gt;"")</formula>
    </cfRule>
    <cfRule type="expression" dxfId="3875" priority="5858">
      <formula>AND(W106="NA",NOT(ISTEXT(V106)))</formula>
    </cfRule>
    <cfRule type="expression" dxfId="3874" priority="5859">
      <formula>AND(AW106&gt;5,W106="NA")</formula>
    </cfRule>
    <cfRule type="expression" dxfId="3873" priority="5860">
      <formula>AND(AW106&lt;5,W106="NA")</formula>
    </cfRule>
    <cfRule type="expression" dxfId="3872" priority="5861">
      <formula>AND(W106&lt;&gt;"NA",W106&gt;$W$16)</formula>
    </cfRule>
  </conditionalFormatting>
  <conditionalFormatting sqref="X106">
    <cfRule type="expression" priority="5821" stopIfTrue="1">
      <formula>"ISBLANK($K$185)"</formula>
    </cfRule>
    <cfRule type="expression" dxfId="3871" priority="5852">
      <formula>AND(OR(AW106=0,ISBLANK(X106)),B106&lt;&gt;"")</formula>
    </cfRule>
    <cfRule type="expression" dxfId="3870" priority="5853">
      <formula>AND(X106="NA",NOT(ISTEXT(Y106)))</formula>
    </cfRule>
    <cfRule type="expression" dxfId="3869" priority="5854">
      <formula>AND(AW106&gt;5,X106="NA")</formula>
    </cfRule>
    <cfRule type="expression" dxfId="3868" priority="5855">
      <formula>AND(AW106&lt;5,X106="NA")</formula>
    </cfRule>
    <cfRule type="expression" dxfId="3867" priority="5856">
      <formula>AND(X106&lt;&gt;"NA",X106&gt;$Y$16)</formula>
    </cfRule>
  </conditionalFormatting>
  <conditionalFormatting sqref="Y106">
    <cfRule type="expression" priority="5820" stopIfTrue="1">
      <formula>"ISBLANK($K$185)"</formula>
    </cfRule>
    <cfRule type="expression" dxfId="3866" priority="5847">
      <formula>AND(OR(AW106=0,ISBLANK(Y106)),B106&lt;&gt;"")</formula>
    </cfRule>
    <cfRule type="expression" dxfId="3865" priority="5848">
      <formula>AND(Y106="NA",NOT(ISTEXT(X106)))</formula>
    </cfRule>
    <cfRule type="expression" dxfId="3864" priority="5849">
      <formula>AND(AW106&gt;5,Y106="NA")</formula>
    </cfRule>
    <cfRule type="expression" dxfId="3863" priority="5850">
      <formula>AND(AW106&lt;5,Y106="NA")</formula>
    </cfRule>
    <cfRule type="expression" dxfId="3862" priority="5851">
      <formula>AND(Y106&lt;&gt;"NA",Y106&gt;$Y$16)</formula>
    </cfRule>
  </conditionalFormatting>
  <conditionalFormatting sqref="N106">
    <cfRule type="expression" priority="5831" stopIfTrue="1">
      <formula>"ISBLANK($K$185)"</formula>
    </cfRule>
    <cfRule type="expression" dxfId="3861" priority="5902">
      <formula>AND(OR(AW106=0,ISBLANK(N106)),B106&lt;&gt;"")</formula>
    </cfRule>
    <cfRule type="expression" dxfId="3860" priority="5903">
      <formula>AND(N106="NA",NOT(ISTEXT(O106)))</formula>
    </cfRule>
    <cfRule type="expression" dxfId="3859" priority="5904">
      <formula>AND(AW106&gt;5,N106="NA")</formula>
    </cfRule>
    <cfRule type="expression" dxfId="3858" priority="5905">
      <formula>AND(AW106&lt;5,N106="NA")</formula>
    </cfRule>
    <cfRule type="expression" dxfId="3857" priority="5906">
      <formula>AND(N106&lt;&gt;"NA",N106&gt;$N$16)</formula>
    </cfRule>
  </conditionalFormatting>
  <conditionalFormatting sqref="O107">
    <cfRule type="expression" priority="5739" stopIfTrue="1">
      <formula>"ISBLANK($K$185)"</formula>
    </cfRule>
    <cfRule type="expression" dxfId="3856" priority="5806">
      <formula>AND(OR(AW107=0,ISBLANK(O107)),B107&lt;&gt;"")</formula>
    </cfRule>
    <cfRule type="expression" dxfId="3855" priority="5807">
      <formula>AND(O107="NA",NOT(ISTEXT(N107)))</formula>
    </cfRule>
    <cfRule type="expression" dxfId="3854" priority="5808">
      <formula>AND(AW107&gt;5,O107="NA")</formula>
    </cfRule>
    <cfRule type="expression" dxfId="3853" priority="5809">
      <formula>AND(AW107&lt;5,O107="NA")</formula>
    </cfRule>
    <cfRule type="expression" dxfId="3852" priority="5810">
      <formula>AND(O107&lt;&gt;"NA",O107&gt;$O$16)</formula>
    </cfRule>
  </conditionalFormatting>
  <conditionalFormatting sqref="P107">
    <cfRule type="expression" priority="5738" stopIfTrue="1">
      <formula>"ISBLANK($K$185)"</formula>
    </cfRule>
    <cfRule type="expression" dxfId="3851" priority="5801">
      <formula>AND(OR(AW107=0,ISBLANK(P107)),B107&lt;&gt;"")</formula>
    </cfRule>
    <cfRule type="expression" dxfId="3850" priority="5802">
      <formula>AND(P107="NA",NOT(ISTEXT(Q107)))</formula>
    </cfRule>
    <cfRule type="expression" dxfId="3849" priority="5803">
      <formula>AND(AW107&gt;5,P107="NA")</formula>
    </cfRule>
    <cfRule type="expression" dxfId="3848" priority="5804">
      <formula>AND(AW107&lt;5,P107="NA")</formula>
    </cfRule>
    <cfRule type="expression" dxfId="3847" priority="5805">
      <formula>AND(P107&lt;&gt;"NA",P107&gt;$P$16)</formula>
    </cfRule>
  </conditionalFormatting>
  <conditionalFormatting sqref="Q107">
    <cfRule type="expression" priority="5737" stopIfTrue="1">
      <formula>"ISBLANK($K$185)"</formula>
    </cfRule>
    <cfRule type="expression" dxfId="3846" priority="5796">
      <formula>AND(OR(AW107=0,ISBLANK(Q107)),B107&lt;&gt;"")</formula>
    </cfRule>
    <cfRule type="expression" dxfId="3845" priority="5797">
      <formula>AND(Q107="NA",NOT(ISTEXT(P107)))</formula>
    </cfRule>
    <cfRule type="expression" dxfId="3844" priority="5798">
      <formula>AND(AW107&gt;5,Q107="NA")</formula>
    </cfRule>
    <cfRule type="expression" dxfId="3843" priority="5799">
      <formula>AND(AW107&lt;5,Q107="NA")</formula>
    </cfRule>
    <cfRule type="expression" dxfId="3842" priority="5800">
      <formula>AND(Q107&lt;&gt;"NA",Q107&gt;$Q$16)</formula>
    </cfRule>
  </conditionalFormatting>
  <conditionalFormatting sqref="R107">
    <cfRule type="expression" priority="5736" stopIfTrue="1">
      <formula>"ISBLANK($K$185)"</formula>
    </cfRule>
    <cfRule type="expression" dxfId="3841" priority="5791">
      <formula>AND(OR(AW107=0,ISBLANK(R107)),B107&lt;&gt;"")</formula>
    </cfRule>
    <cfRule type="expression" dxfId="3840" priority="5792">
      <formula>AND(R107="NA",NOT(ISTEXT(S107)))</formula>
    </cfRule>
    <cfRule type="expression" dxfId="3839" priority="5793">
      <formula>AND(AW107&gt;5,R107="NA")</formula>
    </cfRule>
    <cfRule type="expression" dxfId="3838" priority="5794">
      <formula>AND(AW107&lt;5,R107="NA")</formula>
    </cfRule>
    <cfRule type="expression" dxfId="3837" priority="5795">
      <formula>AND(R107&lt;&gt;"NA",R107&gt;$R$16)</formula>
    </cfRule>
  </conditionalFormatting>
  <conditionalFormatting sqref="S107">
    <cfRule type="expression" priority="5735" stopIfTrue="1">
      <formula>"ISBLANK($K$185)"</formula>
    </cfRule>
    <cfRule type="expression" dxfId="3836" priority="5786">
      <formula>AND(OR(AW107=0,ISBLANK(S107)),B107&lt;&gt;"")</formula>
    </cfRule>
    <cfRule type="expression" dxfId="3835" priority="5787">
      <formula>AND(S107="NA",NOT(ISTEXT(R107)))</formula>
    </cfRule>
    <cfRule type="expression" dxfId="3834" priority="5788">
      <formula>AND(AW107&gt;5,S107="NA")</formula>
    </cfRule>
    <cfRule type="expression" dxfId="3833" priority="5789">
      <formula>AND(AW107&lt;5,S107="NA")</formula>
    </cfRule>
    <cfRule type="expression" dxfId="3832" priority="5790">
      <formula>AND(S107&lt;&gt;"NA",S107&gt;$S$16)</formula>
    </cfRule>
  </conditionalFormatting>
  <conditionalFormatting sqref="T107">
    <cfRule type="expression" priority="5734" stopIfTrue="1">
      <formula>"ISBLANK($K$185)"</formula>
    </cfRule>
    <cfRule type="expression" dxfId="3831" priority="5781">
      <formula>AND(OR(AW107=0,ISBLANK(T107)),B107&lt;&gt;"")</formula>
    </cfRule>
    <cfRule type="expression" dxfId="3830" priority="5782">
      <formula>AND(T107="NA",NOT(ISTEXT(U107)))</formula>
    </cfRule>
    <cfRule type="expression" dxfId="3829" priority="5783">
      <formula>AND(AW107&gt;5,T107="NA")</formula>
    </cfRule>
    <cfRule type="expression" dxfId="3828" priority="5784">
      <formula>AND(AW107&lt;5,T107="NA")</formula>
    </cfRule>
    <cfRule type="expression" dxfId="3827" priority="5785">
      <formula>AND(T107&lt;&gt;"NA",T107&gt;$T$16)</formula>
    </cfRule>
  </conditionalFormatting>
  <conditionalFormatting sqref="U107">
    <cfRule type="expression" priority="5733" stopIfTrue="1">
      <formula>"ISBLANK($K$185)"</formula>
    </cfRule>
    <cfRule type="expression" dxfId="3826" priority="5776">
      <formula>AND(OR(AW107=0,ISBLANK(U107)),B107&lt;&gt;"")</formula>
    </cfRule>
    <cfRule type="expression" dxfId="3825" priority="5777">
      <formula>AND(U107="NA",NOT(ISTEXT(T107)))</formula>
    </cfRule>
    <cfRule type="expression" dxfId="3824" priority="5778">
      <formula>AND(AW107&gt;5,U107="NA")</formula>
    </cfRule>
    <cfRule type="expression" dxfId="3823" priority="5779">
      <formula>AND(AW107&lt;5,U107="NA")</formula>
    </cfRule>
    <cfRule type="expression" dxfId="3822" priority="5780">
      <formula>AND(U107&lt;&gt;"NA",U107&gt;$U$16)</formula>
    </cfRule>
  </conditionalFormatting>
  <conditionalFormatting sqref="V107">
    <cfRule type="expression" priority="5732" stopIfTrue="1">
      <formula>"ISBLANK($K$185)"</formula>
    </cfRule>
    <cfRule type="expression" dxfId="3821" priority="5771">
      <formula>AND(OR(AW107=0,ISBLANK(V107)),B107&lt;&gt;"")</formula>
    </cfRule>
    <cfRule type="expression" dxfId="3820" priority="5772">
      <formula>AND(V107="NA",NOT(ISTEXT(W107)))</formula>
    </cfRule>
    <cfRule type="expression" dxfId="3819" priority="5773">
      <formula>AND(AW107&gt;5,V107="NA")</formula>
    </cfRule>
    <cfRule type="expression" dxfId="3818" priority="5774">
      <formula>AND(AW107&lt;5,V107="NA")</formula>
    </cfRule>
    <cfRule type="expression" dxfId="3817" priority="5775">
      <formula>AND(V107&lt;&gt;"NA",V107&gt;$V$16)</formula>
    </cfRule>
  </conditionalFormatting>
  <conditionalFormatting sqref="W107">
    <cfRule type="expression" priority="5731" stopIfTrue="1">
      <formula>"ISBLANK($K$185)"</formula>
    </cfRule>
    <cfRule type="expression" dxfId="3816" priority="5766">
      <formula>AND(OR(AW107=0,ISBLANK(W107)),B107&lt;&gt;"")</formula>
    </cfRule>
    <cfRule type="expression" dxfId="3815" priority="5767">
      <formula>AND(W107="NA",NOT(ISTEXT(V107)))</formula>
    </cfRule>
    <cfRule type="expression" dxfId="3814" priority="5768">
      <formula>AND(AW107&gt;5,W107="NA")</formula>
    </cfRule>
    <cfRule type="expression" dxfId="3813" priority="5769">
      <formula>AND(AW107&lt;5,W107="NA")</formula>
    </cfRule>
    <cfRule type="expression" dxfId="3812" priority="5770">
      <formula>AND(W107&lt;&gt;"NA",W107&gt;$W$16)</formula>
    </cfRule>
  </conditionalFormatting>
  <conditionalFormatting sqref="X107">
    <cfRule type="expression" priority="5730" stopIfTrue="1">
      <formula>"ISBLANK($K$185)"</formula>
    </cfRule>
    <cfRule type="expression" dxfId="3811" priority="5761">
      <formula>AND(OR(AW107=0,ISBLANK(X107)),B107&lt;&gt;"")</formula>
    </cfRule>
    <cfRule type="expression" dxfId="3810" priority="5762">
      <formula>AND(X107="NA",NOT(ISTEXT(Y107)))</formula>
    </cfRule>
    <cfRule type="expression" dxfId="3809" priority="5763">
      <formula>AND(AW107&gt;5,X107="NA")</formula>
    </cfRule>
    <cfRule type="expression" dxfId="3808" priority="5764">
      <formula>AND(AW107&lt;5,X107="NA")</formula>
    </cfRule>
    <cfRule type="expression" dxfId="3807" priority="5765">
      <formula>AND(X107&lt;&gt;"NA",X107&gt;$Y$16)</formula>
    </cfRule>
  </conditionalFormatting>
  <conditionalFormatting sqref="Y107">
    <cfRule type="expression" priority="5729" stopIfTrue="1">
      <formula>"ISBLANK($K$185)"</formula>
    </cfRule>
    <cfRule type="expression" dxfId="3806" priority="5756">
      <formula>AND(OR(AW107=0,ISBLANK(Y107)),B107&lt;&gt;"")</formula>
    </cfRule>
    <cfRule type="expression" dxfId="3805" priority="5757">
      <formula>AND(Y107="NA",NOT(ISTEXT(X107)))</formula>
    </cfRule>
    <cfRule type="expression" dxfId="3804" priority="5758">
      <formula>AND(AW107&gt;5,Y107="NA")</formula>
    </cfRule>
    <cfRule type="expression" dxfId="3803" priority="5759">
      <formula>AND(AW107&lt;5,Y107="NA")</formula>
    </cfRule>
    <cfRule type="expression" dxfId="3802" priority="5760">
      <formula>AND(Y107&lt;&gt;"NA",Y107&gt;$Y$16)</formula>
    </cfRule>
  </conditionalFormatting>
  <conditionalFormatting sqref="N107">
    <cfRule type="expression" priority="5740" stopIfTrue="1">
      <formula>"ISBLANK($K$185)"</formula>
    </cfRule>
    <cfRule type="expression" dxfId="3801" priority="5811">
      <formula>AND(OR(AW107=0,ISBLANK(N107)),B107&lt;&gt;"")</formula>
    </cfRule>
    <cfRule type="expression" dxfId="3800" priority="5812">
      <formula>AND(N107="NA",NOT(ISTEXT(O107)))</formula>
    </cfRule>
    <cfRule type="expression" dxfId="3799" priority="5813">
      <formula>AND(AW107&gt;5,N107="NA")</formula>
    </cfRule>
    <cfRule type="expression" dxfId="3798" priority="5814">
      <formula>AND(AW107&lt;5,N107="NA")</formula>
    </cfRule>
    <cfRule type="expression" dxfId="3797" priority="5815">
      <formula>AND(N107&lt;&gt;"NA",N107&gt;$N$16)</formula>
    </cfRule>
  </conditionalFormatting>
  <conditionalFormatting sqref="O108">
    <cfRule type="expression" priority="5648" stopIfTrue="1">
      <formula>"ISBLANK($K$185)"</formula>
    </cfRule>
    <cfRule type="expression" dxfId="3796" priority="5715">
      <formula>AND(OR(AW108=0,ISBLANK(O108)),B108&lt;&gt;"")</formula>
    </cfRule>
    <cfRule type="expression" dxfId="3795" priority="5716">
      <formula>AND(O108="NA",NOT(ISTEXT(N108)))</formula>
    </cfRule>
    <cfRule type="expression" dxfId="3794" priority="5717">
      <formula>AND(AW108&gt;5,O108="NA")</formula>
    </cfRule>
    <cfRule type="expression" dxfId="3793" priority="5718">
      <formula>AND(AW108&lt;5,O108="NA")</formula>
    </cfRule>
    <cfRule type="expression" dxfId="3792" priority="5719">
      <formula>AND(O108&lt;&gt;"NA",O108&gt;$O$16)</formula>
    </cfRule>
  </conditionalFormatting>
  <conditionalFormatting sqref="P108">
    <cfRule type="expression" priority="5647" stopIfTrue="1">
      <formula>"ISBLANK($K$185)"</formula>
    </cfRule>
    <cfRule type="expression" dxfId="3791" priority="5710">
      <formula>AND(OR(AW108=0,ISBLANK(P108)),B108&lt;&gt;"")</formula>
    </cfRule>
    <cfRule type="expression" dxfId="3790" priority="5711">
      <formula>AND(P108="NA",NOT(ISTEXT(Q108)))</formula>
    </cfRule>
    <cfRule type="expression" dxfId="3789" priority="5712">
      <formula>AND(AW108&gt;5,P108="NA")</formula>
    </cfRule>
    <cfRule type="expression" dxfId="3788" priority="5713">
      <formula>AND(AW108&lt;5,P108="NA")</formula>
    </cfRule>
    <cfRule type="expression" dxfId="3787" priority="5714">
      <formula>AND(P108&lt;&gt;"NA",P108&gt;$P$16)</formula>
    </cfRule>
  </conditionalFormatting>
  <conditionalFormatting sqref="Q108">
    <cfRule type="expression" priority="5646" stopIfTrue="1">
      <formula>"ISBLANK($K$185)"</formula>
    </cfRule>
    <cfRule type="expression" dxfId="3786" priority="5705">
      <formula>AND(OR(AW108=0,ISBLANK(Q108)),B108&lt;&gt;"")</formula>
    </cfRule>
    <cfRule type="expression" dxfId="3785" priority="5706">
      <formula>AND(Q108="NA",NOT(ISTEXT(P108)))</formula>
    </cfRule>
    <cfRule type="expression" dxfId="3784" priority="5707">
      <formula>AND(AW108&gt;5,Q108="NA")</formula>
    </cfRule>
    <cfRule type="expression" dxfId="3783" priority="5708">
      <formula>AND(AW108&lt;5,Q108="NA")</formula>
    </cfRule>
    <cfRule type="expression" dxfId="3782" priority="5709">
      <formula>AND(Q108&lt;&gt;"NA",Q108&gt;$Q$16)</formula>
    </cfRule>
  </conditionalFormatting>
  <conditionalFormatting sqref="R108">
    <cfRule type="expression" priority="5645" stopIfTrue="1">
      <formula>"ISBLANK($K$185)"</formula>
    </cfRule>
    <cfRule type="expression" dxfId="3781" priority="5700">
      <formula>AND(OR(AW108=0,ISBLANK(R108)),B108&lt;&gt;"")</formula>
    </cfRule>
    <cfRule type="expression" dxfId="3780" priority="5701">
      <formula>AND(R108="NA",NOT(ISTEXT(S108)))</formula>
    </cfRule>
    <cfRule type="expression" dxfId="3779" priority="5702">
      <formula>AND(AW108&gt;5,R108="NA")</formula>
    </cfRule>
    <cfRule type="expression" dxfId="3778" priority="5703">
      <formula>AND(AW108&lt;5,R108="NA")</formula>
    </cfRule>
    <cfRule type="expression" dxfId="3777" priority="5704">
      <formula>AND(R108&lt;&gt;"NA",R108&gt;$R$16)</formula>
    </cfRule>
  </conditionalFormatting>
  <conditionalFormatting sqref="S108">
    <cfRule type="expression" priority="5644" stopIfTrue="1">
      <formula>"ISBLANK($K$185)"</formula>
    </cfRule>
    <cfRule type="expression" dxfId="3776" priority="5695">
      <formula>AND(OR(AW108=0,ISBLANK(S108)),B108&lt;&gt;"")</formula>
    </cfRule>
    <cfRule type="expression" dxfId="3775" priority="5696">
      <formula>AND(S108="NA",NOT(ISTEXT(R108)))</formula>
    </cfRule>
    <cfRule type="expression" dxfId="3774" priority="5697">
      <formula>AND(AW108&gt;5,S108="NA")</formula>
    </cfRule>
    <cfRule type="expression" dxfId="3773" priority="5698">
      <formula>AND(AW108&lt;5,S108="NA")</formula>
    </cfRule>
    <cfRule type="expression" dxfId="3772" priority="5699">
      <formula>AND(S108&lt;&gt;"NA",S108&gt;$S$16)</formula>
    </cfRule>
  </conditionalFormatting>
  <conditionalFormatting sqref="T108">
    <cfRule type="expression" priority="5643" stopIfTrue="1">
      <formula>"ISBLANK($K$185)"</formula>
    </cfRule>
    <cfRule type="expression" dxfId="3771" priority="5690">
      <formula>AND(OR(AW108=0,ISBLANK(T108)),B108&lt;&gt;"")</formula>
    </cfRule>
    <cfRule type="expression" dxfId="3770" priority="5691">
      <formula>AND(T108="NA",NOT(ISTEXT(U108)))</formula>
    </cfRule>
    <cfRule type="expression" dxfId="3769" priority="5692">
      <formula>AND(AW108&gt;5,T108="NA")</formula>
    </cfRule>
    <cfRule type="expression" dxfId="3768" priority="5693">
      <formula>AND(AW108&lt;5,T108="NA")</formula>
    </cfRule>
    <cfRule type="expression" dxfId="3767" priority="5694">
      <formula>AND(T108&lt;&gt;"NA",T108&gt;$T$16)</formula>
    </cfRule>
  </conditionalFormatting>
  <conditionalFormatting sqref="U108">
    <cfRule type="expression" priority="5642" stopIfTrue="1">
      <formula>"ISBLANK($K$185)"</formula>
    </cfRule>
    <cfRule type="expression" dxfId="3766" priority="5685">
      <formula>AND(OR(AW108=0,ISBLANK(U108)),B108&lt;&gt;"")</formula>
    </cfRule>
    <cfRule type="expression" dxfId="3765" priority="5686">
      <formula>AND(U108="NA",NOT(ISTEXT(T108)))</formula>
    </cfRule>
    <cfRule type="expression" dxfId="3764" priority="5687">
      <formula>AND(AW108&gt;5,U108="NA")</formula>
    </cfRule>
    <cfRule type="expression" dxfId="3763" priority="5688">
      <formula>AND(AW108&lt;5,U108="NA")</formula>
    </cfRule>
    <cfRule type="expression" dxfId="3762" priority="5689">
      <formula>AND(U108&lt;&gt;"NA",U108&gt;$U$16)</formula>
    </cfRule>
  </conditionalFormatting>
  <conditionalFormatting sqref="V108">
    <cfRule type="expression" priority="5641" stopIfTrue="1">
      <formula>"ISBLANK($K$185)"</formula>
    </cfRule>
    <cfRule type="expression" dxfId="3761" priority="5680">
      <formula>AND(OR(AW108=0,ISBLANK(V108)),B108&lt;&gt;"")</formula>
    </cfRule>
    <cfRule type="expression" dxfId="3760" priority="5681">
      <formula>AND(V108="NA",NOT(ISTEXT(W108)))</formula>
    </cfRule>
    <cfRule type="expression" dxfId="3759" priority="5682">
      <formula>AND(AW108&gt;5,V108="NA")</formula>
    </cfRule>
    <cfRule type="expression" dxfId="3758" priority="5683">
      <formula>AND(AW108&lt;5,V108="NA")</formula>
    </cfRule>
    <cfRule type="expression" dxfId="3757" priority="5684">
      <formula>AND(V108&lt;&gt;"NA",V108&gt;$V$16)</formula>
    </cfRule>
  </conditionalFormatting>
  <conditionalFormatting sqref="W108">
    <cfRule type="expression" priority="5640" stopIfTrue="1">
      <formula>"ISBLANK($K$185)"</formula>
    </cfRule>
    <cfRule type="expression" dxfId="3756" priority="5675">
      <formula>AND(OR(AW108=0,ISBLANK(W108)),B108&lt;&gt;"")</formula>
    </cfRule>
    <cfRule type="expression" dxfId="3755" priority="5676">
      <formula>AND(W108="NA",NOT(ISTEXT(V108)))</formula>
    </cfRule>
    <cfRule type="expression" dxfId="3754" priority="5677">
      <formula>AND(AW108&gt;5,W108="NA")</formula>
    </cfRule>
    <cfRule type="expression" dxfId="3753" priority="5678">
      <formula>AND(AW108&lt;5,W108="NA")</formula>
    </cfRule>
    <cfRule type="expression" dxfId="3752" priority="5679">
      <formula>AND(W108&lt;&gt;"NA",W108&gt;$W$16)</formula>
    </cfRule>
  </conditionalFormatting>
  <conditionalFormatting sqref="X108">
    <cfRule type="expression" priority="5639" stopIfTrue="1">
      <formula>"ISBLANK($K$185)"</formula>
    </cfRule>
    <cfRule type="expression" dxfId="3751" priority="5670">
      <formula>AND(OR(AW108=0,ISBLANK(X108)),B108&lt;&gt;"")</formula>
    </cfRule>
    <cfRule type="expression" dxfId="3750" priority="5671">
      <formula>AND(X108="NA",NOT(ISTEXT(Y108)))</formula>
    </cfRule>
    <cfRule type="expression" dxfId="3749" priority="5672">
      <formula>AND(AW108&gt;5,X108="NA")</formula>
    </cfRule>
    <cfRule type="expression" dxfId="3748" priority="5673">
      <formula>AND(AW108&lt;5,X108="NA")</formula>
    </cfRule>
    <cfRule type="expression" dxfId="3747" priority="5674">
      <formula>AND(X108&lt;&gt;"NA",X108&gt;$Y$16)</formula>
    </cfRule>
  </conditionalFormatting>
  <conditionalFormatting sqref="Y108">
    <cfRule type="expression" priority="5638" stopIfTrue="1">
      <formula>"ISBLANK($K$185)"</formula>
    </cfRule>
    <cfRule type="expression" dxfId="3746" priority="5665">
      <formula>AND(OR(AW108=0,ISBLANK(Y108)),B108&lt;&gt;"")</formula>
    </cfRule>
    <cfRule type="expression" dxfId="3745" priority="5666">
      <formula>AND(Y108="NA",NOT(ISTEXT(X108)))</formula>
    </cfRule>
    <cfRule type="expression" dxfId="3744" priority="5667">
      <formula>AND(AW108&gt;5,Y108="NA")</formula>
    </cfRule>
    <cfRule type="expression" dxfId="3743" priority="5668">
      <formula>AND(AW108&lt;5,Y108="NA")</formula>
    </cfRule>
    <cfRule type="expression" dxfId="3742" priority="5669">
      <formula>AND(Y108&lt;&gt;"NA",Y108&gt;$Y$16)</formula>
    </cfRule>
  </conditionalFormatting>
  <conditionalFormatting sqref="N108">
    <cfRule type="expression" priority="5649" stopIfTrue="1">
      <formula>"ISBLANK($K$185)"</formula>
    </cfRule>
    <cfRule type="expression" dxfId="3741" priority="5720">
      <formula>AND(OR(AW108=0,ISBLANK(N108)),B108&lt;&gt;"")</formula>
    </cfRule>
    <cfRule type="expression" dxfId="3740" priority="5721">
      <formula>AND(N108="NA",NOT(ISTEXT(O108)))</formula>
    </cfRule>
    <cfRule type="expression" dxfId="3739" priority="5722">
      <formula>AND(AW108&gt;5,N108="NA")</formula>
    </cfRule>
    <cfRule type="expression" dxfId="3738" priority="5723">
      <formula>AND(AW108&lt;5,N108="NA")</formula>
    </cfRule>
    <cfRule type="expression" dxfId="3737" priority="5724">
      <formula>AND(N108&lt;&gt;"NA",N108&gt;$N$16)</formula>
    </cfRule>
  </conditionalFormatting>
  <conditionalFormatting sqref="O109">
    <cfRule type="expression" priority="5557" stopIfTrue="1">
      <formula>"ISBLANK($K$185)"</formula>
    </cfRule>
    <cfRule type="expression" dxfId="3736" priority="5624">
      <formula>AND(OR(AW109=0,ISBLANK(O109)),B109&lt;&gt;"")</formula>
    </cfRule>
    <cfRule type="expression" dxfId="3735" priority="5625">
      <formula>AND(O109="NA",NOT(ISTEXT(N109)))</formula>
    </cfRule>
    <cfRule type="expression" dxfId="3734" priority="5626">
      <formula>AND(AW109&gt;5,O109="NA")</formula>
    </cfRule>
    <cfRule type="expression" dxfId="3733" priority="5627">
      <formula>AND(AW109&lt;5,O109="NA")</formula>
    </cfRule>
    <cfRule type="expression" dxfId="3732" priority="5628">
      <formula>AND(O109&lt;&gt;"NA",O109&gt;$O$16)</formula>
    </cfRule>
  </conditionalFormatting>
  <conditionalFormatting sqref="P109">
    <cfRule type="expression" priority="5556" stopIfTrue="1">
      <formula>"ISBLANK($K$185)"</formula>
    </cfRule>
    <cfRule type="expression" dxfId="3731" priority="5619">
      <formula>AND(OR(AW109=0,ISBLANK(P109)),B109&lt;&gt;"")</formula>
    </cfRule>
    <cfRule type="expression" dxfId="3730" priority="5620">
      <formula>AND(P109="NA",NOT(ISTEXT(Q109)))</formula>
    </cfRule>
    <cfRule type="expression" dxfId="3729" priority="5621">
      <formula>AND(AW109&gt;5,P109="NA")</formula>
    </cfRule>
    <cfRule type="expression" dxfId="3728" priority="5622">
      <formula>AND(AW109&lt;5,P109="NA")</formula>
    </cfRule>
    <cfRule type="expression" dxfId="3727" priority="5623">
      <formula>AND(P109&lt;&gt;"NA",P109&gt;$P$16)</formula>
    </cfRule>
  </conditionalFormatting>
  <conditionalFormatting sqref="Q109">
    <cfRule type="expression" priority="5555" stopIfTrue="1">
      <formula>"ISBLANK($K$185)"</formula>
    </cfRule>
    <cfRule type="expression" dxfId="3726" priority="5614">
      <formula>AND(OR(AW109=0,ISBLANK(Q109)),B109&lt;&gt;"")</formula>
    </cfRule>
    <cfRule type="expression" dxfId="3725" priority="5615">
      <formula>AND(Q109="NA",NOT(ISTEXT(P109)))</formula>
    </cfRule>
    <cfRule type="expression" dxfId="3724" priority="5616">
      <formula>AND(AW109&gt;5,Q109="NA")</formula>
    </cfRule>
    <cfRule type="expression" dxfId="3723" priority="5617">
      <formula>AND(AW109&lt;5,Q109="NA")</formula>
    </cfRule>
    <cfRule type="expression" dxfId="3722" priority="5618">
      <formula>AND(Q109&lt;&gt;"NA",Q109&gt;$Q$16)</formula>
    </cfRule>
  </conditionalFormatting>
  <conditionalFormatting sqref="R109">
    <cfRule type="expression" priority="5554" stopIfTrue="1">
      <formula>"ISBLANK($K$185)"</formula>
    </cfRule>
    <cfRule type="expression" dxfId="3721" priority="5609">
      <formula>AND(OR(AW109=0,ISBLANK(R109)),B109&lt;&gt;"")</formula>
    </cfRule>
    <cfRule type="expression" dxfId="3720" priority="5610">
      <formula>AND(R109="NA",NOT(ISTEXT(S109)))</formula>
    </cfRule>
    <cfRule type="expression" dxfId="3719" priority="5611">
      <formula>AND(AW109&gt;5,R109="NA")</formula>
    </cfRule>
    <cfRule type="expression" dxfId="3718" priority="5612">
      <formula>AND(AW109&lt;5,R109="NA")</formula>
    </cfRule>
    <cfRule type="expression" dxfId="3717" priority="5613">
      <formula>AND(R109&lt;&gt;"NA",R109&gt;$R$16)</formula>
    </cfRule>
  </conditionalFormatting>
  <conditionalFormatting sqref="S109">
    <cfRule type="expression" priority="5553" stopIfTrue="1">
      <formula>"ISBLANK($K$185)"</formula>
    </cfRule>
    <cfRule type="expression" dxfId="3716" priority="5604">
      <formula>AND(OR(AW109=0,ISBLANK(S109)),B109&lt;&gt;"")</formula>
    </cfRule>
    <cfRule type="expression" dxfId="3715" priority="5605">
      <formula>AND(S109="NA",NOT(ISTEXT(R109)))</formula>
    </cfRule>
    <cfRule type="expression" dxfId="3714" priority="5606">
      <formula>AND(AW109&gt;5,S109="NA")</formula>
    </cfRule>
    <cfRule type="expression" dxfId="3713" priority="5607">
      <formula>AND(AW109&lt;5,S109="NA")</formula>
    </cfRule>
    <cfRule type="expression" dxfId="3712" priority="5608">
      <formula>AND(S109&lt;&gt;"NA",S109&gt;$S$16)</formula>
    </cfRule>
  </conditionalFormatting>
  <conditionalFormatting sqref="T109">
    <cfRule type="expression" priority="5552" stopIfTrue="1">
      <formula>"ISBLANK($K$185)"</formula>
    </cfRule>
    <cfRule type="expression" dxfId="3711" priority="5599">
      <formula>AND(OR(AW109=0,ISBLANK(T109)),B109&lt;&gt;"")</formula>
    </cfRule>
    <cfRule type="expression" dxfId="3710" priority="5600">
      <formula>AND(T109="NA",NOT(ISTEXT(U109)))</formula>
    </cfRule>
    <cfRule type="expression" dxfId="3709" priority="5601">
      <formula>AND(AW109&gt;5,T109="NA")</formula>
    </cfRule>
    <cfRule type="expression" dxfId="3708" priority="5602">
      <formula>AND(AW109&lt;5,T109="NA")</formula>
    </cfRule>
    <cfRule type="expression" dxfId="3707" priority="5603">
      <formula>AND(T109&lt;&gt;"NA",T109&gt;$T$16)</formula>
    </cfRule>
  </conditionalFormatting>
  <conditionalFormatting sqref="U109">
    <cfRule type="expression" priority="5551" stopIfTrue="1">
      <formula>"ISBLANK($K$185)"</formula>
    </cfRule>
    <cfRule type="expression" dxfId="3706" priority="5594">
      <formula>AND(OR(AW109=0,ISBLANK(U109)),B109&lt;&gt;"")</formula>
    </cfRule>
    <cfRule type="expression" dxfId="3705" priority="5595">
      <formula>AND(U109="NA",NOT(ISTEXT(T109)))</formula>
    </cfRule>
    <cfRule type="expression" dxfId="3704" priority="5596">
      <formula>AND(AW109&gt;5,U109="NA")</formula>
    </cfRule>
    <cfRule type="expression" dxfId="3703" priority="5597">
      <formula>AND(AW109&lt;5,U109="NA")</formula>
    </cfRule>
    <cfRule type="expression" dxfId="3702" priority="5598">
      <formula>AND(U109&lt;&gt;"NA",U109&gt;$U$16)</formula>
    </cfRule>
  </conditionalFormatting>
  <conditionalFormatting sqref="V109">
    <cfRule type="expression" priority="5550" stopIfTrue="1">
      <formula>"ISBLANK($K$185)"</formula>
    </cfRule>
    <cfRule type="expression" dxfId="3701" priority="5589">
      <formula>AND(OR(AW109=0,ISBLANK(V109)),B109&lt;&gt;"")</formula>
    </cfRule>
    <cfRule type="expression" dxfId="3700" priority="5590">
      <formula>AND(V109="NA",NOT(ISTEXT(W109)))</formula>
    </cfRule>
    <cfRule type="expression" dxfId="3699" priority="5591">
      <formula>AND(AW109&gt;5,V109="NA")</formula>
    </cfRule>
    <cfRule type="expression" dxfId="3698" priority="5592">
      <formula>AND(AW109&lt;5,V109="NA")</formula>
    </cfRule>
    <cfRule type="expression" dxfId="3697" priority="5593">
      <formula>AND(V109&lt;&gt;"NA",V109&gt;$V$16)</formula>
    </cfRule>
  </conditionalFormatting>
  <conditionalFormatting sqref="W109">
    <cfRule type="expression" priority="5549" stopIfTrue="1">
      <formula>"ISBLANK($K$185)"</formula>
    </cfRule>
    <cfRule type="expression" dxfId="3696" priority="5584">
      <formula>AND(OR(AW109=0,ISBLANK(W109)),B109&lt;&gt;"")</formula>
    </cfRule>
    <cfRule type="expression" dxfId="3695" priority="5585">
      <formula>AND(W109="NA",NOT(ISTEXT(V109)))</formula>
    </cfRule>
    <cfRule type="expression" dxfId="3694" priority="5586">
      <formula>AND(AW109&gt;5,W109="NA")</formula>
    </cfRule>
    <cfRule type="expression" dxfId="3693" priority="5587">
      <formula>AND(AW109&lt;5,W109="NA")</formula>
    </cfRule>
    <cfRule type="expression" dxfId="3692" priority="5588">
      <formula>AND(W109&lt;&gt;"NA",W109&gt;$W$16)</formula>
    </cfRule>
  </conditionalFormatting>
  <conditionalFormatting sqref="X109">
    <cfRule type="expression" priority="5548" stopIfTrue="1">
      <formula>"ISBLANK($K$185)"</formula>
    </cfRule>
    <cfRule type="expression" dxfId="3691" priority="5579">
      <formula>AND(OR(AW109=0,ISBLANK(X109)),B109&lt;&gt;"")</formula>
    </cfRule>
    <cfRule type="expression" dxfId="3690" priority="5580">
      <formula>AND(X109="NA",NOT(ISTEXT(Y109)))</formula>
    </cfRule>
    <cfRule type="expression" dxfId="3689" priority="5581">
      <formula>AND(AW109&gt;5,X109="NA")</formula>
    </cfRule>
    <cfRule type="expression" dxfId="3688" priority="5582">
      <formula>AND(AW109&lt;5,X109="NA")</formula>
    </cfRule>
    <cfRule type="expression" dxfId="3687" priority="5583">
      <formula>AND(X109&lt;&gt;"NA",X109&gt;$Y$16)</formula>
    </cfRule>
  </conditionalFormatting>
  <conditionalFormatting sqref="Y109">
    <cfRule type="expression" priority="5547" stopIfTrue="1">
      <formula>"ISBLANK($K$185)"</formula>
    </cfRule>
    <cfRule type="expression" dxfId="3686" priority="5574">
      <formula>AND(OR(AW109=0,ISBLANK(Y109)),B109&lt;&gt;"")</formula>
    </cfRule>
    <cfRule type="expression" dxfId="3685" priority="5575">
      <formula>AND(Y109="NA",NOT(ISTEXT(X109)))</formula>
    </cfRule>
    <cfRule type="expression" dxfId="3684" priority="5576">
      <formula>AND(AW109&gt;5,Y109="NA")</formula>
    </cfRule>
    <cfRule type="expression" dxfId="3683" priority="5577">
      <formula>AND(AW109&lt;5,Y109="NA")</formula>
    </cfRule>
    <cfRule type="expression" dxfId="3682" priority="5578">
      <formula>AND(Y109&lt;&gt;"NA",Y109&gt;$Y$16)</formula>
    </cfRule>
  </conditionalFormatting>
  <conditionalFormatting sqref="N109">
    <cfRule type="expression" priority="5558" stopIfTrue="1">
      <formula>"ISBLANK($K$185)"</formula>
    </cfRule>
    <cfRule type="expression" dxfId="3681" priority="5629">
      <formula>AND(OR(AW109=0,ISBLANK(N109)),B109&lt;&gt;"")</formula>
    </cfRule>
    <cfRule type="expression" dxfId="3680" priority="5630">
      <formula>AND(N109="NA",NOT(ISTEXT(O109)))</formula>
    </cfRule>
    <cfRule type="expression" dxfId="3679" priority="5631">
      <formula>AND(AW109&gt;5,N109="NA")</formula>
    </cfRule>
    <cfRule type="expression" dxfId="3678" priority="5632">
      <formula>AND(AW109&lt;5,N109="NA")</formula>
    </cfRule>
    <cfRule type="expression" dxfId="3677" priority="5633">
      <formula>AND(N109&lt;&gt;"NA",N109&gt;$N$16)</formula>
    </cfRule>
  </conditionalFormatting>
  <conditionalFormatting sqref="O110">
    <cfRule type="expression" priority="5466" stopIfTrue="1">
      <formula>"ISBLANK($K$185)"</formula>
    </cfRule>
    <cfRule type="expression" dxfId="3676" priority="5533">
      <formula>AND(OR(AW110=0,ISBLANK(O110)),B110&lt;&gt;"")</formula>
    </cfRule>
    <cfRule type="expression" dxfId="3675" priority="5534">
      <formula>AND(O110="NA",NOT(ISTEXT(N110)))</formula>
    </cfRule>
    <cfRule type="expression" dxfId="3674" priority="5535">
      <formula>AND(AW110&gt;5,O110="NA")</formula>
    </cfRule>
    <cfRule type="expression" dxfId="3673" priority="5536">
      <formula>AND(AW110&lt;5,O110="NA")</formula>
    </cfRule>
    <cfRule type="expression" dxfId="3672" priority="5537">
      <formula>AND(O110&lt;&gt;"NA",O110&gt;$O$16)</formula>
    </cfRule>
  </conditionalFormatting>
  <conditionalFormatting sqref="P110">
    <cfRule type="expression" priority="5465" stopIfTrue="1">
      <formula>"ISBLANK($K$185)"</formula>
    </cfRule>
    <cfRule type="expression" dxfId="3671" priority="5528">
      <formula>AND(OR(AW110=0,ISBLANK(P110)),B110&lt;&gt;"")</formula>
    </cfRule>
    <cfRule type="expression" dxfId="3670" priority="5529">
      <formula>AND(P110="NA",NOT(ISTEXT(Q110)))</formula>
    </cfRule>
    <cfRule type="expression" dxfId="3669" priority="5530">
      <formula>AND(AW110&gt;5,P110="NA")</formula>
    </cfRule>
    <cfRule type="expression" dxfId="3668" priority="5531">
      <formula>AND(AW110&lt;5,P110="NA")</formula>
    </cfRule>
    <cfRule type="expression" dxfId="3667" priority="5532">
      <formula>AND(P110&lt;&gt;"NA",P110&gt;$P$16)</formula>
    </cfRule>
  </conditionalFormatting>
  <conditionalFormatting sqref="Q110">
    <cfRule type="expression" priority="5464" stopIfTrue="1">
      <formula>"ISBLANK($K$185)"</formula>
    </cfRule>
    <cfRule type="expression" dxfId="3666" priority="5523">
      <formula>AND(OR(AW110=0,ISBLANK(Q110)),B110&lt;&gt;"")</formula>
    </cfRule>
    <cfRule type="expression" dxfId="3665" priority="5524">
      <formula>AND(Q110="NA",NOT(ISTEXT(P110)))</formula>
    </cfRule>
    <cfRule type="expression" dxfId="3664" priority="5525">
      <formula>AND(AW110&gt;5,Q110="NA")</formula>
    </cfRule>
    <cfRule type="expression" dxfId="3663" priority="5526">
      <formula>AND(AW110&lt;5,Q110="NA")</formula>
    </cfRule>
    <cfRule type="expression" dxfId="3662" priority="5527">
      <formula>AND(Q110&lt;&gt;"NA",Q110&gt;$Q$16)</formula>
    </cfRule>
  </conditionalFormatting>
  <conditionalFormatting sqref="R110">
    <cfRule type="expression" priority="5463" stopIfTrue="1">
      <formula>"ISBLANK($K$185)"</formula>
    </cfRule>
    <cfRule type="expression" dxfId="3661" priority="5518">
      <formula>AND(OR(AW110=0,ISBLANK(R110)),B110&lt;&gt;"")</formula>
    </cfRule>
    <cfRule type="expression" dxfId="3660" priority="5519">
      <formula>AND(R110="NA",NOT(ISTEXT(S110)))</formula>
    </cfRule>
    <cfRule type="expression" dxfId="3659" priority="5520">
      <formula>AND(AW110&gt;5,R110="NA")</formula>
    </cfRule>
    <cfRule type="expression" dxfId="3658" priority="5521">
      <formula>AND(AW110&lt;5,R110="NA")</formula>
    </cfRule>
    <cfRule type="expression" dxfId="3657" priority="5522">
      <formula>AND(R110&lt;&gt;"NA",R110&gt;$R$16)</formula>
    </cfRule>
  </conditionalFormatting>
  <conditionalFormatting sqref="S110">
    <cfRule type="expression" priority="5462" stopIfTrue="1">
      <formula>"ISBLANK($K$185)"</formula>
    </cfRule>
    <cfRule type="expression" dxfId="3656" priority="5513">
      <formula>AND(OR(AW110=0,ISBLANK(S110)),B110&lt;&gt;"")</formula>
    </cfRule>
    <cfRule type="expression" dxfId="3655" priority="5514">
      <formula>AND(S110="NA",NOT(ISTEXT(R110)))</formula>
    </cfRule>
    <cfRule type="expression" dxfId="3654" priority="5515">
      <formula>AND(AW110&gt;5,S110="NA")</formula>
    </cfRule>
    <cfRule type="expression" dxfId="3653" priority="5516">
      <formula>AND(AW110&lt;5,S110="NA")</formula>
    </cfRule>
    <cfRule type="expression" dxfId="3652" priority="5517">
      <formula>AND(S110&lt;&gt;"NA",S110&gt;$S$16)</formula>
    </cfRule>
  </conditionalFormatting>
  <conditionalFormatting sqref="T110">
    <cfRule type="expression" priority="5461" stopIfTrue="1">
      <formula>"ISBLANK($K$185)"</formula>
    </cfRule>
    <cfRule type="expression" dxfId="3651" priority="5508">
      <formula>AND(OR(AW110=0,ISBLANK(T110)),B110&lt;&gt;"")</formula>
    </cfRule>
    <cfRule type="expression" dxfId="3650" priority="5509">
      <formula>AND(T110="NA",NOT(ISTEXT(U110)))</formula>
    </cfRule>
    <cfRule type="expression" dxfId="3649" priority="5510">
      <formula>AND(AW110&gt;5,T110="NA")</formula>
    </cfRule>
    <cfRule type="expression" dxfId="3648" priority="5511">
      <formula>AND(AW110&lt;5,T110="NA")</formula>
    </cfRule>
    <cfRule type="expression" dxfId="3647" priority="5512">
      <formula>AND(T110&lt;&gt;"NA",T110&gt;$T$16)</formula>
    </cfRule>
  </conditionalFormatting>
  <conditionalFormatting sqref="U110">
    <cfRule type="expression" priority="5460" stopIfTrue="1">
      <formula>"ISBLANK($K$185)"</formula>
    </cfRule>
    <cfRule type="expression" dxfId="3646" priority="5503">
      <formula>AND(OR(AW110=0,ISBLANK(U110)),B110&lt;&gt;"")</formula>
    </cfRule>
    <cfRule type="expression" dxfId="3645" priority="5504">
      <formula>AND(U110="NA",NOT(ISTEXT(T110)))</formula>
    </cfRule>
    <cfRule type="expression" dxfId="3644" priority="5505">
      <formula>AND(AW110&gt;5,U110="NA")</formula>
    </cfRule>
    <cfRule type="expression" dxfId="3643" priority="5506">
      <formula>AND(AW110&lt;5,U110="NA")</formula>
    </cfRule>
    <cfRule type="expression" dxfId="3642" priority="5507">
      <formula>AND(U110&lt;&gt;"NA",U110&gt;$U$16)</formula>
    </cfRule>
  </conditionalFormatting>
  <conditionalFormatting sqref="V110">
    <cfRule type="expression" priority="5459" stopIfTrue="1">
      <formula>"ISBLANK($K$185)"</formula>
    </cfRule>
    <cfRule type="expression" dxfId="3641" priority="5498">
      <formula>AND(OR(AW110=0,ISBLANK(V110)),B110&lt;&gt;"")</formula>
    </cfRule>
    <cfRule type="expression" dxfId="3640" priority="5499">
      <formula>AND(V110="NA",NOT(ISTEXT(W110)))</formula>
    </cfRule>
    <cfRule type="expression" dxfId="3639" priority="5500">
      <formula>AND(AW110&gt;5,V110="NA")</formula>
    </cfRule>
    <cfRule type="expression" dxfId="3638" priority="5501">
      <formula>AND(AW110&lt;5,V110="NA")</formula>
    </cfRule>
    <cfRule type="expression" dxfId="3637" priority="5502">
      <formula>AND(V110&lt;&gt;"NA",V110&gt;$V$16)</formula>
    </cfRule>
  </conditionalFormatting>
  <conditionalFormatting sqref="W110">
    <cfRule type="expression" priority="5458" stopIfTrue="1">
      <formula>"ISBLANK($K$185)"</formula>
    </cfRule>
    <cfRule type="expression" dxfId="3636" priority="5493">
      <formula>AND(OR(AW110=0,ISBLANK(W110)),B110&lt;&gt;"")</formula>
    </cfRule>
    <cfRule type="expression" dxfId="3635" priority="5494">
      <formula>AND(W110="NA",NOT(ISTEXT(V110)))</formula>
    </cfRule>
    <cfRule type="expression" dxfId="3634" priority="5495">
      <formula>AND(AW110&gt;5,W110="NA")</formula>
    </cfRule>
    <cfRule type="expression" dxfId="3633" priority="5496">
      <formula>AND(AW110&lt;5,W110="NA")</formula>
    </cfRule>
    <cfRule type="expression" dxfId="3632" priority="5497">
      <formula>AND(W110&lt;&gt;"NA",W110&gt;$W$16)</formula>
    </cfRule>
  </conditionalFormatting>
  <conditionalFormatting sqref="X110">
    <cfRule type="expression" priority="5457" stopIfTrue="1">
      <formula>"ISBLANK($K$185)"</formula>
    </cfRule>
    <cfRule type="expression" dxfId="3631" priority="5488">
      <formula>AND(OR(AW110=0,ISBLANK(X110)),B110&lt;&gt;"")</formula>
    </cfRule>
    <cfRule type="expression" dxfId="3630" priority="5489">
      <formula>AND(X110="NA",NOT(ISTEXT(Y110)))</formula>
    </cfRule>
    <cfRule type="expression" dxfId="3629" priority="5490">
      <formula>AND(AW110&gt;5,X110="NA")</formula>
    </cfRule>
    <cfRule type="expression" dxfId="3628" priority="5491">
      <formula>AND(AW110&lt;5,X110="NA")</formula>
    </cfRule>
    <cfRule type="expression" dxfId="3627" priority="5492">
      <formula>AND(X110&lt;&gt;"NA",X110&gt;$Y$16)</formula>
    </cfRule>
  </conditionalFormatting>
  <conditionalFormatting sqref="Y110">
    <cfRule type="expression" priority="5456" stopIfTrue="1">
      <formula>"ISBLANK($K$185)"</formula>
    </cfRule>
    <cfRule type="expression" dxfId="3626" priority="5483">
      <formula>AND(OR(AW110=0,ISBLANK(Y110)),B110&lt;&gt;"")</formula>
    </cfRule>
    <cfRule type="expression" dxfId="3625" priority="5484">
      <formula>AND(Y110="NA",NOT(ISTEXT(X110)))</formula>
    </cfRule>
    <cfRule type="expression" dxfId="3624" priority="5485">
      <formula>AND(AW110&gt;5,Y110="NA")</formula>
    </cfRule>
    <cfRule type="expression" dxfId="3623" priority="5486">
      <formula>AND(AW110&lt;5,Y110="NA")</formula>
    </cfRule>
    <cfRule type="expression" dxfId="3622" priority="5487">
      <formula>AND(Y110&lt;&gt;"NA",Y110&gt;$Y$16)</formula>
    </cfRule>
  </conditionalFormatting>
  <conditionalFormatting sqref="N110">
    <cfRule type="expression" priority="5467" stopIfTrue="1">
      <formula>"ISBLANK($K$185)"</formula>
    </cfRule>
    <cfRule type="expression" dxfId="3621" priority="5538">
      <formula>AND(OR(AW110=0,ISBLANK(N110)),B110&lt;&gt;"")</formula>
    </cfRule>
    <cfRule type="expression" dxfId="3620" priority="5539">
      <formula>AND(N110="NA",NOT(ISTEXT(O110)))</formula>
    </cfRule>
    <cfRule type="expression" dxfId="3619" priority="5540">
      <formula>AND(AW110&gt;5,N110="NA")</formula>
    </cfRule>
    <cfRule type="expression" dxfId="3618" priority="5541">
      <formula>AND(AW110&lt;5,N110="NA")</formula>
    </cfRule>
    <cfRule type="expression" dxfId="3617" priority="5542">
      <formula>AND(N110&lt;&gt;"NA",N110&gt;$N$16)</formula>
    </cfRule>
  </conditionalFormatting>
  <conditionalFormatting sqref="O111">
    <cfRule type="expression" priority="5375" stopIfTrue="1">
      <formula>"ISBLANK($K$185)"</formula>
    </cfRule>
    <cfRule type="expression" dxfId="3616" priority="5442">
      <formula>AND(OR(AW111=0,ISBLANK(O111)),B111&lt;&gt;"")</formula>
    </cfRule>
    <cfRule type="expression" dxfId="3615" priority="5443">
      <formula>AND(O111="NA",NOT(ISTEXT(N111)))</formula>
    </cfRule>
    <cfRule type="expression" dxfId="3614" priority="5444">
      <formula>AND(AW111&gt;5,O111="NA")</formula>
    </cfRule>
    <cfRule type="expression" dxfId="3613" priority="5445">
      <formula>AND(AW111&lt;5,O111="NA")</formula>
    </cfRule>
    <cfRule type="expression" dxfId="3612" priority="5446">
      <formula>AND(O111&lt;&gt;"NA",O111&gt;$O$16)</formula>
    </cfRule>
  </conditionalFormatting>
  <conditionalFormatting sqref="P111">
    <cfRule type="expression" priority="5374" stopIfTrue="1">
      <formula>"ISBLANK($K$185)"</formula>
    </cfRule>
    <cfRule type="expression" dxfId="3611" priority="5437">
      <formula>AND(OR(AW111=0,ISBLANK(P111)),B111&lt;&gt;"")</formula>
    </cfRule>
    <cfRule type="expression" dxfId="3610" priority="5438">
      <formula>AND(P111="NA",NOT(ISTEXT(Q111)))</formula>
    </cfRule>
    <cfRule type="expression" dxfId="3609" priority="5439">
      <formula>AND(AW111&gt;5,P111="NA")</formula>
    </cfRule>
    <cfRule type="expression" dxfId="3608" priority="5440">
      <formula>AND(AW111&lt;5,P111="NA")</formula>
    </cfRule>
    <cfRule type="expression" dxfId="3607" priority="5441">
      <formula>AND(P111&lt;&gt;"NA",P111&gt;$P$16)</formula>
    </cfRule>
  </conditionalFormatting>
  <conditionalFormatting sqref="Q111">
    <cfRule type="expression" priority="5373" stopIfTrue="1">
      <formula>"ISBLANK($K$185)"</formula>
    </cfRule>
    <cfRule type="expression" dxfId="3606" priority="5432">
      <formula>AND(OR(AW111=0,ISBLANK(Q111)),B111&lt;&gt;"")</formula>
    </cfRule>
    <cfRule type="expression" dxfId="3605" priority="5433">
      <formula>AND(Q111="NA",NOT(ISTEXT(P111)))</formula>
    </cfRule>
    <cfRule type="expression" dxfId="3604" priority="5434">
      <formula>AND(AW111&gt;5,Q111="NA")</formula>
    </cfRule>
    <cfRule type="expression" dxfId="3603" priority="5435">
      <formula>AND(AW111&lt;5,Q111="NA")</formula>
    </cfRule>
    <cfRule type="expression" dxfId="3602" priority="5436">
      <formula>AND(Q111&lt;&gt;"NA",Q111&gt;$Q$16)</formula>
    </cfRule>
  </conditionalFormatting>
  <conditionalFormatting sqref="R111">
    <cfRule type="expression" priority="5372" stopIfTrue="1">
      <formula>"ISBLANK($K$185)"</formula>
    </cfRule>
    <cfRule type="expression" dxfId="3601" priority="5427">
      <formula>AND(OR(AW111=0,ISBLANK(R111)),B111&lt;&gt;"")</formula>
    </cfRule>
    <cfRule type="expression" dxfId="3600" priority="5428">
      <formula>AND(R111="NA",NOT(ISTEXT(S111)))</formula>
    </cfRule>
    <cfRule type="expression" dxfId="3599" priority="5429">
      <formula>AND(AW111&gt;5,R111="NA")</formula>
    </cfRule>
    <cfRule type="expression" dxfId="3598" priority="5430">
      <formula>AND(AW111&lt;5,R111="NA")</formula>
    </cfRule>
    <cfRule type="expression" dxfId="3597" priority="5431">
      <formula>AND(R111&lt;&gt;"NA",R111&gt;$R$16)</formula>
    </cfRule>
  </conditionalFormatting>
  <conditionalFormatting sqref="S111">
    <cfRule type="expression" priority="5371" stopIfTrue="1">
      <formula>"ISBLANK($K$185)"</formula>
    </cfRule>
    <cfRule type="expression" dxfId="3596" priority="5422">
      <formula>AND(OR(AW111=0,ISBLANK(S111)),B111&lt;&gt;"")</formula>
    </cfRule>
    <cfRule type="expression" dxfId="3595" priority="5423">
      <formula>AND(S111="NA",NOT(ISTEXT(R111)))</formula>
    </cfRule>
    <cfRule type="expression" dxfId="3594" priority="5424">
      <formula>AND(AW111&gt;5,S111="NA")</formula>
    </cfRule>
    <cfRule type="expression" dxfId="3593" priority="5425">
      <formula>AND(AW111&lt;5,S111="NA")</formula>
    </cfRule>
    <cfRule type="expression" dxfId="3592" priority="5426">
      <formula>AND(S111&lt;&gt;"NA",S111&gt;$S$16)</formula>
    </cfRule>
  </conditionalFormatting>
  <conditionalFormatting sqref="T111">
    <cfRule type="expression" priority="5370" stopIfTrue="1">
      <formula>"ISBLANK($K$185)"</formula>
    </cfRule>
    <cfRule type="expression" dxfId="3591" priority="5417">
      <formula>AND(OR(AW111=0,ISBLANK(T111)),B111&lt;&gt;"")</formula>
    </cfRule>
    <cfRule type="expression" dxfId="3590" priority="5418">
      <formula>AND(T111="NA",NOT(ISTEXT(U111)))</formula>
    </cfRule>
    <cfRule type="expression" dxfId="3589" priority="5419">
      <formula>AND(AW111&gt;5,T111="NA")</formula>
    </cfRule>
    <cfRule type="expression" dxfId="3588" priority="5420">
      <formula>AND(AW111&lt;5,T111="NA")</formula>
    </cfRule>
    <cfRule type="expression" dxfId="3587" priority="5421">
      <formula>AND(T111&lt;&gt;"NA",T111&gt;$T$16)</formula>
    </cfRule>
  </conditionalFormatting>
  <conditionalFormatting sqref="U111">
    <cfRule type="expression" priority="5369" stopIfTrue="1">
      <formula>"ISBLANK($K$185)"</formula>
    </cfRule>
    <cfRule type="expression" dxfId="3586" priority="5412">
      <formula>AND(OR(AW111=0,ISBLANK(U111)),B111&lt;&gt;"")</formula>
    </cfRule>
    <cfRule type="expression" dxfId="3585" priority="5413">
      <formula>AND(U111="NA",NOT(ISTEXT(T111)))</formula>
    </cfRule>
    <cfRule type="expression" dxfId="3584" priority="5414">
      <formula>AND(AW111&gt;5,U111="NA")</formula>
    </cfRule>
    <cfRule type="expression" dxfId="3583" priority="5415">
      <formula>AND(AW111&lt;5,U111="NA")</formula>
    </cfRule>
    <cfRule type="expression" dxfId="3582" priority="5416">
      <formula>AND(U111&lt;&gt;"NA",U111&gt;$U$16)</formula>
    </cfRule>
  </conditionalFormatting>
  <conditionalFormatting sqref="V111">
    <cfRule type="expression" priority="5368" stopIfTrue="1">
      <formula>"ISBLANK($K$185)"</formula>
    </cfRule>
    <cfRule type="expression" dxfId="3581" priority="5407">
      <formula>AND(OR(AW111=0,ISBLANK(V111)),B111&lt;&gt;"")</formula>
    </cfRule>
    <cfRule type="expression" dxfId="3580" priority="5408">
      <formula>AND(V111="NA",NOT(ISTEXT(W111)))</formula>
    </cfRule>
    <cfRule type="expression" dxfId="3579" priority="5409">
      <formula>AND(AW111&gt;5,V111="NA")</formula>
    </cfRule>
    <cfRule type="expression" dxfId="3578" priority="5410">
      <formula>AND(AW111&lt;5,V111="NA")</formula>
    </cfRule>
    <cfRule type="expression" dxfId="3577" priority="5411">
      <formula>AND(V111&lt;&gt;"NA",V111&gt;$V$16)</formula>
    </cfRule>
  </conditionalFormatting>
  <conditionalFormatting sqref="W111">
    <cfRule type="expression" priority="5367" stopIfTrue="1">
      <formula>"ISBLANK($K$185)"</formula>
    </cfRule>
    <cfRule type="expression" dxfId="3576" priority="5402">
      <formula>AND(OR(AW111=0,ISBLANK(W111)),B111&lt;&gt;"")</formula>
    </cfRule>
    <cfRule type="expression" dxfId="3575" priority="5403">
      <formula>AND(W111="NA",NOT(ISTEXT(V111)))</formula>
    </cfRule>
    <cfRule type="expression" dxfId="3574" priority="5404">
      <formula>AND(AW111&gt;5,W111="NA")</formula>
    </cfRule>
    <cfRule type="expression" dxfId="3573" priority="5405">
      <formula>AND(AW111&lt;5,W111="NA")</formula>
    </cfRule>
    <cfRule type="expression" dxfId="3572" priority="5406">
      <formula>AND(W111&lt;&gt;"NA",W111&gt;$W$16)</formula>
    </cfRule>
  </conditionalFormatting>
  <conditionalFormatting sqref="X111">
    <cfRule type="expression" priority="5366" stopIfTrue="1">
      <formula>"ISBLANK($K$185)"</formula>
    </cfRule>
    <cfRule type="expression" dxfId="3571" priority="5397">
      <formula>AND(OR(AW111=0,ISBLANK(X111)),B111&lt;&gt;"")</formula>
    </cfRule>
    <cfRule type="expression" dxfId="3570" priority="5398">
      <formula>AND(X111="NA",NOT(ISTEXT(Y111)))</formula>
    </cfRule>
    <cfRule type="expression" dxfId="3569" priority="5399">
      <formula>AND(AW111&gt;5,X111="NA")</formula>
    </cfRule>
    <cfRule type="expression" dxfId="3568" priority="5400">
      <formula>AND(AW111&lt;5,X111="NA")</formula>
    </cfRule>
    <cfRule type="expression" dxfId="3567" priority="5401">
      <formula>AND(X111&lt;&gt;"NA",X111&gt;$Y$16)</formula>
    </cfRule>
  </conditionalFormatting>
  <conditionalFormatting sqref="Y111">
    <cfRule type="expression" priority="5365" stopIfTrue="1">
      <formula>"ISBLANK($K$185)"</formula>
    </cfRule>
    <cfRule type="expression" dxfId="3566" priority="5392">
      <formula>AND(OR(AW111=0,ISBLANK(Y111)),B111&lt;&gt;"")</formula>
    </cfRule>
    <cfRule type="expression" dxfId="3565" priority="5393">
      <formula>AND(Y111="NA",NOT(ISTEXT(X111)))</formula>
    </cfRule>
    <cfRule type="expression" dxfId="3564" priority="5394">
      <formula>AND(AW111&gt;5,Y111="NA")</formula>
    </cfRule>
    <cfRule type="expression" dxfId="3563" priority="5395">
      <formula>AND(AW111&lt;5,Y111="NA")</formula>
    </cfRule>
    <cfRule type="expression" dxfId="3562" priority="5396">
      <formula>AND(Y111&lt;&gt;"NA",Y111&gt;$Y$16)</formula>
    </cfRule>
  </conditionalFormatting>
  <conditionalFormatting sqref="N111">
    <cfRule type="expression" priority="5376" stopIfTrue="1">
      <formula>"ISBLANK($K$185)"</formula>
    </cfRule>
    <cfRule type="expression" dxfId="3561" priority="5447">
      <formula>AND(OR(AW111=0,ISBLANK(N111)),B111&lt;&gt;"")</formula>
    </cfRule>
    <cfRule type="expression" dxfId="3560" priority="5448">
      <formula>AND(N111="NA",NOT(ISTEXT(O111)))</formula>
    </cfRule>
    <cfRule type="expression" dxfId="3559" priority="5449">
      <formula>AND(AW111&gt;5,N111="NA")</formula>
    </cfRule>
    <cfRule type="expression" dxfId="3558" priority="5450">
      <formula>AND(AW111&lt;5,N111="NA")</formula>
    </cfRule>
    <cfRule type="expression" dxfId="3557" priority="5451">
      <formula>AND(N111&lt;&gt;"NA",N111&gt;$N$16)</formula>
    </cfRule>
  </conditionalFormatting>
  <conditionalFormatting sqref="O112">
    <cfRule type="expression" priority="5284" stopIfTrue="1">
      <formula>"ISBLANK($K$185)"</formula>
    </cfRule>
    <cfRule type="expression" dxfId="3556" priority="5351">
      <formula>AND(OR(AW112=0,ISBLANK(O112)),B112&lt;&gt;"")</formula>
    </cfRule>
    <cfRule type="expression" dxfId="3555" priority="5352">
      <formula>AND(O112="NA",NOT(ISTEXT(N112)))</formula>
    </cfRule>
    <cfRule type="expression" dxfId="3554" priority="5353">
      <formula>AND(AW112&gt;5,O112="NA")</formula>
    </cfRule>
    <cfRule type="expression" dxfId="3553" priority="5354">
      <formula>AND(AW112&lt;5,O112="NA")</formula>
    </cfRule>
    <cfRule type="expression" dxfId="3552" priority="5355">
      <formula>AND(O112&lt;&gt;"NA",O112&gt;$O$16)</formula>
    </cfRule>
  </conditionalFormatting>
  <conditionalFormatting sqref="P112">
    <cfRule type="expression" priority="5283" stopIfTrue="1">
      <formula>"ISBLANK($K$185)"</formula>
    </cfRule>
    <cfRule type="expression" dxfId="3551" priority="5346">
      <formula>AND(OR(AW112=0,ISBLANK(P112)),B112&lt;&gt;"")</formula>
    </cfRule>
    <cfRule type="expression" dxfId="3550" priority="5347">
      <formula>AND(P112="NA",NOT(ISTEXT(Q112)))</formula>
    </cfRule>
    <cfRule type="expression" dxfId="3549" priority="5348">
      <formula>AND(AW112&gt;5,P112="NA")</formula>
    </cfRule>
    <cfRule type="expression" dxfId="3548" priority="5349">
      <formula>AND(AW112&lt;5,P112="NA")</formula>
    </cfRule>
    <cfRule type="expression" dxfId="3547" priority="5350">
      <formula>AND(P112&lt;&gt;"NA",P112&gt;$P$16)</formula>
    </cfRule>
  </conditionalFormatting>
  <conditionalFormatting sqref="Q112">
    <cfRule type="expression" priority="5282" stopIfTrue="1">
      <formula>"ISBLANK($K$185)"</formula>
    </cfRule>
    <cfRule type="expression" dxfId="3546" priority="5341">
      <formula>AND(OR(AW112=0,ISBLANK(Q112)),B112&lt;&gt;"")</formula>
    </cfRule>
    <cfRule type="expression" dxfId="3545" priority="5342">
      <formula>AND(Q112="NA",NOT(ISTEXT(P112)))</formula>
    </cfRule>
    <cfRule type="expression" dxfId="3544" priority="5343">
      <formula>AND(AW112&gt;5,Q112="NA")</formula>
    </cfRule>
    <cfRule type="expression" dxfId="3543" priority="5344">
      <formula>AND(AW112&lt;5,Q112="NA")</formula>
    </cfRule>
    <cfRule type="expression" dxfId="3542" priority="5345">
      <formula>AND(Q112&lt;&gt;"NA",Q112&gt;$Q$16)</formula>
    </cfRule>
  </conditionalFormatting>
  <conditionalFormatting sqref="R112">
    <cfRule type="expression" priority="5281" stopIfTrue="1">
      <formula>"ISBLANK($K$185)"</formula>
    </cfRule>
    <cfRule type="expression" dxfId="3541" priority="5336">
      <formula>AND(OR(AW112=0,ISBLANK(R112)),B112&lt;&gt;"")</formula>
    </cfRule>
    <cfRule type="expression" dxfId="3540" priority="5337">
      <formula>AND(R112="NA",NOT(ISTEXT(S112)))</formula>
    </cfRule>
    <cfRule type="expression" dxfId="3539" priority="5338">
      <formula>AND(AW112&gt;5,R112="NA")</formula>
    </cfRule>
    <cfRule type="expression" dxfId="3538" priority="5339">
      <formula>AND(AW112&lt;5,R112="NA")</formula>
    </cfRule>
    <cfRule type="expression" dxfId="3537" priority="5340">
      <formula>AND(R112&lt;&gt;"NA",R112&gt;$R$16)</formula>
    </cfRule>
  </conditionalFormatting>
  <conditionalFormatting sqref="S112">
    <cfRule type="expression" priority="5280" stopIfTrue="1">
      <formula>"ISBLANK($K$185)"</formula>
    </cfRule>
    <cfRule type="expression" dxfId="3536" priority="5331">
      <formula>AND(OR(AW112=0,ISBLANK(S112)),B112&lt;&gt;"")</formula>
    </cfRule>
    <cfRule type="expression" dxfId="3535" priority="5332">
      <formula>AND(S112="NA",NOT(ISTEXT(R112)))</formula>
    </cfRule>
    <cfRule type="expression" dxfId="3534" priority="5333">
      <formula>AND(AW112&gt;5,S112="NA")</formula>
    </cfRule>
    <cfRule type="expression" dxfId="3533" priority="5334">
      <formula>AND(AW112&lt;5,S112="NA")</formula>
    </cfRule>
    <cfRule type="expression" dxfId="3532" priority="5335">
      <formula>AND(S112&lt;&gt;"NA",S112&gt;$S$16)</formula>
    </cfRule>
  </conditionalFormatting>
  <conditionalFormatting sqref="T112">
    <cfRule type="expression" priority="5279" stopIfTrue="1">
      <formula>"ISBLANK($K$185)"</formula>
    </cfRule>
    <cfRule type="expression" dxfId="3531" priority="5326">
      <formula>AND(OR(AW112=0,ISBLANK(T112)),B112&lt;&gt;"")</formula>
    </cfRule>
    <cfRule type="expression" dxfId="3530" priority="5327">
      <formula>AND(T112="NA",NOT(ISTEXT(U112)))</formula>
    </cfRule>
    <cfRule type="expression" dxfId="3529" priority="5328">
      <formula>AND(AW112&gt;5,T112="NA")</formula>
    </cfRule>
    <cfRule type="expression" dxfId="3528" priority="5329">
      <formula>AND(AW112&lt;5,T112="NA")</formula>
    </cfRule>
    <cfRule type="expression" dxfId="3527" priority="5330">
      <formula>AND(T112&lt;&gt;"NA",T112&gt;$T$16)</formula>
    </cfRule>
  </conditionalFormatting>
  <conditionalFormatting sqref="U112">
    <cfRule type="expression" priority="5278" stopIfTrue="1">
      <formula>"ISBLANK($K$185)"</formula>
    </cfRule>
    <cfRule type="expression" dxfId="3526" priority="5321">
      <formula>AND(OR(AW112=0,ISBLANK(U112)),B112&lt;&gt;"")</formula>
    </cfRule>
    <cfRule type="expression" dxfId="3525" priority="5322">
      <formula>AND(U112="NA",NOT(ISTEXT(T112)))</formula>
    </cfRule>
    <cfRule type="expression" dxfId="3524" priority="5323">
      <formula>AND(AW112&gt;5,U112="NA")</formula>
    </cfRule>
    <cfRule type="expression" dxfId="3523" priority="5324">
      <formula>AND(AW112&lt;5,U112="NA")</formula>
    </cfRule>
    <cfRule type="expression" dxfId="3522" priority="5325">
      <formula>AND(U112&lt;&gt;"NA",U112&gt;$U$16)</formula>
    </cfRule>
  </conditionalFormatting>
  <conditionalFormatting sqref="V112">
    <cfRule type="expression" priority="5277" stopIfTrue="1">
      <formula>"ISBLANK($K$185)"</formula>
    </cfRule>
    <cfRule type="expression" dxfId="3521" priority="5316">
      <formula>AND(OR(AW112=0,ISBLANK(V112)),B112&lt;&gt;"")</formula>
    </cfRule>
    <cfRule type="expression" dxfId="3520" priority="5317">
      <formula>AND(V112="NA",NOT(ISTEXT(W112)))</formula>
    </cfRule>
    <cfRule type="expression" dxfId="3519" priority="5318">
      <formula>AND(AW112&gt;5,V112="NA")</formula>
    </cfRule>
    <cfRule type="expression" dxfId="3518" priority="5319">
      <formula>AND(AW112&lt;5,V112="NA")</formula>
    </cfRule>
    <cfRule type="expression" dxfId="3517" priority="5320">
      <formula>AND(V112&lt;&gt;"NA",V112&gt;$V$16)</formula>
    </cfRule>
  </conditionalFormatting>
  <conditionalFormatting sqref="W112">
    <cfRule type="expression" priority="5276" stopIfTrue="1">
      <formula>"ISBLANK($K$185)"</formula>
    </cfRule>
    <cfRule type="expression" dxfId="3516" priority="5311">
      <formula>AND(OR(AW112=0,ISBLANK(W112)),B112&lt;&gt;"")</formula>
    </cfRule>
    <cfRule type="expression" dxfId="3515" priority="5312">
      <formula>AND(W112="NA",NOT(ISTEXT(V112)))</formula>
    </cfRule>
    <cfRule type="expression" dxfId="3514" priority="5313">
      <formula>AND(AW112&gt;5,W112="NA")</formula>
    </cfRule>
    <cfRule type="expression" dxfId="3513" priority="5314">
      <formula>AND(AW112&lt;5,W112="NA")</formula>
    </cfRule>
    <cfRule type="expression" dxfId="3512" priority="5315">
      <formula>AND(W112&lt;&gt;"NA",W112&gt;$W$16)</formula>
    </cfRule>
  </conditionalFormatting>
  <conditionalFormatting sqref="X112">
    <cfRule type="expression" priority="5275" stopIfTrue="1">
      <formula>"ISBLANK($K$185)"</formula>
    </cfRule>
    <cfRule type="expression" dxfId="3511" priority="5306">
      <formula>AND(OR(AW112=0,ISBLANK(X112)),B112&lt;&gt;"")</formula>
    </cfRule>
    <cfRule type="expression" dxfId="3510" priority="5307">
      <formula>AND(X112="NA",NOT(ISTEXT(Y112)))</formula>
    </cfRule>
    <cfRule type="expression" dxfId="3509" priority="5308">
      <formula>AND(AW112&gt;5,X112="NA")</formula>
    </cfRule>
    <cfRule type="expression" dxfId="3508" priority="5309">
      <formula>AND(AW112&lt;5,X112="NA")</formula>
    </cfRule>
    <cfRule type="expression" dxfId="3507" priority="5310">
      <formula>AND(X112&lt;&gt;"NA",X112&gt;$Y$16)</formula>
    </cfRule>
  </conditionalFormatting>
  <conditionalFormatting sqref="Y112">
    <cfRule type="expression" priority="5274" stopIfTrue="1">
      <formula>"ISBLANK($K$185)"</formula>
    </cfRule>
    <cfRule type="expression" dxfId="3506" priority="5301">
      <formula>AND(OR(AW112=0,ISBLANK(Y112)),B112&lt;&gt;"")</formula>
    </cfRule>
    <cfRule type="expression" dxfId="3505" priority="5302">
      <formula>AND(Y112="NA",NOT(ISTEXT(X112)))</formula>
    </cfRule>
    <cfRule type="expression" dxfId="3504" priority="5303">
      <formula>AND(AW112&gt;5,Y112="NA")</formula>
    </cfRule>
    <cfRule type="expression" dxfId="3503" priority="5304">
      <formula>AND(AW112&lt;5,Y112="NA")</formula>
    </cfRule>
    <cfRule type="expression" dxfId="3502" priority="5305">
      <formula>AND(Y112&lt;&gt;"NA",Y112&gt;$Y$16)</formula>
    </cfRule>
  </conditionalFormatting>
  <conditionalFormatting sqref="N112">
    <cfRule type="expression" priority="5285" stopIfTrue="1">
      <formula>"ISBLANK($K$185)"</formula>
    </cfRule>
    <cfRule type="expression" dxfId="3501" priority="5356">
      <formula>AND(OR(AW112=0,ISBLANK(N112)),B112&lt;&gt;"")</formula>
    </cfRule>
    <cfRule type="expression" dxfId="3500" priority="5357">
      <formula>AND(N112="NA",NOT(ISTEXT(O112)))</formula>
    </cfRule>
    <cfRule type="expression" dxfId="3499" priority="5358">
      <formula>AND(AW112&gt;5,N112="NA")</formula>
    </cfRule>
    <cfRule type="expression" dxfId="3498" priority="5359">
      <formula>AND(AW112&lt;5,N112="NA")</formula>
    </cfRule>
    <cfRule type="expression" dxfId="3497" priority="5360">
      <formula>AND(N112&lt;&gt;"NA",N112&gt;$N$16)</formula>
    </cfRule>
  </conditionalFormatting>
  <conditionalFormatting sqref="O113">
    <cfRule type="expression" priority="5193" stopIfTrue="1">
      <formula>"ISBLANK($K$185)"</formula>
    </cfRule>
    <cfRule type="expression" dxfId="3496" priority="5260">
      <formula>AND(OR(AW113=0,ISBLANK(O113)),B113&lt;&gt;"")</formula>
    </cfRule>
    <cfRule type="expression" dxfId="3495" priority="5261">
      <formula>AND(O113="NA",NOT(ISTEXT(N113)))</formula>
    </cfRule>
    <cfRule type="expression" dxfId="3494" priority="5262">
      <formula>AND(AW113&gt;5,O113="NA")</formula>
    </cfRule>
    <cfRule type="expression" dxfId="3493" priority="5263">
      <formula>AND(AW113&lt;5,O113="NA")</formula>
    </cfRule>
    <cfRule type="expression" dxfId="3492" priority="5264">
      <formula>AND(O113&lt;&gt;"NA",O113&gt;$O$16)</formula>
    </cfRule>
  </conditionalFormatting>
  <conditionalFormatting sqref="P113">
    <cfRule type="expression" priority="5192" stopIfTrue="1">
      <formula>"ISBLANK($K$185)"</formula>
    </cfRule>
    <cfRule type="expression" dxfId="3491" priority="5255">
      <formula>AND(OR(AW113=0,ISBLANK(P113)),B113&lt;&gt;"")</formula>
    </cfRule>
    <cfRule type="expression" dxfId="3490" priority="5256">
      <formula>AND(P113="NA",NOT(ISTEXT(Q113)))</formula>
    </cfRule>
    <cfRule type="expression" dxfId="3489" priority="5257">
      <formula>AND(AW113&gt;5,P113="NA")</formula>
    </cfRule>
    <cfRule type="expression" dxfId="3488" priority="5258">
      <formula>AND(AW113&lt;5,P113="NA")</formula>
    </cfRule>
    <cfRule type="expression" dxfId="3487" priority="5259">
      <formula>AND(P113&lt;&gt;"NA",P113&gt;$P$16)</formula>
    </cfRule>
  </conditionalFormatting>
  <conditionalFormatting sqref="Q113">
    <cfRule type="expression" priority="5191" stopIfTrue="1">
      <formula>"ISBLANK($K$185)"</formula>
    </cfRule>
    <cfRule type="expression" dxfId="3486" priority="5250">
      <formula>AND(OR(AW113=0,ISBLANK(Q113)),B113&lt;&gt;"")</formula>
    </cfRule>
    <cfRule type="expression" dxfId="3485" priority="5251">
      <formula>AND(Q113="NA",NOT(ISTEXT(P113)))</formula>
    </cfRule>
    <cfRule type="expression" dxfId="3484" priority="5252">
      <formula>AND(AW113&gt;5,Q113="NA")</formula>
    </cfRule>
    <cfRule type="expression" dxfId="3483" priority="5253">
      <formula>AND(AW113&lt;5,Q113="NA")</formula>
    </cfRule>
    <cfRule type="expression" dxfId="3482" priority="5254">
      <formula>AND(Q113&lt;&gt;"NA",Q113&gt;$Q$16)</formula>
    </cfRule>
  </conditionalFormatting>
  <conditionalFormatting sqref="R113">
    <cfRule type="expression" priority="5190" stopIfTrue="1">
      <formula>"ISBLANK($K$185)"</formula>
    </cfRule>
    <cfRule type="expression" dxfId="3481" priority="5245">
      <formula>AND(OR(AW113=0,ISBLANK(R113)),B113&lt;&gt;"")</formula>
    </cfRule>
    <cfRule type="expression" dxfId="3480" priority="5246">
      <formula>AND(R113="NA",NOT(ISTEXT(S113)))</formula>
    </cfRule>
    <cfRule type="expression" dxfId="3479" priority="5247">
      <formula>AND(AW113&gt;5,R113="NA")</formula>
    </cfRule>
    <cfRule type="expression" dxfId="3478" priority="5248">
      <formula>AND(AW113&lt;5,R113="NA")</formula>
    </cfRule>
    <cfRule type="expression" dxfId="3477" priority="5249">
      <formula>AND(R113&lt;&gt;"NA",R113&gt;$R$16)</formula>
    </cfRule>
  </conditionalFormatting>
  <conditionalFormatting sqref="S113">
    <cfRule type="expression" priority="5189" stopIfTrue="1">
      <formula>"ISBLANK($K$185)"</formula>
    </cfRule>
    <cfRule type="expression" dxfId="3476" priority="5240">
      <formula>AND(OR(AW113=0,ISBLANK(S113)),B113&lt;&gt;"")</formula>
    </cfRule>
    <cfRule type="expression" dxfId="3475" priority="5241">
      <formula>AND(S113="NA",NOT(ISTEXT(R113)))</formula>
    </cfRule>
    <cfRule type="expression" dxfId="3474" priority="5242">
      <formula>AND(AW113&gt;5,S113="NA")</formula>
    </cfRule>
    <cfRule type="expression" dxfId="3473" priority="5243">
      <formula>AND(AW113&lt;5,S113="NA")</formula>
    </cfRule>
    <cfRule type="expression" dxfId="3472" priority="5244">
      <formula>AND(S113&lt;&gt;"NA",S113&gt;$S$16)</formula>
    </cfRule>
  </conditionalFormatting>
  <conditionalFormatting sqref="T113">
    <cfRule type="expression" priority="5188" stopIfTrue="1">
      <formula>"ISBLANK($K$185)"</formula>
    </cfRule>
    <cfRule type="expression" dxfId="3471" priority="5235">
      <formula>AND(OR(AW113=0,ISBLANK(T113)),B113&lt;&gt;"")</formula>
    </cfRule>
    <cfRule type="expression" dxfId="3470" priority="5236">
      <formula>AND(T113="NA",NOT(ISTEXT(U113)))</formula>
    </cfRule>
    <cfRule type="expression" dxfId="3469" priority="5237">
      <formula>AND(AW113&gt;5,T113="NA")</formula>
    </cfRule>
    <cfRule type="expression" dxfId="3468" priority="5238">
      <formula>AND(AW113&lt;5,T113="NA")</formula>
    </cfRule>
    <cfRule type="expression" dxfId="3467" priority="5239">
      <formula>AND(T113&lt;&gt;"NA",T113&gt;$T$16)</formula>
    </cfRule>
  </conditionalFormatting>
  <conditionalFormatting sqref="U113">
    <cfRule type="expression" priority="5187" stopIfTrue="1">
      <formula>"ISBLANK($K$185)"</formula>
    </cfRule>
    <cfRule type="expression" dxfId="3466" priority="5230">
      <formula>AND(OR(AW113=0,ISBLANK(U113)),B113&lt;&gt;"")</formula>
    </cfRule>
    <cfRule type="expression" dxfId="3465" priority="5231">
      <formula>AND(U113="NA",NOT(ISTEXT(T113)))</formula>
    </cfRule>
    <cfRule type="expression" dxfId="3464" priority="5232">
      <formula>AND(AW113&gt;5,U113="NA")</formula>
    </cfRule>
    <cfRule type="expression" dxfId="3463" priority="5233">
      <formula>AND(AW113&lt;5,U113="NA")</formula>
    </cfRule>
    <cfRule type="expression" dxfId="3462" priority="5234">
      <formula>AND(U113&lt;&gt;"NA",U113&gt;$U$16)</formula>
    </cfRule>
  </conditionalFormatting>
  <conditionalFormatting sqref="V113">
    <cfRule type="expression" priority="5186" stopIfTrue="1">
      <formula>"ISBLANK($K$185)"</formula>
    </cfRule>
    <cfRule type="expression" dxfId="3461" priority="5225">
      <formula>AND(OR(AW113=0,ISBLANK(V113)),B113&lt;&gt;"")</formula>
    </cfRule>
    <cfRule type="expression" dxfId="3460" priority="5226">
      <formula>AND(V113="NA",NOT(ISTEXT(W113)))</formula>
    </cfRule>
    <cfRule type="expression" dxfId="3459" priority="5227">
      <formula>AND(AW113&gt;5,V113="NA")</formula>
    </cfRule>
    <cfRule type="expression" dxfId="3458" priority="5228">
      <formula>AND(AW113&lt;5,V113="NA")</formula>
    </cfRule>
    <cfRule type="expression" dxfId="3457" priority="5229">
      <formula>AND(V113&lt;&gt;"NA",V113&gt;$V$16)</formula>
    </cfRule>
  </conditionalFormatting>
  <conditionalFormatting sqref="W113">
    <cfRule type="expression" priority="5185" stopIfTrue="1">
      <formula>"ISBLANK($K$185)"</formula>
    </cfRule>
    <cfRule type="expression" dxfId="3456" priority="5220">
      <formula>AND(OR(AW113=0,ISBLANK(W113)),B113&lt;&gt;"")</formula>
    </cfRule>
    <cfRule type="expression" dxfId="3455" priority="5221">
      <formula>AND(W113="NA",NOT(ISTEXT(V113)))</formula>
    </cfRule>
    <cfRule type="expression" dxfId="3454" priority="5222">
      <formula>AND(AW113&gt;5,W113="NA")</formula>
    </cfRule>
    <cfRule type="expression" dxfId="3453" priority="5223">
      <formula>AND(AW113&lt;5,W113="NA")</formula>
    </cfRule>
    <cfRule type="expression" dxfId="3452" priority="5224">
      <formula>AND(W113&lt;&gt;"NA",W113&gt;$W$16)</formula>
    </cfRule>
  </conditionalFormatting>
  <conditionalFormatting sqref="X113">
    <cfRule type="expression" priority="5184" stopIfTrue="1">
      <formula>"ISBLANK($K$185)"</formula>
    </cfRule>
    <cfRule type="expression" dxfId="3451" priority="5215">
      <formula>AND(OR(AW113=0,ISBLANK(X113)),B113&lt;&gt;"")</formula>
    </cfRule>
    <cfRule type="expression" dxfId="3450" priority="5216">
      <formula>AND(X113="NA",NOT(ISTEXT(Y113)))</formula>
    </cfRule>
    <cfRule type="expression" dxfId="3449" priority="5217">
      <formula>AND(AW113&gt;5,X113="NA")</formula>
    </cfRule>
    <cfRule type="expression" dxfId="3448" priority="5218">
      <formula>AND(AW113&lt;5,X113="NA")</formula>
    </cfRule>
    <cfRule type="expression" dxfId="3447" priority="5219">
      <formula>AND(X113&lt;&gt;"NA",X113&gt;$Y$16)</formula>
    </cfRule>
  </conditionalFormatting>
  <conditionalFormatting sqref="Y113">
    <cfRule type="expression" priority="5183" stopIfTrue="1">
      <formula>"ISBLANK($K$185)"</formula>
    </cfRule>
    <cfRule type="expression" dxfId="3446" priority="5210">
      <formula>AND(OR(AW113=0,ISBLANK(Y113)),B113&lt;&gt;"")</formula>
    </cfRule>
    <cfRule type="expression" dxfId="3445" priority="5211">
      <formula>AND(Y113="NA",NOT(ISTEXT(X113)))</formula>
    </cfRule>
    <cfRule type="expression" dxfId="3444" priority="5212">
      <formula>AND(AW113&gt;5,Y113="NA")</formula>
    </cfRule>
    <cfRule type="expression" dxfId="3443" priority="5213">
      <formula>AND(AW113&lt;5,Y113="NA")</formula>
    </cfRule>
    <cfRule type="expression" dxfId="3442" priority="5214">
      <formula>AND(Y113&lt;&gt;"NA",Y113&gt;$Y$16)</formula>
    </cfRule>
  </conditionalFormatting>
  <conditionalFormatting sqref="N113">
    <cfRule type="expression" priority="5194" stopIfTrue="1">
      <formula>"ISBLANK($K$185)"</formula>
    </cfRule>
    <cfRule type="expression" dxfId="3441" priority="5265">
      <formula>AND(OR(AW113=0,ISBLANK(N113)),B113&lt;&gt;"")</formula>
    </cfRule>
    <cfRule type="expression" dxfId="3440" priority="5266">
      <formula>AND(N113="NA",NOT(ISTEXT(O113)))</formula>
    </cfRule>
    <cfRule type="expression" dxfId="3439" priority="5267">
      <formula>AND(AW113&gt;5,N113="NA")</formula>
    </cfRule>
    <cfRule type="expression" dxfId="3438" priority="5268">
      <formula>AND(AW113&lt;5,N113="NA")</formula>
    </cfRule>
    <cfRule type="expression" dxfId="3437" priority="5269">
      <formula>AND(N113&lt;&gt;"NA",N113&gt;$N$16)</formula>
    </cfRule>
  </conditionalFormatting>
  <conditionalFormatting sqref="O114">
    <cfRule type="expression" priority="5102" stopIfTrue="1">
      <formula>"ISBLANK($K$185)"</formula>
    </cfRule>
    <cfRule type="expression" dxfId="3436" priority="5169">
      <formula>AND(OR(AW114=0,ISBLANK(O114)),B114&lt;&gt;"")</formula>
    </cfRule>
    <cfRule type="expression" dxfId="3435" priority="5170">
      <formula>AND(O114="NA",NOT(ISTEXT(N114)))</formula>
    </cfRule>
    <cfRule type="expression" dxfId="3434" priority="5171">
      <formula>AND(AW114&gt;5,O114="NA")</formula>
    </cfRule>
    <cfRule type="expression" dxfId="3433" priority="5172">
      <formula>AND(AW114&lt;5,O114="NA")</formula>
    </cfRule>
    <cfRule type="expression" dxfId="3432" priority="5173">
      <formula>AND(O114&lt;&gt;"NA",O114&gt;$O$16)</formula>
    </cfRule>
  </conditionalFormatting>
  <conditionalFormatting sqref="P114">
    <cfRule type="expression" priority="5101" stopIfTrue="1">
      <formula>"ISBLANK($K$185)"</formula>
    </cfRule>
    <cfRule type="expression" dxfId="3431" priority="5164">
      <formula>AND(OR(AW114=0,ISBLANK(P114)),B114&lt;&gt;"")</formula>
    </cfRule>
    <cfRule type="expression" dxfId="3430" priority="5165">
      <formula>AND(P114="NA",NOT(ISTEXT(Q114)))</formula>
    </cfRule>
    <cfRule type="expression" dxfId="3429" priority="5166">
      <formula>AND(AW114&gt;5,P114="NA")</formula>
    </cfRule>
    <cfRule type="expression" dxfId="3428" priority="5167">
      <formula>AND(AW114&lt;5,P114="NA")</formula>
    </cfRule>
    <cfRule type="expression" dxfId="3427" priority="5168">
      <formula>AND(P114&lt;&gt;"NA",P114&gt;$P$16)</formula>
    </cfRule>
  </conditionalFormatting>
  <conditionalFormatting sqref="Q114">
    <cfRule type="expression" priority="5100" stopIfTrue="1">
      <formula>"ISBLANK($K$185)"</formula>
    </cfRule>
    <cfRule type="expression" dxfId="3426" priority="5159">
      <formula>AND(OR(AW114=0,ISBLANK(Q114)),B114&lt;&gt;"")</formula>
    </cfRule>
    <cfRule type="expression" dxfId="3425" priority="5160">
      <formula>AND(Q114="NA",NOT(ISTEXT(P114)))</formula>
    </cfRule>
    <cfRule type="expression" dxfId="3424" priority="5161">
      <formula>AND(AW114&gt;5,Q114="NA")</formula>
    </cfRule>
    <cfRule type="expression" dxfId="3423" priority="5162">
      <formula>AND(AW114&lt;5,Q114="NA")</formula>
    </cfRule>
    <cfRule type="expression" dxfId="3422" priority="5163">
      <formula>AND(Q114&lt;&gt;"NA",Q114&gt;$Q$16)</formula>
    </cfRule>
  </conditionalFormatting>
  <conditionalFormatting sqref="R114">
    <cfRule type="expression" priority="5099" stopIfTrue="1">
      <formula>"ISBLANK($K$185)"</formula>
    </cfRule>
    <cfRule type="expression" dxfId="3421" priority="5154">
      <formula>AND(OR(AW114=0,ISBLANK(R114)),B114&lt;&gt;"")</formula>
    </cfRule>
    <cfRule type="expression" dxfId="3420" priority="5155">
      <formula>AND(R114="NA",NOT(ISTEXT(S114)))</formula>
    </cfRule>
    <cfRule type="expression" dxfId="3419" priority="5156">
      <formula>AND(AW114&gt;5,R114="NA")</formula>
    </cfRule>
    <cfRule type="expression" dxfId="3418" priority="5157">
      <formula>AND(AW114&lt;5,R114="NA")</formula>
    </cfRule>
    <cfRule type="expression" dxfId="3417" priority="5158">
      <formula>AND(R114&lt;&gt;"NA",R114&gt;$R$16)</formula>
    </cfRule>
  </conditionalFormatting>
  <conditionalFormatting sqref="S114">
    <cfRule type="expression" priority="5098" stopIfTrue="1">
      <formula>"ISBLANK($K$185)"</formula>
    </cfRule>
    <cfRule type="expression" dxfId="3416" priority="5149">
      <formula>AND(OR(AW114=0,ISBLANK(S114)),B114&lt;&gt;"")</formula>
    </cfRule>
    <cfRule type="expression" dxfId="3415" priority="5150">
      <formula>AND(S114="NA",NOT(ISTEXT(R114)))</formula>
    </cfRule>
    <cfRule type="expression" dxfId="3414" priority="5151">
      <formula>AND(AW114&gt;5,S114="NA")</formula>
    </cfRule>
    <cfRule type="expression" dxfId="3413" priority="5152">
      <formula>AND(AW114&lt;5,S114="NA")</formula>
    </cfRule>
    <cfRule type="expression" dxfId="3412" priority="5153">
      <formula>AND(S114&lt;&gt;"NA",S114&gt;$S$16)</formula>
    </cfRule>
  </conditionalFormatting>
  <conditionalFormatting sqref="T114">
    <cfRule type="expression" priority="5097" stopIfTrue="1">
      <formula>"ISBLANK($K$185)"</formula>
    </cfRule>
    <cfRule type="expression" dxfId="3411" priority="5144">
      <formula>AND(OR(AW114=0,ISBLANK(T114)),B114&lt;&gt;"")</formula>
    </cfRule>
    <cfRule type="expression" dxfId="3410" priority="5145">
      <formula>AND(T114="NA",NOT(ISTEXT(U114)))</formula>
    </cfRule>
    <cfRule type="expression" dxfId="3409" priority="5146">
      <formula>AND(AW114&gt;5,T114="NA")</formula>
    </cfRule>
    <cfRule type="expression" dxfId="3408" priority="5147">
      <formula>AND(AW114&lt;5,T114="NA")</formula>
    </cfRule>
    <cfRule type="expression" dxfId="3407" priority="5148">
      <formula>AND(T114&lt;&gt;"NA",T114&gt;$T$16)</formula>
    </cfRule>
  </conditionalFormatting>
  <conditionalFormatting sqref="U114">
    <cfRule type="expression" priority="5096" stopIfTrue="1">
      <formula>"ISBLANK($K$185)"</formula>
    </cfRule>
    <cfRule type="expression" dxfId="3406" priority="5139">
      <formula>AND(OR(AW114=0,ISBLANK(U114)),B114&lt;&gt;"")</formula>
    </cfRule>
    <cfRule type="expression" dxfId="3405" priority="5140">
      <formula>AND(U114="NA",NOT(ISTEXT(T114)))</formula>
    </cfRule>
    <cfRule type="expression" dxfId="3404" priority="5141">
      <formula>AND(AW114&gt;5,U114="NA")</formula>
    </cfRule>
    <cfRule type="expression" dxfId="3403" priority="5142">
      <formula>AND(AW114&lt;5,U114="NA")</formula>
    </cfRule>
    <cfRule type="expression" dxfId="3402" priority="5143">
      <formula>AND(U114&lt;&gt;"NA",U114&gt;$U$16)</formula>
    </cfRule>
  </conditionalFormatting>
  <conditionalFormatting sqref="V114">
    <cfRule type="expression" priority="5095" stopIfTrue="1">
      <formula>"ISBLANK($K$185)"</formula>
    </cfRule>
    <cfRule type="expression" dxfId="3401" priority="5134">
      <formula>AND(OR(AW114=0,ISBLANK(V114)),B114&lt;&gt;"")</formula>
    </cfRule>
    <cfRule type="expression" dxfId="3400" priority="5135">
      <formula>AND(V114="NA",NOT(ISTEXT(W114)))</formula>
    </cfRule>
    <cfRule type="expression" dxfId="3399" priority="5136">
      <formula>AND(AW114&gt;5,V114="NA")</formula>
    </cfRule>
    <cfRule type="expression" dxfId="3398" priority="5137">
      <formula>AND(AW114&lt;5,V114="NA")</formula>
    </cfRule>
    <cfRule type="expression" dxfId="3397" priority="5138">
      <formula>AND(V114&lt;&gt;"NA",V114&gt;$V$16)</formula>
    </cfRule>
  </conditionalFormatting>
  <conditionalFormatting sqref="W114">
    <cfRule type="expression" priority="5094" stopIfTrue="1">
      <formula>"ISBLANK($K$185)"</formula>
    </cfRule>
    <cfRule type="expression" dxfId="3396" priority="5129">
      <formula>AND(OR(AW114=0,ISBLANK(W114)),B114&lt;&gt;"")</formula>
    </cfRule>
    <cfRule type="expression" dxfId="3395" priority="5130">
      <formula>AND(W114="NA",NOT(ISTEXT(V114)))</formula>
    </cfRule>
    <cfRule type="expression" dxfId="3394" priority="5131">
      <formula>AND(AW114&gt;5,W114="NA")</formula>
    </cfRule>
    <cfRule type="expression" dxfId="3393" priority="5132">
      <formula>AND(AW114&lt;5,W114="NA")</formula>
    </cfRule>
    <cfRule type="expression" dxfId="3392" priority="5133">
      <formula>AND(W114&lt;&gt;"NA",W114&gt;$W$16)</formula>
    </cfRule>
  </conditionalFormatting>
  <conditionalFormatting sqref="X114">
    <cfRule type="expression" priority="5093" stopIfTrue="1">
      <formula>"ISBLANK($K$185)"</formula>
    </cfRule>
    <cfRule type="expression" dxfId="3391" priority="5124">
      <formula>AND(OR(AW114=0,ISBLANK(X114)),B114&lt;&gt;"")</formula>
    </cfRule>
    <cfRule type="expression" dxfId="3390" priority="5125">
      <formula>AND(X114="NA",NOT(ISTEXT(Y114)))</formula>
    </cfRule>
    <cfRule type="expression" dxfId="3389" priority="5126">
      <formula>AND(AW114&gt;5,X114="NA")</formula>
    </cfRule>
    <cfRule type="expression" dxfId="3388" priority="5127">
      <formula>AND(AW114&lt;5,X114="NA")</formula>
    </cfRule>
    <cfRule type="expression" dxfId="3387" priority="5128">
      <formula>AND(X114&lt;&gt;"NA",X114&gt;$Y$16)</formula>
    </cfRule>
  </conditionalFormatting>
  <conditionalFormatting sqref="Y114">
    <cfRule type="expression" priority="5092" stopIfTrue="1">
      <formula>"ISBLANK($K$185)"</formula>
    </cfRule>
    <cfRule type="expression" dxfId="3386" priority="5119">
      <formula>AND(OR(AW114=0,ISBLANK(Y114)),B114&lt;&gt;"")</formula>
    </cfRule>
    <cfRule type="expression" dxfId="3385" priority="5120">
      <formula>AND(Y114="NA",NOT(ISTEXT(X114)))</formula>
    </cfRule>
    <cfRule type="expression" dxfId="3384" priority="5121">
      <formula>AND(AW114&gt;5,Y114="NA")</formula>
    </cfRule>
    <cfRule type="expression" dxfId="3383" priority="5122">
      <formula>AND(AW114&lt;5,Y114="NA")</formula>
    </cfRule>
    <cfRule type="expression" dxfId="3382" priority="5123">
      <formula>AND(Y114&lt;&gt;"NA",Y114&gt;$Y$16)</formula>
    </cfRule>
  </conditionalFormatting>
  <conditionalFormatting sqref="N114">
    <cfRule type="expression" priority="5103" stopIfTrue="1">
      <formula>"ISBLANK($K$185)"</formula>
    </cfRule>
    <cfRule type="expression" dxfId="3381" priority="5174">
      <formula>AND(OR(AW114=0,ISBLANK(N114)),B114&lt;&gt;"")</formula>
    </cfRule>
    <cfRule type="expression" dxfId="3380" priority="5175">
      <formula>AND(N114="NA",NOT(ISTEXT(O114)))</formula>
    </cfRule>
    <cfRule type="expression" dxfId="3379" priority="5176">
      <formula>AND(AW114&gt;5,N114="NA")</formula>
    </cfRule>
    <cfRule type="expression" dxfId="3378" priority="5177">
      <formula>AND(AW114&lt;5,N114="NA")</formula>
    </cfRule>
    <cfRule type="expression" dxfId="3377" priority="5178">
      <formula>AND(N114&lt;&gt;"NA",N114&gt;$N$16)</formula>
    </cfRule>
  </conditionalFormatting>
  <conditionalFormatting sqref="O115">
    <cfRule type="expression" priority="5011" stopIfTrue="1">
      <formula>"ISBLANK($K$185)"</formula>
    </cfRule>
    <cfRule type="expression" dxfId="3376" priority="5078">
      <formula>AND(OR(AW115=0,ISBLANK(O115)),B115&lt;&gt;"")</formula>
    </cfRule>
    <cfRule type="expression" dxfId="3375" priority="5079">
      <formula>AND(O115="NA",NOT(ISTEXT(N115)))</formula>
    </cfRule>
    <cfRule type="expression" dxfId="3374" priority="5080">
      <formula>AND(AW115&gt;5,O115="NA")</formula>
    </cfRule>
    <cfRule type="expression" dxfId="3373" priority="5081">
      <formula>AND(AW115&lt;5,O115="NA")</formula>
    </cfRule>
    <cfRule type="expression" dxfId="3372" priority="5082">
      <formula>AND(O115&lt;&gt;"NA",O115&gt;$O$16)</formula>
    </cfRule>
  </conditionalFormatting>
  <conditionalFormatting sqref="P115">
    <cfRule type="expression" priority="5010" stopIfTrue="1">
      <formula>"ISBLANK($K$185)"</formula>
    </cfRule>
    <cfRule type="expression" dxfId="3371" priority="5073">
      <formula>AND(OR(AW115=0,ISBLANK(P115)),B115&lt;&gt;"")</formula>
    </cfRule>
    <cfRule type="expression" dxfId="3370" priority="5074">
      <formula>AND(P115="NA",NOT(ISTEXT(Q115)))</formula>
    </cfRule>
    <cfRule type="expression" dxfId="3369" priority="5075">
      <formula>AND(AW115&gt;5,P115="NA")</formula>
    </cfRule>
    <cfRule type="expression" dxfId="3368" priority="5076">
      <formula>AND(AW115&lt;5,P115="NA")</formula>
    </cfRule>
    <cfRule type="expression" dxfId="3367" priority="5077">
      <formula>AND(P115&lt;&gt;"NA",P115&gt;$P$16)</formula>
    </cfRule>
  </conditionalFormatting>
  <conditionalFormatting sqref="Q115">
    <cfRule type="expression" priority="5009" stopIfTrue="1">
      <formula>"ISBLANK($K$185)"</formula>
    </cfRule>
    <cfRule type="expression" dxfId="3366" priority="5068">
      <formula>AND(OR(AW115=0,ISBLANK(Q115)),B115&lt;&gt;"")</formula>
    </cfRule>
    <cfRule type="expression" dxfId="3365" priority="5069">
      <formula>AND(Q115="NA",NOT(ISTEXT(P115)))</formula>
    </cfRule>
    <cfRule type="expression" dxfId="3364" priority="5070">
      <formula>AND(AW115&gt;5,Q115="NA")</formula>
    </cfRule>
    <cfRule type="expression" dxfId="3363" priority="5071">
      <formula>AND(AW115&lt;5,Q115="NA")</formula>
    </cfRule>
    <cfRule type="expression" dxfId="3362" priority="5072">
      <formula>AND(Q115&lt;&gt;"NA",Q115&gt;$Q$16)</formula>
    </cfRule>
  </conditionalFormatting>
  <conditionalFormatting sqref="R115">
    <cfRule type="expression" priority="5008" stopIfTrue="1">
      <formula>"ISBLANK($K$185)"</formula>
    </cfRule>
    <cfRule type="expression" dxfId="3361" priority="5063">
      <formula>AND(OR(AW115=0,ISBLANK(R115)),B115&lt;&gt;"")</formula>
    </cfRule>
    <cfRule type="expression" dxfId="3360" priority="5064">
      <formula>AND(R115="NA",NOT(ISTEXT(S115)))</formula>
    </cfRule>
    <cfRule type="expression" dxfId="3359" priority="5065">
      <formula>AND(AW115&gt;5,R115="NA")</formula>
    </cfRule>
    <cfRule type="expression" dxfId="3358" priority="5066">
      <formula>AND(AW115&lt;5,R115="NA")</formula>
    </cfRule>
    <cfRule type="expression" dxfId="3357" priority="5067">
      <formula>AND(R115&lt;&gt;"NA",R115&gt;$R$16)</formula>
    </cfRule>
  </conditionalFormatting>
  <conditionalFormatting sqref="S115">
    <cfRule type="expression" priority="5007" stopIfTrue="1">
      <formula>"ISBLANK($K$185)"</formula>
    </cfRule>
    <cfRule type="expression" dxfId="3356" priority="5058">
      <formula>AND(OR(AW115=0,ISBLANK(S115)),B115&lt;&gt;"")</formula>
    </cfRule>
    <cfRule type="expression" dxfId="3355" priority="5059">
      <formula>AND(S115="NA",NOT(ISTEXT(R115)))</formula>
    </cfRule>
    <cfRule type="expression" dxfId="3354" priority="5060">
      <formula>AND(AW115&gt;5,S115="NA")</formula>
    </cfRule>
    <cfRule type="expression" dxfId="3353" priority="5061">
      <formula>AND(AW115&lt;5,S115="NA")</formula>
    </cfRule>
    <cfRule type="expression" dxfId="3352" priority="5062">
      <formula>AND(S115&lt;&gt;"NA",S115&gt;$S$16)</formula>
    </cfRule>
  </conditionalFormatting>
  <conditionalFormatting sqref="T115">
    <cfRule type="expression" priority="5006" stopIfTrue="1">
      <formula>"ISBLANK($K$185)"</formula>
    </cfRule>
    <cfRule type="expression" dxfId="3351" priority="5053">
      <formula>AND(OR(AW115=0,ISBLANK(T115)),B115&lt;&gt;"")</formula>
    </cfRule>
    <cfRule type="expression" dxfId="3350" priority="5054">
      <formula>AND(T115="NA",NOT(ISTEXT(U115)))</formula>
    </cfRule>
    <cfRule type="expression" dxfId="3349" priority="5055">
      <formula>AND(AW115&gt;5,T115="NA")</formula>
    </cfRule>
    <cfRule type="expression" dxfId="3348" priority="5056">
      <formula>AND(AW115&lt;5,T115="NA")</formula>
    </cfRule>
    <cfRule type="expression" dxfId="3347" priority="5057">
      <formula>AND(T115&lt;&gt;"NA",T115&gt;$T$16)</formula>
    </cfRule>
  </conditionalFormatting>
  <conditionalFormatting sqref="U115">
    <cfRule type="expression" priority="5005" stopIfTrue="1">
      <formula>"ISBLANK($K$185)"</formula>
    </cfRule>
    <cfRule type="expression" dxfId="3346" priority="5048">
      <formula>AND(OR(AW115=0,ISBLANK(U115)),B115&lt;&gt;"")</formula>
    </cfRule>
    <cfRule type="expression" dxfId="3345" priority="5049">
      <formula>AND(U115="NA",NOT(ISTEXT(T115)))</formula>
    </cfRule>
    <cfRule type="expression" dxfId="3344" priority="5050">
      <formula>AND(AW115&gt;5,U115="NA")</formula>
    </cfRule>
    <cfRule type="expression" dxfId="3343" priority="5051">
      <formula>AND(AW115&lt;5,U115="NA")</formula>
    </cfRule>
    <cfRule type="expression" dxfId="3342" priority="5052">
      <formula>AND(U115&lt;&gt;"NA",U115&gt;$U$16)</formula>
    </cfRule>
  </conditionalFormatting>
  <conditionalFormatting sqref="V115">
    <cfRule type="expression" priority="5004" stopIfTrue="1">
      <formula>"ISBLANK($K$185)"</formula>
    </cfRule>
    <cfRule type="expression" dxfId="3341" priority="5043">
      <formula>AND(OR(AW115=0,ISBLANK(V115)),B115&lt;&gt;"")</formula>
    </cfRule>
    <cfRule type="expression" dxfId="3340" priority="5044">
      <formula>AND(V115="NA",NOT(ISTEXT(W115)))</formula>
    </cfRule>
    <cfRule type="expression" dxfId="3339" priority="5045">
      <formula>AND(AW115&gt;5,V115="NA")</formula>
    </cfRule>
    <cfRule type="expression" dxfId="3338" priority="5046">
      <formula>AND(AW115&lt;5,V115="NA")</formula>
    </cfRule>
    <cfRule type="expression" dxfId="3337" priority="5047">
      <formula>AND(V115&lt;&gt;"NA",V115&gt;$V$16)</formula>
    </cfRule>
  </conditionalFormatting>
  <conditionalFormatting sqref="W115">
    <cfRule type="expression" priority="5003" stopIfTrue="1">
      <formula>"ISBLANK($K$185)"</formula>
    </cfRule>
    <cfRule type="expression" dxfId="3336" priority="5038">
      <formula>AND(OR(AW115=0,ISBLANK(W115)),B115&lt;&gt;"")</formula>
    </cfRule>
    <cfRule type="expression" dxfId="3335" priority="5039">
      <formula>AND(W115="NA",NOT(ISTEXT(V115)))</formula>
    </cfRule>
    <cfRule type="expression" dxfId="3334" priority="5040">
      <formula>AND(AW115&gt;5,W115="NA")</formula>
    </cfRule>
    <cfRule type="expression" dxfId="3333" priority="5041">
      <formula>AND(AW115&lt;5,W115="NA")</formula>
    </cfRule>
    <cfRule type="expression" dxfId="3332" priority="5042">
      <formula>AND(W115&lt;&gt;"NA",W115&gt;$W$16)</formula>
    </cfRule>
  </conditionalFormatting>
  <conditionalFormatting sqref="X115">
    <cfRule type="expression" priority="5002" stopIfTrue="1">
      <formula>"ISBLANK($K$185)"</formula>
    </cfRule>
    <cfRule type="expression" dxfId="3331" priority="5033">
      <formula>AND(OR(AW115=0,ISBLANK(X115)),B115&lt;&gt;"")</formula>
    </cfRule>
    <cfRule type="expression" dxfId="3330" priority="5034">
      <formula>AND(X115="NA",NOT(ISTEXT(Y115)))</formula>
    </cfRule>
    <cfRule type="expression" dxfId="3329" priority="5035">
      <formula>AND(AW115&gt;5,X115="NA")</formula>
    </cfRule>
    <cfRule type="expression" dxfId="3328" priority="5036">
      <formula>AND(AW115&lt;5,X115="NA")</formula>
    </cfRule>
    <cfRule type="expression" dxfId="3327" priority="5037">
      <formula>AND(X115&lt;&gt;"NA",X115&gt;$Y$16)</formula>
    </cfRule>
  </conditionalFormatting>
  <conditionalFormatting sqref="Y115">
    <cfRule type="expression" priority="5001" stopIfTrue="1">
      <formula>"ISBLANK($K$185)"</formula>
    </cfRule>
    <cfRule type="expression" dxfId="3326" priority="5028">
      <formula>AND(OR(AW115=0,ISBLANK(Y115)),B115&lt;&gt;"")</formula>
    </cfRule>
    <cfRule type="expression" dxfId="3325" priority="5029">
      <formula>AND(Y115="NA",NOT(ISTEXT(X115)))</formula>
    </cfRule>
    <cfRule type="expression" dxfId="3324" priority="5030">
      <formula>AND(AW115&gt;5,Y115="NA")</formula>
    </cfRule>
    <cfRule type="expression" dxfId="3323" priority="5031">
      <formula>AND(AW115&lt;5,Y115="NA")</formula>
    </cfRule>
    <cfRule type="expression" dxfId="3322" priority="5032">
      <formula>AND(Y115&lt;&gt;"NA",Y115&gt;$Y$16)</formula>
    </cfRule>
  </conditionalFormatting>
  <conditionalFormatting sqref="N115">
    <cfRule type="expression" priority="5012" stopIfTrue="1">
      <formula>"ISBLANK($K$185)"</formula>
    </cfRule>
    <cfRule type="expression" dxfId="3321" priority="5083">
      <formula>AND(OR(AW115=0,ISBLANK(N115)),B115&lt;&gt;"")</formula>
    </cfRule>
    <cfRule type="expression" dxfId="3320" priority="5084">
      <formula>AND(N115="NA",NOT(ISTEXT(O115)))</formula>
    </cfRule>
    <cfRule type="expression" dxfId="3319" priority="5085">
      <formula>AND(AW115&gt;5,N115="NA")</formula>
    </cfRule>
    <cfRule type="expression" dxfId="3318" priority="5086">
      <formula>AND(AW115&lt;5,N115="NA")</formula>
    </cfRule>
    <cfRule type="expression" dxfId="3317" priority="5087">
      <formula>AND(N115&lt;&gt;"NA",N115&gt;$N$16)</formula>
    </cfRule>
  </conditionalFormatting>
  <conditionalFormatting sqref="O116">
    <cfRule type="expression" priority="4920" stopIfTrue="1">
      <formula>"ISBLANK($K$185)"</formula>
    </cfRule>
    <cfRule type="expression" dxfId="3316" priority="4987">
      <formula>AND(OR(AW116=0,ISBLANK(O116)),B116&lt;&gt;"")</formula>
    </cfRule>
    <cfRule type="expression" dxfId="3315" priority="4988">
      <formula>AND(O116="NA",NOT(ISTEXT(N116)))</formula>
    </cfRule>
    <cfRule type="expression" dxfId="3314" priority="4989">
      <formula>AND(AW116&gt;5,O116="NA")</formula>
    </cfRule>
    <cfRule type="expression" dxfId="3313" priority="4990">
      <formula>AND(AW116&lt;5,O116="NA")</formula>
    </cfRule>
    <cfRule type="expression" dxfId="3312" priority="4991">
      <formula>AND(O116&lt;&gt;"NA",O116&gt;$O$16)</formula>
    </cfRule>
  </conditionalFormatting>
  <conditionalFormatting sqref="P116">
    <cfRule type="expression" priority="4919" stopIfTrue="1">
      <formula>"ISBLANK($K$185)"</formula>
    </cfRule>
    <cfRule type="expression" dxfId="3311" priority="4982">
      <formula>AND(OR(AW116=0,ISBLANK(P116)),B116&lt;&gt;"")</formula>
    </cfRule>
    <cfRule type="expression" dxfId="3310" priority="4983">
      <formula>AND(P116="NA",NOT(ISTEXT(Q116)))</formula>
    </cfRule>
    <cfRule type="expression" dxfId="3309" priority="4984">
      <formula>AND(AW116&gt;5,P116="NA")</formula>
    </cfRule>
    <cfRule type="expression" dxfId="3308" priority="4985">
      <formula>AND(AW116&lt;5,P116="NA")</formula>
    </cfRule>
    <cfRule type="expression" dxfId="3307" priority="4986">
      <formula>AND(P116&lt;&gt;"NA",P116&gt;$P$16)</formula>
    </cfRule>
  </conditionalFormatting>
  <conditionalFormatting sqref="Q116">
    <cfRule type="expression" priority="4918" stopIfTrue="1">
      <formula>"ISBLANK($K$185)"</formula>
    </cfRule>
    <cfRule type="expression" dxfId="3306" priority="4977">
      <formula>AND(OR(AW116=0,ISBLANK(Q116)),B116&lt;&gt;"")</formula>
    </cfRule>
    <cfRule type="expression" dxfId="3305" priority="4978">
      <formula>AND(Q116="NA",NOT(ISTEXT(P116)))</formula>
    </cfRule>
    <cfRule type="expression" dxfId="3304" priority="4979">
      <formula>AND(AW116&gt;5,Q116="NA")</formula>
    </cfRule>
    <cfRule type="expression" dxfId="3303" priority="4980">
      <formula>AND(AW116&lt;5,Q116="NA")</formula>
    </cfRule>
    <cfRule type="expression" dxfId="3302" priority="4981">
      <formula>AND(Q116&lt;&gt;"NA",Q116&gt;$Q$16)</formula>
    </cfRule>
  </conditionalFormatting>
  <conditionalFormatting sqref="R116">
    <cfRule type="expression" priority="4917" stopIfTrue="1">
      <formula>"ISBLANK($K$185)"</formula>
    </cfRule>
    <cfRule type="expression" dxfId="3301" priority="4972">
      <formula>AND(OR(AW116=0,ISBLANK(R116)),B116&lt;&gt;"")</formula>
    </cfRule>
    <cfRule type="expression" dxfId="3300" priority="4973">
      <formula>AND(R116="NA",NOT(ISTEXT(S116)))</formula>
    </cfRule>
    <cfRule type="expression" dxfId="3299" priority="4974">
      <formula>AND(AW116&gt;5,R116="NA")</formula>
    </cfRule>
    <cfRule type="expression" dxfId="3298" priority="4975">
      <formula>AND(AW116&lt;5,R116="NA")</formula>
    </cfRule>
    <cfRule type="expression" dxfId="3297" priority="4976">
      <formula>AND(R116&lt;&gt;"NA",R116&gt;$R$16)</formula>
    </cfRule>
  </conditionalFormatting>
  <conditionalFormatting sqref="S116">
    <cfRule type="expression" priority="4916" stopIfTrue="1">
      <formula>"ISBLANK($K$185)"</formula>
    </cfRule>
    <cfRule type="expression" dxfId="3296" priority="4967">
      <formula>AND(OR(AW116=0,ISBLANK(S116)),B116&lt;&gt;"")</formula>
    </cfRule>
    <cfRule type="expression" dxfId="3295" priority="4968">
      <formula>AND(S116="NA",NOT(ISTEXT(R116)))</formula>
    </cfRule>
    <cfRule type="expression" dxfId="3294" priority="4969">
      <formula>AND(AW116&gt;5,S116="NA")</formula>
    </cfRule>
    <cfRule type="expression" dxfId="3293" priority="4970">
      <formula>AND(AW116&lt;5,S116="NA")</formula>
    </cfRule>
    <cfRule type="expression" dxfId="3292" priority="4971">
      <formula>AND(S116&lt;&gt;"NA",S116&gt;$S$16)</formula>
    </cfRule>
  </conditionalFormatting>
  <conditionalFormatting sqref="T116">
    <cfRule type="expression" priority="4915" stopIfTrue="1">
      <formula>"ISBLANK($K$185)"</formula>
    </cfRule>
    <cfRule type="expression" dxfId="3291" priority="4962">
      <formula>AND(OR(AW116=0,ISBLANK(T116)),B116&lt;&gt;"")</formula>
    </cfRule>
    <cfRule type="expression" dxfId="3290" priority="4963">
      <formula>AND(T116="NA",NOT(ISTEXT(U116)))</formula>
    </cfRule>
    <cfRule type="expression" dxfId="3289" priority="4964">
      <formula>AND(AW116&gt;5,T116="NA")</formula>
    </cfRule>
    <cfRule type="expression" dxfId="3288" priority="4965">
      <formula>AND(AW116&lt;5,T116="NA")</formula>
    </cfRule>
    <cfRule type="expression" dxfId="3287" priority="4966">
      <formula>AND(T116&lt;&gt;"NA",T116&gt;$T$16)</formula>
    </cfRule>
  </conditionalFormatting>
  <conditionalFormatting sqref="U116">
    <cfRule type="expression" priority="4914" stopIfTrue="1">
      <formula>"ISBLANK($K$185)"</formula>
    </cfRule>
    <cfRule type="expression" dxfId="3286" priority="4957">
      <formula>AND(OR(AW116=0,ISBLANK(U116)),B116&lt;&gt;"")</formula>
    </cfRule>
    <cfRule type="expression" dxfId="3285" priority="4958">
      <formula>AND(U116="NA",NOT(ISTEXT(T116)))</formula>
    </cfRule>
    <cfRule type="expression" dxfId="3284" priority="4959">
      <formula>AND(AW116&gt;5,U116="NA")</formula>
    </cfRule>
    <cfRule type="expression" dxfId="3283" priority="4960">
      <formula>AND(AW116&lt;5,U116="NA")</formula>
    </cfRule>
    <cfRule type="expression" dxfId="3282" priority="4961">
      <formula>AND(U116&lt;&gt;"NA",U116&gt;$U$16)</formula>
    </cfRule>
  </conditionalFormatting>
  <conditionalFormatting sqref="V116">
    <cfRule type="expression" priority="4913" stopIfTrue="1">
      <formula>"ISBLANK($K$185)"</formula>
    </cfRule>
    <cfRule type="expression" dxfId="3281" priority="4952">
      <formula>AND(OR(AW116=0,ISBLANK(V116)),B116&lt;&gt;"")</formula>
    </cfRule>
    <cfRule type="expression" dxfId="3280" priority="4953">
      <formula>AND(V116="NA",NOT(ISTEXT(W116)))</formula>
    </cfRule>
    <cfRule type="expression" dxfId="3279" priority="4954">
      <formula>AND(AW116&gt;5,V116="NA")</formula>
    </cfRule>
    <cfRule type="expression" dxfId="3278" priority="4955">
      <formula>AND(AW116&lt;5,V116="NA")</formula>
    </cfRule>
    <cfRule type="expression" dxfId="3277" priority="4956">
      <formula>AND(V116&lt;&gt;"NA",V116&gt;$V$16)</formula>
    </cfRule>
  </conditionalFormatting>
  <conditionalFormatting sqref="W116">
    <cfRule type="expression" priority="4912" stopIfTrue="1">
      <formula>"ISBLANK($K$185)"</formula>
    </cfRule>
    <cfRule type="expression" dxfId="3276" priority="4947">
      <formula>AND(OR(AW116=0,ISBLANK(W116)),B116&lt;&gt;"")</formula>
    </cfRule>
    <cfRule type="expression" dxfId="3275" priority="4948">
      <formula>AND(W116="NA",NOT(ISTEXT(V116)))</formula>
    </cfRule>
    <cfRule type="expression" dxfId="3274" priority="4949">
      <formula>AND(AW116&gt;5,W116="NA")</formula>
    </cfRule>
    <cfRule type="expression" dxfId="3273" priority="4950">
      <formula>AND(AW116&lt;5,W116="NA")</formula>
    </cfRule>
    <cfRule type="expression" dxfId="3272" priority="4951">
      <formula>AND(W116&lt;&gt;"NA",W116&gt;$W$16)</formula>
    </cfRule>
  </conditionalFormatting>
  <conditionalFormatting sqref="X116">
    <cfRule type="expression" priority="4911" stopIfTrue="1">
      <formula>"ISBLANK($K$185)"</formula>
    </cfRule>
    <cfRule type="expression" dxfId="3271" priority="4942">
      <formula>AND(OR(AW116=0,ISBLANK(X116)),B116&lt;&gt;"")</formula>
    </cfRule>
    <cfRule type="expression" dxfId="3270" priority="4943">
      <formula>AND(X116="NA",NOT(ISTEXT(Y116)))</formula>
    </cfRule>
    <cfRule type="expression" dxfId="3269" priority="4944">
      <formula>AND(AW116&gt;5,X116="NA")</formula>
    </cfRule>
    <cfRule type="expression" dxfId="3268" priority="4945">
      <formula>AND(AW116&lt;5,X116="NA")</formula>
    </cfRule>
    <cfRule type="expression" dxfId="3267" priority="4946">
      <formula>AND(X116&lt;&gt;"NA",X116&gt;$Y$16)</formula>
    </cfRule>
  </conditionalFormatting>
  <conditionalFormatting sqref="Y116">
    <cfRule type="expression" priority="4910" stopIfTrue="1">
      <formula>"ISBLANK($K$185)"</formula>
    </cfRule>
    <cfRule type="expression" dxfId="3266" priority="4937">
      <formula>AND(OR(AW116=0,ISBLANK(Y116)),B116&lt;&gt;"")</formula>
    </cfRule>
    <cfRule type="expression" dxfId="3265" priority="4938">
      <formula>AND(Y116="NA",NOT(ISTEXT(X116)))</formula>
    </cfRule>
    <cfRule type="expression" dxfId="3264" priority="4939">
      <formula>AND(AW116&gt;5,Y116="NA")</formula>
    </cfRule>
    <cfRule type="expression" dxfId="3263" priority="4940">
      <formula>AND(AW116&lt;5,Y116="NA")</formula>
    </cfRule>
    <cfRule type="expression" dxfId="3262" priority="4941">
      <formula>AND(Y116&lt;&gt;"NA",Y116&gt;$Y$16)</formula>
    </cfRule>
  </conditionalFormatting>
  <conditionalFormatting sqref="N116">
    <cfRule type="expression" priority="4921" stopIfTrue="1">
      <formula>"ISBLANK($K$185)"</formula>
    </cfRule>
    <cfRule type="expression" dxfId="3261" priority="4992">
      <formula>AND(OR(AW116=0,ISBLANK(N116)),B116&lt;&gt;"")</formula>
    </cfRule>
    <cfRule type="expression" dxfId="3260" priority="4993">
      <formula>AND(N116="NA",NOT(ISTEXT(O116)))</formula>
    </cfRule>
    <cfRule type="expression" dxfId="3259" priority="4994">
      <formula>AND(AW116&gt;5,N116="NA")</formula>
    </cfRule>
    <cfRule type="expression" dxfId="3258" priority="4995">
      <formula>AND(AW116&lt;5,N116="NA")</formula>
    </cfRule>
    <cfRule type="expression" dxfId="3257" priority="4996">
      <formula>AND(N116&lt;&gt;"NA",N116&gt;$N$16)</formula>
    </cfRule>
  </conditionalFormatting>
  <conditionalFormatting sqref="O117">
    <cfRule type="expression" priority="4829" stopIfTrue="1">
      <formula>"ISBLANK($K$185)"</formula>
    </cfRule>
    <cfRule type="expression" dxfId="3256" priority="4896">
      <formula>AND(OR(AW117=0,ISBLANK(O117)),B117&lt;&gt;"")</formula>
    </cfRule>
    <cfRule type="expression" dxfId="3255" priority="4897">
      <formula>AND(O117="NA",NOT(ISTEXT(N117)))</formula>
    </cfRule>
    <cfRule type="expression" dxfId="3254" priority="4898">
      <formula>AND(AW117&gt;5,O117="NA")</formula>
    </cfRule>
    <cfRule type="expression" dxfId="3253" priority="4899">
      <formula>AND(AW117&lt;5,O117="NA")</formula>
    </cfRule>
    <cfRule type="expression" dxfId="3252" priority="4900">
      <formula>AND(O117&lt;&gt;"NA",O117&gt;$O$16)</formula>
    </cfRule>
  </conditionalFormatting>
  <conditionalFormatting sqref="P117">
    <cfRule type="expression" priority="4828" stopIfTrue="1">
      <formula>"ISBLANK($K$185)"</formula>
    </cfRule>
    <cfRule type="expression" dxfId="3251" priority="4891">
      <formula>AND(OR(AW117=0,ISBLANK(P117)),B117&lt;&gt;"")</formula>
    </cfRule>
    <cfRule type="expression" dxfId="3250" priority="4892">
      <formula>AND(P117="NA",NOT(ISTEXT(Q117)))</formula>
    </cfRule>
    <cfRule type="expression" dxfId="3249" priority="4893">
      <formula>AND(AW117&gt;5,P117="NA")</formula>
    </cfRule>
    <cfRule type="expression" dxfId="3248" priority="4894">
      <formula>AND(AW117&lt;5,P117="NA")</formula>
    </cfRule>
    <cfRule type="expression" dxfId="3247" priority="4895">
      <formula>AND(P117&lt;&gt;"NA",P117&gt;$P$16)</formula>
    </cfRule>
  </conditionalFormatting>
  <conditionalFormatting sqref="Q117">
    <cfRule type="expression" priority="4827" stopIfTrue="1">
      <formula>"ISBLANK($K$185)"</formula>
    </cfRule>
    <cfRule type="expression" dxfId="3246" priority="4886">
      <formula>AND(OR(AW117=0,ISBLANK(Q117)),B117&lt;&gt;"")</formula>
    </cfRule>
    <cfRule type="expression" dxfId="3245" priority="4887">
      <formula>AND(Q117="NA",NOT(ISTEXT(P117)))</formula>
    </cfRule>
    <cfRule type="expression" dxfId="3244" priority="4888">
      <formula>AND(AW117&gt;5,Q117="NA")</formula>
    </cfRule>
    <cfRule type="expression" dxfId="3243" priority="4889">
      <formula>AND(AW117&lt;5,Q117="NA")</formula>
    </cfRule>
    <cfRule type="expression" dxfId="3242" priority="4890">
      <formula>AND(Q117&lt;&gt;"NA",Q117&gt;$Q$16)</formula>
    </cfRule>
  </conditionalFormatting>
  <conditionalFormatting sqref="R117">
    <cfRule type="expression" priority="4826" stopIfTrue="1">
      <formula>"ISBLANK($K$185)"</formula>
    </cfRule>
    <cfRule type="expression" dxfId="3241" priority="4881">
      <formula>AND(OR(AW117=0,ISBLANK(R117)),B117&lt;&gt;"")</formula>
    </cfRule>
    <cfRule type="expression" dxfId="3240" priority="4882">
      <formula>AND(R117="NA",NOT(ISTEXT(S117)))</formula>
    </cfRule>
    <cfRule type="expression" dxfId="3239" priority="4883">
      <formula>AND(AW117&gt;5,R117="NA")</formula>
    </cfRule>
    <cfRule type="expression" dxfId="3238" priority="4884">
      <formula>AND(AW117&lt;5,R117="NA")</formula>
    </cfRule>
    <cfRule type="expression" dxfId="3237" priority="4885">
      <formula>AND(R117&lt;&gt;"NA",R117&gt;$R$16)</formula>
    </cfRule>
  </conditionalFormatting>
  <conditionalFormatting sqref="S117">
    <cfRule type="expression" priority="4825" stopIfTrue="1">
      <formula>"ISBLANK($K$185)"</formula>
    </cfRule>
    <cfRule type="expression" dxfId="3236" priority="4876">
      <formula>AND(OR(AW117=0,ISBLANK(S117)),B117&lt;&gt;"")</formula>
    </cfRule>
    <cfRule type="expression" dxfId="3235" priority="4877">
      <formula>AND(S117="NA",NOT(ISTEXT(R117)))</formula>
    </cfRule>
    <cfRule type="expression" dxfId="3234" priority="4878">
      <formula>AND(AW117&gt;5,S117="NA")</formula>
    </cfRule>
    <cfRule type="expression" dxfId="3233" priority="4879">
      <formula>AND(AW117&lt;5,S117="NA")</formula>
    </cfRule>
    <cfRule type="expression" dxfId="3232" priority="4880">
      <formula>AND(S117&lt;&gt;"NA",S117&gt;$S$16)</formula>
    </cfRule>
  </conditionalFormatting>
  <conditionalFormatting sqref="T117">
    <cfRule type="expression" priority="4824" stopIfTrue="1">
      <formula>"ISBLANK($K$185)"</formula>
    </cfRule>
    <cfRule type="expression" dxfId="3231" priority="4871">
      <formula>AND(OR(AW117=0,ISBLANK(T117)),B117&lt;&gt;"")</formula>
    </cfRule>
    <cfRule type="expression" dxfId="3230" priority="4872">
      <formula>AND(T117="NA",NOT(ISTEXT(U117)))</formula>
    </cfRule>
    <cfRule type="expression" dxfId="3229" priority="4873">
      <formula>AND(AW117&gt;5,T117="NA")</formula>
    </cfRule>
    <cfRule type="expression" dxfId="3228" priority="4874">
      <formula>AND(AW117&lt;5,T117="NA")</formula>
    </cfRule>
    <cfRule type="expression" dxfId="3227" priority="4875">
      <formula>AND(T117&lt;&gt;"NA",T117&gt;$T$16)</formula>
    </cfRule>
  </conditionalFormatting>
  <conditionalFormatting sqref="U117">
    <cfRule type="expression" priority="4823" stopIfTrue="1">
      <formula>"ISBLANK($K$185)"</formula>
    </cfRule>
    <cfRule type="expression" dxfId="3226" priority="4866">
      <formula>AND(OR(AW117=0,ISBLANK(U117)),B117&lt;&gt;"")</formula>
    </cfRule>
    <cfRule type="expression" dxfId="3225" priority="4867">
      <formula>AND(U117="NA",NOT(ISTEXT(T117)))</formula>
    </cfRule>
    <cfRule type="expression" dxfId="3224" priority="4868">
      <formula>AND(AW117&gt;5,U117="NA")</formula>
    </cfRule>
    <cfRule type="expression" dxfId="3223" priority="4869">
      <formula>AND(AW117&lt;5,U117="NA")</formula>
    </cfRule>
    <cfRule type="expression" dxfId="3222" priority="4870">
      <formula>AND(U117&lt;&gt;"NA",U117&gt;$U$16)</formula>
    </cfRule>
  </conditionalFormatting>
  <conditionalFormatting sqref="V117">
    <cfRule type="expression" priority="4822" stopIfTrue="1">
      <formula>"ISBLANK($K$185)"</formula>
    </cfRule>
    <cfRule type="expression" dxfId="3221" priority="4861">
      <formula>AND(OR(AW117=0,ISBLANK(V117)),B117&lt;&gt;"")</formula>
    </cfRule>
    <cfRule type="expression" dxfId="3220" priority="4862">
      <formula>AND(V117="NA",NOT(ISTEXT(W117)))</formula>
    </cfRule>
    <cfRule type="expression" dxfId="3219" priority="4863">
      <formula>AND(AW117&gt;5,V117="NA")</formula>
    </cfRule>
    <cfRule type="expression" dxfId="3218" priority="4864">
      <formula>AND(AW117&lt;5,V117="NA")</formula>
    </cfRule>
    <cfRule type="expression" dxfId="3217" priority="4865">
      <formula>AND(V117&lt;&gt;"NA",V117&gt;$V$16)</formula>
    </cfRule>
  </conditionalFormatting>
  <conditionalFormatting sqref="W117">
    <cfRule type="expression" priority="4821" stopIfTrue="1">
      <formula>"ISBLANK($K$185)"</formula>
    </cfRule>
    <cfRule type="expression" dxfId="3216" priority="4856">
      <formula>AND(OR(AW117=0,ISBLANK(W117)),B117&lt;&gt;"")</formula>
    </cfRule>
    <cfRule type="expression" dxfId="3215" priority="4857">
      <formula>AND(W117="NA",NOT(ISTEXT(V117)))</formula>
    </cfRule>
    <cfRule type="expression" dxfId="3214" priority="4858">
      <formula>AND(AW117&gt;5,W117="NA")</formula>
    </cfRule>
    <cfRule type="expression" dxfId="3213" priority="4859">
      <formula>AND(AW117&lt;5,W117="NA")</formula>
    </cfRule>
    <cfRule type="expression" dxfId="3212" priority="4860">
      <formula>AND(W117&lt;&gt;"NA",W117&gt;$W$16)</formula>
    </cfRule>
  </conditionalFormatting>
  <conditionalFormatting sqref="X117">
    <cfRule type="expression" priority="4820" stopIfTrue="1">
      <formula>"ISBLANK($K$185)"</formula>
    </cfRule>
    <cfRule type="expression" dxfId="3211" priority="4851">
      <formula>AND(OR(AW117=0,ISBLANK(X117)),B117&lt;&gt;"")</formula>
    </cfRule>
    <cfRule type="expression" dxfId="3210" priority="4852">
      <formula>AND(X117="NA",NOT(ISTEXT(Y117)))</formula>
    </cfRule>
    <cfRule type="expression" dxfId="3209" priority="4853">
      <formula>AND(AW117&gt;5,X117="NA")</formula>
    </cfRule>
    <cfRule type="expression" dxfId="3208" priority="4854">
      <formula>AND(AW117&lt;5,X117="NA")</formula>
    </cfRule>
    <cfRule type="expression" dxfId="3207" priority="4855">
      <formula>AND(X117&lt;&gt;"NA",X117&gt;$Y$16)</formula>
    </cfRule>
  </conditionalFormatting>
  <conditionalFormatting sqref="Y117">
    <cfRule type="expression" priority="4819" stopIfTrue="1">
      <formula>"ISBLANK($K$185)"</formula>
    </cfRule>
    <cfRule type="expression" dxfId="3206" priority="4846">
      <formula>AND(OR(AW117=0,ISBLANK(Y117)),B117&lt;&gt;"")</formula>
    </cfRule>
    <cfRule type="expression" dxfId="3205" priority="4847">
      <formula>AND(Y117="NA",NOT(ISTEXT(X117)))</formula>
    </cfRule>
    <cfRule type="expression" dxfId="3204" priority="4848">
      <formula>AND(AW117&gt;5,Y117="NA")</formula>
    </cfRule>
    <cfRule type="expression" dxfId="3203" priority="4849">
      <formula>AND(AW117&lt;5,Y117="NA")</formula>
    </cfRule>
    <cfRule type="expression" dxfId="3202" priority="4850">
      <formula>AND(Y117&lt;&gt;"NA",Y117&gt;$Y$16)</formula>
    </cfRule>
  </conditionalFormatting>
  <conditionalFormatting sqref="N117">
    <cfRule type="expression" priority="4830" stopIfTrue="1">
      <formula>"ISBLANK($K$185)"</formula>
    </cfRule>
    <cfRule type="expression" dxfId="3201" priority="4901">
      <formula>AND(OR(AW117=0,ISBLANK(N117)),B117&lt;&gt;"")</formula>
    </cfRule>
    <cfRule type="expression" dxfId="3200" priority="4902">
      <formula>AND(N117="NA",NOT(ISTEXT(O117)))</formula>
    </cfRule>
    <cfRule type="expression" dxfId="3199" priority="4903">
      <formula>AND(AW117&gt;5,N117="NA")</formula>
    </cfRule>
    <cfRule type="expression" dxfId="3198" priority="4904">
      <formula>AND(AW117&lt;5,N117="NA")</formula>
    </cfRule>
    <cfRule type="expression" dxfId="3197" priority="4905">
      <formula>AND(N117&lt;&gt;"NA",N117&gt;$N$16)</formula>
    </cfRule>
  </conditionalFormatting>
  <conditionalFormatting sqref="O118">
    <cfRule type="expression" priority="4738" stopIfTrue="1">
      <formula>"ISBLANK($K$185)"</formula>
    </cfRule>
    <cfRule type="expression" dxfId="3196" priority="4805">
      <formula>AND(OR(AW118=0,ISBLANK(O118)),B118&lt;&gt;"")</formula>
    </cfRule>
    <cfRule type="expression" dxfId="3195" priority="4806">
      <formula>AND(O118="NA",NOT(ISTEXT(N118)))</formula>
    </cfRule>
    <cfRule type="expression" dxfId="3194" priority="4807">
      <formula>AND(AW118&gt;5,O118="NA")</formula>
    </cfRule>
    <cfRule type="expression" dxfId="3193" priority="4808">
      <formula>AND(AW118&lt;5,O118="NA")</formula>
    </cfRule>
    <cfRule type="expression" dxfId="3192" priority="4809">
      <formula>AND(O118&lt;&gt;"NA",O118&gt;$O$16)</formula>
    </cfRule>
  </conditionalFormatting>
  <conditionalFormatting sqref="P118">
    <cfRule type="expression" priority="4737" stopIfTrue="1">
      <formula>"ISBLANK($K$185)"</formula>
    </cfRule>
    <cfRule type="expression" dxfId="3191" priority="4800">
      <formula>AND(OR(AW118=0,ISBLANK(P118)),B118&lt;&gt;"")</formula>
    </cfRule>
    <cfRule type="expression" dxfId="3190" priority="4801">
      <formula>AND(P118="NA",NOT(ISTEXT(Q118)))</formula>
    </cfRule>
    <cfRule type="expression" dxfId="3189" priority="4802">
      <formula>AND(AW118&gt;5,P118="NA")</formula>
    </cfRule>
    <cfRule type="expression" dxfId="3188" priority="4803">
      <formula>AND(AW118&lt;5,P118="NA")</formula>
    </cfRule>
    <cfRule type="expression" dxfId="3187" priority="4804">
      <formula>AND(P118&lt;&gt;"NA",P118&gt;$P$16)</formula>
    </cfRule>
  </conditionalFormatting>
  <conditionalFormatting sqref="Q118">
    <cfRule type="expression" priority="4736" stopIfTrue="1">
      <formula>"ISBLANK($K$185)"</formula>
    </cfRule>
    <cfRule type="expression" dxfId="3186" priority="4795">
      <formula>AND(OR(AW118=0,ISBLANK(Q118)),B118&lt;&gt;"")</formula>
    </cfRule>
    <cfRule type="expression" dxfId="3185" priority="4796">
      <formula>AND(Q118="NA",NOT(ISTEXT(P118)))</formula>
    </cfRule>
    <cfRule type="expression" dxfId="3184" priority="4797">
      <formula>AND(AW118&gt;5,Q118="NA")</formula>
    </cfRule>
    <cfRule type="expression" dxfId="3183" priority="4798">
      <formula>AND(AW118&lt;5,Q118="NA")</formula>
    </cfRule>
    <cfRule type="expression" dxfId="3182" priority="4799">
      <formula>AND(Q118&lt;&gt;"NA",Q118&gt;$Q$16)</formula>
    </cfRule>
  </conditionalFormatting>
  <conditionalFormatting sqref="R118">
    <cfRule type="expression" priority="4735" stopIfTrue="1">
      <formula>"ISBLANK($K$185)"</formula>
    </cfRule>
    <cfRule type="expression" dxfId="3181" priority="4790">
      <formula>AND(OR(AW118=0,ISBLANK(R118)),B118&lt;&gt;"")</formula>
    </cfRule>
    <cfRule type="expression" dxfId="3180" priority="4791">
      <formula>AND(R118="NA",NOT(ISTEXT(S118)))</formula>
    </cfRule>
    <cfRule type="expression" dxfId="3179" priority="4792">
      <formula>AND(AW118&gt;5,R118="NA")</formula>
    </cfRule>
    <cfRule type="expression" dxfId="3178" priority="4793">
      <formula>AND(AW118&lt;5,R118="NA")</formula>
    </cfRule>
    <cfRule type="expression" dxfId="3177" priority="4794">
      <formula>AND(R118&lt;&gt;"NA",R118&gt;$R$16)</formula>
    </cfRule>
  </conditionalFormatting>
  <conditionalFormatting sqref="S118">
    <cfRule type="expression" priority="4734" stopIfTrue="1">
      <formula>"ISBLANK($K$185)"</formula>
    </cfRule>
    <cfRule type="expression" dxfId="3176" priority="4785">
      <formula>AND(OR(AW118=0,ISBLANK(S118)),B118&lt;&gt;"")</formula>
    </cfRule>
    <cfRule type="expression" dxfId="3175" priority="4786">
      <formula>AND(S118="NA",NOT(ISTEXT(R118)))</formula>
    </cfRule>
    <cfRule type="expression" dxfId="3174" priority="4787">
      <formula>AND(AW118&gt;5,S118="NA")</formula>
    </cfRule>
    <cfRule type="expression" dxfId="3173" priority="4788">
      <formula>AND(AW118&lt;5,S118="NA")</formula>
    </cfRule>
    <cfRule type="expression" dxfId="3172" priority="4789">
      <formula>AND(S118&lt;&gt;"NA",S118&gt;$S$16)</formula>
    </cfRule>
  </conditionalFormatting>
  <conditionalFormatting sqref="T118">
    <cfRule type="expression" priority="4733" stopIfTrue="1">
      <formula>"ISBLANK($K$185)"</formula>
    </cfRule>
    <cfRule type="expression" dxfId="3171" priority="4780">
      <formula>AND(OR(AW118=0,ISBLANK(T118)),B118&lt;&gt;"")</formula>
    </cfRule>
    <cfRule type="expression" dxfId="3170" priority="4781">
      <formula>AND(T118="NA",NOT(ISTEXT(U118)))</formula>
    </cfRule>
    <cfRule type="expression" dxfId="3169" priority="4782">
      <formula>AND(AW118&gt;5,T118="NA")</formula>
    </cfRule>
    <cfRule type="expression" dxfId="3168" priority="4783">
      <formula>AND(AW118&lt;5,T118="NA")</formula>
    </cfRule>
    <cfRule type="expression" dxfId="3167" priority="4784">
      <formula>AND(T118&lt;&gt;"NA",T118&gt;$T$16)</formula>
    </cfRule>
  </conditionalFormatting>
  <conditionalFormatting sqref="U118">
    <cfRule type="expression" priority="4732" stopIfTrue="1">
      <formula>"ISBLANK($K$185)"</formula>
    </cfRule>
    <cfRule type="expression" dxfId="3166" priority="4775">
      <formula>AND(OR(AW118=0,ISBLANK(U118)),B118&lt;&gt;"")</formula>
    </cfRule>
    <cfRule type="expression" dxfId="3165" priority="4776">
      <formula>AND(U118="NA",NOT(ISTEXT(T118)))</formula>
    </cfRule>
    <cfRule type="expression" dxfId="3164" priority="4777">
      <formula>AND(AW118&gt;5,U118="NA")</formula>
    </cfRule>
    <cfRule type="expression" dxfId="3163" priority="4778">
      <formula>AND(AW118&lt;5,U118="NA")</formula>
    </cfRule>
    <cfRule type="expression" dxfId="3162" priority="4779">
      <formula>AND(U118&lt;&gt;"NA",U118&gt;$U$16)</formula>
    </cfRule>
  </conditionalFormatting>
  <conditionalFormatting sqref="V118">
    <cfRule type="expression" priority="4731" stopIfTrue="1">
      <formula>"ISBLANK($K$185)"</formula>
    </cfRule>
    <cfRule type="expression" dxfId="3161" priority="4770">
      <formula>AND(OR(AW118=0,ISBLANK(V118)),B118&lt;&gt;"")</formula>
    </cfRule>
    <cfRule type="expression" dxfId="3160" priority="4771">
      <formula>AND(V118="NA",NOT(ISTEXT(W118)))</formula>
    </cfRule>
    <cfRule type="expression" dxfId="3159" priority="4772">
      <formula>AND(AW118&gt;5,V118="NA")</formula>
    </cfRule>
    <cfRule type="expression" dxfId="3158" priority="4773">
      <formula>AND(AW118&lt;5,V118="NA")</formula>
    </cfRule>
    <cfRule type="expression" dxfId="3157" priority="4774">
      <formula>AND(V118&lt;&gt;"NA",V118&gt;$V$16)</formula>
    </cfRule>
  </conditionalFormatting>
  <conditionalFormatting sqref="W118">
    <cfRule type="expression" priority="4730" stopIfTrue="1">
      <formula>"ISBLANK($K$185)"</formula>
    </cfRule>
    <cfRule type="expression" dxfId="3156" priority="4765">
      <formula>AND(OR(AW118=0,ISBLANK(W118)),B118&lt;&gt;"")</formula>
    </cfRule>
    <cfRule type="expression" dxfId="3155" priority="4766">
      <formula>AND(W118="NA",NOT(ISTEXT(V118)))</formula>
    </cfRule>
    <cfRule type="expression" dxfId="3154" priority="4767">
      <formula>AND(AW118&gt;5,W118="NA")</formula>
    </cfRule>
    <cfRule type="expression" dxfId="3153" priority="4768">
      <formula>AND(AW118&lt;5,W118="NA")</formula>
    </cfRule>
    <cfRule type="expression" dxfId="3152" priority="4769">
      <formula>AND(W118&lt;&gt;"NA",W118&gt;$W$16)</formula>
    </cfRule>
  </conditionalFormatting>
  <conditionalFormatting sqref="X118">
    <cfRule type="expression" priority="4729" stopIfTrue="1">
      <formula>"ISBLANK($K$185)"</formula>
    </cfRule>
    <cfRule type="expression" dxfId="3151" priority="4760">
      <formula>AND(OR(AW118=0,ISBLANK(X118)),B118&lt;&gt;"")</formula>
    </cfRule>
    <cfRule type="expression" dxfId="3150" priority="4761">
      <formula>AND(X118="NA",NOT(ISTEXT(Y118)))</formula>
    </cfRule>
    <cfRule type="expression" dxfId="3149" priority="4762">
      <formula>AND(AW118&gt;5,X118="NA")</formula>
    </cfRule>
    <cfRule type="expression" dxfId="3148" priority="4763">
      <formula>AND(AW118&lt;5,X118="NA")</formula>
    </cfRule>
    <cfRule type="expression" dxfId="3147" priority="4764">
      <formula>AND(X118&lt;&gt;"NA",X118&gt;$Y$16)</formula>
    </cfRule>
  </conditionalFormatting>
  <conditionalFormatting sqref="Y118">
    <cfRule type="expression" priority="4728" stopIfTrue="1">
      <formula>"ISBLANK($K$185)"</formula>
    </cfRule>
    <cfRule type="expression" dxfId="3146" priority="4755">
      <formula>AND(OR(AW118=0,ISBLANK(Y118)),B118&lt;&gt;"")</formula>
    </cfRule>
    <cfRule type="expression" dxfId="3145" priority="4756">
      <formula>AND(Y118="NA",NOT(ISTEXT(X118)))</formula>
    </cfRule>
    <cfRule type="expression" dxfId="3144" priority="4757">
      <formula>AND(AW118&gt;5,Y118="NA")</formula>
    </cfRule>
    <cfRule type="expression" dxfId="3143" priority="4758">
      <formula>AND(AW118&lt;5,Y118="NA")</formula>
    </cfRule>
    <cfRule type="expression" dxfId="3142" priority="4759">
      <formula>AND(Y118&lt;&gt;"NA",Y118&gt;$Y$16)</formula>
    </cfRule>
  </conditionalFormatting>
  <conditionalFormatting sqref="N118">
    <cfRule type="expression" priority="4739" stopIfTrue="1">
      <formula>"ISBLANK($K$185)"</formula>
    </cfRule>
    <cfRule type="expression" dxfId="3141" priority="4810">
      <formula>AND(OR(AW118=0,ISBLANK(N118)),B118&lt;&gt;"")</formula>
    </cfRule>
    <cfRule type="expression" dxfId="3140" priority="4811">
      <formula>AND(N118="NA",NOT(ISTEXT(O118)))</formula>
    </cfRule>
    <cfRule type="expression" dxfId="3139" priority="4812">
      <formula>AND(AW118&gt;5,N118="NA")</formula>
    </cfRule>
    <cfRule type="expression" dxfId="3138" priority="4813">
      <formula>AND(AW118&lt;5,N118="NA")</formula>
    </cfRule>
    <cfRule type="expression" dxfId="3137" priority="4814">
      <formula>AND(N118&lt;&gt;"NA",N118&gt;$N$16)</formula>
    </cfRule>
  </conditionalFormatting>
  <conditionalFormatting sqref="O119">
    <cfRule type="expression" priority="4647" stopIfTrue="1">
      <formula>"ISBLANK($K$185)"</formula>
    </cfRule>
    <cfRule type="expression" dxfId="3136" priority="4714">
      <formula>AND(OR(AW119=0,ISBLANK(O119)),B119&lt;&gt;"")</formula>
    </cfRule>
    <cfRule type="expression" dxfId="3135" priority="4715">
      <formula>AND(O119="NA",NOT(ISTEXT(N119)))</formula>
    </cfRule>
    <cfRule type="expression" dxfId="3134" priority="4716">
      <formula>AND(AW119&gt;5,O119="NA")</formula>
    </cfRule>
    <cfRule type="expression" dxfId="3133" priority="4717">
      <formula>AND(AW119&lt;5,O119="NA")</formula>
    </cfRule>
    <cfRule type="expression" dxfId="3132" priority="4718">
      <formula>AND(O119&lt;&gt;"NA",O119&gt;$O$16)</formula>
    </cfRule>
  </conditionalFormatting>
  <conditionalFormatting sqref="P119">
    <cfRule type="expression" priority="4646" stopIfTrue="1">
      <formula>"ISBLANK($K$185)"</formula>
    </cfRule>
    <cfRule type="expression" dxfId="3131" priority="4709">
      <formula>AND(OR(AW119=0,ISBLANK(P119)),B119&lt;&gt;"")</formula>
    </cfRule>
    <cfRule type="expression" dxfId="3130" priority="4710">
      <formula>AND(P119="NA",NOT(ISTEXT(Q119)))</formula>
    </cfRule>
    <cfRule type="expression" dxfId="3129" priority="4711">
      <formula>AND(AW119&gt;5,P119="NA")</formula>
    </cfRule>
    <cfRule type="expression" dxfId="3128" priority="4712">
      <formula>AND(AW119&lt;5,P119="NA")</formula>
    </cfRule>
    <cfRule type="expression" dxfId="3127" priority="4713">
      <formula>AND(P119&lt;&gt;"NA",P119&gt;$P$16)</formula>
    </cfRule>
  </conditionalFormatting>
  <conditionalFormatting sqref="Q119">
    <cfRule type="expression" priority="4645" stopIfTrue="1">
      <formula>"ISBLANK($K$185)"</formula>
    </cfRule>
    <cfRule type="expression" dxfId="3126" priority="4704">
      <formula>AND(OR(AW119=0,ISBLANK(Q119)),B119&lt;&gt;"")</formula>
    </cfRule>
    <cfRule type="expression" dxfId="3125" priority="4705">
      <formula>AND(Q119="NA",NOT(ISTEXT(P119)))</formula>
    </cfRule>
    <cfRule type="expression" dxfId="3124" priority="4706">
      <formula>AND(AW119&gt;5,Q119="NA")</formula>
    </cfRule>
    <cfRule type="expression" dxfId="3123" priority="4707">
      <formula>AND(AW119&lt;5,Q119="NA")</formula>
    </cfRule>
    <cfRule type="expression" dxfId="3122" priority="4708">
      <formula>AND(Q119&lt;&gt;"NA",Q119&gt;$Q$16)</formula>
    </cfRule>
  </conditionalFormatting>
  <conditionalFormatting sqref="R119">
    <cfRule type="expression" priority="4644" stopIfTrue="1">
      <formula>"ISBLANK($K$185)"</formula>
    </cfRule>
    <cfRule type="expression" dxfId="3121" priority="4699">
      <formula>AND(OR(AW119=0,ISBLANK(R119)),B119&lt;&gt;"")</formula>
    </cfRule>
    <cfRule type="expression" dxfId="3120" priority="4700">
      <formula>AND(R119="NA",NOT(ISTEXT(S119)))</formula>
    </cfRule>
    <cfRule type="expression" dxfId="3119" priority="4701">
      <formula>AND(AW119&gt;5,R119="NA")</formula>
    </cfRule>
    <cfRule type="expression" dxfId="3118" priority="4702">
      <formula>AND(AW119&lt;5,R119="NA")</formula>
    </cfRule>
    <cfRule type="expression" dxfId="3117" priority="4703">
      <formula>AND(R119&lt;&gt;"NA",R119&gt;$R$16)</formula>
    </cfRule>
  </conditionalFormatting>
  <conditionalFormatting sqref="S119">
    <cfRule type="expression" priority="4643" stopIfTrue="1">
      <formula>"ISBLANK($K$185)"</formula>
    </cfRule>
    <cfRule type="expression" dxfId="3116" priority="4694">
      <formula>AND(OR(AW119=0,ISBLANK(S119)),B119&lt;&gt;"")</formula>
    </cfRule>
    <cfRule type="expression" dxfId="3115" priority="4695">
      <formula>AND(S119="NA",NOT(ISTEXT(R119)))</formula>
    </cfRule>
    <cfRule type="expression" dxfId="3114" priority="4696">
      <formula>AND(AW119&gt;5,S119="NA")</formula>
    </cfRule>
    <cfRule type="expression" dxfId="3113" priority="4697">
      <formula>AND(AW119&lt;5,S119="NA")</formula>
    </cfRule>
    <cfRule type="expression" dxfId="3112" priority="4698">
      <formula>AND(S119&lt;&gt;"NA",S119&gt;$S$16)</formula>
    </cfRule>
  </conditionalFormatting>
  <conditionalFormatting sqref="T119">
    <cfRule type="expression" priority="4642" stopIfTrue="1">
      <formula>"ISBLANK($K$185)"</formula>
    </cfRule>
    <cfRule type="expression" dxfId="3111" priority="4689">
      <formula>AND(OR(AW119=0,ISBLANK(T119)),B119&lt;&gt;"")</formula>
    </cfRule>
    <cfRule type="expression" dxfId="3110" priority="4690">
      <formula>AND(T119="NA",NOT(ISTEXT(U119)))</formula>
    </cfRule>
    <cfRule type="expression" dxfId="3109" priority="4691">
      <formula>AND(AW119&gt;5,T119="NA")</formula>
    </cfRule>
    <cfRule type="expression" dxfId="3108" priority="4692">
      <formula>AND(AW119&lt;5,T119="NA")</formula>
    </cfRule>
    <cfRule type="expression" dxfId="3107" priority="4693">
      <formula>AND(T119&lt;&gt;"NA",T119&gt;$T$16)</formula>
    </cfRule>
  </conditionalFormatting>
  <conditionalFormatting sqref="U119">
    <cfRule type="expression" priority="4641" stopIfTrue="1">
      <formula>"ISBLANK($K$185)"</formula>
    </cfRule>
    <cfRule type="expression" dxfId="3106" priority="4684">
      <formula>AND(OR(AW119=0,ISBLANK(U119)),B119&lt;&gt;"")</formula>
    </cfRule>
    <cfRule type="expression" dxfId="3105" priority="4685">
      <formula>AND(U119="NA",NOT(ISTEXT(T119)))</formula>
    </cfRule>
    <cfRule type="expression" dxfId="3104" priority="4686">
      <formula>AND(AW119&gt;5,U119="NA")</formula>
    </cfRule>
    <cfRule type="expression" dxfId="3103" priority="4687">
      <formula>AND(AW119&lt;5,U119="NA")</formula>
    </cfRule>
    <cfRule type="expression" dxfId="3102" priority="4688">
      <formula>AND(U119&lt;&gt;"NA",U119&gt;$U$16)</formula>
    </cfRule>
  </conditionalFormatting>
  <conditionalFormatting sqref="V119">
    <cfRule type="expression" priority="4640" stopIfTrue="1">
      <formula>"ISBLANK($K$185)"</formula>
    </cfRule>
    <cfRule type="expression" dxfId="3101" priority="4679">
      <formula>AND(OR(AW119=0,ISBLANK(V119)),B119&lt;&gt;"")</formula>
    </cfRule>
    <cfRule type="expression" dxfId="3100" priority="4680">
      <formula>AND(V119="NA",NOT(ISTEXT(W119)))</formula>
    </cfRule>
    <cfRule type="expression" dxfId="3099" priority="4681">
      <formula>AND(AW119&gt;5,V119="NA")</formula>
    </cfRule>
    <cfRule type="expression" dxfId="3098" priority="4682">
      <formula>AND(AW119&lt;5,V119="NA")</formula>
    </cfRule>
    <cfRule type="expression" dxfId="3097" priority="4683">
      <formula>AND(V119&lt;&gt;"NA",V119&gt;$V$16)</formula>
    </cfRule>
  </conditionalFormatting>
  <conditionalFormatting sqref="W119">
    <cfRule type="expression" priority="4639" stopIfTrue="1">
      <formula>"ISBLANK($K$185)"</formula>
    </cfRule>
    <cfRule type="expression" dxfId="3096" priority="4674">
      <formula>AND(OR(AW119=0,ISBLANK(W119)),B119&lt;&gt;"")</formula>
    </cfRule>
    <cfRule type="expression" dxfId="3095" priority="4675">
      <formula>AND(W119="NA",NOT(ISTEXT(V119)))</formula>
    </cfRule>
    <cfRule type="expression" dxfId="3094" priority="4676">
      <formula>AND(AW119&gt;5,W119="NA")</formula>
    </cfRule>
    <cfRule type="expression" dxfId="3093" priority="4677">
      <formula>AND(AW119&lt;5,W119="NA")</formula>
    </cfRule>
    <cfRule type="expression" dxfId="3092" priority="4678">
      <formula>AND(W119&lt;&gt;"NA",W119&gt;$W$16)</formula>
    </cfRule>
  </conditionalFormatting>
  <conditionalFormatting sqref="X119">
    <cfRule type="expression" priority="4638" stopIfTrue="1">
      <formula>"ISBLANK($K$185)"</formula>
    </cfRule>
    <cfRule type="expression" dxfId="3091" priority="4669">
      <formula>AND(OR(AW119=0,ISBLANK(X119)),B119&lt;&gt;"")</formula>
    </cfRule>
    <cfRule type="expression" dxfId="3090" priority="4670">
      <formula>AND(X119="NA",NOT(ISTEXT(Y119)))</formula>
    </cfRule>
    <cfRule type="expression" dxfId="3089" priority="4671">
      <formula>AND(AW119&gt;5,X119="NA")</formula>
    </cfRule>
    <cfRule type="expression" dxfId="3088" priority="4672">
      <formula>AND(AW119&lt;5,X119="NA")</formula>
    </cfRule>
    <cfRule type="expression" dxfId="3087" priority="4673">
      <formula>AND(X119&lt;&gt;"NA",X119&gt;$Y$16)</formula>
    </cfRule>
  </conditionalFormatting>
  <conditionalFormatting sqref="Y119">
    <cfRule type="expression" priority="4637" stopIfTrue="1">
      <formula>"ISBLANK($K$185)"</formula>
    </cfRule>
    <cfRule type="expression" dxfId="3086" priority="4664">
      <formula>AND(OR(AW119=0,ISBLANK(Y119)),B119&lt;&gt;"")</formula>
    </cfRule>
    <cfRule type="expression" dxfId="3085" priority="4665">
      <formula>AND(Y119="NA",NOT(ISTEXT(X119)))</formula>
    </cfRule>
    <cfRule type="expression" dxfId="3084" priority="4666">
      <formula>AND(AW119&gt;5,Y119="NA")</formula>
    </cfRule>
    <cfRule type="expression" dxfId="3083" priority="4667">
      <formula>AND(AW119&lt;5,Y119="NA")</formula>
    </cfRule>
    <cfRule type="expression" dxfId="3082" priority="4668">
      <formula>AND(Y119&lt;&gt;"NA",Y119&gt;$Y$16)</formula>
    </cfRule>
  </conditionalFormatting>
  <conditionalFormatting sqref="N119">
    <cfRule type="expression" priority="4648" stopIfTrue="1">
      <formula>"ISBLANK($K$185)"</formula>
    </cfRule>
    <cfRule type="expression" dxfId="3081" priority="4719">
      <formula>AND(OR(AW119=0,ISBLANK(N119)),B119&lt;&gt;"")</formula>
    </cfRule>
    <cfRule type="expression" dxfId="3080" priority="4720">
      <formula>AND(N119="NA",NOT(ISTEXT(O119)))</formula>
    </cfRule>
    <cfRule type="expression" dxfId="3079" priority="4721">
      <formula>AND(AW119&gt;5,N119="NA")</formula>
    </cfRule>
    <cfRule type="expression" dxfId="3078" priority="4722">
      <formula>AND(AW119&lt;5,N119="NA")</formula>
    </cfRule>
    <cfRule type="expression" dxfId="3077" priority="4723">
      <formula>AND(N119&lt;&gt;"NA",N119&gt;$N$16)</formula>
    </cfRule>
  </conditionalFormatting>
  <conditionalFormatting sqref="O120">
    <cfRule type="expression" priority="4556" stopIfTrue="1">
      <formula>"ISBLANK($K$185)"</formula>
    </cfRule>
    <cfRule type="expression" dxfId="3076" priority="4623">
      <formula>AND(OR(AW120=0,ISBLANK(O120)),B120&lt;&gt;"")</formula>
    </cfRule>
    <cfRule type="expression" dxfId="3075" priority="4624">
      <formula>AND(O120="NA",NOT(ISTEXT(N120)))</formula>
    </cfRule>
    <cfRule type="expression" dxfId="3074" priority="4625">
      <formula>AND(AW120&gt;5,O120="NA")</formula>
    </cfRule>
    <cfRule type="expression" dxfId="3073" priority="4626">
      <formula>AND(AW120&lt;5,O120="NA")</formula>
    </cfRule>
    <cfRule type="expression" dxfId="3072" priority="4627">
      <formula>AND(O120&lt;&gt;"NA",O120&gt;$O$16)</formula>
    </cfRule>
  </conditionalFormatting>
  <conditionalFormatting sqref="P120">
    <cfRule type="expression" priority="4555" stopIfTrue="1">
      <formula>"ISBLANK($K$185)"</formula>
    </cfRule>
    <cfRule type="expression" dxfId="3071" priority="4618">
      <formula>AND(OR(AW120=0,ISBLANK(P120)),B120&lt;&gt;"")</formula>
    </cfRule>
    <cfRule type="expression" dxfId="3070" priority="4619">
      <formula>AND(P120="NA",NOT(ISTEXT(Q120)))</formula>
    </cfRule>
    <cfRule type="expression" dxfId="3069" priority="4620">
      <formula>AND(AW120&gt;5,P120="NA")</formula>
    </cfRule>
    <cfRule type="expression" dxfId="3068" priority="4621">
      <formula>AND(AW120&lt;5,P120="NA")</formula>
    </cfRule>
    <cfRule type="expression" dxfId="3067" priority="4622">
      <formula>AND(P120&lt;&gt;"NA",P120&gt;$P$16)</formula>
    </cfRule>
  </conditionalFormatting>
  <conditionalFormatting sqref="Q120">
    <cfRule type="expression" priority="4554" stopIfTrue="1">
      <formula>"ISBLANK($K$185)"</formula>
    </cfRule>
    <cfRule type="expression" dxfId="3066" priority="4613">
      <formula>AND(OR(AW120=0,ISBLANK(Q120)),B120&lt;&gt;"")</formula>
    </cfRule>
    <cfRule type="expression" dxfId="3065" priority="4614">
      <formula>AND(Q120="NA",NOT(ISTEXT(P120)))</formula>
    </cfRule>
    <cfRule type="expression" dxfId="3064" priority="4615">
      <formula>AND(AW120&gt;5,Q120="NA")</formula>
    </cfRule>
    <cfRule type="expression" dxfId="3063" priority="4616">
      <formula>AND(AW120&lt;5,Q120="NA")</formula>
    </cfRule>
    <cfRule type="expression" dxfId="3062" priority="4617">
      <formula>AND(Q120&lt;&gt;"NA",Q120&gt;$Q$16)</formula>
    </cfRule>
  </conditionalFormatting>
  <conditionalFormatting sqref="R120">
    <cfRule type="expression" priority="4553" stopIfTrue="1">
      <formula>"ISBLANK($K$185)"</formula>
    </cfRule>
    <cfRule type="expression" dxfId="3061" priority="4608">
      <formula>AND(OR(AW120=0,ISBLANK(R120)),B120&lt;&gt;"")</formula>
    </cfRule>
    <cfRule type="expression" dxfId="3060" priority="4609">
      <formula>AND(R120="NA",NOT(ISTEXT(S120)))</formula>
    </cfRule>
    <cfRule type="expression" dxfId="3059" priority="4610">
      <formula>AND(AW120&gt;5,R120="NA")</formula>
    </cfRule>
    <cfRule type="expression" dxfId="3058" priority="4611">
      <formula>AND(AW120&lt;5,R120="NA")</formula>
    </cfRule>
    <cfRule type="expression" dxfId="3057" priority="4612">
      <formula>AND(R120&lt;&gt;"NA",R120&gt;$R$16)</formula>
    </cfRule>
  </conditionalFormatting>
  <conditionalFormatting sqref="S120">
    <cfRule type="expression" priority="4552" stopIfTrue="1">
      <formula>"ISBLANK($K$185)"</formula>
    </cfRule>
    <cfRule type="expression" dxfId="3056" priority="4603">
      <formula>AND(OR(AW120=0,ISBLANK(S120)),B120&lt;&gt;"")</formula>
    </cfRule>
    <cfRule type="expression" dxfId="3055" priority="4604">
      <formula>AND(S120="NA",NOT(ISTEXT(R120)))</formula>
    </cfRule>
    <cfRule type="expression" dxfId="3054" priority="4605">
      <formula>AND(AW120&gt;5,S120="NA")</formula>
    </cfRule>
    <cfRule type="expression" dxfId="3053" priority="4606">
      <formula>AND(AW120&lt;5,S120="NA")</formula>
    </cfRule>
    <cfRule type="expression" dxfId="3052" priority="4607">
      <formula>AND(S120&lt;&gt;"NA",S120&gt;$S$16)</formula>
    </cfRule>
  </conditionalFormatting>
  <conditionalFormatting sqref="T120">
    <cfRule type="expression" priority="4551" stopIfTrue="1">
      <formula>"ISBLANK($K$185)"</formula>
    </cfRule>
    <cfRule type="expression" dxfId="3051" priority="4598">
      <formula>AND(OR(AW120=0,ISBLANK(T120)),B120&lt;&gt;"")</formula>
    </cfRule>
    <cfRule type="expression" dxfId="3050" priority="4599">
      <formula>AND(T120="NA",NOT(ISTEXT(U120)))</formula>
    </cfRule>
    <cfRule type="expression" dxfId="3049" priority="4600">
      <formula>AND(AW120&gt;5,T120="NA")</formula>
    </cfRule>
    <cfRule type="expression" dxfId="3048" priority="4601">
      <formula>AND(AW120&lt;5,T120="NA")</formula>
    </cfRule>
    <cfRule type="expression" dxfId="3047" priority="4602">
      <formula>AND(T120&lt;&gt;"NA",T120&gt;$T$16)</formula>
    </cfRule>
  </conditionalFormatting>
  <conditionalFormatting sqref="U120">
    <cfRule type="expression" priority="4550" stopIfTrue="1">
      <formula>"ISBLANK($K$185)"</formula>
    </cfRule>
    <cfRule type="expression" dxfId="3046" priority="4593">
      <formula>AND(OR(AW120=0,ISBLANK(U120)),B120&lt;&gt;"")</formula>
    </cfRule>
    <cfRule type="expression" dxfId="3045" priority="4594">
      <formula>AND(U120="NA",NOT(ISTEXT(T120)))</formula>
    </cfRule>
    <cfRule type="expression" dxfId="3044" priority="4595">
      <formula>AND(AW120&gt;5,U120="NA")</formula>
    </cfRule>
    <cfRule type="expression" dxfId="3043" priority="4596">
      <formula>AND(AW120&lt;5,U120="NA")</formula>
    </cfRule>
    <cfRule type="expression" dxfId="3042" priority="4597">
      <formula>AND(U120&lt;&gt;"NA",U120&gt;$U$16)</formula>
    </cfRule>
  </conditionalFormatting>
  <conditionalFormatting sqref="V120">
    <cfRule type="expression" priority="4549" stopIfTrue="1">
      <formula>"ISBLANK($K$185)"</formula>
    </cfRule>
    <cfRule type="expression" dxfId="3041" priority="4588">
      <formula>AND(OR(AW120=0,ISBLANK(V120)),B120&lt;&gt;"")</formula>
    </cfRule>
    <cfRule type="expression" dxfId="3040" priority="4589">
      <formula>AND(V120="NA",NOT(ISTEXT(W120)))</formula>
    </cfRule>
    <cfRule type="expression" dxfId="3039" priority="4590">
      <formula>AND(AW120&gt;5,V120="NA")</formula>
    </cfRule>
    <cfRule type="expression" dxfId="3038" priority="4591">
      <formula>AND(AW120&lt;5,V120="NA")</formula>
    </cfRule>
    <cfRule type="expression" dxfId="3037" priority="4592">
      <formula>AND(V120&lt;&gt;"NA",V120&gt;$V$16)</formula>
    </cfRule>
  </conditionalFormatting>
  <conditionalFormatting sqref="W120">
    <cfRule type="expression" priority="4548" stopIfTrue="1">
      <formula>"ISBLANK($K$185)"</formula>
    </cfRule>
    <cfRule type="expression" dxfId="3036" priority="4583">
      <formula>AND(OR(AW120=0,ISBLANK(W120)),B120&lt;&gt;"")</formula>
    </cfRule>
    <cfRule type="expression" dxfId="3035" priority="4584">
      <formula>AND(W120="NA",NOT(ISTEXT(V120)))</formula>
    </cfRule>
    <cfRule type="expression" dxfId="3034" priority="4585">
      <formula>AND(AW120&gt;5,W120="NA")</formula>
    </cfRule>
    <cfRule type="expression" dxfId="3033" priority="4586">
      <formula>AND(AW120&lt;5,W120="NA")</formula>
    </cfRule>
    <cfRule type="expression" dxfId="3032" priority="4587">
      <formula>AND(W120&lt;&gt;"NA",W120&gt;$W$16)</formula>
    </cfRule>
  </conditionalFormatting>
  <conditionalFormatting sqref="X120">
    <cfRule type="expression" priority="4547" stopIfTrue="1">
      <formula>"ISBLANK($K$185)"</formula>
    </cfRule>
    <cfRule type="expression" dxfId="3031" priority="4578">
      <formula>AND(OR(AW120=0,ISBLANK(X120)),B120&lt;&gt;"")</formula>
    </cfRule>
    <cfRule type="expression" dxfId="3030" priority="4579">
      <formula>AND(X120="NA",NOT(ISTEXT(Y120)))</formula>
    </cfRule>
    <cfRule type="expression" dxfId="3029" priority="4580">
      <formula>AND(AW120&gt;5,X120="NA")</formula>
    </cfRule>
    <cfRule type="expression" dxfId="3028" priority="4581">
      <formula>AND(AW120&lt;5,X120="NA")</formula>
    </cfRule>
    <cfRule type="expression" dxfId="3027" priority="4582">
      <formula>AND(X120&lt;&gt;"NA",X120&gt;$Y$16)</formula>
    </cfRule>
  </conditionalFormatting>
  <conditionalFormatting sqref="Y120">
    <cfRule type="expression" priority="4546" stopIfTrue="1">
      <formula>"ISBLANK($K$185)"</formula>
    </cfRule>
    <cfRule type="expression" dxfId="3026" priority="4573">
      <formula>AND(OR(AW120=0,ISBLANK(Y120)),B120&lt;&gt;"")</formula>
    </cfRule>
    <cfRule type="expression" dxfId="3025" priority="4574">
      <formula>AND(Y120="NA",NOT(ISTEXT(X120)))</formula>
    </cfRule>
    <cfRule type="expression" dxfId="3024" priority="4575">
      <formula>AND(AW120&gt;5,Y120="NA")</formula>
    </cfRule>
    <cfRule type="expression" dxfId="3023" priority="4576">
      <formula>AND(AW120&lt;5,Y120="NA")</formula>
    </cfRule>
    <cfRule type="expression" dxfId="3022" priority="4577">
      <formula>AND(Y120&lt;&gt;"NA",Y120&gt;$Y$16)</formula>
    </cfRule>
  </conditionalFormatting>
  <conditionalFormatting sqref="N120">
    <cfRule type="expression" priority="4557" stopIfTrue="1">
      <formula>"ISBLANK($K$185)"</formula>
    </cfRule>
    <cfRule type="expression" dxfId="3021" priority="4628">
      <formula>AND(OR(AW120=0,ISBLANK(N120)),B120&lt;&gt;"")</formula>
    </cfRule>
    <cfRule type="expression" dxfId="3020" priority="4629">
      <formula>AND(N120="NA",NOT(ISTEXT(O120)))</formula>
    </cfRule>
    <cfRule type="expression" dxfId="3019" priority="4630">
      <formula>AND(AW120&gt;5,N120="NA")</formula>
    </cfRule>
    <cfRule type="expression" dxfId="3018" priority="4631">
      <formula>AND(AW120&lt;5,N120="NA")</formula>
    </cfRule>
    <cfRule type="expression" dxfId="3017" priority="4632">
      <formula>AND(N120&lt;&gt;"NA",N120&gt;$N$16)</formula>
    </cfRule>
  </conditionalFormatting>
  <conditionalFormatting sqref="O121">
    <cfRule type="expression" priority="4465" stopIfTrue="1">
      <formula>"ISBLANK($K$185)"</formula>
    </cfRule>
    <cfRule type="expression" dxfId="3016" priority="4532">
      <formula>AND(OR(AW121=0,ISBLANK(O121)),B121&lt;&gt;"")</formula>
    </cfRule>
    <cfRule type="expression" dxfId="3015" priority="4533">
      <formula>AND(O121="NA",NOT(ISTEXT(N121)))</formula>
    </cfRule>
    <cfRule type="expression" dxfId="3014" priority="4534">
      <formula>AND(AW121&gt;5,O121="NA")</formula>
    </cfRule>
    <cfRule type="expression" dxfId="3013" priority="4535">
      <formula>AND(AW121&lt;5,O121="NA")</formula>
    </cfRule>
    <cfRule type="expression" dxfId="3012" priority="4536">
      <formula>AND(O121&lt;&gt;"NA",O121&gt;$O$16)</formula>
    </cfRule>
  </conditionalFormatting>
  <conditionalFormatting sqref="P121">
    <cfRule type="expression" priority="4464" stopIfTrue="1">
      <formula>"ISBLANK($K$185)"</formula>
    </cfRule>
    <cfRule type="expression" dxfId="3011" priority="4527">
      <formula>AND(OR(AW121=0,ISBLANK(P121)),B121&lt;&gt;"")</formula>
    </cfRule>
    <cfRule type="expression" dxfId="3010" priority="4528">
      <formula>AND(P121="NA",NOT(ISTEXT(Q121)))</formula>
    </cfRule>
    <cfRule type="expression" dxfId="3009" priority="4529">
      <formula>AND(AW121&gt;5,P121="NA")</formula>
    </cfRule>
    <cfRule type="expression" dxfId="3008" priority="4530">
      <formula>AND(AW121&lt;5,P121="NA")</formula>
    </cfRule>
    <cfRule type="expression" dxfId="3007" priority="4531">
      <formula>AND(P121&lt;&gt;"NA",P121&gt;$P$16)</formula>
    </cfRule>
  </conditionalFormatting>
  <conditionalFormatting sqref="Q121">
    <cfRule type="expression" priority="4463" stopIfTrue="1">
      <formula>"ISBLANK($K$185)"</formula>
    </cfRule>
    <cfRule type="expression" dxfId="3006" priority="4522">
      <formula>AND(OR(AW121=0,ISBLANK(Q121)),B121&lt;&gt;"")</formula>
    </cfRule>
    <cfRule type="expression" dxfId="3005" priority="4523">
      <formula>AND(Q121="NA",NOT(ISTEXT(P121)))</formula>
    </cfRule>
    <cfRule type="expression" dxfId="3004" priority="4524">
      <formula>AND(AW121&gt;5,Q121="NA")</formula>
    </cfRule>
    <cfRule type="expression" dxfId="3003" priority="4525">
      <formula>AND(AW121&lt;5,Q121="NA")</formula>
    </cfRule>
    <cfRule type="expression" dxfId="3002" priority="4526">
      <formula>AND(Q121&lt;&gt;"NA",Q121&gt;$Q$16)</formula>
    </cfRule>
  </conditionalFormatting>
  <conditionalFormatting sqref="R121">
    <cfRule type="expression" priority="4462" stopIfTrue="1">
      <formula>"ISBLANK($K$185)"</formula>
    </cfRule>
    <cfRule type="expression" dxfId="3001" priority="4517">
      <formula>AND(OR(AW121=0,ISBLANK(R121)),B121&lt;&gt;"")</formula>
    </cfRule>
    <cfRule type="expression" dxfId="3000" priority="4518">
      <formula>AND(R121="NA",NOT(ISTEXT(S121)))</formula>
    </cfRule>
    <cfRule type="expression" dxfId="2999" priority="4519">
      <formula>AND(AW121&gt;5,R121="NA")</formula>
    </cfRule>
    <cfRule type="expression" dxfId="2998" priority="4520">
      <formula>AND(AW121&lt;5,R121="NA")</formula>
    </cfRule>
    <cfRule type="expression" dxfId="2997" priority="4521">
      <formula>AND(R121&lt;&gt;"NA",R121&gt;$R$16)</formula>
    </cfRule>
  </conditionalFormatting>
  <conditionalFormatting sqref="S121">
    <cfRule type="expression" priority="4461" stopIfTrue="1">
      <formula>"ISBLANK($K$185)"</formula>
    </cfRule>
    <cfRule type="expression" dxfId="2996" priority="4512">
      <formula>AND(OR(AW121=0,ISBLANK(S121)),B121&lt;&gt;"")</formula>
    </cfRule>
    <cfRule type="expression" dxfId="2995" priority="4513">
      <formula>AND(S121="NA",NOT(ISTEXT(R121)))</formula>
    </cfRule>
    <cfRule type="expression" dxfId="2994" priority="4514">
      <formula>AND(AW121&gt;5,S121="NA")</formula>
    </cfRule>
    <cfRule type="expression" dxfId="2993" priority="4515">
      <formula>AND(AW121&lt;5,S121="NA")</formula>
    </cfRule>
    <cfRule type="expression" dxfId="2992" priority="4516">
      <formula>AND(S121&lt;&gt;"NA",S121&gt;$S$16)</formula>
    </cfRule>
  </conditionalFormatting>
  <conditionalFormatting sqref="T121">
    <cfRule type="expression" priority="4460" stopIfTrue="1">
      <formula>"ISBLANK($K$185)"</formula>
    </cfRule>
    <cfRule type="expression" dxfId="2991" priority="4507">
      <formula>AND(OR(AW121=0,ISBLANK(T121)),B121&lt;&gt;"")</formula>
    </cfRule>
    <cfRule type="expression" dxfId="2990" priority="4508">
      <formula>AND(T121="NA",NOT(ISTEXT(U121)))</formula>
    </cfRule>
    <cfRule type="expression" dxfId="2989" priority="4509">
      <formula>AND(AW121&gt;5,T121="NA")</formula>
    </cfRule>
    <cfRule type="expression" dxfId="2988" priority="4510">
      <formula>AND(AW121&lt;5,T121="NA")</formula>
    </cfRule>
    <cfRule type="expression" dxfId="2987" priority="4511">
      <formula>AND(T121&lt;&gt;"NA",T121&gt;$T$16)</formula>
    </cfRule>
  </conditionalFormatting>
  <conditionalFormatting sqref="U121">
    <cfRule type="expression" priority="4459" stopIfTrue="1">
      <formula>"ISBLANK($K$185)"</formula>
    </cfRule>
    <cfRule type="expression" dxfId="2986" priority="4502">
      <formula>AND(OR(AW121=0,ISBLANK(U121)),B121&lt;&gt;"")</formula>
    </cfRule>
    <cfRule type="expression" dxfId="2985" priority="4503">
      <formula>AND(U121="NA",NOT(ISTEXT(T121)))</formula>
    </cfRule>
    <cfRule type="expression" dxfId="2984" priority="4504">
      <formula>AND(AW121&gt;5,U121="NA")</formula>
    </cfRule>
    <cfRule type="expression" dxfId="2983" priority="4505">
      <formula>AND(AW121&lt;5,U121="NA")</formula>
    </cfRule>
    <cfRule type="expression" dxfId="2982" priority="4506">
      <formula>AND(U121&lt;&gt;"NA",U121&gt;$U$16)</formula>
    </cfRule>
  </conditionalFormatting>
  <conditionalFormatting sqref="V121">
    <cfRule type="expression" priority="4458" stopIfTrue="1">
      <formula>"ISBLANK($K$185)"</formula>
    </cfRule>
    <cfRule type="expression" dxfId="2981" priority="4497">
      <formula>AND(OR(AW121=0,ISBLANK(V121)),B121&lt;&gt;"")</formula>
    </cfRule>
    <cfRule type="expression" dxfId="2980" priority="4498">
      <formula>AND(V121="NA",NOT(ISTEXT(W121)))</formula>
    </cfRule>
    <cfRule type="expression" dxfId="2979" priority="4499">
      <formula>AND(AW121&gt;5,V121="NA")</formula>
    </cfRule>
    <cfRule type="expression" dxfId="2978" priority="4500">
      <formula>AND(AW121&lt;5,V121="NA")</formula>
    </cfRule>
    <cfRule type="expression" dxfId="2977" priority="4501">
      <formula>AND(V121&lt;&gt;"NA",V121&gt;$V$16)</formula>
    </cfRule>
  </conditionalFormatting>
  <conditionalFormatting sqref="W121">
    <cfRule type="expression" priority="4457" stopIfTrue="1">
      <formula>"ISBLANK($K$185)"</formula>
    </cfRule>
    <cfRule type="expression" dxfId="2976" priority="4492">
      <formula>AND(OR(AW121=0,ISBLANK(W121)),B121&lt;&gt;"")</formula>
    </cfRule>
    <cfRule type="expression" dxfId="2975" priority="4493">
      <formula>AND(W121="NA",NOT(ISTEXT(V121)))</formula>
    </cfRule>
    <cfRule type="expression" dxfId="2974" priority="4494">
      <formula>AND(AW121&gt;5,W121="NA")</formula>
    </cfRule>
    <cfRule type="expression" dxfId="2973" priority="4495">
      <formula>AND(AW121&lt;5,W121="NA")</formula>
    </cfRule>
    <cfRule type="expression" dxfId="2972" priority="4496">
      <formula>AND(W121&lt;&gt;"NA",W121&gt;$W$16)</formula>
    </cfRule>
  </conditionalFormatting>
  <conditionalFormatting sqref="X121">
    <cfRule type="expression" priority="4456" stopIfTrue="1">
      <formula>"ISBLANK($K$185)"</formula>
    </cfRule>
    <cfRule type="expression" dxfId="2971" priority="4487">
      <formula>AND(OR(AW121=0,ISBLANK(X121)),B121&lt;&gt;"")</formula>
    </cfRule>
    <cfRule type="expression" dxfId="2970" priority="4488">
      <formula>AND(X121="NA",NOT(ISTEXT(Y121)))</formula>
    </cfRule>
    <cfRule type="expression" dxfId="2969" priority="4489">
      <formula>AND(AW121&gt;5,X121="NA")</formula>
    </cfRule>
    <cfRule type="expression" dxfId="2968" priority="4490">
      <formula>AND(AW121&lt;5,X121="NA")</formula>
    </cfRule>
    <cfRule type="expression" dxfId="2967" priority="4491">
      <formula>AND(X121&lt;&gt;"NA",X121&gt;$Y$16)</formula>
    </cfRule>
  </conditionalFormatting>
  <conditionalFormatting sqref="Y121">
    <cfRule type="expression" priority="4455" stopIfTrue="1">
      <formula>"ISBLANK($K$185)"</formula>
    </cfRule>
    <cfRule type="expression" dxfId="2966" priority="4482">
      <formula>AND(OR(AW121=0,ISBLANK(Y121)),B121&lt;&gt;"")</formula>
    </cfRule>
    <cfRule type="expression" dxfId="2965" priority="4483">
      <formula>AND(Y121="NA",NOT(ISTEXT(X121)))</formula>
    </cfRule>
    <cfRule type="expression" dxfId="2964" priority="4484">
      <formula>AND(AW121&gt;5,Y121="NA")</formula>
    </cfRule>
    <cfRule type="expression" dxfId="2963" priority="4485">
      <formula>AND(AW121&lt;5,Y121="NA")</formula>
    </cfRule>
    <cfRule type="expression" dxfId="2962" priority="4486">
      <formula>AND(Y121&lt;&gt;"NA",Y121&gt;$Y$16)</formula>
    </cfRule>
  </conditionalFormatting>
  <conditionalFormatting sqref="N121">
    <cfRule type="expression" priority="4466" stopIfTrue="1">
      <formula>"ISBLANK($K$185)"</formula>
    </cfRule>
    <cfRule type="expression" dxfId="2961" priority="4537">
      <formula>AND(OR(AW121=0,ISBLANK(N121)),B121&lt;&gt;"")</formula>
    </cfRule>
    <cfRule type="expression" dxfId="2960" priority="4538">
      <formula>AND(N121="NA",NOT(ISTEXT(O121)))</formula>
    </cfRule>
    <cfRule type="expression" dxfId="2959" priority="4539">
      <formula>AND(AW121&gt;5,N121="NA")</formula>
    </cfRule>
    <cfRule type="expression" dxfId="2958" priority="4540">
      <formula>AND(AW121&lt;5,N121="NA")</formula>
    </cfRule>
    <cfRule type="expression" dxfId="2957" priority="4541">
      <formula>AND(N121&lt;&gt;"NA",N121&gt;$N$16)</formula>
    </cfRule>
  </conditionalFormatting>
  <conditionalFormatting sqref="O122">
    <cfRule type="expression" priority="4374" stopIfTrue="1">
      <formula>"ISBLANK($K$185)"</formula>
    </cfRule>
    <cfRule type="expression" dxfId="2956" priority="4441">
      <formula>AND(OR(AW122=0,ISBLANK(O122)),B122&lt;&gt;"")</formula>
    </cfRule>
    <cfRule type="expression" dxfId="2955" priority="4442">
      <formula>AND(O122="NA",NOT(ISTEXT(N122)))</formula>
    </cfRule>
    <cfRule type="expression" dxfId="2954" priority="4443">
      <formula>AND(AW122&gt;5,O122="NA")</formula>
    </cfRule>
    <cfRule type="expression" dxfId="2953" priority="4444">
      <formula>AND(AW122&lt;5,O122="NA")</formula>
    </cfRule>
    <cfRule type="expression" dxfId="2952" priority="4445">
      <formula>AND(O122&lt;&gt;"NA",O122&gt;$O$16)</formula>
    </cfRule>
  </conditionalFormatting>
  <conditionalFormatting sqref="P122">
    <cfRule type="expression" priority="4373" stopIfTrue="1">
      <formula>"ISBLANK($K$185)"</formula>
    </cfRule>
    <cfRule type="expression" dxfId="2951" priority="4436">
      <formula>AND(OR(AW122=0,ISBLANK(P122)),B122&lt;&gt;"")</formula>
    </cfRule>
    <cfRule type="expression" dxfId="2950" priority="4437">
      <formula>AND(P122="NA",NOT(ISTEXT(Q122)))</formula>
    </cfRule>
    <cfRule type="expression" dxfId="2949" priority="4438">
      <formula>AND(AW122&gt;5,P122="NA")</formula>
    </cfRule>
    <cfRule type="expression" dxfId="2948" priority="4439">
      <formula>AND(AW122&lt;5,P122="NA")</formula>
    </cfRule>
    <cfRule type="expression" dxfId="2947" priority="4440">
      <formula>AND(P122&lt;&gt;"NA",P122&gt;$P$16)</formula>
    </cfRule>
  </conditionalFormatting>
  <conditionalFormatting sqref="Q122">
    <cfRule type="expression" priority="4372" stopIfTrue="1">
      <formula>"ISBLANK($K$185)"</formula>
    </cfRule>
    <cfRule type="expression" dxfId="2946" priority="4431">
      <formula>AND(OR(AW122=0,ISBLANK(Q122)),B122&lt;&gt;"")</formula>
    </cfRule>
    <cfRule type="expression" dxfId="2945" priority="4432">
      <formula>AND(Q122="NA",NOT(ISTEXT(P122)))</formula>
    </cfRule>
    <cfRule type="expression" dxfId="2944" priority="4433">
      <formula>AND(AW122&gt;5,Q122="NA")</formula>
    </cfRule>
    <cfRule type="expression" dxfId="2943" priority="4434">
      <formula>AND(AW122&lt;5,Q122="NA")</formula>
    </cfRule>
    <cfRule type="expression" dxfId="2942" priority="4435">
      <formula>AND(Q122&lt;&gt;"NA",Q122&gt;$Q$16)</formula>
    </cfRule>
  </conditionalFormatting>
  <conditionalFormatting sqref="R122">
    <cfRule type="expression" priority="4371" stopIfTrue="1">
      <formula>"ISBLANK($K$185)"</formula>
    </cfRule>
    <cfRule type="expression" dxfId="2941" priority="4426">
      <formula>AND(OR(AW122=0,ISBLANK(R122)),B122&lt;&gt;"")</formula>
    </cfRule>
    <cfRule type="expression" dxfId="2940" priority="4427">
      <formula>AND(R122="NA",NOT(ISTEXT(S122)))</formula>
    </cfRule>
    <cfRule type="expression" dxfId="2939" priority="4428">
      <formula>AND(AW122&gt;5,R122="NA")</formula>
    </cfRule>
    <cfRule type="expression" dxfId="2938" priority="4429">
      <formula>AND(AW122&lt;5,R122="NA")</formula>
    </cfRule>
    <cfRule type="expression" dxfId="2937" priority="4430">
      <formula>AND(R122&lt;&gt;"NA",R122&gt;$R$16)</formula>
    </cfRule>
  </conditionalFormatting>
  <conditionalFormatting sqref="S122">
    <cfRule type="expression" priority="4370" stopIfTrue="1">
      <formula>"ISBLANK($K$185)"</formula>
    </cfRule>
    <cfRule type="expression" dxfId="2936" priority="4421">
      <formula>AND(OR(AW122=0,ISBLANK(S122)),B122&lt;&gt;"")</formula>
    </cfRule>
    <cfRule type="expression" dxfId="2935" priority="4422">
      <formula>AND(S122="NA",NOT(ISTEXT(R122)))</formula>
    </cfRule>
    <cfRule type="expression" dxfId="2934" priority="4423">
      <formula>AND(AW122&gt;5,S122="NA")</formula>
    </cfRule>
    <cfRule type="expression" dxfId="2933" priority="4424">
      <formula>AND(AW122&lt;5,S122="NA")</formula>
    </cfRule>
    <cfRule type="expression" dxfId="2932" priority="4425">
      <formula>AND(S122&lt;&gt;"NA",S122&gt;$S$16)</formula>
    </cfRule>
  </conditionalFormatting>
  <conditionalFormatting sqref="T122">
    <cfRule type="expression" priority="4369" stopIfTrue="1">
      <formula>"ISBLANK($K$185)"</formula>
    </cfRule>
    <cfRule type="expression" dxfId="2931" priority="4416">
      <formula>AND(OR(AW122=0,ISBLANK(T122)),B122&lt;&gt;"")</formula>
    </cfRule>
    <cfRule type="expression" dxfId="2930" priority="4417">
      <formula>AND(T122="NA",NOT(ISTEXT(U122)))</formula>
    </cfRule>
    <cfRule type="expression" dxfId="2929" priority="4418">
      <formula>AND(AW122&gt;5,T122="NA")</formula>
    </cfRule>
    <cfRule type="expression" dxfId="2928" priority="4419">
      <formula>AND(AW122&lt;5,T122="NA")</formula>
    </cfRule>
    <cfRule type="expression" dxfId="2927" priority="4420">
      <formula>AND(T122&lt;&gt;"NA",T122&gt;$T$16)</formula>
    </cfRule>
  </conditionalFormatting>
  <conditionalFormatting sqref="U122">
    <cfRule type="expression" priority="4368" stopIfTrue="1">
      <formula>"ISBLANK($K$185)"</formula>
    </cfRule>
    <cfRule type="expression" dxfId="2926" priority="4411">
      <formula>AND(OR(AW122=0,ISBLANK(U122)),B122&lt;&gt;"")</formula>
    </cfRule>
    <cfRule type="expression" dxfId="2925" priority="4412">
      <formula>AND(U122="NA",NOT(ISTEXT(T122)))</formula>
    </cfRule>
    <cfRule type="expression" dxfId="2924" priority="4413">
      <formula>AND(AW122&gt;5,U122="NA")</formula>
    </cfRule>
    <cfRule type="expression" dxfId="2923" priority="4414">
      <formula>AND(AW122&lt;5,U122="NA")</formula>
    </cfRule>
    <cfRule type="expression" dxfId="2922" priority="4415">
      <formula>AND(U122&lt;&gt;"NA",U122&gt;$U$16)</formula>
    </cfRule>
  </conditionalFormatting>
  <conditionalFormatting sqref="V122">
    <cfRule type="expression" priority="4367" stopIfTrue="1">
      <formula>"ISBLANK($K$185)"</formula>
    </cfRule>
    <cfRule type="expression" dxfId="2921" priority="4406">
      <formula>AND(OR(AW122=0,ISBLANK(V122)),B122&lt;&gt;"")</formula>
    </cfRule>
    <cfRule type="expression" dxfId="2920" priority="4407">
      <formula>AND(V122="NA",NOT(ISTEXT(W122)))</formula>
    </cfRule>
    <cfRule type="expression" dxfId="2919" priority="4408">
      <formula>AND(AW122&gt;5,V122="NA")</formula>
    </cfRule>
    <cfRule type="expression" dxfId="2918" priority="4409">
      <formula>AND(AW122&lt;5,V122="NA")</formula>
    </cfRule>
    <cfRule type="expression" dxfId="2917" priority="4410">
      <formula>AND(V122&lt;&gt;"NA",V122&gt;$V$16)</formula>
    </cfRule>
  </conditionalFormatting>
  <conditionalFormatting sqref="W122">
    <cfRule type="expression" priority="4366" stopIfTrue="1">
      <formula>"ISBLANK($K$185)"</formula>
    </cfRule>
    <cfRule type="expression" dxfId="2916" priority="4401">
      <formula>AND(OR(AW122=0,ISBLANK(W122)),B122&lt;&gt;"")</formula>
    </cfRule>
    <cfRule type="expression" dxfId="2915" priority="4402">
      <formula>AND(W122="NA",NOT(ISTEXT(V122)))</formula>
    </cfRule>
    <cfRule type="expression" dxfId="2914" priority="4403">
      <formula>AND(AW122&gt;5,W122="NA")</formula>
    </cfRule>
    <cfRule type="expression" dxfId="2913" priority="4404">
      <formula>AND(AW122&lt;5,W122="NA")</formula>
    </cfRule>
    <cfRule type="expression" dxfId="2912" priority="4405">
      <formula>AND(W122&lt;&gt;"NA",W122&gt;$W$16)</formula>
    </cfRule>
  </conditionalFormatting>
  <conditionalFormatting sqref="X122">
    <cfRule type="expression" priority="4365" stopIfTrue="1">
      <formula>"ISBLANK($K$185)"</formula>
    </cfRule>
    <cfRule type="expression" dxfId="2911" priority="4396">
      <formula>AND(OR(AW122=0,ISBLANK(X122)),B122&lt;&gt;"")</formula>
    </cfRule>
    <cfRule type="expression" dxfId="2910" priority="4397">
      <formula>AND(X122="NA",NOT(ISTEXT(Y122)))</formula>
    </cfRule>
    <cfRule type="expression" dxfId="2909" priority="4398">
      <formula>AND(AW122&gt;5,X122="NA")</formula>
    </cfRule>
    <cfRule type="expression" dxfId="2908" priority="4399">
      <formula>AND(AW122&lt;5,X122="NA")</formula>
    </cfRule>
    <cfRule type="expression" dxfId="2907" priority="4400">
      <formula>AND(X122&lt;&gt;"NA",X122&gt;$Y$16)</formula>
    </cfRule>
  </conditionalFormatting>
  <conditionalFormatting sqref="Y122">
    <cfRule type="expression" priority="4364" stopIfTrue="1">
      <formula>"ISBLANK($K$185)"</formula>
    </cfRule>
    <cfRule type="expression" dxfId="2906" priority="4391">
      <formula>AND(OR(AW122=0,ISBLANK(Y122)),B122&lt;&gt;"")</formula>
    </cfRule>
    <cfRule type="expression" dxfId="2905" priority="4392">
      <formula>AND(Y122="NA",NOT(ISTEXT(X122)))</formula>
    </cfRule>
    <cfRule type="expression" dxfId="2904" priority="4393">
      <formula>AND(AW122&gt;5,Y122="NA")</formula>
    </cfRule>
    <cfRule type="expression" dxfId="2903" priority="4394">
      <formula>AND(AW122&lt;5,Y122="NA")</formula>
    </cfRule>
    <cfRule type="expression" dxfId="2902" priority="4395">
      <formula>AND(Y122&lt;&gt;"NA",Y122&gt;$Y$16)</formula>
    </cfRule>
  </conditionalFormatting>
  <conditionalFormatting sqref="N122">
    <cfRule type="expression" priority="4375" stopIfTrue="1">
      <formula>"ISBLANK($K$185)"</formula>
    </cfRule>
    <cfRule type="expression" dxfId="2901" priority="4446">
      <formula>AND(OR(AW122=0,ISBLANK(N122)),B122&lt;&gt;"")</formula>
    </cfRule>
    <cfRule type="expression" dxfId="2900" priority="4447">
      <formula>AND(N122="NA",NOT(ISTEXT(O122)))</formula>
    </cfRule>
    <cfRule type="expression" dxfId="2899" priority="4448">
      <formula>AND(AW122&gt;5,N122="NA")</formula>
    </cfRule>
    <cfRule type="expression" dxfId="2898" priority="4449">
      <formula>AND(AW122&lt;5,N122="NA")</formula>
    </cfRule>
    <cfRule type="expression" dxfId="2897" priority="4450">
      <formula>AND(N122&lt;&gt;"NA",N122&gt;$N$16)</formula>
    </cfRule>
  </conditionalFormatting>
  <conditionalFormatting sqref="O123">
    <cfRule type="expression" priority="4283" stopIfTrue="1">
      <formula>"ISBLANK($K$185)"</formula>
    </cfRule>
    <cfRule type="expression" dxfId="2896" priority="4350">
      <formula>AND(OR(AW123=0,ISBLANK(O123)),B123&lt;&gt;"")</formula>
    </cfRule>
    <cfRule type="expression" dxfId="2895" priority="4351">
      <formula>AND(O123="NA",NOT(ISTEXT(N123)))</formula>
    </cfRule>
    <cfRule type="expression" dxfId="2894" priority="4352">
      <formula>AND(AW123&gt;5,O123="NA")</formula>
    </cfRule>
    <cfRule type="expression" dxfId="2893" priority="4353">
      <formula>AND(AW123&lt;5,O123="NA")</formula>
    </cfRule>
    <cfRule type="expression" dxfId="2892" priority="4354">
      <formula>AND(O123&lt;&gt;"NA",O123&gt;$O$16)</formula>
    </cfRule>
  </conditionalFormatting>
  <conditionalFormatting sqref="P123">
    <cfRule type="expression" priority="4282" stopIfTrue="1">
      <formula>"ISBLANK($K$185)"</formula>
    </cfRule>
    <cfRule type="expression" dxfId="2891" priority="4345">
      <formula>AND(OR(AW123=0,ISBLANK(P123)),B123&lt;&gt;"")</formula>
    </cfRule>
    <cfRule type="expression" dxfId="2890" priority="4346">
      <formula>AND(P123="NA",NOT(ISTEXT(Q123)))</formula>
    </cfRule>
    <cfRule type="expression" dxfId="2889" priority="4347">
      <formula>AND(AW123&gt;5,P123="NA")</formula>
    </cfRule>
    <cfRule type="expression" dxfId="2888" priority="4348">
      <formula>AND(AW123&lt;5,P123="NA")</formula>
    </cfRule>
    <cfRule type="expression" dxfId="2887" priority="4349">
      <formula>AND(P123&lt;&gt;"NA",P123&gt;$P$16)</formula>
    </cfRule>
  </conditionalFormatting>
  <conditionalFormatting sqref="Q123">
    <cfRule type="expression" priority="4281" stopIfTrue="1">
      <formula>"ISBLANK($K$185)"</formula>
    </cfRule>
    <cfRule type="expression" dxfId="2886" priority="4340">
      <formula>AND(OR(AW123=0,ISBLANK(Q123)),B123&lt;&gt;"")</formula>
    </cfRule>
    <cfRule type="expression" dxfId="2885" priority="4341">
      <formula>AND(Q123="NA",NOT(ISTEXT(P123)))</formula>
    </cfRule>
    <cfRule type="expression" dxfId="2884" priority="4342">
      <formula>AND(AW123&gt;5,Q123="NA")</formula>
    </cfRule>
    <cfRule type="expression" dxfId="2883" priority="4343">
      <formula>AND(AW123&lt;5,Q123="NA")</formula>
    </cfRule>
    <cfRule type="expression" dxfId="2882" priority="4344">
      <formula>AND(Q123&lt;&gt;"NA",Q123&gt;$Q$16)</formula>
    </cfRule>
  </conditionalFormatting>
  <conditionalFormatting sqref="R123">
    <cfRule type="expression" priority="4280" stopIfTrue="1">
      <formula>"ISBLANK($K$185)"</formula>
    </cfRule>
    <cfRule type="expression" dxfId="2881" priority="4335">
      <formula>AND(OR(AW123=0,ISBLANK(R123)),B123&lt;&gt;"")</formula>
    </cfRule>
    <cfRule type="expression" dxfId="2880" priority="4336">
      <formula>AND(R123="NA",NOT(ISTEXT(S123)))</formula>
    </cfRule>
    <cfRule type="expression" dxfId="2879" priority="4337">
      <formula>AND(AW123&gt;5,R123="NA")</formula>
    </cfRule>
    <cfRule type="expression" dxfId="2878" priority="4338">
      <formula>AND(AW123&lt;5,R123="NA")</formula>
    </cfRule>
    <cfRule type="expression" dxfId="2877" priority="4339">
      <formula>AND(R123&lt;&gt;"NA",R123&gt;$R$16)</formula>
    </cfRule>
  </conditionalFormatting>
  <conditionalFormatting sqref="S123">
    <cfRule type="expression" priority="4279" stopIfTrue="1">
      <formula>"ISBLANK($K$185)"</formula>
    </cfRule>
    <cfRule type="expression" dxfId="2876" priority="4330">
      <formula>AND(OR(AW123=0,ISBLANK(S123)),B123&lt;&gt;"")</formula>
    </cfRule>
    <cfRule type="expression" dxfId="2875" priority="4331">
      <formula>AND(S123="NA",NOT(ISTEXT(R123)))</formula>
    </cfRule>
    <cfRule type="expression" dxfId="2874" priority="4332">
      <formula>AND(AW123&gt;5,S123="NA")</formula>
    </cfRule>
    <cfRule type="expression" dxfId="2873" priority="4333">
      <formula>AND(AW123&lt;5,S123="NA")</formula>
    </cfRule>
    <cfRule type="expression" dxfId="2872" priority="4334">
      <formula>AND(S123&lt;&gt;"NA",S123&gt;$S$16)</formula>
    </cfRule>
  </conditionalFormatting>
  <conditionalFormatting sqref="T123">
    <cfRule type="expression" priority="4278" stopIfTrue="1">
      <formula>"ISBLANK($K$185)"</formula>
    </cfRule>
    <cfRule type="expression" dxfId="2871" priority="4325">
      <formula>AND(OR(AW123=0,ISBLANK(T123)),B123&lt;&gt;"")</formula>
    </cfRule>
    <cfRule type="expression" dxfId="2870" priority="4326">
      <formula>AND(T123="NA",NOT(ISTEXT(U123)))</formula>
    </cfRule>
    <cfRule type="expression" dxfId="2869" priority="4327">
      <formula>AND(AW123&gt;5,T123="NA")</formula>
    </cfRule>
    <cfRule type="expression" dxfId="2868" priority="4328">
      <formula>AND(AW123&lt;5,T123="NA")</formula>
    </cfRule>
    <cfRule type="expression" dxfId="2867" priority="4329">
      <formula>AND(T123&lt;&gt;"NA",T123&gt;$T$16)</formula>
    </cfRule>
  </conditionalFormatting>
  <conditionalFormatting sqref="U123">
    <cfRule type="expression" priority="4277" stopIfTrue="1">
      <formula>"ISBLANK($K$185)"</formula>
    </cfRule>
    <cfRule type="expression" dxfId="2866" priority="4320">
      <formula>AND(OR(AW123=0,ISBLANK(U123)),B123&lt;&gt;"")</formula>
    </cfRule>
    <cfRule type="expression" dxfId="2865" priority="4321">
      <formula>AND(U123="NA",NOT(ISTEXT(T123)))</formula>
    </cfRule>
    <cfRule type="expression" dxfId="2864" priority="4322">
      <formula>AND(AW123&gt;5,U123="NA")</formula>
    </cfRule>
    <cfRule type="expression" dxfId="2863" priority="4323">
      <formula>AND(AW123&lt;5,U123="NA")</formula>
    </cfRule>
    <cfRule type="expression" dxfId="2862" priority="4324">
      <formula>AND(U123&lt;&gt;"NA",U123&gt;$U$16)</formula>
    </cfRule>
  </conditionalFormatting>
  <conditionalFormatting sqref="V123">
    <cfRule type="expression" priority="4276" stopIfTrue="1">
      <formula>"ISBLANK($K$185)"</formula>
    </cfRule>
    <cfRule type="expression" dxfId="2861" priority="4315">
      <formula>AND(OR(AW123=0,ISBLANK(V123)),B123&lt;&gt;"")</formula>
    </cfRule>
    <cfRule type="expression" dxfId="2860" priority="4316">
      <formula>AND(V123="NA",NOT(ISTEXT(W123)))</formula>
    </cfRule>
    <cfRule type="expression" dxfId="2859" priority="4317">
      <formula>AND(AW123&gt;5,V123="NA")</formula>
    </cfRule>
    <cfRule type="expression" dxfId="2858" priority="4318">
      <formula>AND(AW123&lt;5,V123="NA")</formula>
    </cfRule>
    <cfRule type="expression" dxfId="2857" priority="4319">
      <formula>AND(V123&lt;&gt;"NA",V123&gt;$V$16)</formula>
    </cfRule>
  </conditionalFormatting>
  <conditionalFormatting sqref="W123">
    <cfRule type="expression" priority="4275" stopIfTrue="1">
      <formula>"ISBLANK($K$185)"</formula>
    </cfRule>
    <cfRule type="expression" dxfId="2856" priority="4310">
      <formula>AND(OR(AW123=0,ISBLANK(W123)),B123&lt;&gt;"")</formula>
    </cfRule>
    <cfRule type="expression" dxfId="2855" priority="4311">
      <formula>AND(W123="NA",NOT(ISTEXT(V123)))</formula>
    </cfRule>
    <cfRule type="expression" dxfId="2854" priority="4312">
      <formula>AND(AW123&gt;5,W123="NA")</formula>
    </cfRule>
    <cfRule type="expression" dxfId="2853" priority="4313">
      <formula>AND(AW123&lt;5,W123="NA")</formula>
    </cfRule>
    <cfRule type="expression" dxfId="2852" priority="4314">
      <formula>AND(W123&lt;&gt;"NA",W123&gt;$W$16)</formula>
    </cfRule>
  </conditionalFormatting>
  <conditionalFormatting sqref="X123">
    <cfRule type="expression" priority="4274" stopIfTrue="1">
      <formula>"ISBLANK($K$185)"</formula>
    </cfRule>
    <cfRule type="expression" dxfId="2851" priority="4305">
      <formula>AND(OR(AW123=0,ISBLANK(X123)),B123&lt;&gt;"")</formula>
    </cfRule>
    <cfRule type="expression" dxfId="2850" priority="4306">
      <formula>AND(X123="NA",NOT(ISTEXT(Y123)))</formula>
    </cfRule>
    <cfRule type="expression" dxfId="2849" priority="4307">
      <formula>AND(AW123&gt;5,X123="NA")</formula>
    </cfRule>
    <cfRule type="expression" dxfId="2848" priority="4308">
      <formula>AND(AW123&lt;5,X123="NA")</formula>
    </cfRule>
    <cfRule type="expression" dxfId="2847" priority="4309">
      <formula>AND(X123&lt;&gt;"NA",X123&gt;$Y$16)</formula>
    </cfRule>
  </conditionalFormatting>
  <conditionalFormatting sqref="Y123">
    <cfRule type="expression" priority="4273" stopIfTrue="1">
      <formula>"ISBLANK($K$185)"</formula>
    </cfRule>
    <cfRule type="expression" dxfId="2846" priority="4300">
      <formula>AND(OR(AW123=0,ISBLANK(Y123)),B123&lt;&gt;"")</formula>
    </cfRule>
    <cfRule type="expression" dxfId="2845" priority="4301">
      <formula>AND(Y123="NA",NOT(ISTEXT(X123)))</formula>
    </cfRule>
    <cfRule type="expression" dxfId="2844" priority="4302">
      <formula>AND(AW123&gt;5,Y123="NA")</formula>
    </cfRule>
    <cfRule type="expression" dxfId="2843" priority="4303">
      <formula>AND(AW123&lt;5,Y123="NA")</formula>
    </cfRule>
    <cfRule type="expression" dxfId="2842" priority="4304">
      <formula>AND(Y123&lt;&gt;"NA",Y123&gt;$Y$16)</formula>
    </cfRule>
  </conditionalFormatting>
  <conditionalFormatting sqref="N123">
    <cfRule type="expression" priority="4284" stopIfTrue="1">
      <formula>"ISBLANK($K$185)"</formula>
    </cfRule>
    <cfRule type="expression" dxfId="2841" priority="4355">
      <formula>AND(OR(AW123=0,ISBLANK(N123)),B123&lt;&gt;"")</formula>
    </cfRule>
    <cfRule type="expression" dxfId="2840" priority="4356">
      <formula>AND(N123="NA",NOT(ISTEXT(O123)))</formula>
    </cfRule>
    <cfRule type="expression" dxfId="2839" priority="4357">
      <formula>AND(AW123&gt;5,N123="NA")</formula>
    </cfRule>
    <cfRule type="expression" dxfId="2838" priority="4358">
      <formula>AND(AW123&lt;5,N123="NA")</formula>
    </cfRule>
    <cfRule type="expression" dxfId="2837" priority="4359">
      <formula>AND(N123&lt;&gt;"NA",N123&gt;$N$16)</formula>
    </cfRule>
  </conditionalFormatting>
  <conditionalFormatting sqref="O124">
    <cfRule type="expression" priority="4192" stopIfTrue="1">
      <formula>"ISBLANK($K$185)"</formula>
    </cfRule>
    <cfRule type="expression" dxfId="2836" priority="4259">
      <formula>AND(OR(AW124=0,ISBLANK(O124)),B124&lt;&gt;"")</formula>
    </cfRule>
    <cfRule type="expression" dxfId="2835" priority="4260">
      <formula>AND(O124="NA",NOT(ISTEXT(N124)))</formula>
    </cfRule>
    <cfRule type="expression" dxfId="2834" priority="4261">
      <formula>AND(AW124&gt;5,O124="NA")</formula>
    </cfRule>
    <cfRule type="expression" dxfId="2833" priority="4262">
      <formula>AND(AW124&lt;5,O124="NA")</formula>
    </cfRule>
    <cfRule type="expression" dxfId="2832" priority="4263">
      <formula>AND(O124&lt;&gt;"NA",O124&gt;$O$16)</formula>
    </cfRule>
  </conditionalFormatting>
  <conditionalFormatting sqref="P124">
    <cfRule type="expression" priority="4191" stopIfTrue="1">
      <formula>"ISBLANK($K$185)"</formula>
    </cfRule>
    <cfRule type="expression" dxfId="2831" priority="4254">
      <formula>AND(OR(AW124=0,ISBLANK(P124)),B124&lt;&gt;"")</formula>
    </cfRule>
    <cfRule type="expression" dxfId="2830" priority="4255">
      <formula>AND(P124="NA",NOT(ISTEXT(Q124)))</formula>
    </cfRule>
    <cfRule type="expression" dxfId="2829" priority="4256">
      <formula>AND(AW124&gt;5,P124="NA")</formula>
    </cfRule>
    <cfRule type="expression" dxfId="2828" priority="4257">
      <formula>AND(AW124&lt;5,P124="NA")</formula>
    </cfRule>
    <cfRule type="expression" dxfId="2827" priority="4258">
      <formula>AND(P124&lt;&gt;"NA",P124&gt;$P$16)</formula>
    </cfRule>
  </conditionalFormatting>
  <conditionalFormatting sqref="Q124">
    <cfRule type="expression" priority="4190" stopIfTrue="1">
      <formula>"ISBLANK($K$185)"</formula>
    </cfRule>
    <cfRule type="expression" dxfId="2826" priority="4249">
      <formula>AND(OR(AW124=0,ISBLANK(Q124)),B124&lt;&gt;"")</formula>
    </cfRule>
    <cfRule type="expression" dxfId="2825" priority="4250">
      <formula>AND(Q124="NA",NOT(ISTEXT(P124)))</formula>
    </cfRule>
    <cfRule type="expression" dxfId="2824" priority="4251">
      <formula>AND(AW124&gt;5,Q124="NA")</formula>
    </cfRule>
    <cfRule type="expression" dxfId="2823" priority="4252">
      <formula>AND(AW124&lt;5,Q124="NA")</formula>
    </cfRule>
    <cfRule type="expression" dxfId="2822" priority="4253">
      <formula>AND(Q124&lt;&gt;"NA",Q124&gt;$Q$16)</formula>
    </cfRule>
  </conditionalFormatting>
  <conditionalFormatting sqref="R124">
    <cfRule type="expression" priority="4189" stopIfTrue="1">
      <formula>"ISBLANK($K$185)"</formula>
    </cfRule>
    <cfRule type="expression" dxfId="2821" priority="4244">
      <formula>AND(OR(AW124=0,ISBLANK(R124)),B124&lt;&gt;"")</formula>
    </cfRule>
    <cfRule type="expression" dxfId="2820" priority="4245">
      <formula>AND(R124="NA",NOT(ISTEXT(S124)))</formula>
    </cfRule>
    <cfRule type="expression" dxfId="2819" priority="4246">
      <formula>AND(AW124&gt;5,R124="NA")</formula>
    </cfRule>
    <cfRule type="expression" dxfId="2818" priority="4247">
      <formula>AND(AW124&lt;5,R124="NA")</formula>
    </cfRule>
    <cfRule type="expression" dxfId="2817" priority="4248">
      <formula>AND(R124&lt;&gt;"NA",R124&gt;$R$16)</formula>
    </cfRule>
  </conditionalFormatting>
  <conditionalFormatting sqref="S124">
    <cfRule type="expression" priority="4188" stopIfTrue="1">
      <formula>"ISBLANK($K$185)"</formula>
    </cfRule>
    <cfRule type="expression" dxfId="2816" priority="4239">
      <formula>AND(OR(AW124=0,ISBLANK(S124)),B124&lt;&gt;"")</formula>
    </cfRule>
    <cfRule type="expression" dxfId="2815" priority="4240">
      <formula>AND(S124="NA",NOT(ISTEXT(R124)))</formula>
    </cfRule>
    <cfRule type="expression" dxfId="2814" priority="4241">
      <formula>AND(AW124&gt;5,S124="NA")</formula>
    </cfRule>
    <cfRule type="expression" dxfId="2813" priority="4242">
      <formula>AND(AW124&lt;5,S124="NA")</formula>
    </cfRule>
    <cfRule type="expression" dxfId="2812" priority="4243">
      <formula>AND(S124&lt;&gt;"NA",S124&gt;$S$16)</formula>
    </cfRule>
  </conditionalFormatting>
  <conditionalFormatting sqref="T124">
    <cfRule type="expression" priority="4187" stopIfTrue="1">
      <formula>"ISBLANK($K$185)"</formula>
    </cfRule>
    <cfRule type="expression" dxfId="2811" priority="4234">
      <formula>AND(OR(AW124=0,ISBLANK(T124)),B124&lt;&gt;"")</formula>
    </cfRule>
    <cfRule type="expression" dxfId="2810" priority="4235">
      <formula>AND(T124="NA",NOT(ISTEXT(U124)))</formula>
    </cfRule>
    <cfRule type="expression" dxfId="2809" priority="4236">
      <formula>AND(AW124&gt;5,T124="NA")</formula>
    </cfRule>
    <cfRule type="expression" dxfId="2808" priority="4237">
      <formula>AND(AW124&lt;5,T124="NA")</formula>
    </cfRule>
    <cfRule type="expression" dxfId="2807" priority="4238">
      <formula>AND(T124&lt;&gt;"NA",T124&gt;$T$16)</formula>
    </cfRule>
  </conditionalFormatting>
  <conditionalFormatting sqref="U124">
    <cfRule type="expression" priority="4186" stopIfTrue="1">
      <formula>"ISBLANK($K$185)"</formula>
    </cfRule>
    <cfRule type="expression" dxfId="2806" priority="4229">
      <formula>AND(OR(AW124=0,ISBLANK(U124)),B124&lt;&gt;"")</formula>
    </cfRule>
    <cfRule type="expression" dxfId="2805" priority="4230">
      <formula>AND(U124="NA",NOT(ISTEXT(T124)))</formula>
    </cfRule>
    <cfRule type="expression" dxfId="2804" priority="4231">
      <formula>AND(AW124&gt;5,U124="NA")</formula>
    </cfRule>
    <cfRule type="expression" dxfId="2803" priority="4232">
      <formula>AND(AW124&lt;5,U124="NA")</formula>
    </cfRule>
    <cfRule type="expression" dxfId="2802" priority="4233">
      <formula>AND(U124&lt;&gt;"NA",U124&gt;$U$16)</formula>
    </cfRule>
  </conditionalFormatting>
  <conditionalFormatting sqref="V124">
    <cfRule type="expression" priority="4185" stopIfTrue="1">
      <formula>"ISBLANK($K$185)"</formula>
    </cfRule>
    <cfRule type="expression" dxfId="2801" priority="4224">
      <formula>AND(OR(AW124=0,ISBLANK(V124)),B124&lt;&gt;"")</formula>
    </cfRule>
    <cfRule type="expression" dxfId="2800" priority="4225">
      <formula>AND(V124="NA",NOT(ISTEXT(W124)))</formula>
    </cfRule>
    <cfRule type="expression" dxfId="2799" priority="4226">
      <formula>AND(AW124&gt;5,V124="NA")</formula>
    </cfRule>
    <cfRule type="expression" dxfId="2798" priority="4227">
      <formula>AND(AW124&lt;5,V124="NA")</formula>
    </cfRule>
    <cfRule type="expression" dxfId="2797" priority="4228">
      <formula>AND(V124&lt;&gt;"NA",V124&gt;$V$16)</formula>
    </cfRule>
  </conditionalFormatting>
  <conditionalFormatting sqref="W124">
    <cfRule type="expression" priority="4184" stopIfTrue="1">
      <formula>"ISBLANK($K$185)"</formula>
    </cfRule>
    <cfRule type="expression" dxfId="2796" priority="4219">
      <formula>AND(OR(AW124=0,ISBLANK(W124)),B124&lt;&gt;"")</formula>
    </cfRule>
    <cfRule type="expression" dxfId="2795" priority="4220">
      <formula>AND(W124="NA",NOT(ISTEXT(V124)))</formula>
    </cfRule>
    <cfRule type="expression" dxfId="2794" priority="4221">
      <formula>AND(AW124&gt;5,W124="NA")</formula>
    </cfRule>
    <cfRule type="expression" dxfId="2793" priority="4222">
      <formula>AND(AW124&lt;5,W124="NA")</formula>
    </cfRule>
    <cfRule type="expression" dxfId="2792" priority="4223">
      <formula>AND(W124&lt;&gt;"NA",W124&gt;$W$16)</formula>
    </cfRule>
  </conditionalFormatting>
  <conditionalFormatting sqref="X124">
    <cfRule type="expression" priority="4183" stopIfTrue="1">
      <formula>"ISBLANK($K$185)"</formula>
    </cfRule>
    <cfRule type="expression" dxfId="2791" priority="4214">
      <formula>AND(OR(AW124=0,ISBLANK(X124)),B124&lt;&gt;"")</formula>
    </cfRule>
    <cfRule type="expression" dxfId="2790" priority="4215">
      <formula>AND(X124="NA",NOT(ISTEXT(Y124)))</formula>
    </cfRule>
    <cfRule type="expression" dxfId="2789" priority="4216">
      <formula>AND(AW124&gt;5,X124="NA")</formula>
    </cfRule>
    <cfRule type="expression" dxfId="2788" priority="4217">
      <formula>AND(AW124&lt;5,X124="NA")</formula>
    </cfRule>
    <cfRule type="expression" dxfId="2787" priority="4218">
      <formula>AND(X124&lt;&gt;"NA",X124&gt;$Y$16)</formula>
    </cfRule>
  </conditionalFormatting>
  <conditionalFormatting sqref="Y124">
    <cfRule type="expression" priority="4182" stopIfTrue="1">
      <formula>"ISBLANK($K$185)"</formula>
    </cfRule>
    <cfRule type="expression" dxfId="2786" priority="4209">
      <formula>AND(OR(AW124=0,ISBLANK(Y124)),B124&lt;&gt;"")</formula>
    </cfRule>
    <cfRule type="expression" dxfId="2785" priority="4210">
      <formula>AND(Y124="NA",NOT(ISTEXT(X124)))</formula>
    </cfRule>
    <cfRule type="expression" dxfId="2784" priority="4211">
      <formula>AND(AW124&gt;5,Y124="NA")</formula>
    </cfRule>
    <cfRule type="expression" dxfId="2783" priority="4212">
      <formula>AND(AW124&lt;5,Y124="NA")</formula>
    </cfRule>
    <cfRule type="expression" dxfId="2782" priority="4213">
      <formula>AND(Y124&lt;&gt;"NA",Y124&gt;$Y$16)</formula>
    </cfRule>
  </conditionalFormatting>
  <conditionalFormatting sqref="N124">
    <cfRule type="expression" priority="4193" stopIfTrue="1">
      <formula>"ISBLANK($K$185)"</formula>
    </cfRule>
    <cfRule type="expression" dxfId="2781" priority="4264">
      <formula>AND(OR(AW124=0,ISBLANK(N124)),B124&lt;&gt;"")</formula>
    </cfRule>
    <cfRule type="expression" dxfId="2780" priority="4265">
      <formula>AND(N124="NA",NOT(ISTEXT(O124)))</formula>
    </cfRule>
    <cfRule type="expression" dxfId="2779" priority="4266">
      <formula>AND(AW124&gt;5,N124="NA")</formula>
    </cfRule>
    <cfRule type="expression" dxfId="2778" priority="4267">
      <formula>AND(AW124&lt;5,N124="NA")</formula>
    </cfRule>
    <cfRule type="expression" dxfId="2777" priority="4268">
      <formula>AND(N124&lt;&gt;"NA",N124&gt;$N$16)</formula>
    </cfRule>
  </conditionalFormatting>
  <conditionalFormatting sqref="O125">
    <cfRule type="expression" priority="4101" stopIfTrue="1">
      <formula>"ISBLANK($K$185)"</formula>
    </cfRule>
    <cfRule type="expression" dxfId="2776" priority="4168">
      <formula>AND(OR(AW125=0,ISBLANK(O125)),B125&lt;&gt;"")</formula>
    </cfRule>
    <cfRule type="expression" dxfId="2775" priority="4169">
      <formula>AND(O125="NA",NOT(ISTEXT(N125)))</formula>
    </cfRule>
    <cfRule type="expression" dxfId="2774" priority="4170">
      <formula>AND(AW125&gt;5,O125="NA")</formula>
    </cfRule>
    <cfRule type="expression" dxfId="2773" priority="4171">
      <formula>AND(AW125&lt;5,O125="NA")</formula>
    </cfRule>
    <cfRule type="expression" dxfId="2772" priority="4172">
      <formula>AND(O125&lt;&gt;"NA",O125&gt;$O$16)</formula>
    </cfRule>
  </conditionalFormatting>
  <conditionalFormatting sqref="P125">
    <cfRule type="expression" priority="4100" stopIfTrue="1">
      <formula>"ISBLANK($K$185)"</formula>
    </cfRule>
    <cfRule type="expression" dxfId="2771" priority="4163">
      <formula>AND(OR(AW125=0,ISBLANK(P125)),B125&lt;&gt;"")</formula>
    </cfRule>
    <cfRule type="expression" dxfId="2770" priority="4164">
      <formula>AND(P125="NA",NOT(ISTEXT(Q125)))</formula>
    </cfRule>
    <cfRule type="expression" dxfId="2769" priority="4165">
      <formula>AND(AW125&gt;5,P125="NA")</formula>
    </cfRule>
    <cfRule type="expression" dxfId="2768" priority="4166">
      <formula>AND(AW125&lt;5,P125="NA")</formula>
    </cfRule>
    <cfRule type="expression" dxfId="2767" priority="4167">
      <formula>AND(P125&lt;&gt;"NA",P125&gt;$P$16)</formula>
    </cfRule>
  </conditionalFormatting>
  <conditionalFormatting sqref="Q125">
    <cfRule type="expression" priority="4099" stopIfTrue="1">
      <formula>"ISBLANK($K$185)"</formula>
    </cfRule>
    <cfRule type="expression" dxfId="2766" priority="4158">
      <formula>AND(OR(AW125=0,ISBLANK(Q125)),B125&lt;&gt;"")</formula>
    </cfRule>
    <cfRule type="expression" dxfId="2765" priority="4159">
      <formula>AND(Q125="NA",NOT(ISTEXT(P125)))</formula>
    </cfRule>
    <cfRule type="expression" dxfId="2764" priority="4160">
      <formula>AND(AW125&gt;5,Q125="NA")</formula>
    </cfRule>
    <cfRule type="expression" dxfId="2763" priority="4161">
      <formula>AND(AW125&lt;5,Q125="NA")</formula>
    </cfRule>
    <cfRule type="expression" dxfId="2762" priority="4162">
      <formula>AND(Q125&lt;&gt;"NA",Q125&gt;$Q$16)</formula>
    </cfRule>
  </conditionalFormatting>
  <conditionalFormatting sqref="R125">
    <cfRule type="expression" priority="4098" stopIfTrue="1">
      <formula>"ISBLANK($K$185)"</formula>
    </cfRule>
    <cfRule type="expression" dxfId="2761" priority="4153">
      <formula>AND(OR(AW125=0,ISBLANK(R125)),B125&lt;&gt;"")</formula>
    </cfRule>
    <cfRule type="expression" dxfId="2760" priority="4154">
      <formula>AND(R125="NA",NOT(ISTEXT(S125)))</formula>
    </cfRule>
    <cfRule type="expression" dxfId="2759" priority="4155">
      <formula>AND(AW125&gt;5,R125="NA")</formula>
    </cfRule>
    <cfRule type="expression" dxfId="2758" priority="4156">
      <formula>AND(AW125&lt;5,R125="NA")</formula>
    </cfRule>
    <cfRule type="expression" dxfId="2757" priority="4157">
      <formula>AND(R125&lt;&gt;"NA",R125&gt;$R$16)</formula>
    </cfRule>
  </conditionalFormatting>
  <conditionalFormatting sqref="S125">
    <cfRule type="expression" priority="4097" stopIfTrue="1">
      <formula>"ISBLANK($K$185)"</formula>
    </cfRule>
    <cfRule type="expression" dxfId="2756" priority="4148">
      <formula>AND(OR(AW125=0,ISBLANK(S125)),B125&lt;&gt;"")</formula>
    </cfRule>
    <cfRule type="expression" dxfId="2755" priority="4149">
      <formula>AND(S125="NA",NOT(ISTEXT(R125)))</formula>
    </cfRule>
    <cfRule type="expression" dxfId="2754" priority="4150">
      <formula>AND(AW125&gt;5,S125="NA")</formula>
    </cfRule>
    <cfRule type="expression" dxfId="2753" priority="4151">
      <formula>AND(AW125&lt;5,S125="NA")</formula>
    </cfRule>
    <cfRule type="expression" dxfId="2752" priority="4152">
      <formula>AND(S125&lt;&gt;"NA",S125&gt;$S$16)</formula>
    </cfRule>
  </conditionalFormatting>
  <conditionalFormatting sqref="T125">
    <cfRule type="expression" priority="4096" stopIfTrue="1">
      <formula>"ISBLANK($K$185)"</formula>
    </cfRule>
    <cfRule type="expression" dxfId="2751" priority="4143">
      <formula>AND(OR(AW125=0,ISBLANK(T125)),B125&lt;&gt;"")</formula>
    </cfRule>
    <cfRule type="expression" dxfId="2750" priority="4144">
      <formula>AND(T125="NA",NOT(ISTEXT(U125)))</formula>
    </cfRule>
    <cfRule type="expression" dxfId="2749" priority="4145">
      <formula>AND(AW125&gt;5,T125="NA")</formula>
    </cfRule>
    <cfRule type="expression" dxfId="2748" priority="4146">
      <formula>AND(AW125&lt;5,T125="NA")</formula>
    </cfRule>
    <cfRule type="expression" dxfId="2747" priority="4147">
      <formula>AND(T125&lt;&gt;"NA",T125&gt;$T$16)</formula>
    </cfRule>
  </conditionalFormatting>
  <conditionalFormatting sqref="U125">
    <cfRule type="expression" priority="4095" stopIfTrue="1">
      <formula>"ISBLANK($K$185)"</formula>
    </cfRule>
    <cfRule type="expression" dxfId="2746" priority="4138">
      <formula>AND(OR(AW125=0,ISBLANK(U125)),B125&lt;&gt;"")</formula>
    </cfRule>
    <cfRule type="expression" dxfId="2745" priority="4139">
      <formula>AND(U125="NA",NOT(ISTEXT(T125)))</formula>
    </cfRule>
    <cfRule type="expression" dxfId="2744" priority="4140">
      <formula>AND(AW125&gt;5,U125="NA")</formula>
    </cfRule>
    <cfRule type="expression" dxfId="2743" priority="4141">
      <formula>AND(AW125&lt;5,U125="NA")</formula>
    </cfRule>
    <cfRule type="expression" dxfId="2742" priority="4142">
      <formula>AND(U125&lt;&gt;"NA",U125&gt;$U$16)</formula>
    </cfRule>
  </conditionalFormatting>
  <conditionalFormatting sqref="V125">
    <cfRule type="expression" priority="4094" stopIfTrue="1">
      <formula>"ISBLANK($K$185)"</formula>
    </cfRule>
    <cfRule type="expression" dxfId="2741" priority="4133">
      <formula>AND(OR(AW125=0,ISBLANK(V125)),B125&lt;&gt;"")</formula>
    </cfRule>
    <cfRule type="expression" dxfId="2740" priority="4134">
      <formula>AND(V125="NA",NOT(ISTEXT(W125)))</formula>
    </cfRule>
    <cfRule type="expression" dxfId="2739" priority="4135">
      <formula>AND(AW125&gt;5,V125="NA")</formula>
    </cfRule>
    <cfRule type="expression" dxfId="2738" priority="4136">
      <formula>AND(AW125&lt;5,V125="NA")</formula>
    </cfRule>
    <cfRule type="expression" dxfId="2737" priority="4137">
      <formula>AND(V125&lt;&gt;"NA",V125&gt;$V$16)</formula>
    </cfRule>
  </conditionalFormatting>
  <conditionalFormatting sqref="W125">
    <cfRule type="expression" priority="4093" stopIfTrue="1">
      <formula>"ISBLANK($K$185)"</formula>
    </cfRule>
    <cfRule type="expression" dxfId="2736" priority="4128">
      <formula>AND(OR(AW125=0,ISBLANK(W125)),B125&lt;&gt;"")</formula>
    </cfRule>
    <cfRule type="expression" dxfId="2735" priority="4129">
      <formula>AND(W125="NA",NOT(ISTEXT(V125)))</formula>
    </cfRule>
    <cfRule type="expression" dxfId="2734" priority="4130">
      <formula>AND(AW125&gt;5,W125="NA")</formula>
    </cfRule>
    <cfRule type="expression" dxfId="2733" priority="4131">
      <formula>AND(AW125&lt;5,W125="NA")</formula>
    </cfRule>
    <cfRule type="expression" dxfId="2732" priority="4132">
      <formula>AND(W125&lt;&gt;"NA",W125&gt;$W$16)</formula>
    </cfRule>
  </conditionalFormatting>
  <conditionalFormatting sqref="X125">
    <cfRule type="expression" priority="4092" stopIfTrue="1">
      <formula>"ISBLANK($K$185)"</formula>
    </cfRule>
    <cfRule type="expression" dxfId="2731" priority="4123">
      <formula>AND(OR(AW125=0,ISBLANK(X125)),B125&lt;&gt;"")</formula>
    </cfRule>
    <cfRule type="expression" dxfId="2730" priority="4124">
      <formula>AND(X125="NA",NOT(ISTEXT(Y125)))</formula>
    </cfRule>
    <cfRule type="expression" dxfId="2729" priority="4125">
      <formula>AND(AW125&gt;5,X125="NA")</formula>
    </cfRule>
    <cfRule type="expression" dxfId="2728" priority="4126">
      <formula>AND(AW125&lt;5,X125="NA")</formula>
    </cfRule>
    <cfRule type="expression" dxfId="2727" priority="4127">
      <formula>AND(X125&lt;&gt;"NA",X125&gt;$Y$16)</formula>
    </cfRule>
  </conditionalFormatting>
  <conditionalFormatting sqref="Y125">
    <cfRule type="expression" priority="4091" stopIfTrue="1">
      <formula>"ISBLANK($K$185)"</formula>
    </cfRule>
    <cfRule type="expression" dxfId="2726" priority="4118">
      <formula>AND(OR(AW125=0,ISBLANK(Y125)),B125&lt;&gt;"")</formula>
    </cfRule>
    <cfRule type="expression" dxfId="2725" priority="4119">
      <formula>AND(Y125="NA",NOT(ISTEXT(X125)))</formula>
    </cfRule>
    <cfRule type="expression" dxfId="2724" priority="4120">
      <formula>AND(AW125&gt;5,Y125="NA")</formula>
    </cfRule>
    <cfRule type="expression" dxfId="2723" priority="4121">
      <formula>AND(AW125&lt;5,Y125="NA")</formula>
    </cfRule>
    <cfRule type="expression" dxfId="2722" priority="4122">
      <formula>AND(Y125&lt;&gt;"NA",Y125&gt;$Y$16)</formula>
    </cfRule>
  </conditionalFormatting>
  <conditionalFormatting sqref="N125">
    <cfRule type="expression" priority="4102" stopIfTrue="1">
      <formula>"ISBLANK($K$185)"</formula>
    </cfRule>
    <cfRule type="expression" dxfId="2721" priority="4173">
      <formula>AND(OR(AW125=0,ISBLANK(N125)),B125&lt;&gt;"")</formula>
    </cfRule>
    <cfRule type="expression" dxfId="2720" priority="4174">
      <formula>AND(N125="NA",NOT(ISTEXT(O125)))</formula>
    </cfRule>
    <cfRule type="expression" dxfId="2719" priority="4175">
      <formula>AND(AW125&gt;5,N125="NA")</formula>
    </cfRule>
    <cfRule type="expression" dxfId="2718" priority="4176">
      <formula>AND(AW125&lt;5,N125="NA")</formula>
    </cfRule>
    <cfRule type="expression" dxfId="2717" priority="4177">
      <formula>AND(N125&lt;&gt;"NA",N125&gt;$N$16)</formula>
    </cfRule>
  </conditionalFormatting>
  <conditionalFormatting sqref="O126">
    <cfRule type="expression" priority="4010" stopIfTrue="1">
      <formula>"ISBLANK($K$185)"</formula>
    </cfRule>
    <cfRule type="expression" dxfId="2716" priority="4077">
      <formula>AND(OR(AW126=0,ISBLANK(O126)),B126&lt;&gt;"")</formula>
    </cfRule>
    <cfRule type="expression" dxfId="2715" priority="4078">
      <formula>AND(O126="NA",NOT(ISTEXT(N126)))</formula>
    </cfRule>
    <cfRule type="expression" dxfId="2714" priority="4079">
      <formula>AND(AW126&gt;5,O126="NA")</formula>
    </cfRule>
    <cfRule type="expression" dxfId="2713" priority="4080">
      <formula>AND(AW126&lt;5,O126="NA")</formula>
    </cfRule>
    <cfRule type="expression" dxfId="2712" priority="4081">
      <formula>AND(O126&lt;&gt;"NA",O126&gt;$O$16)</formula>
    </cfRule>
  </conditionalFormatting>
  <conditionalFormatting sqref="P126">
    <cfRule type="expression" priority="4009" stopIfTrue="1">
      <formula>"ISBLANK($K$185)"</formula>
    </cfRule>
    <cfRule type="expression" dxfId="2711" priority="4072">
      <formula>AND(OR(AW126=0,ISBLANK(P126)),B126&lt;&gt;"")</formula>
    </cfRule>
    <cfRule type="expression" dxfId="2710" priority="4073">
      <formula>AND(P126="NA",NOT(ISTEXT(Q126)))</formula>
    </cfRule>
    <cfRule type="expression" dxfId="2709" priority="4074">
      <formula>AND(AW126&gt;5,P126="NA")</formula>
    </cfRule>
    <cfRule type="expression" dxfId="2708" priority="4075">
      <formula>AND(AW126&lt;5,P126="NA")</formula>
    </cfRule>
    <cfRule type="expression" dxfId="2707" priority="4076">
      <formula>AND(P126&lt;&gt;"NA",P126&gt;$P$16)</formula>
    </cfRule>
  </conditionalFormatting>
  <conditionalFormatting sqref="Q126">
    <cfRule type="expression" priority="4008" stopIfTrue="1">
      <formula>"ISBLANK($K$185)"</formula>
    </cfRule>
    <cfRule type="expression" dxfId="2706" priority="4067">
      <formula>AND(OR(AW126=0,ISBLANK(Q126)),B126&lt;&gt;"")</formula>
    </cfRule>
    <cfRule type="expression" dxfId="2705" priority="4068">
      <formula>AND(Q126="NA",NOT(ISTEXT(P126)))</formula>
    </cfRule>
    <cfRule type="expression" dxfId="2704" priority="4069">
      <formula>AND(AW126&gt;5,Q126="NA")</formula>
    </cfRule>
    <cfRule type="expression" dxfId="2703" priority="4070">
      <formula>AND(AW126&lt;5,Q126="NA")</formula>
    </cfRule>
    <cfRule type="expression" dxfId="2702" priority="4071">
      <formula>AND(Q126&lt;&gt;"NA",Q126&gt;$Q$16)</formula>
    </cfRule>
  </conditionalFormatting>
  <conditionalFormatting sqref="R126">
    <cfRule type="expression" priority="4007" stopIfTrue="1">
      <formula>"ISBLANK($K$185)"</formula>
    </cfRule>
    <cfRule type="expression" dxfId="2701" priority="4062">
      <formula>AND(OR(AW126=0,ISBLANK(R126)),B126&lt;&gt;"")</formula>
    </cfRule>
    <cfRule type="expression" dxfId="2700" priority="4063">
      <formula>AND(R126="NA",NOT(ISTEXT(S126)))</formula>
    </cfRule>
    <cfRule type="expression" dxfId="2699" priority="4064">
      <formula>AND(AW126&gt;5,R126="NA")</formula>
    </cfRule>
    <cfRule type="expression" dxfId="2698" priority="4065">
      <formula>AND(AW126&lt;5,R126="NA")</formula>
    </cfRule>
    <cfRule type="expression" dxfId="2697" priority="4066">
      <formula>AND(R126&lt;&gt;"NA",R126&gt;$R$16)</formula>
    </cfRule>
  </conditionalFormatting>
  <conditionalFormatting sqref="S126">
    <cfRule type="expression" priority="4006" stopIfTrue="1">
      <formula>"ISBLANK($K$185)"</formula>
    </cfRule>
    <cfRule type="expression" dxfId="2696" priority="4057">
      <formula>AND(OR(AW126=0,ISBLANK(S126)),B126&lt;&gt;"")</formula>
    </cfRule>
    <cfRule type="expression" dxfId="2695" priority="4058">
      <formula>AND(S126="NA",NOT(ISTEXT(R126)))</formula>
    </cfRule>
    <cfRule type="expression" dxfId="2694" priority="4059">
      <formula>AND(AW126&gt;5,S126="NA")</formula>
    </cfRule>
    <cfRule type="expression" dxfId="2693" priority="4060">
      <formula>AND(AW126&lt;5,S126="NA")</formula>
    </cfRule>
    <cfRule type="expression" dxfId="2692" priority="4061">
      <formula>AND(S126&lt;&gt;"NA",S126&gt;$S$16)</formula>
    </cfRule>
  </conditionalFormatting>
  <conditionalFormatting sqref="T126">
    <cfRule type="expression" priority="4005" stopIfTrue="1">
      <formula>"ISBLANK($K$185)"</formula>
    </cfRule>
    <cfRule type="expression" dxfId="2691" priority="4052">
      <formula>AND(OR(AW126=0,ISBLANK(T126)),B126&lt;&gt;"")</formula>
    </cfRule>
    <cfRule type="expression" dxfId="2690" priority="4053">
      <formula>AND(T126="NA",NOT(ISTEXT(U126)))</formula>
    </cfRule>
    <cfRule type="expression" dxfId="2689" priority="4054">
      <formula>AND(AW126&gt;5,T126="NA")</formula>
    </cfRule>
    <cfRule type="expression" dxfId="2688" priority="4055">
      <formula>AND(AW126&lt;5,T126="NA")</formula>
    </cfRule>
    <cfRule type="expression" dxfId="2687" priority="4056">
      <formula>AND(T126&lt;&gt;"NA",T126&gt;$T$16)</formula>
    </cfRule>
  </conditionalFormatting>
  <conditionalFormatting sqref="U126">
    <cfRule type="expression" priority="4004" stopIfTrue="1">
      <formula>"ISBLANK($K$185)"</formula>
    </cfRule>
    <cfRule type="expression" dxfId="2686" priority="4047">
      <formula>AND(OR(AW126=0,ISBLANK(U126)),B126&lt;&gt;"")</formula>
    </cfRule>
    <cfRule type="expression" dxfId="2685" priority="4048">
      <formula>AND(U126="NA",NOT(ISTEXT(T126)))</formula>
    </cfRule>
    <cfRule type="expression" dxfId="2684" priority="4049">
      <formula>AND(AW126&gt;5,U126="NA")</formula>
    </cfRule>
    <cfRule type="expression" dxfId="2683" priority="4050">
      <formula>AND(AW126&lt;5,U126="NA")</formula>
    </cfRule>
    <cfRule type="expression" dxfId="2682" priority="4051">
      <formula>AND(U126&lt;&gt;"NA",U126&gt;$U$16)</formula>
    </cfRule>
  </conditionalFormatting>
  <conditionalFormatting sqref="V126">
    <cfRule type="expression" priority="4003" stopIfTrue="1">
      <formula>"ISBLANK($K$185)"</formula>
    </cfRule>
    <cfRule type="expression" dxfId="2681" priority="4042">
      <formula>AND(OR(AW126=0,ISBLANK(V126)),B126&lt;&gt;"")</formula>
    </cfRule>
    <cfRule type="expression" dxfId="2680" priority="4043">
      <formula>AND(V126="NA",NOT(ISTEXT(W126)))</formula>
    </cfRule>
    <cfRule type="expression" dxfId="2679" priority="4044">
      <formula>AND(AW126&gt;5,V126="NA")</formula>
    </cfRule>
    <cfRule type="expression" dxfId="2678" priority="4045">
      <formula>AND(AW126&lt;5,V126="NA")</formula>
    </cfRule>
    <cfRule type="expression" dxfId="2677" priority="4046">
      <formula>AND(V126&lt;&gt;"NA",V126&gt;$V$16)</formula>
    </cfRule>
  </conditionalFormatting>
  <conditionalFormatting sqref="W126">
    <cfRule type="expression" priority="4002" stopIfTrue="1">
      <formula>"ISBLANK($K$185)"</formula>
    </cfRule>
    <cfRule type="expression" dxfId="2676" priority="4037">
      <formula>AND(OR(AW126=0,ISBLANK(W126)),B126&lt;&gt;"")</formula>
    </cfRule>
    <cfRule type="expression" dxfId="2675" priority="4038">
      <formula>AND(W126="NA",NOT(ISTEXT(V126)))</formula>
    </cfRule>
    <cfRule type="expression" dxfId="2674" priority="4039">
      <formula>AND(AW126&gt;5,W126="NA")</formula>
    </cfRule>
    <cfRule type="expression" dxfId="2673" priority="4040">
      <formula>AND(AW126&lt;5,W126="NA")</formula>
    </cfRule>
    <cfRule type="expression" dxfId="2672" priority="4041">
      <formula>AND(W126&lt;&gt;"NA",W126&gt;$W$16)</formula>
    </cfRule>
  </conditionalFormatting>
  <conditionalFormatting sqref="X126">
    <cfRule type="expression" priority="4001" stopIfTrue="1">
      <formula>"ISBLANK($K$185)"</formula>
    </cfRule>
    <cfRule type="expression" dxfId="2671" priority="4032">
      <formula>AND(OR(AW126=0,ISBLANK(X126)),B126&lt;&gt;"")</formula>
    </cfRule>
    <cfRule type="expression" dxfId="2670" priority="4033">
      <formula>AND(X126="NA",NOT(ISTEXT(Y126)))</formula>
    </cfRule>
    <cfRule type="expression" dxfId="2669" priority="4034">
      <formula>AND(AW126&gt;5,X126="NA")</formula>
    </cfRule>
    <cfRule type="expression" dxfId="2668" priority="4035">
      <formula>AND(AW126&lt;5,X126="NA")</formula>
    </cfRule>
    <cfRule type="expression" dxfId="2667" priority="4036">
      <formula>AND(X126&lt;&gt;"NA",X126&gt;$Y$16)</formula>
    </cfRule>
  </conditionalFormatting>
  <conditionalFormatting sqref="Y126">
    <cfRule type="expression" priority="4000" stopIfTrue="1">
      <formula>"ISBLANK($K$185)"</formula>
    </cfRule>
    <cfRule type="expression" dxfId="2666" priority="4027">
      <formula>AND(OR(AW126=0,ISBLANK(Y126)),B126&lt;&gt;"")</formula>
    </cfRule>
    <cfRule type="expression" dxfId="2665" priority="4028">
      <formula>AND(Y126="NA",NOT(ISTEXT(X126)))</formula>
    </cfRule>
    <cfRule type="expression" dxfId="2664" priority="4029">
      <formula>AND(AW126&gt;5,Y126="NA")</formula>
    </cfRule>
    <cfRule type="expression" dxfId="2663" priority="4030">
      <formula>AND(AW126&lt;5,Y126="NA")</formula>
    </cfRule>
    <cfRule type="expression" dxfId="2662" priority="4031">
      <formula>AND(Y126&lt;&gt;"NA",Y126&gt;$Y$16)</formula>
    </cfRule>
  </conditionalFormatting>
  <conditionalFormatting sqref="N126">
    <cfRule type="expression" priority="4011" stopIfTrue="1">
      <formula>"ISBLANK($K$185)"</formula>
    </cfRule>
    <cfRule type="expression" dxfId="2661" priority="4082">
      <formula>AND(OR(AW126=0,ISBLANK(N126)),B126&lt;&gt;"")</formula>
    </cfRule>
    <cfRule type="expression" dxfId="2660" priority="4083">
      <formula>AND(N126="NA",NOT(ISTEXT(O126)))</formula>
    </cfRule>
    <cfRule type="expression" dxfId="2659" priority="4084">
      <formula>AND(AW126&gt;5,N126="NA")</formula>
    </cfRule>
    <cfRule type="expression" dxfId="2658" priority="4085">
      <formula>AND(AW126&lt;5,N126="NA")</formula>
    </cfRule>
    <cfRule type="expression" dxfId="2657" priority="4086">
      <formula>AND(N126&lt;&gt;"NA",N126&gt;$N$16)</formula>
    </cfRule>
  </conditionalFormatting>
  <conditionalFormatting sqref="O127">
    <cfRule type="expression" priority="3919" stopIfTrue="1">
      <formula>"ISBLANK($K$185)"</formula>
    </cfRule>
    <cfRule type="expression" dxfId="2656" priority="3986">
      <formula>AND(OR(AW127=0,ISBLANK(O127)),B127&lt;&gt;"")</formula>
    </cfRule>
    <cfRule type="expression" dxfId="2655" priority="3987">
      <formula>AND(O127="NA",NOT(ISTEXT(N127)))</formula>
    </cfRule>
    <cfRule type="expression" dxfId="2654" priority="3988">
      <formula>AND(AW127&gt;5,O127="NA")</formula>
    </cfRule>
    <cfRule type="expression" dxfId="2653" priority="3989">
      <formula>AND(AW127&lt;5,O127="NA")</formula>
    </cfRule>
    <cfRule type="expression" dxfId="2652" priority="3990">
      <formula>AND(O127&lt;&gt;"NA",O127&gt;$O$16)</formula>
    </cfRule>
  </conditionalFormatting>
  <conditionalFormatting sqref="P127">
    <cfRule type="expression" priority="3918" stopIfTrue="1">
      <formula>"ISBLANK($K$185)"</formula>
    </cfRule>
    <cfRule type="expression" dxfId="2651" priority="3981">
      <formula>AND(OR(AW127=0,ISBLANK(P127)),B127&lt;&gt;"")</formula>
    </cfRule>
    <cfRule type="expression" dxfId="2650" priority="3982">
      <formula>AND(P127="NA",NOT(ISTEXT(Q127)))</formula>
    </cfRule>
    <cfRule type="expression" dxfId="2649" priority="3983">
      <formula>AND(AW127&gt;5,P127="NA")</formula>
    </cfRule>
    <cfRule type="expression" dxfId="2648" priority="3984">
      <formula>AND(AW127&lt;5,P127="NA")</formula>
    </cfRule>
    <cfRule type="expression" dxfId="2647" priority="3985">
      <formula>AND(P127&lt;&gt;"NA",P127&gt;$P$16)</formula>
    </cfRule>
  </conditionalFormatting>
  <conditionalFormatting sqref="Q127">
    <cfRule type="expression" priority="3917" stopIfTrue="1">
      <formula>"ISBLANK($K$185)"</formula>
    </cfRule>
    <cfRule type="expression" dxfId="2646" priority="3976">
      <formula>AND(OR(AW127=0,ISBLANK(Q127)),B127&lt;&gt;"")</formula>
    </cfRule>
    <cfRule type="expression" dxfId="2645" priority="3977">
      <formula>AND(Q127="NA",NOT(ISTEXT(P127)))</formula>
    </cfRule>
    <cfRule type="expression" dxfId="2644" priority="3978">
      <formula>AND(AW127&gt;5,Q127="NA")</formula>
    </cfRule>
    <cfRule type="expression" dxfId="2643" priority="3979">
      <formula>AND(AW127&lt;5,Q127="NA")</formula>
    </cfRule>
    <cfRule type="expression" dxfId="2642" priority="3980">
      <formula>AND(Q127&lt;&gt;"NA",Q127&gt;$Q$16)</formula>
    </cfRule>
  </conditionalFormatting>
  <conditionalFormatting sqref="R127">
    <cfRule type="expression" priority="3916" stopIfTrue="1">
      <formula>"ISBLANK($K$185)"</formula>
    </cfRule>
    <cfRule type="expression" dxfId="2641" priority="3971">
      <formula>AND(OR(AW127=0,ISBLANK(R127)),B127&lt;&gt;"")</formula>
    </cfRule>
    <cfRule type="expression" dxfId="2640" priority="3972">
      <formula>AND(R127="NA",NOT(ISTEXT(S127)))</formula>
    </cfRule>
    <cfRule type="expression" dxfId="2639" priority="3973">
      <formula>AND(AW127&gt;5,R127="NA")</formula>
    </cfRule>
    <cfRule type="expression" dxfId="2638" priority="3974">
      <formula>AND(AW127&lt;5,R127="NA")</formula>
    </cfRule>
    <cfRule type="expression" dxfId="2637" priority="3975">
      <formula>AND(R127&lt;&gt;"NA",R127&gt;$R$16)</formula>
    </cfRule>
  </conditionalFormatting>
  <conditionalFormatting sqref="S127">
    <cfRule type="expression" priority="3915" stopIfTrue="1">
      <formula>"ISBLANK($K$185)"</formula>
    </cfRule>
    <cfRule type="expression" dxfId="2636" priority="3966">
      <formula>AND(OR(AW127=0,ISBLANK(S127)),B127&lt;&gt;"")</formula>
    </cfRule>
    <cfRule type="expression" dxfId="2635" priority="3967">
      <formula>AND(S127="NA",NOT(ISTEXT(R127)))</formula>
    </cfRule>
    <cfRule type="expression" dxfId="2634" priority="3968">
      <formula>AND(AW127&gt;5,S127="NA")</formula>
    </cfRule>
    <cfRule type="expression" dxfId="2633" priority="3969">
      <formula>AND(AW127&lt;5,S127="NA")</formula>
    </cfRule>
    <cfRule type="expression" dxfId="2632" priority="3970">
      <formula>AND(S127&lt;&gt;"NA",S127&gt;$S$16)</formula>
    </cfRule>
  </conditionalFormatting>
  <conditionalFormatting sqref="T127">
    <cfRule type="expression" priority="3914" stopIfTrue="1">
      <formula>"ISBLANK($K$185)"</formula>
    </cfRule>
    <cfRule type="expression" dxfId="2631" priority="3961">
      <formula>AND(OR(AW127=0,ISBLANK(T127)),B127&lt;&gt;"")</formula>
    </cfRule>
    <cfRule type="expression" dxfId="2630" priority="3962">
      <formula>AND(T127="NA",NOT(ISTEXT(U127)))</formula>
    </cfRule>
    <cfRule type="expression" dxfId="2629" priority="3963">
      <formula>AND(AW127&gt;5,T127="NA")</formula>
    </cfRule>
    <cfRule type="expression" dxfId="2628" priority="3964">
      <formula>AND(AW127&lt;5,T127="NA")</formula>
    </cfRule>
    <cfRule type="expression" dxfId="2627" priority="3965">
      <formula>AND(T127&lt;&gt;"NA",T127&gt;$T$16)</formula>
    </cfRule>
  </conditionalFormatting>
  <conditionalFormatting sqref="U127">
    <cfRule type="expression" priority="3913" stopIfTrue="1">
      <formula>"ISBLANK($K$185)"</formula>
    </cfRule>
    <cfRule type="expression" dxfId="2626" priority="3956">
      <formula>AND(OR(AW127=0,ISBLANK(U127)),B127&lt;&gt;"")</formula>
    </cfRule>
    <cfRule type="expression" dxfId="2625" priority="3957">
      <formula>AND(U127="NA",NOT(ISTEXT(T127)))</formula>
    </cfRule>
    <cfRule type="expression" dxfId="2624" priority="3958">
      <formula>AND(AW127&gt;5,U127="NA")</formula>
    </cfRule>
    <cfRule type="expression" dxfId="2623" priority="3959">
      <formula>AND(AW127&lt;5,U127="NA")</formula>
    </cfRule>
    <cfRule type="expression" dxfId="2622" priority="3960">
      <formula>AND(U127&lt;&gt;"NA",U127&gt;$U$16)</formula>
    </cfRule>
  </conditionalFormatting>
  <conditionalFormatting sqref="V127">
    <cfRule type="expression" priority="3912" stopIfTrue="1">
      <formula>"ISBLANK($K$185)"</formula>
    </cfRule>
    <cfRule type="expression" dxfId="2621" priority="3951">
      <formula>AND(OR(AW127=0,ISBLANK(V127)),B127&lt;&gt;"")</formula>
    </cfRule>
    <cfRule type="expression" dxfId="2620" priority="3952">
      <formula>AND(V127="NA",NOT(ISTEXT(W127)))</formula>
    </cfRule>
    <cfRule type="expression" dxfId="2619" priority="3953">
      <formula>AND(AW127&gt;5,V127="NA")</formula>
    </cfRule>
    <cfRule type="expression" dxfId="2618" priority="3954">
      <formula>AND(AW127&lt;5,V127="NA")</formula>
    </cfRule>
    <cfRule type="expression" dxfId="2617" priority="3955">
      <formula>AND(V127&lt;&gt;"NA",V127&gt;$V$16)</formula>
    </cfRule>
  </conditionalFormatting>
  <conditionalFormatting sqref="W127">
    <cfRule type="expression" priority="3911" stopIfTrue="1">
      <formula>"ISBLANK($K$185)"</formula>
    </cfRule>
    <cfRule type="expression" dxfId="2616" priority="3946">
      <formula>AND(OR(AW127=0,ISBLANK(W127)),B127&lt;&gt;"")</formula>
    </cfRule>
    <cfRule type="expression" dxfId="2615" priority="3947">
      <formula>AND(W127="NA",NOT(ISTEXT(V127)))</formula>
    </cfRule>
    <cfRule type="expression" dxfId="2614" priority="3948">
      <formula>AND(AW127&gt;5,W127="NA")</formula>
    </cfRule>
    <cfRule type="expression" dxfId="2613" priority="3949">
      <formula>AND(AW127&lt;5,W127="NA")</formula>
    </cfRule>
    <cfRule type="expression" dxfId="2612" priority="3950">
      <formula>AND(W127&lt;&gt;"NA",W127&gt;$W$16)</formula>
    </cfRule>
  </conditionalFormatting>
  <conditionalFormatting sqref="X127">
    <cfRule type="expression" priority="3910" stopIfTrue="1">
      <formula>"ISBLANK($K$185)"</formula>
    </cfRule>
    <cfRule type="expression" dxfId="2611" priority="3941">
      <formula>AND(OR(AW127=0,ISBLANK(X127)),B127&lt;&gt;"")</formula>
    </cfRule>
    <cfRule type="expression" dxfId="2610" priority="3942">
      <formula>AND(X127="NA",NOT(ISTEXT(Y127)))</formula>
    </cfRule>
    <cfRule type="expression" dxfId="2609" priority="3943">
      <formula>AND(AW127&gt;5,X127="NA")</formula>
    </cfRule>
    <cfRule type="expression" dxfId="2608" priority="3944">
      <formula>AND(AW127&lt;5,X127="NA")</formula>
    </cfRule>
    <cfRule type="expression" dxfId="2607" priority="3945">
      <formula>AND(X127&lt;&gt;"NA",X127&gt;$Y$16)</formula>
    </cfRule>
  </conditionalFormatting>
  <conditionalFormatting sqref="Y127">
    <cfRule type="expression" priority="3909" stopIfTrue="1">
      <formula>"ISBLANK($K$185)"</formula>
    </cfRule>
    <cfRule type="expression" dxfId="2606" priority="3936">
      <formula>AND(OR(AW127=0,ISBLANK(Y127)),B127&lt;&gt;"")</formula>
    </cfRule>
    <cfRule type="expression" dxfId="2605" priority="3937">
      <formula>AND(Y127="NA",NOT(ISTEXT(X127)))</formula>
    </cfRule>
    <cfRule type="expression" dxfId="2604" priority="3938">
      <formula>AND(AW127&gt;5,Y127="NA")</formula>
    </cfRule>
    <cfRule type="expression" dxfId="2603" priority="3939">
      <formula>AND(AW127&lt;5,Y127="NA")</formula>
    </cfRule>
    <cfRule type="expression" dxfId="2602" priority="3940">
      <formula>AND(Y127&lt;&gt;"NA",Y127&gt;$Y$16)</formula>
    </cfRule>
  </conditionalFormatting>
  <conditionalFormatting sqref="N127">
    <cfRule type="expression" priority="3920" stopIfTrue="1">
      <formula>"ISBLANK($K$185)"</formula>
    </cfRule>
    <cfRule type="expression" dxfId="2601" priority="3991">
      <formula>AND(OR(AW127=0,ISBLANK(N127)),B127&lt;&gt;"")</formula>
    </cfRule>
    <cfRule type="expression" dxfId="2600" priority="3992">
      <formula>AND(N127="NA",NOT(ISTEXT(O127)))</formula>
    </cfRule>
    <cfRule type="expression" dxfId="2599" priority="3993">
      <formula>AND(AW127&gt;5,N127="NA")</formula>
    </cfRule>
    <cfRule type="expression" dxfId="2598" priority="3994">
      <formula>AND(AW127&lt;5,N127="NA")</formula>
    </cfRule>
    <cfRule type="expression" dxfId="2597" priority="3995">
      <formula>AND(N127&lt;&gt;"NA",N127&gt;$N$16)</formula>
    </cfRule>
  </conditionalFormatting>
  <conditionalFormatting sqref="O128">
    <cfRule type="expression" priority="3828" stopIfTrue="1">
      <formula>"ISBLANK($K$185)"</formula>
    </cfRule>
    <cfRule type="expression" dxfId="2596" priority="3895">
      <formula>AND(OR(AW128=0,ISBLANK(O128)),B128&lt;&gt;"")</formula>
    </cfRule>
    <cfRule type="expression" dxfId="2595" priority="3896">
      <formula>AND(O128="NA",NOT(ISTEXT(N128)))</formula>
    </cfRule>
    <cfRule type="expression" dxfId="2594" priority="3897">
      <formula>AND(AW128&gt;5,O128="NA")</formula>
    </cfRule>
    <cfRule type="expression" dxfId="2593" priority="3898">
      <formula>AND(AW128&lt;5,O128="NA")</formula>
    </cfRule>
    <cfRule type="expression" dxfId="2592" priority="3899">
      <formula>AND(O128&lt;&gt;"NA",O128&gt;$O$16)</formula>
    </cfRule>
  </conditionalFormatting>
  <conditionalFormatting sqref="P128">
    <cfRule type="expression" priority="3827" stopIfTrue="1">
      <formula>"ISBLANK($K$185)"</formula>
    </cfRule>
    <cfRule type="expression" dxfId="2591" priority="3890">
      <formula>AND(OR(AW128=0,ISBLANK(P128)),B128&lt;&gt;"")</formula>
    </cfRule>
    <cfRule type="expression" dxfId="2590" priority="3891">
      <formula>AND(P128="NA",NOT(ISTEXT(Q128)))</formula>
    </cfRule>
    <cfRule type="expression" dxfId="2589" priority="3892">
      <formula>AND(AW128&gt;5,P128="NA")</formula>
    </cfRule>
    <cfRule type="expression" dxfId="2588" priority="3893">
      <formula>AND(AW128&lt;5,P128="NA")</formula>
    </cfRule>
    <cfRule type="expression" dxfId="2587" priority="3894">
      <formula>AND(P128&lt;&gt;"NA",P128&gt;$P$16)</formula>
    </cfRule>
  </conditionalFormatting>
  <conditionalFormatting sqref="Q128">
    <cfRule type="expression" priority="3826" stopIfTrue="1">
      <formula>"ISBLANK($K$185)"</formula>
    </cfRule>
    <cfRule type="expression" dxfId="2586" priority="3885">
      <formula>AND(OR(AW128=0,ISBLANK(Q128)),B128&lt;&gt;"")</formula>
    </cfRule>
    <cfRule type="expression" dxfId="2585" priority="3886">
      <formula>AND(Q128="NA",NOT(ISTEXT(P128)))</formula>
    </cfRule>
    <cfRule type="expression" dxfId="2584" priority="3887">
      <formula>AND(AW128&gt;5,Q128="NA")</formula>
    </cfRule>
    <cfRule type="expression" dxfId="2583" priority="3888">
      <formula>AND(AW128&lt;5,Q128="NA")</formula>
    </cfRule>
    <cfRule type="expression" dxfId="2582" priority="3889">
      <formula>AND(Q128&lt;&gt;"NA",Q128&gt;$Q$16)</formula>
    </cfRule>
  </conditionalFormatting>
  <conditionalFormatting sqref="R128">
    <cfRule type="expression" priority="3825" stopIfTrue="1">
      <formula>"ISBLANK($K$185)"</formula>
    </cfRule>
    <cfRule type="expression" dxfId="2581" priority="3880">
      <formula>AND(OR(AW128=0,ISBLANK(R128)),B128&lt;&gt;"")</formula>
    </cfRule>
    <cfRule type="expression" dxfId="2580" priority="3881">
      <formula>AND(R128="NA",NOT(ISTEXT(S128)))</formula>
    </cfRule>
    <cfRule type="expression" dxfId="2579" priority="3882">
      <formula>AND(AW128&gt;5,R128="NA")</formula>
    </cfRule>
    <cfRule type="expression" dxfId="2578" priority="3883">
      <formula>AND(AW128&lt;5,R128="NA")</formula>
    </cfRule>
    <cfRule type="expression" dxfId="2577" priority="3884">
      <formula>AND(R128&lt;&gt;"NA",R128&gt;$R$16)</formula>
    </cfRule>
  </conditionalFormatting>
  <conditionalFormatting sqref="S128">
    <cfRule type="expression" priority="3824" stopIfTrue="1">
      <formula>"ISBLANK($K$185)"</formula>
    </cfRule>
    <cfRule type="expression" dxfId="2576" priority="3875">
      <formula>AND(OR(AW128=0,ISBLANK(S128)),B128&lt;&gt;"")</formula>
    </cfRule>
    <cfRule type="expression" dxfId="2575" priority="3876">
      <formula>AND(S128="NA",NOT(ISTEXT(R128)))</formula>
    </cfRule>
    <cfRule type="expression" dxfId="2574" priority="3877">
      <formula>AND(AW128&gt;5,S128="NA")</formula>
    </cfRule>
    <cfRule type="expression" dxfId="2573" priority="3878">
      <formula>AND(AW128&lt;5,S128="NA")</formula>
    </cfRule>
    <cfRule type="expression" dxfId="2572" priority="3879">
      <formula>AND(S128&lt;&gt;"NA",S128&gt;$S$16)</formula>
    </cfRule>
  </conditionalFormatting>
  <conditionalFormatting sqref="T128">
    <cfRule type="expression" priority="3823" stopIfTrue="1">
      <formula>"ISBLANK($K$185)"</formula>
    </cfRule>
    <cfRule type="expression" dxfId="2571" priority="3870">
      <formula>AND(OR(AW128=0,ISBLANK(T128)),B128&lt;&gt;"")</formula>
    </cfRule>
    <cfRule type="expression" dxfId="2570" priority="3871">
      <formula>AND(T128="NA",NOT(ISTEXT(U128)))</formula>
    </cfRule>
    <cfRule type="expression" dxfId="2569" priority="3872">
      <formula>AND(AW128&gt;5,T128="NA")</formula>
    </cfRule>
    <cfRule type="expression" dxfId="2568" priority="3873">
      <formula>AND(AW128&lt;5,T128="NA")</formula>
    </cfRule>
    <cfRule type="expression" dxfId="2567" priority="3874">
      <formula>AND(T128&lt;&gt;"NA",T128&gt;$T$16)</formula>
    </cfRule>
  </conditionalFormatting>
  <conditionalFormatting sqref="U128">
    <cfRule type="expression" priority="3822" stopIfTrue="1">
      <formula>"ISBLANK($K$185)"</formula>
    </cfRule>
    <cfRule type="expression" dxfId="2566" priority="3865">
      <formula>AND(OR(AW128=0,ISBLANK(U128)),B128&lt;&gt;"")</formula>
    </cfRule>
    <cfRule type="expression" dxfId="2565" priority="3866">
      <formula>AND(U128="NA",NOT(ISTEXT(T128)))</formula>
    </cfRule>
    <cfRule type="expression" dxfId="2564" priority="3867">
      <formula>AND(AW128&gt;5,U128="NA")</formula>
    </cfRule>
    <cfRule type="expression" dxfId="2563" priority="3868">
      <formula>AND(AW128&lt;5,U128="NA")</formula>
    </cfRule>
    <cfRule type="expression" dxfId="2562" priority="3869">
      <formula>AND(U128&lt;&gt;"NA",U128&gt;$U$16)</formula>
    </cfRule>
  </conditionalFormatting>
  <conditionalFormatting sqref="V128">
    <cfRule type="expression" priority="3821" stopIfTrue="1">
      <formula>"ISBLANK($K$185)"</formula>
    </cfRule>
    <cfRule type="expression" dxfId="2561" priority="3860">
      <formula>AND(OR(AW128=0,ISBLANK(V128)),B128&lt;&gt;"")</formula>
    </cfRule>
    <cfRule type="expression" dxfId="2560" priority="3861">
      <formula>AND(V128="NA",NOT(ISTEXT(W128)))</formula>
    </cfRule>
    <cfRule type="expression" dxfId="2559" priority="3862">
      <formula>AND(AW128&gt;5,V128="NA")</formula>
    </cfRule>
    <cfRule type="expression" dxfId="2558" priority="3863">
      <formula>AND(AW128&lt;5,V128="NA")</formula>
    </cfRule>
    <cfRule type="expression" dxfId="2557" priority="3864">
      <formula>AND(V128&lt;&gt;"NA",V128&gt;$V$16)</formula>
    </cfRule>
  </conditionalFormatting>
  <conditionalFormatting sqref="W128">
    <cfRule type="expression" priority="3820" stopIfTrue="1">
      <formula>"ISBLANK($K$185)"</formula>
    </cfRule>
    <cfRule type="expression" dxfId="2556" priority="3855">
      <formula>AND(OR(AW128=0,ISBLANK(W128)),B128&lt;&gt;"")</formula>
    </cfRule>
    <cfRule type="expression" dxfId="2555" priority="3856">
      <formula>AND(W128="NA",NOT(ISTEXT(V128)))</formula>
    </cfRule>
    <cfRule type="expression" dxfId="2554" priority="3857">
      <formula>AND(AW128&gt;5,W128="NA")</formula>
    </cfRule>
    <cfRule type="expression" dxfId="2553" priority="3858">
      <formula>AND(AW128&lt;5,W128="NA")</formula>
    </cfRule>
    <cfRule type="expression" dxfId="2552" priority="3859">
      <formula>AND(W128&lt;&gt;"NA",W128&gt;$W$16)</formula>
    </cfRule>
  </conditionalFormatting>
  <conditionalFormatting sqref="X128">
    <cfRule type="expression" priority="3819" stopIfTrue="1">
      <formula>"ISBLANK($K$185)"</formula>
    </cfRule>
    <cfRule type="expression" dxfId="2551" priority="3850">
      <formula>AND(OR(AW128=0,ISBLANK(X128)),B128&lt;&gt;"")</formula>
    </cfRule>
    <cfRule type="expression" dxfId="2550" priority="3851">
      <formula>AND(X128="NA",NOT(ISTEXT(Y128)))</formula>
    </cfRule>
    <cfRule type="expression" dxfId="2549" priority="3852">
      <formula>AND(AW128&gt;5,X128="NA")</formula>
    </cfRule>
    <cfRule type="expression" dxfId="2548" priority="3853">
      <formula>AND(AW128&lt;5,X128="NA")</formula>
    </cfRule>
    <cfRule type="expression" dxfId="2547" priority="3854">
      <formula>AND(X128&lt;&gt;"NA",X128&gt;$Y$16)</formula>
    </cfRule>
  </conditionalFormatting>
  <conditionalFormatting sqref="Y128">
    <cfRule type="expression" priority="3818" stopIfTrue="1">
      <formula>"ISBLANK($K$185)"</formula>
    </cfRule>
    <cfRule type="expression" dxfId="2546" priority="3845">
      <formula>AND(OR(AW128=0,ISBLANK(Y128)),B128&lt;&gt;"")</formula>
    </cfRule>
    <cfRule type="expression" dxfId="2545" priority="3846">
      <formula>AND(Y128="NA",NOT(ISTEXT(X128)))</formula>
    </cfRule>
    <cfRule type="expression" dxfId="2544" priority="3847">
      <formula>AND(AW128&gt;5,Y128="NA")</formula>
    </cfRule>
    <cfRule type="expression" dxfId="2543" priority="3848">
      <formula>AND(AW128&lt;5,Y128="NA")</formula>
    </cfRule>
    <cfRule type="expression" dxfId="2542" priority="3849">
      <formula>AND(Y128&lt;&gt;"NA",Y128&gt;$Y$16)</formula>
    </cfRule>
  </conditionalFormatting>
  <conditionalFormatting sqref="N128">
    <cfRule type="expression" priority="3829" stopIfTrue="1">
      <formula>"ISBLANK($K$185)"</formula>
    </cfRule>
    <cfRule type="expression" dxfId="2541" priority="3900">
      <formula>AND(OR(AW128=0,ISBLANK(N128)),B128&lt;&gt;"")</formula>
    </cfRule>
    <cfRule type="expression" dxfId="2540" priority="3901">
      <formula>AND(N128="NA",NOT(ISTEXT(O128)))</formula>
    </cfRule>
    <cfRule type="expression" dxfId="2539" priority="3902">
      <formula>AND(AW128&gt;5,N128="NA")</formula>
    </cfRule>
    <cfRule type="expression" dxfId="2538" priority="3903">
      <formula>AND(AW128&lt;5,N128="NA")</formula>
    </cfRule>
    <cfRule type="expression" dxfId="2537" priority="3904">
      <formula>AND(N128&lt;&gt;"NA",N128&gt;$N$16)</formula>
    </cfRule>
  </conditionalFormatting>
  <conditionalFormatting sqref="O129">
    <cfRule type="expression" priority="3737" stopIfTrue="1">
      <formula>"ISBLANK($K$185)"</formula>
    </cfRule>
    <cfRule type="expression" dxfId="2536" priority="3804">
      <formula>AND(OR(AW129=0,ISBLANK(O129)),B129&lt;&gt;"")</formula>
    </cfRule>
    <cfRule type="expression" dxfId="2535" priority="3805">
      <formula>AND(O129="NA",NOT(ISTEXT(N129)))</formula>
    </cfRule>
    <cfRule type="expression" dxfId="2534" priority="3806">
      <formula>AND(AW129&gt;5,O129="NA")</formula>
    </cfRule>
    <cfRule type="expression" dxfId="2533" priority="3807">
      <formula>AND(AW129&lt;5,O129="NA")</formula>
    </cfRule>
    <cfRule type="expression" dxfId="2532" priority="3808">
      <formula>AND(O129&lt;&gt;"NA",O129&gt;$O$16)</formula>
    </cfRule>
  </conditionalFormatting>
  <conditionalFormatting sqref="P129">
    <cfRule type="expression" priority="3736" stopIfTrue="1">
      <formula>"ISBLANK($K$185)"</formula>
    </cfRule>
    <cfRule type="expression" dxfId="2531" priority="3799">
      <formula>AND(OR(AW129=0,ISBLANK(P129)),B129&lt;&gt;"")</formula>
    </cfRule>
    <cfRule type="expression" dxfId="2530" priority="3800">
      <formula>AND(P129="NA",NOT(ISTEXT(Q129)))</formula>
    </cfRule>
    <cfRule type="expression" dxfId="2529" priority="3801">
      <formula>AND(AW129&gt;5,P129="NA")</formula>
    </cfRule>
    <cfRule type="expression" dxfId="2528" priority="3802">
      <formula>AND(AW129&lt;5,P129="NA")</formula>
    </cfRule>
    <cfRule type="expression" dxfId="2527" priority="3803">
      <formula>AND(P129&lt;&gt;"NA",P129&gt;$P$16)</formula>
    </cfRule>
  </conditionalFormatting>
  <conditionalFormatting sqref="Q129">
    <cfRule type="expression" priority="3735" stopIfTrue="1">
      <formula>"ISBLANK($K$185)"</formula>
    </cfRule>
    <cfRule type="expression" dxfId="2526" priority="3794">
      <formula>AND(OR(AW129=0,ISBLANK(Q129)),B129&lt;&gt;"")</formula>
    </cfRule>
    <cfRule type="expression" dxfId="2525" priority="3795">
      <formula>AND(Q129="NA",NOT(ISTEXT(P129)))</formula>
    </cfRule>
    <cfRule type="expression" dxfId="2524" priority="3796">
      <formula>AND(AW129&gt;5,Q129="NA")</formula>
    </cfRule>
    <cfRule type="expression" dxfId="2523" priority="3797">
      <formula>AND(AW129&lt;5,Q129="NA")</formula>
    </cfRule>
    <cfRule type="expression" dxfId="2522" priority="3798">
      <formula>AND(Q129&lt;&gt;"NA",Q129&gt;$Q$16)</formula>
    </cfRule>
  </conditionalFormatting>
  <conditionalFormatting sqref="R129">
    <cfRule type="expression" priority="3734" stopIfTrue="1">
      <formula>"ISBLANK($K$185)"</formula>
    </cfRule>
    <cfRule type="expression" dxfId="2521" priority="3789">
      <formula>AND(OR(AW129=0,ISBLANK(R129)),B129&lt;&gt;"")</formula>
    </cfRule>
    <cfRule type="expression" dxfId="2520" priority="3790">
      <formula>AND(R129="NA",NOT(ISTEXT(S129)))</formula>
    </cfRule>
    <cfRule type="expression" dxfId="2519" priority="3791">
      <formula>AND(AW129&gt;5,R129="NA")</formula>
    </cfRule>
    <cfRule type="expression" dxfId="2518" priority="3792">
      <formula>AND(AW129&lt;5,R129="NA")</formula>
    </cfRule>
    <cfRule type="expression" dxfId="2517" priority="3793">
      <formula>AND(R129&lt;&gt;"NA",R129&gt;$R$16)</formula>
    </cfRule>
  </conditionalFormatting>
  <conditionalFormatting sqref="S129">
    <cfRule type="expression" priority="3733" stopIfTrue="1">
      <formula>"ISBLANK($K$185)"</formula>
    </cfRule>
    <cfRule type="expression" dxfId="2516" priority="3784">
      <formula>AND(OR(AW129=0,ISBLANK(S129)),B129&lt;&gt;"")</formula>
    </cfRule>
    <cfRule type="expression" dxfId="2515" priority="3785">
      <formula>AND(S129="NA",NOT(ISTEXT(R129)))</formula>
    </cfRule>
    <cfRule type="expression" dxfId="2514" priority="3786">
      <formula>AND(AW129&gt;5,S129="NA")</formula>
    </cfRule>
    <cfRule type="expression" dxfId="2513" priority="3787">
      <formula>AND(AW129&lt;5,S129="NA")</formula>
    </cfRule>
    <cfRule type="expression" dxfId="2512" priority="3788">
      <formula>AND(S129&lt;&gt;"NA",S129&gt;$S$16)</formula>
    </cfRule>
  </conditionalFormatting>
  <conditionalFormatting sqref="T129">
    <cfRule type="expression" priority="3732" stopIfTrue="1">
      <formula>"ISBLANK($K$185)"</formula>
    </cfRule>
    <cfRule type="expression" dxfId="2511" priority="3779">
      <formula>AND(OR(AW129=0,ISBLANK(T129)),B129&lt;&gt;"")</formula>
    </cfRule>
    <cfRule type="expression" dxfId="2510" priority="3780">
      <formula>AND(T129="NA",NOT(ISTEXT(U129)))</formula>
    </cfRule>
    <cfRule type="expression" dxfId="2509" priority="3781">
      <formula>AND(AW129&gt;5,T129="NA")</formula>
    </cfRule>
    <cfRule type="expression" dxfId="2508" priority="3782">
      <formula>AND(AW129&lt;5,T129="NA")</formula>
    </cfRule>
    <cfRule type="expression" dxfId="2507" priority="3783">
      <formula>AND(T129&lt;&gt;"NA",T129&gt;$T$16)</formula>
    </cfRule>
  </conditionalFormatting>
  <conditionalFormatting sqref="U129">
    <cfRule type="expression" priority="3731" stopIfTrue="1">
      <formula>"ISBLANK($K$185)"</formula>
    </cfRule>
    <cfRule type="expression" dxfId="2506" priority="3774">
      <formula>AND(OR(AW129=0,ISBLANK(U129)),B129&lt;&gt;"")</formula>
    </cfRule>
    <cfRule type="expression" dxfId="2505" priority="3775">
      <formula>AND(U129="NA",NOT(ISTEXT(T129)))</formula>
    </cfRule>
    <cfRule type="expression" dxfId="2504" priority="3776">
      <formula>AND(AW129&gt;5,U129="NA")</formula>
    </cfRule>
    <cfRule type="expression" dxfId="2503" priority="3777">
      <formula>AND(AW129&lt;5,U129="NA")</formula>
    </cfRule>
    <cfRule type="expression" dxfId="2502" priority="3778">
      <formula>AND(U129&lt;&gt;"NA",U129&gt;$U$16)</formula>
    </cfRule>
  </conditionalFormatting>
  <conditionalFormatting sqref="V129">
    <cfRule type="expression" priority="3730" stopIfTrue="1">
      <formula>"ISBLANK($K$185)"</formula>
    </cfRule>
    <cfRule type="expression" dxfId="2501" priority="3769">
      <formula>AND(OR(AW129=0,ISBLANK(V129)),B129&lt;&gt;"")</formula>
    </cfRule>
    <cfRule type="expression" dxfId="2500" priority="3770">
      <formula>AND(V129="NA",NOT(ISTEXT(W129)))</formula>
    </cfRule>
    <cfRule type="expression" dxfId="2499" priority="3771">
      <formula>AND(AW129&gt;5,V129="NA")</formula>
    </cfRule>
    <cfRule type="expression" dxfId="2498" priority="3772">
      <formula>AND(AW129&lt;5,V129="NA")</formula>
    </cfRule>
    <cfRule type="expression" dxfId="2497" priority="3773">
      <formula>AND(V129&lt;&gt;"NA",V129&gt;$V$16)</formula>
    </cfRule>
  </conditionalFormatting>
  <conditionalFormatting sqref="W129">
    <cfRule type="expression" priority="3729" stopIfTrue="1">
      <formula>"ISBLANK($K$185)"</formula>
    </cfRule>
    <cfRule type="expression" dxfId="2496" priority="3764">
      <formula>AND(OR(AW129=0,ISBLANK(W129)),B129&lt;&gt;"")</formula>
    </cfRule>
    <cfRule type="expression" dxfId="2495" priority="3765">
      <formula>AND(W129="NA",NOT(ISTEXT(V129)))</formula>
    </cfRule>
    <cfRule type="expression" dxfId="2494" priority="3766">
      <formula>AND(AW129&gt;5,W129="NA")</formula>
    </cfRule>
    <cfRule type="expression" dxfId="2493" priority="3767">
      <formula>AND(AW129&lt;5,W129="NA")</formula>
    </cfRule>
    <cfRule type="expression" dxfId="2492" priority="3768">
      <formula>AND(W129&lt;&gt;"NA",W129&gt;$W$16)</formula>
    </cfRule>
  </conditionalFormatting>
  <conditionalFormatting sqref="X129">
    <cfRule type="expression" priority="3728" stopIfTrue="1">
      <formula>"ISBLANK($K$185)"</formula>
    </cfRule>
    <cfRule type="expression" dxfId="2491" priority="3759">
      <formula>AND(OR(AW129=0,ISBLANK(X129)),B129&lt;&gt;"")</formula>
    </cfRule>
    <cfRule type="expression" dxfId="2490" priority="3760">
      <formula>AND(X129="NA",NOT(ISTEXT(Y129)))</formula>
    </cfRule>
    <cfRule type="expression" dxfId="2489" priority="3761">
      <formula>AND(AW129&gt;5,X129="NA")</formula>
    </cfRule>
    <cfRule type="expression" dxfId="2488" priority="3762">
      <formula>AND(AW129&lt;5,X129="NA")</formula>
    </cfRule>
    <cfRule type="expression" dxfId="2487" priority="3763">
      <formula>AND(X129&lt;&gt;"NA",X129&gt;$Y$16)</formula>
    </cfRule>
  </conditionalFormatting>
  <conditionalFormatting sqref="Y129">
    <cfRule type="expression" priority="3727" stopIfTrue="1">
      <formula>"ISBLANK($K$185)"</formula>
    </cfRule>
    <cfRule type="expression" dxfId="2486" priority="3754">
      <formula>AND(OR(AW129=0,ISBLANK(Y129)),B129&lt;&gt;"")</formula>
    </cfRule>
    <cfRule type="expression" dxfId="2485" priority="3755">
      <formula>AND(Y129="NA",NOT(ISTEXT(X129)))</formula>
    </cfRule>
    <cfRule type="expression" dxfId="2484" priority="3756">
      <formula>AND(AW129&gt;5,Y129="NA")</formula>
    </cfRule>
    <cfRule type="expression" dxfId="2483" priority="3757">
      <formula>AND(AW129&lt;5,Y129="NA")</formula>
    </cfRule>
    <cfRule type="expression" dxfId="2482" priority="3758">
      <formula>AND(Y129&lt;&gt;"NA",Y129&gt;$Y$16)</formula>
    </cfRule>
  </conditionalFormatting>
  <conditionalFormatting sqref="N129">
    <cfRule type="expression" priority="3738" stopIfTrue="1">
      <formula>"ISBLANK($K$185)"</formula>
    </cfRule>
    <cfRule type="expression" dxfId="2481" priority="3809">
      <formula>AND(OR(AW129=0,ISBLANK(N129)),B129&lt;&gt;"")</formula>
    </cfRule>
    <cfRule type="expression" dxfId="2480" priority="3810">
      <formula>AND(N129="NA",NOT(ISTEXT(O129)))</formula>
    </cfRule>
    <cfRule type="expression" dxfId="2479" priority="3811">
      <formula>AND(AW129&gt;5,N129="NA")</formula>
    </cfRule>
    <cfRule type="expression" dxfId="2478" priority="3812">
      <formula>AND(AW129&lt;5,N129="NA")</formula>
    </cfRule>
    <cfRule type="expression" dxfId="2477" priority="3813">
      <formula>AND(N129&lt;&gt;"NA",N129&gt;$N$16)</formula>
    </cfRule>
  </conditionalFormatting>
  <conditionalFormatting sqref="O130">
    <cfRule type="expression" priority="3646" stopIfTrue="1">
      <formula>"ISBLANK($K$185)"</formula>
    </cfRule>
    <cfRule type="expression" dxfId="2476" priority="3713">
      <formula>AND(OR(AW130=0,ISBLANK(O130)),B130&lt;&gt;"")</formula>
    </cfRule>
    <cfRule type="expression" dxfId="2475" priority="3714">
      <formula>AND(O130="NA",NOT(ISTEXT(N130)))</formula>
    </cfRule>
    <cfRule type="expression" dxfId="2474" priority="3715">
      <formula>AND(AW130&gt;5,O130="NA")</formula>
    </cfRule>
    <cfRule type="expression" dxfId="2473" priority="3716">
      <formula>AND(AW130&lt;5,O130="NA")</formula>
    </cfRule>
    <cfRule type="expression" dxfId="2472" priority="3717">
      <formula>AND(O130&lt;&gt;"NA",O130&gt;$O$16)</formula>
    </cfRule>
  </conditionalFormatting>
  <conditionalFormatting sqref="P130">
    <cfRule type="expression" priority="3645" stopIfTrue="1">
      <formula>"ISBLANK($K$185)"</formula>
    </cfRule>
    <cfRule type="expression" dxfId="2471" priority="3708">
      <formula>AND(OR(AW130=0,ISBLANK(P130)),B130&lt;&gt;"")</formula>
    </cfRule>
    <cfRule type="expression" dxfId="2470" priority="3709">
      <formula>AND(P130="NA",NOT(ISTEXT(Q130)))</formula>
    </cfRule>
    <cfRule type="expression" dxfId="2469" priority="3710">
      <formula>AND(AW130&gt;5,P130="NA")</formula>
    </cfRule>
    <cfRule type="expression" dxfId="2468" priority="3711">
      <formula>AND(AW130&lt;5,P130="NA")</formula>
    </cfRule>
    <cfRule type="expression" dxfId="2467" priority="3712">
      <formula>AND(P130&lt;&gt;"NA",P130&gt;$P$16)</formula>
    </cfRule>
  </conditionalFormatting>
  <conditionalFormatting sqref="Q130">
    <cfRule type="expression" priority="3644" stopIfTrue="1">
      <formula>"ISBLANK($K$185)"</formula>
    </cfRule>
    <cfRule type="expression" dxfId="2466" priority="3703">
      <formula>AND(OR(AW130=0,ISBLANK(Q130)),B130&lt;&gt;"")</formula>
    </cfRule>
    <cfRule type="expression" dxfId="2465" priority="3704">
      <formula>AND(Q130="NA",NOT(ISTEXT(P130)))</formula>
    </cfRule>
    <cfRule type="expression" dxfId="2464" priority="3705">
      <formula>AND(AW130&gt;5,Q130="NA")</formula>
    </cfRule>
    <cfRule type="expression" dxfId="2463" priority="3706">
      <formula>AND(AW130&lt;5,Q130="NA")</formula>
    </cfRule>
    <cfRule type="expression" dxfId="2462" priority="3707">
      <formula>AND(Q130&lt;&gt;"NA",Q130&gt;$Q$16)</formula>
    </cfRule>
  </conditionalFormatting>
  <conditionalFormatting sqref="R130">
    <cfRule type="expression" priority="3643" stopIfTrue="1">
      <formula>"ISBLANK($K$185)"</formula>
    </cfRule>
    <cfRule type="expression" dxfId="2461" priority="3698">
      <formula>AND(OR(AW130=0,ISBLANK(R130)),B130&lt;&gt;"")</formula>
    </cfRule>
    <cfRule type="expression" dxfId="2460" priority="3699">
      <formula>AND(R130="NA",NOT(ISTEXT(S130)))</formula>
    </cfRule>
    <cfRule type="expression" dxfId="2459" priority="3700">
      <formula>AND(AW130&gt;5,R130="NA")</formula>
    </cfRule>
    <cfRule type="expression" dxfId="2458" priority="3701">
      <formula>AND(AW130&lt;5,R130="NA")</formula>
    </cfRule>
    <cfRule type="expression" dxfId="2457" priority="3702">
      <formula>AND(R130&lt;&gt;"NA",R130&gt;$R$16)</formula>
    </cfRule>
  </conditionalFormatting>
  <conditionalFormatting sqref="S130">
    <cfRule type="expression" priority="3642" stopIfTrue="1">
      <formula>"ISBLANK($K$185)"</formula>
    </cfRule>
    <cfRule type="expression" dxfId="2456" priority="3693">
      <formula>AND(OR(AW130=0,ISBLANK(S130)),B130&lt;&gt;"")</formula>
    </cfRule>
    <cfRule type="expression" dxfId="2455" priority="3694">
      <formula>AND(S130="NA",NOT(ISTEXT(R130)))</formula>
    </cfRule>
    <cfRule type="expression" dxfId="2454" priority="3695">
      <formula>AND(AW130&gt;5,S130="NA")</formula>
    </cfRule>
    <cfRule type="expression" dxfId="2453" priority="3696">
      <formula>AND(AW130&lt;5,S130="NA")</formula>
    </cfRule>
    <cfRule type="expression" dxfId="2452" priority="3697">
      <formula>AND(S130&lt;&gt;"NA",S130&gt;$S$16)</formula>
    </cfRule>
  </conditionalFormatting>
  <conditionalFormatting sqref="T130">
    <cfRule type="expression" priority="3641" stopIfTrue="1">
      <formula>"ISBLANK($K$185)"</formula>
    </cfRule>
    <cfRule type="expression" dxfId="2451" priority="3688">
      <formula>AND(OR(AW130=0,ISBLANK(T130)),B130&lt;&gt;"")</formula>
    </cfRule>
    <cfRule type="expression" dxfId="2450" priority="3689">
      <formula>AND(T130="NA",NOT(ISTEXT(U130)))</formula>
    </cfRule>
    <cfRule type="expression" dxfId="2449" priority="3690">
      <formula>AND(AW130&gt;5,T130="NA")</formula>
    </cfRule>
    <cfRule type="expression" dxfId="2448" priority="3691">
      <formula>AND(AW130&lt;5,T130="NA")</formula>
    </cfRule>
    <cfRule type="expression" dxfId="2447" priority="3692">
      <formula>AND(T130&lt;&gt;"NA",T130&gt;$T$16)</formula>
    </cfRule>
  </conditionalFormatting>
  <conditionalFormatting sqref="U130">
    <cfRule type="expression" priority="3640" stopIfTrue="1">
      <formula>"ISBLANK($K$185)"</formula>
    </cfRule>
    <cfRule type="expression" dxfId="2446" priority="3683">
      <formula>AND(OR(AW130=0,ISBLANK(U130)),B130&lt;&gt;"")</formula>
    </cfRule>
    <cfRule type="expression" dxfId="2445" priority="3684">
      <formula>AND(U130="NA",NOT(ISTEXT(T130)))</formula>
    </cfRule>
    <cfRule type="expression" dxfId="2444" priority="3685">
      <formula>AND(AW130&gt;5,U130="NA")</formula>
    </cfRule>
    <cfRule type="expression" dxfId="2443" priority="3686">
      <formula>AND(AW130&lt;5,U130="NA")</formula>
    </cfRule>
    <cfRule type="expression" dxfId="2442" priority="3687">
      <formula>AND(U130&lt;&gt;"NA",U130&gt;$U$16)</formula>
    </cfRule>
  </conditionalFormatting>
  <conditionalFormatting sqref="V130">
    <cfRule type="expression" priority="3639" stopIfTrue="1">
      <formula>"ISBLANK($K$185)"</formula>
    </cfRule>
    <cfRule type="expression" dxfId="2441" priority="3678">
      <formula>AND(OR(AW130=0,ISBLANK(V130)),B130&lt;&gt;"")</formula>
    </cfRule>
    <cfRule type="expression" dxfId="2440" priority="3679">
      <formula>AND(V130="NA",NOT(ISTEXT(W130)))</formula>
    </cfRule>
    <cfRule type="expression" dxfId="2439" priority="3680">
      <formula>AND(AW130&gt;5,V130="NA")</formula>
    </cfRule>
    <cfRule type="expression" dxfId="2438" priority="3681">
      <formula>AND(AW130&lt;5,V130="NA")</formula>
    </cfRule>
    <cfRule type="expression" dxfId="2437" priority="3682">
      <formula>AND(V130&lt;&gt;"NA",V130&gt;$V$16)</formula>
    </cfRule>
  </conditionalFormatting>
  <conditionalFormatting sqref="W130">
    <cfRule type="expression" priority="3638" stopIfTrue="1">
      <formula>"ISBLANK($K$185)"</formula>
    </cfRule>
    <cfRule type="expression" dxfId="2436" priority="3673">
      <formula>AND(OR(AW130=0,ISBLANK(W130)),B130&lt;&gt;"")</formula>
    </cfRule>
    <cfRule type="expression" dxfId="2435" priority="3674">
      <formula>AND(W130="NA",NOT(ISTEXT(V130)))</formula>
    </cfRule>
    <cfRule type="expression" dxfId="2434" priority="3675">
      <formula>AND(AW130&gt;5,W130="NA")</formula>
    </cfRule>
    <cfRule type="expression" dxfId="2433" priority="3676">
      <formula>AND(AW130&lt;5,W130="NA")</formula>
    </cfRule>
    <cfRule type="expression" dxfId="2432" priority="3677">
      <formula>AND(W130&lt;&gt;"NA",W130&gt;$W$16)</formula>
    </cfRule>
  </conditionalFormatting>
  <conditionalFormatting sqref="X130">
    <cfRule type="expression" priority="3637" stopIfTrue="1">
      <formula>"ISBLANK($K$185)"</formula>
    </cfRule>
    <cfRule type="expression" dxfId="2431" priority="3668">
      <formula>AND(OR(AW130=0,ISBLANK(X130)),B130&lt;&gt;"")</formula>
    </cfRule>
    <cfRule type="expression" dxfId="2430" priority="3669">
      <formula>AND(X130="NA",NOT(ISTEXT(Y130)))</formula>
    </cfRule>
    <cfRule type="expression" dxfId="2429" priority="3670">
      <formula>AND(AW130&gt;5,X130="NA")</formula>
    </cfRule>
    <cfRule type="expression" dxfId="2428" priority="3671">
      <formula>AND(AW130&lt;5,X130="NA")</formula>
    </cfRule>
    <cfRule type="expression" dxfId="2427" priority="3672">
      <formula>AND(X130&lt;&gt;"NA",X130&gt;$Y$16)</formula>
    </cfRule>
  </conditionalFormatting>
  <conditionalFormatting sqref="Y130">
    <cfRule type="expression" priority="3636" stopIfTrue="1">
      <formula>"ISBLANK($K$185)"</formula>
    </cfRule>
    <cfRule type="expression" dxfId="2426" priority="3663">
      <formula>AND(OR(AW130=0,ISBLANK(Y130)),B130&lt;&gt;"")</formula>
    </cfRule>
    <cfRule type="expression" dxfId="2425" priority="3664">
      <formula>AND(Y130="NA",NOT(ISTEXT(X130)))</formula>
    </cfRule>
    <cfRule type="expression" dxfId="2424" priority="3665">
      <formula>AND(AW130&gt;5,Y130="NA")</formula>
    </cfRule>
    <cfRule type="expression" dxfId="2423" priority="3666">
      <formula>AND(AW130&lt;5,Y130="NA")</formula>
    </cfRule>
    <cfRule type="expression" dxfId="2422" priority="3667">
      <formula>AND(Y130&lt;&gt;"NA",Y130&gt;$Y$16)</formula>
    </cfRule>
  </conditionalFormatting>
  <conditionalFormatting sqref="N130">
    <cfRule type="expression" priority="3647" stopIfTrue="1">
      <formula>"ISBLANK($K$185)"</formula>
    </cfRule>
    <cfRule type="expression" dxfId="2421" priority="3718">
      <formula>AND(OR(AW130=0,ISBLANK(N130)),B130&lt;&gt;"")</formula>
    </cfRule>
    <cfRule type="expression" dxfId="2420" priority="3719">
      <formula>AND(N130="NA",NOT(ISTEXT(O130)))</formula>
    </cfRule>
    <cfRule type="expression" dxfId="2419" priority="3720">
      <formula>AND(AW130&gt;5,N130="NA")</formula>
    </cfRule>
    <cfRule type="expression" dxfId="2418" priority="3721">
      <formula>AND(AW130&lt;5,N130="NA")</formula>
    </cfRule>
    <cfRule type="expression" dxfId="2417" priority="3722">
      <formula>AND(N130&lt;&gt;"NA",N130&gt;$N$16)</formula>
    </cfRule>
  </conditionalFormatting>
  <conditionalFormatting sqref="O131">
    <cfRule type="expression" priority="3555" stopIfTrue="1">
      <formula>"ISBLANK($K$185)"</formula>
    </cfRule>
    <cfRule type="expression" dxfId="2416" priority="3622">
      <formula>AND(OR(AW131=0,ISBLANK(O131)),B131&lt;&gt;"")</formula>
    </cfRule>
    <cfRule type="expression" dxfId="2415" priority="3623">
      <formula>AND(O131="NA",NOT(ISTEXT(N131)))</formula>
    </cfRule>
    <cfRule type="expression" dxfId="2414" priority="3624">
      <formula>AND(AW131&gt;5,O131="NA")</formula>
    </cfRule>
    <cfRule type="expression" dxfId="2413" priority="3625">
      <formula>AND(AW131&lt;5,O131="NA")</formula>
    </cfRule>
    <cfRule type="expression" dxfId="2412" priority="3626">
      <formula>AND(O131&lt;&gt;"NA",O131&gt;$O$16)</formula>
    </cfRule>
  </conditionalFormatting>
  <conditionalFormatting sqref="P131">
    <cfRule type="expression" priority="3554" stopIfTrue="1">
      <formula>"ISBLANK($K$185)"</formula>
    </cfRule>
    <cfRule type="expression" dxfId="2411" priority="3617">
      <formula>AND(OR(AW131=0,ISBLANK(P131)),B131&lt;&gt;"")</formula>
    </cfRule>
    <cfRule type="expression" dxfId="2410" priority="3618">
      <formula>AND(P131="NA",NOT(ISTEXT(Q131)))</formula>
    </cfRule>
    <cfRule type="expression" dxfId="2409" priority="3619">
      <formula>AND(AW131&gt;5,P131="NA")</formula>
    </cfRule>
    <cfRule type="expression" dxfId="2408" priority="3620">
      <formula>AND(AW131&lt;5,P131="NA")</formula>
    </cfRule>
    <cfRule type="expression" dxfId="2407" priority="3621">
      <formula>AND(P131&lt;&gt;"NA",P131&gt;$P$16)</formula>
    </cfRule>
  </conditionalFormatting>
  <conditionalFormatting sqref="Q131">
    <cfRule type="expression" priority="3553" stopIfTrue="1">
      <formula>"ISBLANK($K$185)"</formula>
    </cfRule>
    <cfRule type="expression" dxfId="2406" priority="3612">
      <formula>AND(OR(AW131=0,ISBLANK(Q131)),B131&lt;&gt;"")</formula>
    </cfRule>
    <cfRule type="expression" dxfId="2405" priority="3613">
      <formula>AND(Q131="NA",NOT(ISTEXT(P131)))</formula>
    </cfRule>
    <cfRule type="expression" dxfId="2404" priority="3614">
      <formula>AND(AW131&gt;5,Q131="NA")</formula>
    </cfRule>
    <cfRule type="expression" dxfId="2403" priority="3615">
      <formula>AND(AW131&lt;5,Q131="NA")</formula>
    </cfRule>
    <cfRule type="expression" dxfId="2402" priority="3616">
      <formula>AND(Q131&lt;&gt;"NA",Q131&gt;$Q$16)</formula>
    </cfRule>
  </conditionalFormatting>
  <conditionalFormatting sqref="R131">
    <cfRule type="expression" priority="3552" stopIfTrue="1">
      <formula>"ISBLANK($K$185)"</formula>
    </cfRule>
    <cfRule type="expression" dxfId="2401" priority="3607">
      <formula>AND(OR(AW131=0,ISBLANK(R131)),B131&lt;&gt;"")</formula>
    </cfRule>
    <cfRule type="expression" dxfId="2400" priority="3608">
      <formula>AND(R131="NA",NOT(ISTEXT(S131)))</formula>
    </cfRule>
    <cfRule type="expression" dxfId="2399" priority="3609">
      <formula>AND(AW131&gt;5,R131="NA")</formula>
    </cfRule>
    <cfRule type="expression" dxfId="2398" priority="3610">
      <formula>AND(AW131&lt;5,R131="NA")</formula>
    </cfRule>
    <cfRule type="expression" dxfId="2397" priority="3611">
      <formula>AND(R131&lt;&gt;"NA",R131&gt;$R$16)</formula>
    </cfRule>
  </conditionalFormatting>
  <conditionalFormatting sqref="S131">
    <cfRule type="expression" priority="3551" stopIfTrue="1">
      <formula>"ISBLANK($K$185)"</formula>
    </cfRule>
    <cfRule type="expression" dxfId="2396" priority="3602">
      <formula>AND(OR(AW131=0,ISBLANK(S131)),B131&lt;&gt;"")</formula>
    </cfRule>
    <cfRule type="expression" dxfId="2395" priority="3603">
      <formula>AND(S131="NA",NOT(ISTEXT(R131)))</formula>
    </cfRule>
    <cfRule type="expression" dxfId="2394" priority="3604">
      <formula>AND(AW131&gt;5,S131="NA")</formula>
    </cfRule>
    <cfRule type="expression" dxfId="2393" priority="3605">
      <formula>AND(AW131&lt;5,S131="NA")</formula>
    </cfRule>
    <cfRule type="expression" dxfId="2392" priority="3606">
      <formula>AND(S131&lt;&gt;"NA",S131&gt;$S$16)</formula>
    </cfRule>
  </conditionalFormatting>
  <conditionalFormatting sqref="T131">
    <cfRule type="expression" priority="3550" stopIfTrue="1">
      <formula>"ISBLANK($K$185)"</formula>
    </cfRule>
    <cfRule type="expression" dxfId="2391" priority="3597">
      <formula>AND(OR(AW131=0,ISBLANK(T131)),B131&lt;&gt;"")</formula>
    </cfRule>
    <cfRule type="expression" dxfId="2390" priority="3598">
      <formula>AND(T131="NA",NOT(ISTEXT(U131)))</formula>
    </cfRule>
    <cfRule type="expression" dxfId="2389" priority="3599">
      <formula>AND(AW131&gt;5,T131="NA")</formula>
    </cfRule>
    <cfRule type="expression" dxfId="2388" priority="3600">
      <formula>AND(AW131&lt;5,T131="NA")</formula>
    </cfRule>
    <cfRule type="expression" dxfId="2387" priority="3601">
      <formula>AND(T131&lt;&gt;"NA",T131&gt;$T$16)</formula>
    </cfRule>
  </conditionalFormatting>
  <conditionalFormatting sqref="U131">
    <cfRule type="expression" priority="3549" stopIfTrue="1">
      <formula>"ISBLANK($K$185)"</formula>
    </cfRule>
    <cfRule type="expression" dxfId="2386" priority="3592">
      <formula>AND(OR(AW131=0,ISBLANK(U131)),B131&lt;&gt;"")</formula>
    </cfRule>
    <cfRule type="expression" dxfId="2385" priority="3593">
      <formula>AND(U131="NA",NOT(ISTEXT(T131)))</formula>
    </cfRule>
    <cfRule type="expression" dxfId="2384" priority="3594">
      <formula>AND(AW131&gt;5,U131="NA")</formula>
    </cfRule>
    <cfRule type="expression" dxfId="2383" priority="3595">
      <formula>AND(AW131&lt;5,U131="NA")</formula>
    </cfRule>
    <cfRule type="expression" dxfId="2382" priority="3596">
      <formula>AND(U131&lt;&gt;"NA",U131&gt;$U$16)</formula>
    </cfRule>
  </conditionalFormatting>
  <conditionalFormatting sqref="V131">
    <cfRule type="expression" priority="3548" stopIfTrue="1">
      <formula>"ISBLANK($K$185)"</formula>
    </cfRule>
    <cfRule type="expression" dxfId="2381" priority="3587">
      <formula>AND(OR(AW131=0,ISBLANK(V131)),B131&lt;&gt;"")</formula>
    </cfRule>
    <cfRule type="expression" dxfId="2380" priority="3588">
      <formula>AND(V131="NA",NOT(ISTEXT(W131)))</formula>
    </cfRule>
    <cfRule type="expression" dxfId="2379" priority="3589">
      <formula>AND(AW131&gt;5,V131="NA")</formula>
    </cfRule>
    <cfRule type="expression" dxfId="2378" priority="3590">
      <formula>AND(AW131&lt;5,V131="NA")</formula>
    </cfRule>
    <cfRule type="expression" dxfId="2377" priority="3591">
      <formula>AND(V131&lt;&gt;"NA",V131&gt;$V$16)</formula>
    </cfRule>
  </conditionalFormatting>
  <conditionalFormatting sqref="W131">
    <cfRule type="expression" priority="3547" stopIfTrue="1">
      <formula>"ISBLANK($K$185)"</formula>
    </cfRule>
    <cfRule type="expression" dxfId="2376" priority="3582">
      <formula>AND(OR(AW131=0,ISBLANK(W131)),B131&lt;&gt;"")</formula>
    </cfRule>
    <cfRule type="expression" dxfId="2375" priority="3583">
      <formula>AND(W131="NA",NOT(ISTEXT(V131)))</formula>
    </cfRule>
    <cfRule type="expression" dxfId="2374" priority="3584">
      <formula>AND(AW131&gt;5,W131="NA")</formula>
    </cfRule>
    <cfRule type="expression" dxfId="2373" priority="3585">
      <formula>AND(AW131&lt;5,W131="NA")</formula>
    </cfRule>
    <cfRule type="expression" dxfId="2372" priority="3586">
      <formula>AND(W131&lt;&gt;"NA",W131&gt;$W$16)</formula>
    </cfRule>
  </conditionalFormatting>
  <conditionalFormatting sqref="X131">
    <cfRule type="expression" priority="3546" stopIfTrue="1">
      <formula>"ISBLANK($K$185)"</formula>
    </cfRule>
    <cfRule type="expression" dxfId="2371" priority="3577">
      <formula>AND(OR(AW131=0,ISBLANK(X131)),B131&lt;&gt;"")</formula>
    </cfRule>
    <cfRule type="expression" dxfId="2370" priority="3578">
      <formula>AND(X131="NA",NOT(ISTEXT(Y131)))</formula>
    </cfRule>
    <cfRule type="expression" dxfId="2369" priority="3579">
      <formula>AND(AW131&gt;5,X131="NA")</formula>
    </cfRule>
    <cfRule type="expression" dxfId="2368" priority="3580">
      <formula>AND(AW131&lt;5,X131="NA")</formula>
    </cfRule>
    <cfRule type="expression" dxfId="2367" priority="3581">
      <formula>AND(X131&lt;&gt;"NA",X131&gt;$Y$16)</formula>
    </cfRule>
  </conditionalFormatting>
  <conditionalFormatting sqref="Y131">
    <cfRule type="expression" priority="3545" stopIfTrue="1">
      <formula>"ISBLANK($K$185)"</formula>
    </cfRule>
    <cfRule type="expression" dxfId="2366" priority="3572">
      <formula>AND(OR(AW131=0,ISBLANK(Y131)),B131&lt;&gt;"")</formula>
    </cfRule>
    <cfRule type="expression" dxfId="2365" priority="3573">
      <formula>AND(Y131="NA",NOT(ISTEXT(X131)))</formula>
    </cfRule>
    <cfRule type="expression" dxfId="2364" priority="3574">
      <formula>AND(AW131&gt;5,Y131="NA")</formula>
    </cfRule>
    <cfRule type="expression" dxfId="2363" priority="3575">
      <formula>AND(AW131&lt;5,Y131="NA")</formula>
    </cfRule>
    <cfRule type="expression" dxfId="2362" priority="3576">
      <formula>AND(Y131&lt;&gt;"NA",Y131&gt;$Y$16)</formula>
    </cfRule>
  </conditionalFormatting>
  <conditionalFormatting sqref="N131">
    <cfRule type="expression" priority="3556" stopIfTrue="1">
      <formula>"ISBLANK($K$185)"</formula>
    </cfRule>
    <cfRule type="expression" dxfId="2361" priority="3627">
      <formula>AND(OR(AW131=0,ISBLANK(N131)),B131&lt;&gt;"")</formula>
    </cfRule>
    <cfRule type="expression" dxfId="2360" priority="3628">
      <formula>AND(N131="NA",NOT(ISTEXT(O131)))</formula>
    </cfRule>
    <cfRule type="expression" dxfId="2359" priority="3629">
      <formula>AND(AW131&gt;5,N131="NA")</formula>
    </cfRule>
    <cfRule type="expression" dxfId="2358" priority="3630">
      <formula>AND(AW131&lt;5,N131="NA")</formula>
    </cfRule>
    <cfRule type="expression" dxfId="2357" priority="3631">
      <formula>AND(N131&lt;&gt;"NA",N131&gt;$N$16)</formula>
    </cfRule>
  </conditionalFormatting>
  <conditionalFormatting sqref="O132">
    <cfRule type="expression" priority="3464" stopIfTrue="1">
      <formula>"ISBLANK($K$185)"</formula>
    </cfRule>
    <cfRule type="expression" dxfId="2356" priority="3531">
      <formula>AND(OR(AW132=0,ISBLANK(O132)),B132&lt;&gt;"")</formula>
    </cfRule>
    <cfRule type="expression" dxfId="2355" priority="3532">
      <formula>AND(O132="NA",NOT(ISTEXT(N132)))</formula>
    </cfRule>
    <cfRule type="expression" dxfId="2354" priority="3533">
      <formula>AND(AW132&gt;5,O132="NA")</formula>
    </cfRule>
    <cfRule type="expression" dxfId="2353" priority="3534">
      <formula>AND(AW132&lt;5,O132="NA")</formula>
    </cfRule>
    <cfRule type="expression" dxfId="2352" priority="3535">
      <formula>AND(O132&lt;&gt;"NA",O132&gt;$O$16)</formula>
    </cfRule>
  </conditionalFormatting>
  <conditionalFormatting sqref="P132">
    <cfRule type="expression" priority="3463" stopIfTrue="1">
      <formula>"ISBLANK($K$185)"</formula>
    </cfRule>
    <cfRule type="expression" dxfId="2351" priority="3526">
      <formula>AND(OR(AW132=0,ISBLANK(P132)),B132&lt;&gt;"")</formula>
    </cfRule>
    <cfRule type="expression" dxfId="2350" priority="3527">
      <formula>AND(P132="NA",NOT(ISTEXT(Q132)))</formula>
    </cfRule>
    <cfRule type="expression" dxfId="2349" priority="3528">
      <formula>AND(AW132&gt;5,P132="NA")</formula>
    </cfRule>
    <cfRule type="expression" dxfId="2348" priority="3529">
      <formula>AND(AW132&lt;5,P132="NA")</formula>
    </cfRule>
    <cfRule type="expression" dxfId="2347" priority="3530">
      <formula>AND(P132&lt;&gt;"NA",P132&gt;$P$16)</formula>
    </cfRule>
  </conditionalFormatting>
  <conditionalFormatting sqref="Q132">
    <cfRule type="expression" priority="3462" stopIfTrue="1">
      <formula>"ISBLANK($K$185)"</formula>
    </cfRule>
    <cfRule type="expression" dxfId="2346" priority="3521">
      <formula>AND(OR(AW132=0,ISBLANK(Q132)),B132&lt;&gt;"")</formula>
    </cfRule>
    <cfRule type="expression" dxfId="2345" priority="3522">
      <formula>AND(Q132="NA",NOT(ISTEXT(P132)))</formula>
    </cfRule>
    <cfRule type="expression" dxfId="2344" priority="3523">
      <formula>AND(AW132&gt;5,Q132="NA")</formula>
    </cfRule>
    <cfRule type="expression" dxfId="2343" priority="3524">
      <formula>AND(AW132&lt;5,Q132="NA")</formula>
    </cfRule>
    <cfRule type="expression" dxfId="2342" priority="3525">
      <formula>AND(Q132&lt;&gt;"NA",Q132&gt;$Q$16)</formula>
    </cfRule>
  </conditionalFormatting>
  <conditionalFormatting sqref="R132">
    <cfRule type="expression" priority="3461" stopIfTrue="1">
      <formula>"ISBLANK($K$185)"</formula>
    </cfRule>
    <cfRule type="expression" dxfId="2341" priority="3516">
      <formula>AND(OR(AW132=0,ISBLANK(R132)),B132&lt;&gt;"")</formula>
    </cfRule>
    <cfRule type="expression" dxfId="2340" priority="3517">
      <formula>AND(R132="NA",NOT(ISTEXT(S132)))</formula>
    </cfRule>
    <cfRule type="expression" dxfId="2339" priority="3518">
      <formula>AND(AW132&gt;5,R132="NA")</formula>
    </cfRule>
    <cfRule type="expression" dxfId="2338" priority="3519">
      <formula>AND(AW132&lt;5,R132="NA")</formula>
    </cfRule>
    <cfRule type="expression" dxfId="2337" priority="3520">
      <formula>AND(R132&lt;&gt;"NA",R132&gt;$R$16)</formula>
    </cfRule>
  </conditionalFormatting>
  <conditionalFormatting sqref="S132">
    <cfRule type="expression" priority="3460" stopIfTrue="1">
      <formula>"ISBLANK($K$185)"</formula>
    </cfRule>
    <cfRule type="expression" dxfId="2336" priority="3511">
      <formula>AND(OR(AW132=0,ISBLANK(S132)),B132&lt;&gt;"")</formula>
    </cfRule>
    <cfRule type="expression" dxfId="2335" priority="3512">
      <formula>AND(S132="NA",NOT(ISTEXT(R132)))</formula>
    </cfRule>
    <cfRule type="expression" dxfId="2334" priority="3513">
      <formula>AND(AW132&gt;5,S132="NA")</formula>
    </cfRule>
    <cfRule type="expression" dxfId="2333" priority="3514">
      <formula>AND(AW132&lt;5,S132="NA")</formula>
    </cfRule>
    <cfRule type="expression" dxfId="2332" priority="3515">
      <formula>AND(S132&lt;&gt;"NA",S132&gt;$S$16)</formula>
    </cfRule>
  </conditionalFormatting>
  <conditionalFormatting sqref="T132">
    <cfRule type="expression" priority="3459" stopIfTrue="1">
      <formula>"ISBLANK($K$185)"</formula>
    </cfRule>
    <cfRule type="expression" dxfId="2331" priority="3506">
      <formula>AND(OR(AW132=0,ISBLANK(T132)),B132&lt;&gt;"")</formula>
    </cfRule>
    <cfRule type="expression" dxfId="2330" priority="3507">
      <formula>AND(T132="NA",NOT(ISTEXT(U132)))</formula>
    </cfRule>
    <cfRule type="expression" dxfId="2329" priority="3508">
      <formula>AND(AW132&gt;5,T132="NA")</formula>
    </cfRule>
    <cfRule type="expression" dxfId="2328" priority="3509">
      <formula>AND(AW132&lt;5,T132="NA")</formula>
    </cfRule>
    <cfRule type="expression" dxfId="2327" priority="3510">
      <formula>AND(T132&lt;&gt;"NA",T132&gt;$T$16)</formula>
    </cfRule>
  </conditionalFormatting>
  <conditionalFormatting sqref="U132">
    <cfRule type="expression" priority="3458" stopIfTrue="1">
      <formula>"ISBLANK($K$185)"</formula>
    </cfRule>
    <cfRule type="expression" dxfId="2326" priority="3501">
      <formula>AND(OR(AW132=0,ISBLANK(U132)),B132&lt;&gt;"")</formula>
    </cfRule>
    <cfRule type="expression" dxfId="2325" priority="3502">
      <formula>AND(U132="NA",NOT(ISTEXT(T132)))</formula>
    </cfRule>
    <cfRule type="expression" dxfId="2324" priority="3503">
      <formula>AND(AW132&gt;5,U132="NA")</formula>
    </cfRule>
    <cfRule type="expression" dxfId="2323" priority="3504">
      <formula>AND(AW132&lt;5,U132="NA")</formula>
    </cfRule>
    <cfRule type="expression" dxfId="2322" priority="3505">
      <formula>AND(U132&lt;&gt;"NA",U132&gt;$U$16)</formula>
    </cfRule>
  </conditionalFormatting>
  <conditionalFormatting sqref="V132">
    <cfRule type="expression" priority="3457" stopIfTrue="1">
      <formula>"ISBLANK($K$185)"</formula>
    </cfRule>
    <cfRule type="expression" dxfId="2321" priority="3496">
      <formula>AND(OR(AW132=0,ISBLANK(V132)),B132&lt;&gt;"")</formula>
    </cfRule>
    <cfRule type="expression" dxfId="2320" priority="3497">
      <formula>AND(V132="NA",NOT(ISTEXT(W132)))</formula>
    </cfRule>
    <cfRule type="expression" dxfId="2319" priority="3498">
      <formula>AND(AW132&gt;5,V132="NA")</formula>
    </cfRule>
    <cfRule type="expression" dxfId="2318" priority="3499">
      <formula>AND(AW132&lt;5,V132="NA")</formula>
    </cfRule>
    <cfRule type="expression" dxfId="2317" priority="3500">
      <formula>AND(V132&lt;&gt;"NA",V132&gt;$V$16)</formula>
    </cfRule>
  </conditionalFormatting>
  <conditionalFormatting sqref="W132">
    <cfRule type="expression" priority="3456" stopIfTrue="1">
      <formula>"ISBLANK($K$185)"</formula>
    </cfRule>
    <cfRule type="expression" dxfId="2316" priority="3491">
      <formula>AND(OR(AW132=0,ISBLANK(W132)),B132&lt;&gt;"")</formula>
    </cfRule>
    <cfRule type="expression" dxfId="2315" priority="3492">
      <formula>AND(W132="NA",NOT(ISTEXT(V132)))</formula>
    </cfRule>
    <cfRule type="expression" dxfId="2314" priority="3493">
      <formula>AND(AW132&gt;5,W132="NA")</formula>
    </cfRule>
    <cfRule type="expression" dxfId="2313" priority="3494">
      <formula>AND(AW132&lt;5,W132="NA")</formula>
    </cfRule>
    <cfRule type="expression" dxfId="2312" priority="3495">
      <formula>AND(W132&lt;&gt;"NA",W132&gt;$W$16)</formula>
    </cfRule>
  </conditionalFormatting>
  <conditionalFormatting sqref="X132">
    <cfRule type="expression" priority="3455" stopIfTrue="1">
      <formula>"ISBLANK($K$185)"</formula>
    </cfRule>
    <cfRule type="expression" dxfId="2311" priority="3486">
      <formula>AND(OR(AW132=0,ISBLANK(X132)),B132&lt;&gt;"")</formula>
    </cfRule>
    <cfRule type="expression" dxfId="2310" priority="3487">
      <formula>AND(X132="NA",NOT(ISTEXT(Y132)))</formula>
    </cfRule>
    <cfRule type="expression" dxfId="2309" priority="3488">
      <formula>AND(AW132&gt;5,X132="NA")</formula>
    </cfRule>
    <cfRule type="expression" dxfId="2308" priority="3489">
      <formula>AND(AW132&lt;5,X132="NA")</formula>
    </cfRule>
    <cfRule type="expression" dxfId="2307" priority="3490">
      <formula>AND(X132&lt;&gt;"NA",X132&gt;$Y$16)</formula>
    </cfRule>
  </conditionalFormatting>
  <conditionalFormatting sqref="Y132">
    <cfRule type="expression" priority="3454" stopIfTrue="1">
      <formula>"ISBLANK($K$185)"</formula>
    </cfRule>
    <cfRule type="expression" dxfId="2306" priority="3481">
      <formula>AND(OR(AW132=0,ISBLANK(Y132)),B132&lt;&gt;"")</formula>
    </cfRule>
    <cfRule type="expression" dxfId="2305" priority="3482">
      <formula>AND(Y132="NA",NOT(ISTEXT(X132)))</formula>
    </cfRule>
    <cfRule type="expression" dxfId="2304" priority="3483">
      <formula>AND(AW132&gt;5,Y132="NA")</formula>
    </cfRule>
    <cfRule type="expression" dxfId="2303" priority="3484">
      <formula>AND(AW132&lt;5,Y132="NA")</formula>
    </cfRule>
    <cfRule type="expression" dxfId="2302" priority="3485">
      <formula>AND(Y132&lt;&gt;"NA",Y132&gt;$Y$16)</formula>
    </cfRule>
  </conditionalFormatting>
  <conditionalFormatting sqref="N132">
    <cfRule type="expression" priority="3465" stopIfTrue="1">
      <formula>"ISBLANK($K$185)"</formula>
    </cfRule>
    <cfRule type="expression" dxfId="2301" priority="3536">
      <formula>AND(OR(AW132=0,ISBLANK(N132)),B132&lt;&gt;"")</formula>
    </cfRule>
    <cfRule type="expression" dxfId="2300" priority="3537">
      <formula>AND(N132="NA",NOT(ISTEXT(O132)))</formula>
    </cfRule>
    <cfRule type="expression" dxfId="2299" priority="3538">
      <formula>AND(AW132&gt;5,N132="NA")</formula>
    </cfRule>
    <cfRule type="expression" dxfId="2298" priority="3539">
      <formula>AND(AW132&lt;5,N132="NA")</formula>
    </cfRule>
    <cfRule type="expression" dxfId="2297" priority="3540">
      <formula>AND(N132&lt;&gt;"NA",N132&gt;$N$16)</formula>
    </cfRule>
  </conditionalFormatting>
  <conditionalFormatting sqref="O133">
    <cfRule type="expression" priority="3373" stopIfTrue="1">
      <formula>"ISBLANK($K$185)"</formula>
    </cfRule>
    <cfRule type="expression" dxfId="2296" priority="3440">
      <formula>AND(OR(AW133=0,ISBLANK(O133)),B133&lt;&gt;"")</formula>
    </cfRule>
    <cfRule type="expression" dxfId="2295" priority="3441">
      <formula>AND(O133="NA",NOT(ISTEXT(N133)))</formula>
    </cfRule>
    <cfRule type="expression" dxfId="2294" priority="3442">
      <formula>AND(AW133&gt;5,O133="NA")</formula>
    </cfRule>
    <cfRule type="expression" dxfId="2293" priority="3443">
      <formula>AND(AW133&lt;5,O133="NA")</formula>
    </cfRule>
    <cfRule type="expression" dxfId="2292" priority="3444">
      <formula>AND(O133&lt;&gt;"NA",O133&gt;$O$16)</formula>
    </cfRule>
  </conditionalFormatting>
  <conditionalFormatting sqref="P133">
    <cfRule type="expression" priority="3372" stopIfTrue="1">
      <formula>"ISBLANK($K$185)"</formula>
    </cfRule>
    <cfRule type="expression" dxfId="2291" priority="3435">
      <formula>AND(OR(AW133=0,ISBLANK(P133)),B133&lt;&gt;"")</formula>
    </cfRule>
    <cfRule type="expression" dxfId="2290" priority="3436">
      <formula>AND(P133="NA",NOT(ISTEXT(Q133)))</formula>
    </cfRule>
    <cfRule type="expression" dxfId="2289" priority="3437">
      <formula>AND(AW133&gt;5,P133="NA")</formula>
    </cfRule>
    <cfRule type="expression" dxfId="2288" priority="3438">
      <formula>AND(AW133&lt;5,P133="NA")</formula>
    </cfRule>
    <cfRule type="expression" dxfId="2287" priority="3439">
      <formula>AND(P133&lt;&gt;"NA",P133&gt;$P$16)</formula>
    </cfRule>
  </conditionalFormatting>
  <conditionalFormatting sqref="Q133">
    <cfRule type="expression" priority="3371" stopIfTrue="1">
      <formula>"ISBLANK($K$185)"</formula>
    </cfRule>
    <cfRule type="expression" dxfId="2286" priority="3430">
      <formula>AND(OR(AW133=0,ISBLANK(Q133)),B133&lt;&gt;"")</formula>
    </cfRule>
    <cfRule type="expression" dxfId="2285" priority="3431">
      <formula>AND(Q133="NA",NOT(ISTEXT(P133)))</formula>
    </cfRule>
    <cfRule type="expression" dxfId="2284" priority="3432">
      <formula>AND(AW133&gt;5,Q133="NA")</formula>
    </cfRule>
    <cfRule type="expression" dxfId="2283" priority="3433">
      <formula>AND(AW133&lt;5,Q133="NA")</formula>
    </cfRule>
    <cfRule type="expression" dxfId="2282" priority="3434">
      <formula>AND(Q133&lt;&gt;"NA",Q133&gt;$Q$16)</formula>
    </cfRule>
  </conditionalFormatting>
  <conditionalFormatting sqref="R133">
    <cfRule type="expression" priority="3370" stopIfTrue="1">
      <formula>"ISBLANK($K$185)"</formula>
    </cfRule>
    <cfRule type="expression" dxfId="2281" priority="3425">
      <formula>AND(OR(AW133=0,ISBLANK(R133)),B133&lt;&gt;"")</formula>
    </cfRule>
    <cfRule type="expression" dxfId="2280" priority="3426">
      <formula>AND(R133="NA",NOT(ISTEXT(S133)))</formula>
    </cfRule>
    <cfRule type="expression" dxfId="2279" priority="3427">
      <formula>AND(AW133&gt;5,R133="NA")</formula>
    </cfRule>
    <cfRule type="expression" dxfId="2278" priority="3428">
      <formula>AND(AW133&lt;5,R133="NA")</formula>
    </cfRule>
    <cfRule type="expression" dxfId="2277" priority="3429">
      <formula>AND(R133&lt;&gt;"NA",R133&gt;$R$16)</formula>
    </cfRule>
  </conditionalFormatting>
  <conditionalFormatting sqref="S133">
    <cfRule type="expression" priority="3369" stopIfTrue="1">
      <formula>"ISBLANK($K$185)"</formula>
    </cfRule>
    <cfRule type="expression" dxfId="2276" priority="3420">
      <formula>AND(OR(AW133=0,ISBLANK(S133)),B133&lt;&gt;"")</formula>
    </cfRule>
    <cfRule type="expression" dxfId="2275" priority="3421">
      <formula>AND(S133="NA",NOT(ISTEXT(R133)))</formula>
    </cfRule>
    <cfRule type="expression" dxfId="2274" priority="3422">
      <formula>AND(AW133&gt;5,S133="NA")</formula>
    </cfRule>
    <cfRule type="expression" dxfId="2273" priority="3423">
      <formula>AND(AW133&lt;5,S133="NA")</formula>
    </cfRule>
    <cfRule type="expression" dxfId="2272" priority="3424">
      <formula>AND(S133&lt;&gt;"NA",S133&gt;$S$16)</formula>
    </cfRule>
  </conditionalFormatting>
  <conditionalFormatting sqref="T133">
    <cfRule type="expression" priority="3368" stopIfTrue="1">
      <formula>"ISBLANK($K$185)"</formula>
    </cfRule>
    <cfRule type="expression" dxfId="2271" priority="3415">
      <formula>AND(OR(AW133=0,ISBLANK(T133)),B133&lt;&gt;"")</formula>
    </cfRule>
    <cfRule type="expression" dxfId="2270" priority="3416">
      <formula>AND(T133="NA",NOT(ISTEXT(U133)))</formula>
    </cfRule>
    <cfRule type="expression" dxfId="2269" priority="3417">
      <formula>AND(AW133&gt;5,T133="NA")</formula>
    </cfRule>
    <cfRule type="expression" dxfId="2268" priority="3418">
      <formula>AND(AW133&lt;5,T133="NA")</formula>
    </cfRule>
    <cfRule type="expression" dxfId="2267" priority="3419">
      <formula>AND(T133&lt;&gt;"NA",T133&gt;$T$16)</formula>
    </cfRule>
  </conditionalFormatting>
  <conditionalFormatting sqref="U133">
    <cfRule type="expression" priority="3367" stopIfTrue="1">
      <formula>"ISBLANK($K$185)"</formula>
    </cfRule>
    <cfRule type="expression" dxfId="2266" priority="3410">
      <formula>AND(OR(AW133=0,ISBLANK(U133)),B133&lt;&gt;"")</formula>
    </cfRule>
    <cfRule type="expression" dxfId="2265" priority="3411">
      <formula>AND(U133="NA",NOT(ISTEXT(T133)))</formula>
    </cfRule>
    <cfRule type="expression" dxfId="2264" priority="3412">
      <formula>AND(AW133&gt;5,U133="NA")</formula>
    </cfRule>
    <cfRule type="expression" dxfId="2263" priority="3413">
      <formula>AND(AW133&lt;5,U133="NA")</formula>
    </cfRule>
    <cfRule type="expression" dxfId="2262" priority="3414">
      <formula>AND(U133&lt;&gt;"NA",U133&gt;$U$16)</formula>
    </cfRule>
  </conditionalFormatting>
  <conditionalFormatting sqref="V133">
    <cfRule type="expression" priority="3366" stopIfTrue="1">
      <formula>"ISBLANK($K$185)"</formula>
    </cfRule>
    <cfRule type="expression" dxfId="2261" priority="3405">
      <formula>AND(OR(AW133=0,ISBLANK(V133)),B133&lt;&gt;"")</formula>
    </cfRule>
    <cfRule type="expression" dxfId="2260" priority="3406">
      <formula>AND(V133="NA",NOT(ISTEXT(W133)))</formula>
    </cfRule>
    <cfRule type="expression" dxfId="2259" priority="3407">
      <formula>AND(AW133&gt;5,V133="NA")</formula>
    </cfRule>
    <cfRule type="expression" dxfId="2258" priority="3408">
      <formula>AND(AW133&lt;5,V133="NA")</formula>
    </cfRule>
    <cfRule type="expression" dxfId="2257" priority="3409">
      <formula>AND(V133&lt;&gt;"NA",V133&gt;$V$16)</formula>
    </cfRule>
  </conditionalFormatting>
  <conditionalFormatting sqref="W133">
    <cfRule type="expression" priority="3365" stopIfTrue="1">
      <formula>"ISBLANK($K$185)"</formula>
    </cfRule>
    <cfRule type="expression" dxfId="2256" priority="3400">
      <formula>AND(OR(AW133=0,ISBLANK(W133)),B133&lt;&gt;"")</formula>
    </cfRule>
    <cfRule type="expression" dxfId="2255" priority="3401">
      <formula>AND(W133="NA",NOT(ISTEXT(V133)))</formula>
    </cfRule>
    <cfRule type="expression" dxfId="2254" priority="3402">
      <formula>AND(AW133&gt;5,W133="NA")</formula>
    </cfRule>
    <cfRule type="expression" dxfId="2253" priority="3403">
      <formula>AND(AW133&lt;5,W133="NA")</formula>
    </cfRule>
    <cfRule type="expression" dxfId="2252" priority="3404">
      <formula>AND(W133&lt;&gt;"NA",W133&gt;$W$16)</formula>
    </cfRule>
  </conditionalFormatting>
  <conditionalFormatting sqref="X133">
    <cfRule type="expression" priority="3364" stopIfTrue="1">
      <formula>"ISBLANK($K$185)"</formula>
    </cfRule>
    <cfRule type="expression" dxfId="2251" priority="3395">
      <formula>AND(OR(AW133=0,ISBLANK(X133)),B133&lt;&gt;"")</formula>
    </cfRule>
    <cfRule type="expression" dxfId="2250" priority="3396">
      <formula>AND(X133="NA",NOT(ISTEXT(Y133)))</formula>
    </cfRule>
    <cfRule type="expression" dxfId="2249" priority="3397">
      <formula>AND(AW133&gt;5,X133="NA")</formula>
    </cfRule>
    <cfRule type="expression" dxfId="2248" priority="3398">
      <formula>AND(AW133&lt;5,X133="NA")</formula>
    </cfRule>
    <cfRule type="expression" dxfId="2247" priority="3399">
      <formula>AND(X133&lt;&gt;"NA",X133&gt;$Y$16)</formula>
    </cfRule>
  </conditionalFormatting>
  <conditionalFormatting sqref="Y133">
    <cfRule type="expression" priority="3363" stopIfTrue="1">
      <formula>"ISBLANK($K$185)"</formula>
    </cfRule>
    <cfRule type="expression" dxfId="2246" priority="3390">
      <formula>AND(OR(AW133=0,ISBLANK(Y133)),B133&lt;&gt;"")</formula>
    </cfRule>
    <cfRule type="expression" dxfId="2245" priority="3391">
      <formula>AND(Y133="NA",NOT(ISTEXT(X133)))</formula>
    </cfRule>
    <cfRule type="expression" dxfId="2244" priority="3392">
      <formula>AND(AW133&gt;5,Y133="NA")</formula>
    </cfRule>
    <cfRule type="expression" dxfId="2243" priority="3393">
      <formula>AND(AW133&lt;5,Y133="NA")</formula>
    </cfRule>
    <cfRule type="expression" dxfId="2242" priority="3394">
      <formula>AND(Y133&lt;&gt;"NA",Y133&gt;$Y$16)</formula>
    </cfRule>
  </conditionalFormatting>
  <conditionalFormatting sqref="N133">
    <cfRule type="expression" priority="3374" stopIfTrue="1">
      <formula>"ISBLANK($K$185)"</formula>
    </cfRule>
    <cfRule type="expression" dxfId="2241" priority="3445">
      <formula>AND(OR(AW133=0,ISBLANK(N133)),B133&lt;&gt;"")</formula>
    </cfRule>
    <cfRule type="expression" dxfId="2240" priority="3446">
      <formula>AND(N133="NA",NOT(ISTEXT(O133)))</formula>
    </cfRule>
    <cfRule type="expression" dxfId="2239" priority="3447">
      <formula>AND(AW133&gt;5,N133="NA")</formula>
    </cfRule>
    <cfRule type="expression" dxfId="2238" priority="3448">
      <formula>AND(AW133&lt;5,N133="NA")</formula>
    </cfRule>
    <cfRule type="expression" dxfId="2237" priority="3449">
      <formula>AND(N133&lt;&gt;"NA",N133&gt;$N$16)</formula>
    </cfRule>
  </conditionalFormatting>
  <conditionalFormatting sqref="O134">
    <cfRule type="expression" priority="3282" stopIfTrue="1">
      <formula>"ISBLANK($K$185)"</formula>
    </cfRule>
    <cfRule type="expression" dxfId="2236" priority="3349">
      <formula>AND(OR(AW134=0,ISBLANK(O134)),B134&lt;&gt;"")</formula>
    </cfRule>
    <cfRule type="expression" dxfId="2235" priority="3350">
      <formula>AND(O134="NA",NOT(ISTEXT(N134)))</formula>
    </cfRule>
    <cfRule type="expression" dxfId="2234" priority="3351">
      <formula>AND(AW134&gt;5,O134="NA")</formula>
    </cfRule>
    <cfRule type="expression" dxfId="2233" priority="3352">
      <formula>AND(AW134&lt;5,O134="NA")</formula>
    </cfRule>
    <cfRule type="expression" dxfId="2232" priority="3353">
      <formula>AND(O134&lt;&gt;"NA",O134&gt;$O$16)</formula>
    </cfRule>
  </conditionalFormatting>
  <conditionalFormatting sqref="P134">
    <cfRule type="expression" priority="3281" stopIfTrue="1">
      <formula>"ISBLANK($K$185)"</formula>
    </cfRule>
    <cfRule type="expression" dxfId="2231" priority="3344">
      <formula>AND(OR(AW134=0,ISBLANK(P134)),B134&lt;&gt;"")</formula>
    </cfRule>
    <cfRule type="expression" dxfId="2230" priority="3345">
      <formula>AND(P134="NA",NOT(ISTEXT(Q134)))</formula>
    </cfRule>
    <cfRule type="expression" dxfId="2229" priority="3346">
      <formula>AND(AW134&gt;5,P134="NA")</formula>
    </cfRule>
    <cfRule type="expression" dxfId="2228" priority="3347">
      <formula>AND(AW134&lt;5,P134="NA")</formula>
    </cfRule>
    <cfRule type="expression" dxfId="2227" priority="3348">
      <formula>AND(P134&lt;&gt;"NA",P134&gt;$P$16)</formula>
    </cfRule>
  </conditionalFormatting>
  <conditionalFormatting sqref="Q134">
    <cfRule type="expression" priority="3280" stopIfTrue="1">
      <formula>"ISBLANK($K$185)"</formula>
    </cfRule>
    <cfRule type="expression" dxfId="2226" priority="3339">
      <formula>AND(OR(AW134=0,ISBLANK(Q134)),B134&lt;&gt;"")</formula>
    </cfRule>
    <cfRule type="expression" dxfId="2225" priority="3340">
      <formula>AND(Q134="NA",NOT(ISTEXT(P134)))</formula>
    </cfRule>
    <cfRule type="expression" dxfId="2224" priority="3341">
      <formula>AND(AW134&gt;5,Q134="NA")</formula>
    </cfRule>
    <cfRule type="expression" dxfId="2223" priority="3342">
      <formula>AND(AW134&lt;5,Q134="NA")</formula>
    </cfRule>
    <cfRule type="expression" dxfId="2222" priority="3343">
      <formula>AND(Q134&lt;&gt;"NA",Q134&gt;$Q$16)</formula>
    </cfRule>
  </conditionalFormatting>
  <conditionalFormatting sqref="R134">
    <cfRule type="expression" priority="3279" stopIfTrue="1">
      <formula>"ISBLANK($K$185)"</formula>
    </cfRule>
    <cfRule type="expression" dxfId="2221" priority="3334">
      <formula>AND(OR(AW134=0,ISBLANK(R134)),B134&lt;&gt;"")</formula>
    </cfRule>
    <cfRule type="expression" dxfId="2220" priority="3335">
      <formula>AND(R134="NA",NOT(ISTEXT(S134)))</formula>
    </cfRule>
    <cfRule type="expression" dxfId="2219" priority="3336">
      <formula>AND(AW134&gt;5,R134="NA")</formula>
    </cfRule>
    <cfRule type="expression" dxfId="2218" priority="3337">
      <formula>AND(AW134&lt;5,R134="NA")</formula>
    </cfRule>
    <cfRule type="expression" dxfId="2217" priority="3338">
      <formula>AND(R134&lt;&gt;"NA",R134&gt;$R$16)</formula>
    </cfRule>
  </conditionalFormatting>
  <conditionalFormatting sqref="S134">
    <cfRule type="expression" priority="3278" stopIfTrue="1">
      <formula>"ISBLANK($K$185)"</formula>
    </cfRule>
    <cfRule type="expression" dxfId="2216" priority="3329">
      <formula>AND(OR(AW134=0,ISBLANK(S134)),B134&lt;&gt;"")</formula>
    </cfRule>
    <cfRule type="expression" dxfId="2215" priority="3330">
      <formula>AND(S134="NA",NOT(ISTEXT(R134)))</formula>
    </cfRule>
    <cfRule type="expression" dxfId="2214" priority="3331">
      <formula>AND(AW134&gt;5,S134="NA")</formula>
    </cfRule>
    <cfRule type="expression" dxfId="2213" priority="3332">
      <formula>AND(AW134&lt;5,S134="NA")</formula>
    </cfRule>
    <cfRule type="expression" dxfId="2212" priority="3333">
      <formula>AND(S134&lt;&gt;"NA",S134&gt;$S$16)</formula>
    </cfRule>
  </conditionalFormatting>
  <conditionalFormatting sqref="T134">
    <cfRule type="expression" priority="3277" stopIfTrue="1">
      <formula>"ISBLANK($K$185)"</formula>
    </cfRule>
    <cfRule type="expression" dxfId="2211" priority="3324">
      <formula>AND(OR(AW134=0,ISBLANK(T134)),B134&lt;&gt;"")</formula>
    </cfRule>
    <cfRule type="expression" dxfId="2210" priority="3325">
      <formula>AND(T134="NA",NOT(ISTEXT(U134)))</formula>
    </cfRule>
    <cfRule type="expression" dxfId="2209" priority="3326">
      <formula>AND(AW134&gt;5,T134="NA")</formula>
    </cfRule>
    <cfRule type="expression" dxfId="2208" priority="3327">
      <formula>AND(AW134&lt;5,T134="NA")</formula>
    </cfRule>
    <cfRule type="expression" dxfId="2207" priority="3328">
      <formula>AND(T134&lt;&gt;"NA",T134&gt;$T$16)</formula>
    </cfRule>
  </conditionalFormatting>
  <conditionalFormatting sqref="U134">
    <cfRule type="expression" priority="3276" stopIfTrue="1">
      <formula>"ISBLANK($K$185)"</formula>
    </cfRule>
    <cfRule type="expression" dxfId="2206" priority="3319">
      <formula>AND(OR(AW134=0,ISBLANK(U134)),B134&lt;&gt;"")</formula>
    </cfRule>
    <cfRule type="expression" dxfId="2205" priority="3320">
      <formula>AND(U134="NA",NOT(ISTEXT(T134)))</formula>
    </cfRule>
    <cfRule type="expression" dxfId="2204" priority="3321">
      <formula>AND(AW134&gt;5,U134="NA")</formula>
    </cfRule>
    <cfRule type="expression" dxfId="2203" priority="3322">
      <formula>AND(AW134&lt;5,U134="NA")</formula>
    </cfRule>
    <cfRule type="expression" dxfId="2202" priority="3323">
      <formula>AND(U134&lt;&gt;"NA",U134&gt;$U$16)</formula>
    </cfRule>
  </conditionalFormatting>
  <conditionalFormatting sqref="V134">
    <cfRule type="expression" priority="3275" stopIfTrue="1">
      <formula>"ISBLANK($K$185)"</formula>
    </cfRule>
    <cfRule type="expression" dxfId="2201" priority="3314">
      <formula>AND(OR(AW134=0,ISBLANK(V134)),B134&lt;&gt;"")</formula>
    </cfRule>
    <cfRule type="expression" dxfId="2200" priority="3315">
      <formula>AND(V134="NA",NOT(ISTEXT(W134)))</formula>
    </cfRule>
    <cfRule type="expression" dxfId="2199" priority="3316">
      <formula>AND(AW134&gt;5,V134="NA")</formula>
    </cfRule>
    <cfRule type="expression" dxfId="2198" priority="3317">
      <formula>AND(AW134&lt;5,V134="NA")</formula>
    </cfRule>
    <cfRule type="expression" dxfId="2197" priority="3318">
      <formula>AND(V134&lt;&gt;"NA",V134&gt;$V$16)</formula>
    </cfRule>
  </conditionalFormatting>
  <conditionalFormatting sqref="W134">
    <cfRule type="expression" priority="3274" stopIfTrue="1">
      <formula>"ISBLANK($K$185)"</formula>
    </cfRule>
    <cfRule type="expression" dxfId="2196" priority="3309">
      <formula>AND(OR(AW134=0,ISBLANK(W134)),B134&lt;&gt;"")</formula>
    </cfRule>
    <cfRule type="expression" dxfId="2195" priority="3310">
      <formula>AND(W134="NA",NOT(ISTEXT(V134)))</formula>
    </cfRule>
    <cfRule type="expression" dxfId="2194" priority="3311">
      <formula>AND(AW134&gt;5,W134="NA")</formula>
    </cfRule>
    <cfRule type="expression" dxfId="2193" priority="3312">
      <formula>AND(AW134&lt;5,W134="NA")</formula>
    </cfRule>
    <cfRule type="expression" dxfId="2192" priority="3313">
      <formula>AND(W134&lt;&gt;"NA",W134&gt;$W$16)</formula>
    </cfRule>
  </conditionalFormatting>
  <conditionalFormatting sqref="X134">
    <cfRule type="expression" priority="3273" stopIfTrue="1">
      <formula>"ISBLANK($K$185)"</formula>
    </cfRule>
    <cfRule type="expression" dxfId="2191" priority="3304">
      <formula>AND(OR(AW134=0,ISBLANK(X134)),B134&lt;&gt;"")</formula>
    </cfRule>
    <cfRule type="expression" dxfId="2190" priority="3305">
      <formula>AND(X134="NA",NOT(ISTEXT(Y134)))</formula>
    </cfRule>
    <cfRule type="expression" dxfId="2189" priority="3306">
      <formula>AND(AW134&gt;5,X134="NA")</formula>
    </cfRule>
    <cfRule type="expression" dxfId="2188" priority="3307">
      <formula>AND(AW134&lt;5,X134="NA")</formula>
    </cfRule>
    <cfRule type="expression" dxfId="2187" priority="3308">
      <formula>AND(X134&lt;&gt;"NA",X134&gt;$Y$16)</formula>
    </cfRule>
  </conditionalFormatting>
  <conditionalFormatting sqref="Y134">
    <cfRule type="expression" priority="3272" stopIfTrue="1">
      <formula>"ISBLANK($K$185)"</formula>
    </cfRule>
    <cfRule type="expression" dxfId="2186" priority="3299">
      <formula>AND(OR(AW134=0,ISBLANK(Y134)),B134&lt;&gt;"")</formula>
    </cfRule>
    <cfRule type="expression" dxfId="2185" priority="3300">
      <formula>AND(Y134="NA",NOT(ISTEXT(X134)))</formula>
    </cfRule>
    <cfRule type="expression" dxfId="2184" priority="3301">
      <formula>AND(AW134&gt;5,Y134="NA")</formula>
    </cfRule>
    <cfRule type="expression" dxfId="2183" priority="3302">
      <formula>AND(AW134&lt;5,Y134="NA")</formula>
    </cfRule>
    <cfRule type="expression" dxfId="2182" priority="3303">
      <formula>AND(Y134&lt;&gt;"NA",Y134&gt;$Y$16)</formula>
    </cfRule>
  </conditionalFormatting>
  <conditionalFormatting sqref="N134">
    <cfRule type="expression" priority="3283" stopIfTrue="1">
      <formula>"ISBLANK($K$185)"</formula>
    </cfRule>
    <cfRule type="expression" dxfId="2181" priority="3354">
      <formula>AND(OR(AW134=0,ISBLANK(N134)),B134&lt;&gt;"")</formula>
    </cfRule>
    <cfRule type="expression" dxfId="2180" priority="3355">
      <formula>AND(N134="NA",NOT(ISTEXT(O134)))</formula>
    </cfRule>
    <cfRule type="expression" dxfId="2179" priority="3356">
      <formula>AND(AW134&gt;5,N134="NA")</formula>
    </cfRule>
    <cfRule type="expression" dxfId="2178" priority="3357">
      <formula>AND(AW134&lt;5,N134="NA")</formula>
    </cfRule>
    <cfRule type="expression" dxfId="2177" priority="3358">
      <formula>AND(N134&lt;&gt;"NA",N134&gt;$N$16)</formula>
    </cfRule>
  </conditionalFormatting>
  <conditionalFormatting sqref="O135">
    <cfRule type="expression" priority="3191" stopIfTrue="1">
      <formula>"ISBLANK($K$185)"</formula>
    </cfRule>
    <cfRule type="expression" dxfId="2176" priority="3258">
      <formula>AND(OR(AW135=0,ISBLANK(O135)),B135&lt;&gt;"")</formula>
    </cfRule>
    <cfRule type="expression" dxfId="2175" priority="3259">
      <formula>AND(O135="NA",NOT(ISTEXT(N135)))</formula>
    </cfRule>
    <cfRule type="expression" dxfId="2174" priority="3260">
      <formula>AND(AW135&gt;5,O135="NA")</formula>
    </cfRule>
    <cfRule type="expression" dxfId="2173" priority="3261">
      <formula>AND(AW135&lt;5,O135="NA")</formula>
    </cfRule>
    <cfRule type="expression" dxfId="2172" priority="3262">
      <formula>AND(O135&lt;&gt;"NA",O135&gt;$O$16)</formula>
    </cfRule>
  </conditionalFormatting>
  <conditionalFormatting sqref="P135">
    <cfRule type="expression" priority="3190" stopIfTrue="1">
      <formula>"ISBLANK($K$185)"</formula>
    </cfRule>
    <cfRule type="expression" dxfId="2171" priority="3253">
      <formula>AND(OR(AW135=0,ISBLANK(P135)),B135&lt;&gt;"")</formula>
    </cfRule>
    <cfRule type="expression" dxfId="2170" priority="3254">
      <formula>AND(P135="NA",NOT(ISTEXT(Q135)))</formula>
    </cfRule>
    <cfRule type="expression" dxfId="2169" priority="3255">
      <formula>AND(AW135&gt;5,P135="NA")</formula>
    </cfRule>
    <cfRule type="expression" dxfId="2168" priority="3256">
      <formula>AND(AW135&lt;5,P135="NA")</formula>
    </cfRule>
    <cfRule type="expression" dxfId="2167" priority="3257">
      <formula>AND(P135&lt;&gt;"NA",P135&gt;$P$16)</formula>
    </cfRule>
  </conditionalFormatting>
  <conditionalFormatting sqref="Q135">
    <cfRule type="expression" priority="3189" stopIfTrue="1">
      <formula>"ISBLANK($K$185)"</formula>
    </cfRule>
    <cfRule type="expression" dxfId="2166" priority="3248">
      <formula>AND(OR(AW135=0,ISBLANK(Q135)),B135&lt;&gt;"")</formula>
    </cfRule>
    <cfRule type="expression" dxfId="2165" priority="3249">
      <formula>AND(Q135="NA",NOT(ISTEXT(P135)))</formula>
    </cfRule>
    <cfRule type="expression" dxfId="2164" priority="3250">
      <formula>AND(AW135&gt;5,Q135="NA")</formula>
    </cfRule>
    <cfRule type="expression" dxfId="2163" priority="3251">
      <formula>AND(AW135&lt;5,Q135="NA")</formula>
    </cfRule>
    <cfRule type="expression" dxfId="2162" priority="3252">
      <formula>AND(Q135&lt;&gt;"NA",Q135&gt;$Q$16)</formula>
    </cfRule>
  </conditionalFormatting>
  <conditionalFormatting sqref="R135">
    <cfRule type="expression" priority="3188" stopIfTrue="1">
      <formula>"ISBLANK($K$185)"</formula>
    </cfRule>
    <cfRule type="expression" dxfId="2161" priority="3243">
      <formula>AND(OR(AW135=0,ISBLANK(R135)),B135&lt;&gt;"")</formula>
    </cfRule>
    <cfRule type="expression" dxfId="2160" priority="3244">
      <formula>AND(R135="NA",NOT(ISTEXT(S135)))</formula>
    </cfRule>
    <cfRule type="expression" dxfId="2159" priority="3245">
      <formula>AND(AW135&gt;5,R135="NA")</formula>
    </cfRule>
    <cfRule type="expression" dxfId="2158" priority="3246">
      <formula>AND(AW135&lt;5,R135="NA")</formula>
    </cfRule>
    <cfRule type="expression" dxfId="2157" priority="3247">
      <formula>AND(R135&lt;&gt;"NA",R135&gt;$R$16)</formula>
    </cfRule>
  </conditionalFormatting>
  <conditionalFormatting sqref="S135">
    <cfRule type="expression" priority="3187" stopIfTrue="1">
      <formula>"ISBLANK($K$185)"</formula>
    </cfRule>
    <cfRule type="expression" dxfId="2156" priority="3238">
      <formula>AND(OR(AW135=0,ISBLANK(S135)),B135&lt;&gt;"")</formula>
    </cfRule>
    <cfRule type="expression" dxfId="2155" priority="3239">
      <formula>AND(S135="NA",NOT(ISTEXT(R135)))</formula>
    </cfRule>
    <cfRule type="expression" dxfId="2154" priority="3240">
      <formula>AND(AW135&gt;5,S135="NA")</formula>
    </cfRule>
    <cfRule type="expression" dxfId="2153" priority="3241">
      <formula>AND(AW135&lt;5,S135="NA")</formula>
    </cfRule>
    <cfRule type="expression" dxfId="2152" priority="3242">
      <formula>AND(S135&lt;&gt;"NA",S135&gt;$S$16)</formula>
    </cfRule>
  </conditionalFormatting>
  <conditionalFormatting sqref="T135">
    <cfRule type="expression" priority="3186" stopIfTrue="1">
      <formula>"ISBLANK($K$185)"</formula>
    </cfRule>
    <cfRule type="expression" dxfId="2151" priority="3233">
      <formula>AND(OR(AW135=0,ISBLANK(T135)),B135&lt;&gt;"")</formula>
    </cfRule>
    <cfRule type="expression" dxfId="2150" priority="3234">
      <formula>AND(T135="NA",NOT(ISTEXT(U135)))</formula>
    </cfRule>
    <cfRule type="expression" dxfId="2149" priority="3235">
      <formula>AND(AW135&gt;5,T135="NA")</formula>
    </cfRule>
    <cfRule type="expression" dxfId="2148" priority="3236">
      <formula>AND(AW135&lt;5,T135="NA")</formula>
    </cfRule>
    <cfRule type="expression" dxfId="2147" priority="3237">
      <formula>AND(T135&lt;&gt;"NA",T135&gt;$T$16)</formula>
    </cfRule>
  </conditionalFormatting>
  <conditionalFormatting sqref="U135">
    <cfRule type="expression" priority="3185" stopIfTrue="1">
      <formula>"ISBLANK($K$185)"</formula>
    </cfRule>
    <cfRule type="expression" dxfId="2146" priority="3228">
      <formula>AND(OR(AW135=0,ISBLANK(U135)),B135&lt;&gt;"")</formula>
    </cfRule>
    <cfRule type="expression" dxfId="2145" priority="3229">
      <formula>AND(U135="NA",NOT(ISTEXT(T135)))</formula>
    </cfRule>
    <cfRule type="expression" dxfId="2144" priority="3230">
      <formula>AND(AW135&gt;5,U135="NA")</formula>
    </cfRule>
    <cfRule type="expression" dxfId="2143" priority="3231">
      <formula>AND(AW135&lt;5,U135="NA")</formula>
    </cfRule>
    <cfRule type="expression" dxfId="2142" priority="3232">
      <formula>AND(U135&lt;&gt;"NA",U135&gt;$U$16)</formula>
    </cfRule>
  </conditionalFormatting>
  <conditionalFormatting sqref="V135">
    <cfRule type="expression" priority="3184" stopIfTrue="1">
      <formula>"ISBLANK($K$185)"</formula>
    </cfRule>
    <cfRule type="expression" dxfId="2141" priority="3223">
      <formula>AND(OR(AW135=0,ISBLANK(V135)),B135&lt;&gt;"")</formula>
    </cfRule>
    <cfRule type="expression" dxfId="2140" priority="3224">
      <formula>AND(V135="NA",NOT(ISTEXT(W135)))</formula>
    </cfRule>
    <cfRule type="expression" dxfId="2139" priority="3225">
      <formula>AND(AW135&gt;5,V135="NA")</formula>
    </cfRule>
    <cfRule type="expression" dxfId="2138" priority="3226">
      <formula>AND(AW135&lt;5,V135="NA")</formula>
    </cfRule>
    <cfRule type="expression" dxfId="2137" priority="3227">
      <formula>AND(V135&lt;&gt;"NA",V135&gt;$V$16)</formula>
    </cfRule>
  </conditionalFormatting>
  <conditionalFormatting sqref="W135">
    <cfRule type="expression" priority="3183" stopIfTrue="1">
      <formula>"ISBLANK($K$185)"</formula>
    </cfRule>
    <cfRule type="expression" dxfId="2136" priority="3218">
      <formula>AND(OR(AW135=0,ISBLANK(W135)),B135&lt;&gt;"")</formula>
    </cfRule>
    <cfRule type="expression" dxfId="2135" priority="3219">
      <formula>AND(W135="NA",NOT(ISTEXT(V135)))</formula>
    </cfRule>
    <cfRule type="expression" dxfId="2134" priority="3220">
      <formula>AND(AW135&gt;5,W135="NA")</formula>
    </cfRule>
    <cfRule type="expression" dxfId="2133" priority="3221">
      <formula>AND(AW135&lt;5,W135="NA")</formula>
    </cfRule>
    <cfRule type="expression" dxfId="2132" priority="3222">
      <formula>AND(W135&lt;&gt;"NA",W135&gt;$W$16)</formula>
    </cfRule>
  </conditionalFormatting>
  <conditionalFormatting sqref="X135">
    <cfRule type="expression" priority="3182" stopIfTrue="1">
      <formula>"ISBLANK($K$185)"</formula>
    </cfRule>
    <cfRule type="expression" dxfId="2131" priority="3213">
      <formula>AND(OR(AW135=0,ISBLANK(X135)),B135&lt;&gt;"")</formula>
    </cfRule>
    <cfRule type="expression" dxfId="2130" priority="3214">
      <formula>AND(X135="NA",NOT(ISTEXT(Y135)))</formula>
    </cfRule>
    <cfRule type="expression" dxfId="2129" priority="3215">
      <formula>AND(AW135&gt;5,X135="NA")</formula>
    </cfRule>
    <cfRule type="expression" dxfId="2128" priority="3216">
      <formula>AND(AW135&lt;5,X135="NA")</formula>
    </cfRule>
    <cfRule type="expression" dxfId="2127" priority="3217">
      <formula>AND(X135&lt;&gt;"NA",X135&gt;$Y$16)</formula>
    </cfRule>
  </conditionalFormatting>
  <conditionalFormatting sqref="Y135">
    <cfRule type="expression" priority="3181" stopIfTrue="1">
      <formula>"ISBLANK($K$185)"</formula>
    </cfRule>
    <cfRule type="expression" dxfId="2126" priority="3208">
      <formula>AND(OR(AW135=0,ISBLANK(Y135)),B135&lt;&gt;"")</formula>
    </cfRule>
    <cfRule type="expression" dxfId="2125" priority="3209">
      <formula>AND(Y135="NA",NOT(ISTEXT(X135)))</formula>
    </cfRule>
    <cfRule type="expression" dxfId="2124" priority="3210">
      <formula>AND(AW135&gt;5,Y135="NA")</formula>
    </cfRule>
    <cfRule type="expression" dxfId="2123" priority="3211">
      <formula>AND(AW135&lt;5,Y135="NA")</formula>
    </cfRule>
    <cfRule type="expression" dxfId="2122" priority="3212">
      <formula>AND(Y135&lt;&gt;"NA",Y135&gt;$Y$16)</formula>
    </cfRule>
  </conditionalFormatting>
  <conditionalFormatting sqref="N135">
    <cfRule type="expression" priority="3192" stopIfTrue="1">
      <formula>"ISBLANK($K$185)"</formula>
    </cfRule>
    <cfRule type="expression" dxfId="2121" priority="3263">
      <formula>AND(OR(AW135=0,ISBLANK(N135)),B135&lt;&gt;"")</formula>
    </cfRule>
    <cfRule type="expression" dxfId="2120" priority="3264">
      <formula>AND(N135="NA",NOT(ISTEXT(O135)))</formula>
    </cfRule>
    <cfRule type="expression" dxfId="2119" priority="3265">
      <formula>AND(AW135&gt;5,N135="NA")</formula>
    </cfRule>
    <cfRule type="expression" dxfId="2118" priority="3266">
      <formula>AND(AW135&lt;5,N135="NA")</formula>
    </cfRule>
    <cfRule type="expression" dxfId="2117" priority="3267">
      <formula>AND(N135&lt;&gt;"NA",N135&gt;$N$16)</formula>
    </cfRule>
  </conditionalFormatting>
  <conditionalFormatting sqref="O136">
    <cfRule type="expression" priority="3100" stopIfTrue="1">
      <formula>"ISBLANK($K$185)"</formula>
    </cfRule>
    <cfRule type="expression" dxfId="2116" priority="3167">
      <formula>AND(OR(AW136=0,ISBLANK(O136)),B136&lt;&gt;"")</formula>
    </cfRule>
    <cfRule type="expression" dxfId="2115" priority="3168">
      <formula>AND(O136="NA",NOT(ISTEXT(N136)))</formula>
    </cfRule>
    <cfRule type="expression" dxfId="2114" priority="3169">
      <formula>AND(AW136&gt;5,O136="NA")</formula>
    </cfRule>
    <cfRule type="expression" dxfId="2113" priority="3170">
      <formula>AND(AW136&lt;5,O136="NA")</formula>
    </cfRule>
    <cfRule type="expression" dxfId="2112" priority="3171">
      <formula>AND(O136&lt;&gt;"NA",O136&gt;$O$16)</formula>
    </cfRule>
  </conditionalFormatting>
  <conditionalFormatting sqref="P136">
    <cfRule type="expression" priority="3099" stopIfTrue="1">
      <formula>"ISBLANK($K$185)"</formula>
    </cfRule>
    <cfRule type="expression" dxfId="2111" priority="3162">
      <formula>AND(OR(AW136=0,ISBLANK(P136)),B136&lt;&gt;"")</formula>
    </cfRule>
    <cfRule type="expression" dxfId="2110" priority="3163">
      <formula>AND(P136="NA",NOT(ISTEXT(Q136)))</formula>
    </cfRule>
    <cfRule type="expression" dxfId="2109" priority="3164">
      <formula>AND(AW136&gt;5,P136="NA")</formula>
    </cfRule>
    <cfRule type="expression" dxfId="2108" priority="3165">
      <formula>AND(AW136&lt;5,P136="NA")</formula>
    </cfRule>
    <cfRule type="expression" dxfId="2107" priority="3166">
      <formula>AND(P136&lt;&gt;"NA",P136&gt;$P$16)</formula>
    </cfRule>
  </conditionalFormatting>
  <conditionalFormatting sqref="Q136">
    <cfRule type="expression" priority="3098" stopIfTrue="1">
      <formula>"ISBLANK($K$185)"</formula>
    </cfRule>
    <cfRule type="expression" dxfId="2106" priority="3157">
      <formula>AND(OR(AW136=0,ISBLANK(Q136)),B136&lt;&gt;"")</formula>
    </cfRule>
    <cfRule type="expression" dxfId="2105" priority="3158">
      <formula>AND(Q136="NA",NOT(ISTEXT(P136)))</formula>
    </cfRule>
    <cfRule type="expression" dxfId="2104" priority="3159">
      <formula>AND(AW136&gt;5,Q136="NA")</formula>
    </cfRule>
    <cfRule type="expression" dxfId="2103" priority="3160">
      <formula>AND(AW136&lt;5,Q136="NA")</formula>
    </cfRule>
    <cfRule type="expression" dxfId="2102" priority="3161">
      <formula>AND(Q136&lt;&gt;"NA",Q136&gt;$Q$16)</formula>
    </cfRule>
  </conditionalFormatting>
  <conditionalFormatting sqref="R136">
    <cfRule type="expression" priority="3097" stopIfTrue="1">
      <formula>"ISBLANK($K$185)"</formula>
    </cfRule>
    <cfRule type="expression" dxfId="2101" priority="3152">
      <formula>AND(OR(AW136=0,ISBLANK(R136)),B136&lt;&gt;"")</formula>
    </cfRule>
    <cfRule type="expression" dxfId="2100" priority="3153">
      <formula>AND(R136="NA",NOT(ISTEXT(S136)))</formula>
    </cfRule>
    <cfRule type="expression" dxfId="2099" priority="3154">
      <formula>AND(AW136&gt;5,R136="NA")</formula>
    </cfRule>
    <cfRule type="expression" dxfId="2098" priority="3155">
      <formula>AND(AW136&lt;5,R136="NA")</formula>
    </cfRule>
    <cfRule type="expression" dxfId="2097" priority="3156">
      <formula>AND(R136&lt;&gt;"NA",R136&gt;$R$16)</formula>
    </cfRule>
  </conditionalFormatting>
  <conditionalFormatting sqref="S136">
    <cfRule type="expression" priority="3096" stopIfTrue="1">
      <formula>"ISBLANK($K$185)"</formula>
    </cfRule>
    <cfRule type="expression" dxfId="2096" priority="3147">
      <formula>AND(OR(AW136=0,ISBLANK(S136)),B136&lt;&gt;"")</formula>
    </cfRule>
    <cfRule type="expression" dxfId="2095" priority="3148">
      <formula>AND(S136="NA",NOT(ISTEXT(R136)))</formula>
    </cfRule>
    <cfRule type="expression" dxfId="2094" priority="3149">
      <formula>AND(AW136&gt;5,S136="NA")</formula>
    </cfRule>
    <cfRule type="expression" dxfId="2093" priority="3150">
      <formula>AND(AW136&lt;5,S136="NA")</formula>
    </cfRule>
    <cfRule type="expression" dxfId="2092" priority="3151">
      <formula>AND(S136&lt;&gt;"NA",S136&gt;$S$16)</formula>
    </cfRule>
  </conditionalFormatting>
  <conditionalFormatting sqref="T136">
    <cfRule type="expression" priority="3095" stopIfTrue="1">
      <formula>"ISBLANK($K$185)"</formula>
    </cfRule>
    <cfRule type="expression" dxfId="2091" priority="3142">
      <formula>AND(OR(AW136=0,ISBLANK(T136)),B136&lt;&gt;"")</formula>
    </cfRule>
    <cfRule type="expression" dxfId="2090" priority="3143">
      <formula>AND(T136="NA",NOT(ISTEXT(U136)))</formula>
    </cfRule>
    <cfRule type="expression" dxfId="2089" priority="3144">
      <formula>AND(AW136&gt;5,T136="NA")</formula>
    </cfRule>
    <cfRule type="expression" dxfId="2088" priority="3145">
      <formula>AND(AW136&lt;5,T136="NA")</formula>
    </cfRule>
    <cfRule type="expression" dxfId="2087" priority="3146">
      <formula>AND(T136&lt;&gt;"NA",T136&gt;$T$16)</formula>
    </cfRule>
  </conditionalFormatting>
  <conditionalFormatting sqref="U136">
    <cfRule type="expression" priority="3094" stopIfTrue="1">
      <formula>"ISBLANK($K$185)"</formula>
    </cfRule>
    <cfRule type="expression" dxfId="2086" priority="3137">
      <formula>AND(OR(AW136=0,ISBLANK(U136)),B136&lt;&gt;"")</formula>
    </cfRule>
    <cfRule type="expression" dxfId="2085" priority="3138">
      <formula>AND(U136="NA",NOT(ISTEXT(T136)))</formula>
    </cfRule>
    <cfRule type="expression" dxfId="2084" priority="3139">
      <formula>AND(AW136&gt;5,U136="NA")</formula>
    </cfRule>
    <cfRule type="expression" dxfId="2083" priority="3140">
      <formula>AND(AW136&lt;5,U136="NA")</formula>
    </cfRule>
    <cfRule type="expression" dxfId="2082" priority="3141">
      <formula>AND(U136&lt;&gt;"NA",U136&gt;$U$16)</formula>
    </cfRule>
  </conditionalFormatting>
  <conditionalFormatting sqref="V136">
    <cfRule type="expression" priority="3093" stopIfTrue="1">
      <formula>"ISBLANK($K$185)"</formula>
    </cfRule>
    <cfRule type="expression" dxfId="2081" priority="3132">
      <formula>AND(OR(AW136=0,ISBLANK(V136)),B136&lt;&gt;"")</formula>
    </cfRule>
    <cfRule type="expression" dxfId="2080" priority="3133">
      <formula>AND(V136="NA",NOT(ISTEXT(W136)))</formula>
    </cfRule>
    <cfRule type="expression" dxfId="2079" priority="3134">
      <formula>AND(AW136&gt;5,V136="NA")</formula>
    </cfRule>
    <cfRule type="expression" dxfId="2078" priority="3135">
      <formula>AND(AW136&lt;5,V136="NA")</formula>
    </cfRule>
    <cfRule type="expression" dxfId="2077" priority="3136">
      <formula>AND(V136&lt;&gt;"NA",V136&gt;$V$16)</formula>
    </cfRule>
  </conditionalFormatting>
  <conditionalFormatting sqref="W136">
    <cfRule type="expression" priority="3092" stopIfTrue="1">
      <formula>"ISBLANK($K$185)"</formula>
    </cfRule>
    <cfRule type="expression" dxfId="2076" priority="3127">
      <formula>AND(OR(AW136=0,ISBLANK(W136)),B136&lt;&gt;"")</formula>
    </cfRule>
    <cfRule type="expression" dxfId="2075" priority="3128">
      <formula>AND(W136="NA",NOT(ISTEXT(V136)))</formula>
    </cfRule>
    <cfRule type="expression" dxfId="2074" priority="3129">
      <formula>AND(AW136&gt;5,W136="NA")</formula>
    </cfRule>
    <cfRule type="expression" dxfId="2073" priority="3130">
      <formula>AND(AW136&lt;5,W136="NA")</formula>
    </cfRule>
    <cfRule type="expression" dxfId="2072" priority="3131">
      <formula>AND(W136&lt;&gt;"NA",W136&gt;$W$16)</formula>
    </cfRule>
  </conditionalFormatting>
  <conditionalFormatting sqref="X136">
    <cfRule type="expression" priority="3091" stopIfTrue="1">
      <formula>"ISBLANK($K$185)"</formula>
    </cfRule>
    <cfRule type="expression" dxfId="2071" priority="3122">
      <formula>AND(OR(AW136=0,ISBLANK(X136)),B136&lt;&gt;"")</formula>
    </cfRule>
    <cfRule type="expression" dxfId="2070" priority="3123">
      <formula>AND(X136="NA",NOT(ISTEXT(Y136)))</formula>
    </cfRule>
    <cfRule type="expression" dxfId="2069" priority="3124">
      <formula>AND(AW136&gt;5,X136="NA")</formula>
    </cfRule>
    <cfRule type="expression" dxfId="2068" priority="3125">
      <formula>AND(AW136&lt;5,X136="NA")</formula>
    </cfRule>
    <cfRule type="expression" dxfId="2067" priority="3126">
      <formula>AND(X136&lt;&gt;"NA",X136&gt;$Y$16)</formula>
    </cfRule>
  </conditionalFormatting>
  <conditionalFormatting sqref="Y136">
    <cfRule type="expression" priority="3090" stopIfTrue="1">
      <formula>"ISBLANK($K$185)"</formula>
    </cfRule>
    <cfRule type="expression" dxfId="2066" priority="3117">
      <formula>AND(OR(AW136=0,ISBLANK(Y136)),B136&lt;&gt;"")</formula>
    </cfRule>
    <cfRule type="expression" dxfId="2065" priority="3118">
      <formula>AND(Y136="NA",NOT(ISTEXT(X136)))</formula>
    </cfRule>
    <cfRule type="expression" dxfId="2064" priority="3119">
      <formula>AND(AW136&gt;5,Y136="NA")</formula>
    </cfRule>
    <cfRule type="expression" dxfId="2063" priority="3120">
      <formula>AND(AW136&lt;5,Y136="NA")</formula>
    </cfRule>
    <cfRule type="expression" dxfId="2062" priority="3121">
      <formula>AND(Y136&lt;&gt;"NA",Y136&gt;$Y$16)</formula>
    </cfRule>
  </conditionalFormatting>
  <conditionalFormatting sqref="N136">
    <cfRule type="expression" priority="3101" stopIfTrue="1">
      <formula>"ISBLANK($K$185)"</formula>
    </cfRule>
    <cfRule type="expression" dxfId="2061" priority="3172">
      <formula>AND(OR(AW136=0,ISBLANK(N136)),B136&lt;&gt;"")</formula>
    </cfRule>
    <cfRule type="expression" dxfId="2060" priority="3173">
      <formula>AND(N136="NA",NOT(ISTEXT(O136)))</formula>
    </cfRule>
    <cfRule type="expression" dxfId="2059" priority="3174">
      <formula>AND(AW136&gt;5,N136="NA")</formula>
    </cfRule>
    <cfRule type="expression" dxfId="2058" priority="3175">
      <formula>AND(AW136&lt;5,N136="NA")</formula>
    </cfRule>
    <cfRule type="expression" dxfId="2057" priority="3176">
      <formula>AND(N136&lt;&gt;"NA",N136&gt;$N$16)</formula>
    </cfRule>
  </conditionalFormatting>
  <conditionalFormatting sqref="O137">
    <cfRule type="expression" priority="3009" stopIfTrue="1">
      <formula>"ISBLANK($K$185)"</formula>
    </cfRule>
    <cfRule type="expression" dxfId="2056" priority="3076">
      <formula>AND(OR(AW137=0,ISBLANK(O137)),B137&lt;&gt;"")</formula>
    </cfRule>
    <cfRule type="expression" dxfId="2055" priority="3077">
      <formula>AND(O137="NA",NOT(ISTEXT(N137)))</formula>
    </cfRule>
    <cfRule type="expression" dxfId="2054" priority="3078">
      <formula>AND(AW137&gt;5,O137="NA")</formula>
    </cfRule>
    <cfRule type="expression" dxfId="2053" priority="3079">
      <formula>AND(AW137&lt;5,O137="NA")</formula>
    </cfRule>
    <cfRule type="expression" dxfId="2052" priority="3080">
      <formula>AND(O137&lt;&gt;"NA",O137&gt;$O$16)</formula>
    </cfRule>
  </conditionalFormatting>
  <conditionalFormatting sqref="P137">
    <cfRule type="expression" priority="3008" stopIfTrue="1">
      <formula>"ISBLANK($K$185)"</formula>
    </cfRule>
    <cfRule type="expression" dxfId="2051" priority="3071">
      <formula>AND(OR(AW137=0,ISBLANK(P137)),B137&lt;&gt;"")</formula>
    </cfRule>
    <cfRule type="expression" dxfId="2050" priority="3072">
      <formula>AND(P137="NA",NOT(ISTEXT(Q137)))</formula>
    </cfRule>
    <cfRule type="expression" dxfId="2049" priority="3073">
      <formula>AND(AW137&gt;5,P137="NA")</formula>
    </cfRule>
    <cfRule type="expression" dxfId="2048" priority="3074">
      <formula>AND(AW137&lt;5,P137="NA")</formula>
    </cfRule>
    <cfRule type="expression" dxfId="2047" priority="3075">
      <formula>AND(P137&lt;&gt;"NA",P137&gt;$P$16)</formula>
    </cfRule>
  </conditionalFormatting>
  <conditionalFormatting sqref="Q137">
    <cfRule type="expression" priority="3007" stopIfTrue="1">
      <formula>"ISBLANK($K$185)"</formula>
    </cfRule>
    <cfRule type="expression" dxfId="2046" priority="3066">
      <formula>AND(OR(AW137=0,ISBLANK(Q137)),B137&lt;&gt;"")</formula>
    </cfRule>
    <cfRule type="expression" dxfId="2045" priority="3067">
      <formula>AND(Q137="NA",NOT(ISTEXT(P137)))</formula>
    </cfRule>
    <cfRule type="expression" dxfId="2044" priority="3068">
      <formula>AND(AW137&gt;5,Q137="NA")</formula>
    </cfRule>
    <cfRule type="expression" dxfId="2043" priority="3069">
      <formula>AND(AW137&lt;5,Q137="NA")</formula>
    </cfRule>
    <cfRule type="expression" dxfId="2042" priority="3070">
      <formula>AND(Q137&lt;&gt;"NA",Q137&gt;$Q$16)</formula>
    </cfRule>
  </conditionalFormatting>
  <conditionalFormatting sqref="R137">
    <cfRule type="expression" priority="3006" stopIfTrue="1">
      <formula>"ISBLANK($K$185)"</formula>
    </cfRule>
    <cfRule type="expression" dxfId="2041" priority="3061">
      <formula>AND(OR(AW137=0,ISBLANK(R137)),B137&lt;&gt;"")</formula>
    </cfRule>
    <cfRule type="expression" dxfId="2040" priority="3062">
      <formula>AND(R137="NA",NOT(ISTEXT(S137)))</formula>
    </cfRule>
    <cfRule type="expression" dxfId="2039" priority="3063">
      <formula>AND(AW137&gt;5,R137="NA")</formula>
    </cfRule>
    <cfRule type="expression" dxfId="2038" priority="3064">
      <formula>AND(AW137&lt;5,R137="NA")</formula>
    </cfRule>
    <cfRule type="expression" dxfId="2037" priority="3065">
      <formula>AND(R137&lt;&gt;"NA",R137&gt;$R$16)</formula>
    </cfRule>
  </conditionalFormatting>
  <conditionalFormatting sqref="S137">
    <cfRule type="expression" priority="3005" stopIfTrue="1">
      <formula>"ISBLANK($K$185)"</formula>
    </cfRule>
    <cfRule type="expression" dxfId="2036" priority="3056">
      <formula>AND(OR(AW137=0,ISBLANK(S137)),B137&lt;&gt;"")</formula>
    </cfRule>
    <cfRule type="expression" dxfId="2035" priority="3057">
      <formula>AND(S137="NA",NOT(ISTEXT(R137)))</formula>
    </cfRule>
    <cfRule type="expression" dxfId="2034" priority="3058">
      <formula>AND(AW137&gt;5,S137="NA")</formula>
    </cfRule>
    <cfRule type="expression" dxfId="2033" priority="3059">
      <formula>AND(AW137&lt;5,S137="NA")</formula>
    </cfRule>
    <cfRule type="expression" dxfId="2032" priority="3060">
      <formula>AND(S137&lt;&gt;"NA",S137&gt;$S$16)</formula>
    </cfRule>
  </conditionalFormatting>
  <conditionalFormatting sqref="T137">
    <cfRule type="expression" priority="3004" stopIfTrue="1">
      <formula>"ISBLANK($K$185)"</formula>
    </cfRule>
    <cfRule type="expression" dxfId="2031" priority="3051">
      <formula>AND(OR(AW137=0,ISBLANK(T137)),B137&lt;&gt;"")</formula>
    </cfRule>
    <cfRule type="expression" dxfId="2030" priority="3052">
      <formula>AND(T137="NA",NOT(ISTEXT(U137)))</formula>
    </cfRule>
    <cfRule type="expression" dxfId="2029" priority="3053">
      <formula>AND(AW137&gt;5,T137="NA")</formula>
    </cfRule>
    <cfRule type="expression" dxfId="2028" priority="3054">
      <formula>AND(AW137&lt;5,T137="NA")</formula>
    </cfRule>
    <cfRule type="expression" dxfId="2027" priority="3055">
      <formula>AND(T137&lt;&gt;"NA",T137&gt;$T$16)</formula>
    </cfRule>
  </conditionalFormatting>
  <conditionalFormatting sqref="U137">
    <cfRule type="expression" priority="3003" stopIfTrue="1">
      <formula>"ISBLANK($K$185)"</formula>
    </cfRule>
    <cfRule type="expression" dxfId="2026" priority="3046">
      <formula>AND(OR(AW137=0,ISBLANK(U137)),B137&lt;&gt;"")</formula>
    </cfRule>
    <cfRule type="expression" dxfId="2025" priority="3047">
      <formula>AND(U137="NA",NOT(ISTEXT(T137)))</formula>
    </cfRule>
    <cfRule type="expression" dxfId="2024" priority="3048">
      <formula>AND(AW137&gt;5,U137="NA")</formula>
    </cfRule>
    <cfRule type="expression" dxfId="2023" priority="3049">
      <formula>AND(AW137&lt;5,U137="NA")</formula>
    </cfRule>
    <cfRule type="expression" dxfId="2022" priority="3050">
      <formula>AND(U137&lt;&gt;"NA",U137&gt;$U$16)</formula>
    </cfRule>
  </conditionalFormatting>
  <conditionalFormatting sqref="V137">
    <cfRule type="expression" priority="3002" stopIfTrue="1">
      <formula>"ISBLANK($K$185)"</formula>
    </cfRule>
    <cfRule type="expression" dxfId="2021" priority="3041">
      <formula>AND(OR(AW137=0,ISBLANK(V137)),B137&lt;&gt;"")</formula>
    </cfRule>
    <cfRule type="expression" dxfId="2020" priority="3042">
      <formula>AND(V137="NA",NOT(ISTEXT(W137)))</formula>
    </cfRule>
    <cfRule type="expression" dxfId="2019" priority="3043">
      <formula>AND(AW137&gt;5,V137="NA")</formula>
    </cfRule>
    <cfRule type="expression" dxfId="2018" priority="3044">
      <formula>AND(AW137&lt;5,V137="NA")</formula>
    </cfRule>
    <cfRule type="expression" dxfId="2017" priority="3045">
      <formula>AND(V137&lt;&gt;"NA",V137&gt;$V$16)</formula>
    </cfRule>
  </conditionalFormatting>
  <conditionalFormatting sqref="W137">
    <cfRule type="expression" priority="3001" stopIfTrue="1">
      <formula>"ISBLANK($K$185)"</formula>
    </cfRule>
    <cfRule type="expression" dxfId="2016" priority="3036">
      <formula>AND(OR(AW137=0,ISBLANK(W137)),B137&lt;&gt;"")</formula>
    </cfRule>
    <cfRule type="expression" dxfId="2015" priority="3037">
      <formula>AND(W137="NA",NOT(ISTEXT(V137)))</formula>
    </cfRule>
    <cfRule type="expression" dxfId="2014" priority="3038">
      <formula>AND(AW137&gt;5,W137="NA")</formula>
    </cfRule>
    <cfRule type="expression" dxfId="2013" priority="3039">
      <formula>AND(AW137&lt;5,W137="NA")</formula>
    </cfRule>
    <cfRule type="expression" dxfId="2012" priority="3040">
      <formula>AND(W137&lt;&gt;"NA",W137&gt;$W$16)</formula>
    </cfRule>
  </conditionalFormatting>
  <conditionalFormatting sqref="X137">
    <cfRule type="expression" priority="3000" stopIfTrue="1">
      <formula>"ISBLANK($K$185)"</formula>
    </cfRule>
    <cfRule type="expression" dxfId="2011" priority="3031">
      <formula>AND(OR(AW137=0,ISBLANK(X137)),B137&lt;&gt;"")</formula>
    </cfRule>
    <cfRule type="expression" dxfId="2010" priority="3032">
      <formula>AND(X137="NA",NOT(ISTEXT(Y137)))</formula>
    </cfRule>
    <cfRule type="expression" dxfId="2009" priority="3033">
      <formula>AND(AW137&gt;5,X137="NA")</formula>
    </cfRule>
    <cfRule type="expression" dxfId="2008" priority="3034">
      <formula>AND(AW137&lt;5,X137="NA")</formula>
    </cfRule>
    <cfRule type="expression" dxfId="2007" priority="3035">
      <formula>AND(X137&lt;&gt;"NA",X137&gt;$Y$16)</formula>
    </cfRule>
  </conditionalFormatting>
  <conditionalFormatting sqref="Y137">
    <cfRule type="expression" priority="2999" stopIfTrue="1">
      <formula>"ISBLANK($K$185)"</formula>
    </cfRule>
    <cfRule type="expression" dxfId="2006" priority="3026">
      <formula>AND(OR(AW137=0,ISBLANK(Y137)),B137&lt;&gt;"")</formula>
    </cfRule>
    <cfRule type="expression" dxfId="2005" priority="3027">
      <formula>AND(Y137="NA",NOT(ISTEXT(X137)))</formula>
    </cfRule>
    <cfRule type="expression" dxfId="2004" priority="3028">
      <formula>AND(AW137&gt;5,Y137="NA")</formula>
    </cfRule>
    <cfRule type="expression" dxfId="2003" priority="3029">
      <formula>AND(AW137&lt;5,Y137="NA")</formula>
    </cfRule>
    <cfRule type="expression" dxfId="2002" priority="3030">
      <formula>AND(Y137&lt;&gt;"NA",Y137&gt;$Y$16)</formula>
    </cfRule>
  </conditionalFormatting>
  <conditionalFormatting sqref="N137">
    <cfRule type="expression" priority="3010" stopIfTrue="1">
      <formula>"ISBLANK($K$185)"</formula>
    </cfRule>
    <cfRule type="expression" dxfId="2001" priority="3081">
      <formula>AND(OR(AW137=0,ISBLANK(N137)),B137&lt;&gt;"")</formula>
    </cfRule>
    <cfRule type="expression" dxfId="2000" priority="3082">
      <formula>AND(N137="NA",NOT(ISTEXT(O137)))</formula>
    </cfRule>
    <cfRule type="expression" dxfId="1999" priority="3083">
      <formula>AND(AW137&gt;5,N137="NA")</formula>
    </cfRule>
    <cfRule type="expression" dxfId="1998" priority="3084">
      <formula>AND(AW137&lt;5,N137="NA")</formula>
    </cfRule>
    <cfRule type="expression" dxfId="1997" priority="3085">
      <formula>AND(N137&lt;&gt;"NA",N137&gt;$N$16)</formula>
    </cfRule>
  </conditionalFormatting>
  <conditionalFormatting sqref="O138">
    <cfRule type="expression" priority="2918" stopIfTrue="1">
      <formula>"ISBLANK($K$185)"</formula>
    </cfRule>
    <cfRule type="expression" dxfId="1996" priority="2985">
      <formula>AND(OR(AW138=0,ISBLANK(O138)),B138&lt;&gt;"")</formula>
    </cfRule>
    <cfRule type="expression" dxfId="1995" priority="2986">
      <formula>AND(O138="NA",NOT(ISTEXT(N138)))</formula>
    </cfRule>
    <cfRule type="expression" dxfId="1994" priority="2987">
      <formula>AND(AW138&gt;5,O138="NA")</formula>
    </cfRule>
    <cfRule type="expression" dxfId="1993" priority="2988">
      <formula>AND(AW138&lt;5,O138="NA")</formula>
    </cfRule>
    <cfRule type="expression" dxfId="1992" priority="2989">
      <formula>AND(O138&lt;&gt;"NA",O138&gt;$O$16)</formula>
    </cfRule>
  </conditionalFormatting>
  <conditionalFormatting sqref="P138">
    <cfRule type="expression" priority="2917" stopIfTrue="1">
      <formula>"ISBLANK($K$185)"</formula>
    </cfRule>
    <cfRule type="expression" dxfId="1991" priority="2980">
      <formula>AND(OR(AW138=0,ISBLANK(P138)),B138&lt;&gt;"")</formula>
    </cfRule>
    <cfRule type="expression" dxfId="1990" priority="2981">
      <formula>AND(P138="NA",NOT(ISTEXT(Q138)))</formula>
    </cfRule>
    <cfRule type="expression" dxfId="1989" priority="2982">
      <formula>AND(AW138&gt;5,P138="NA")</formula>
    </cfRule>
    <cfRule type="expression" dxfId="1988" priority="2983">
      <formula>AND(AW138&lt;5,P138="NA")</formula>
    </cfRule>
    <cfRule type="expression" dxfId="1987" priority="2984">
      <formula>AND(P138&lt;&gt;"NA",P138&gt;$P$16)</formula>
    </cfRule>
  </conditionalFormatting>
  <conditionalFormatting sqref="Q138">
    <cfRule type="expression" priority="2916" stopIfTrue="1">
      <formula>"ISBLANK($K$185)"</formula>
    </cfRule>
    <cfRule type="expression" dxfId="1986" priority="2975">
      <formula>AND(OR(AW138=0,ISBLANK(Q138)),B138&lt;&gt;"")</formula>
    </cfRule>
    <cfRule type="expression" dxfId="1985" priority="2976">
      <formula>AND(Q138="NA",NOT(ISTEXT(P138)))</formula>
    </cfRule>
    <cfRule type="expression" dxfId="1984" priority="2977">
      <formula>AND(AW138&gt;5,Q138="NA")</formula>
    </cfRule>
    <cfRule type="expression" dxfId="1983" priority="2978">
      <formula>AND(AW138&lt;5,Q138="NA")</formula>
    </cfRule>
    <cfRule type="expression" dxfId="1982" priority="2979">
      <formula>AND(Q138&lt;&gt;"NA",Q138&gt;$Q$16)</formula>
    </cfRule>
  </conditionalFormatting>
  <conditionalFormatting sqref="R138">
    <cfRule type="expression" priority="2915" stopIfTrue="1">
      <formula>"ISBLANK($K$185)"</formula>
    </cfRule>
    <cfRule type="expression" dxfId="1981" priority="2970">
      <formula>AND(OR(AW138=0,ISBLANK(R138)),B138&lt;&gt;"")</formula>
    </cfRule>
    <cfRule type="expression" dxfId="1980" priority="2971">
      <formula>AND(R138="NA",NOT(ISTEXT(S138)))</formula>
    </cfRule>
    <cfRule type="expression" dxfId="1979" priority="2972">
      <formula>AND(AW138&gt;5,R138="NA")</formula>
    </cfRule>
    <cfRule type="expression" dxfId="1978" priority="2973">
      <formula>AND(AW138&lt;5,R138="NA")</formula>
    </cfRule>
    <cfRule type="expression" dxfId="1977" priority="2974">
      <formula>AND(R138&lt;&gt;"NA",R138&gt;$R$16)</formula>
    </cfRule>
  </conditionalFormatting>
  <conditionalFormatting sqref="S138">
    <cfRule type="expression" priority="2914" stopIfTrue="1">
      <formula>"ISBLANK($K$185)"</formula>
    </cfRule>
    <cfRule type="expression" dxfId="1976" priority="2965">
      <formula>AND(OR(AW138=0,ISBLANK(S138)),B138&lt;&gt;"")</formula>
    </cfRule>
    <cfRule type="expression" dxfId="1975" priority="2966">
      <formula>AND(S138="NA",NOT(ISTEXT(R138)))</formula>
    </cfRule>
    <cfRule type="expression" dxfId="1974" priority="2967">
      <formula>AND(AW138&gt;5,S138="NA")</formula>
    </cfRule>
    <cfRule type="expression" dxfId="1973" priority="2968">
      <formula>AND(AW138&lt;5,S138="NA")</formula>
    </cfRule>
    <cfRule type="expression" dxfId="1972" priority="2969">
      <formula>AND(S138&lt;&gt;"NA",S138&gt;$S$16)</formula>
    </cfRule>
  </conditionalFormatting>
  <conditionalFormatting sqref="T138">
    <cfRule type="expression" priority="2913" stopIfTrue="1">
      <formula>"ISBLANK($K$185)"</formula>
    </cfRule>
    <cfRule type="expression" dxfId="1971" priority="2960">
      <formula>AND(OR(AW138=0,ISBLANK(T138)),B138&lt;&gt;"")</formula>
    </cfRule>
    <cfRule type="expression" dxfId="1970" priority="2961">
      <formula>AND(T138="NA",NOT(ISTEXT(U138)))</formula>
    </cfRule>
    <cfRule type="expression" dxfId="1969" priority="2962">
      <formula>AND(AW138&gt;5,T138="NA")</formula>
    </cfRule>
    <cfRule type="expression" dxfId="1968" priority="2963">
      <formula>AND(AW138&lt;5,T138="NA")</formula>
    </cfRule>
    <cfRule type="expression" dxfId="1967" priority="2964">
      <formula>AND(T138&lt;&gt;"NA",T138&gt;$T$16)</formula>
    </cfRule>
  </conditionalFormatting>
  <conditionalFormatting sqref="U138">
    <cfRule type="expression" priority="2912" stopIfTrue="1">
      <formula>"ISBLANK($K$185)"</formula>
    </cfRule>
    <cfRule type="expression" dxfId="1966" priority="2955">
      <formula>AND(OR(AW138=0,ISBLANK(U138)),B138&lt;&gt;"")</formula>
    </cfRule>
    <cfRule type="expression" dxfId="1965" priority="2956">
      <formula>AND(U138="NA",NOT(ISTEXT(T138)))</formula>
    </cfRule>
    <cfRule type="expression" dxfId="1964" priority="2957">
      <formula>AND(AW138&gt;5,U138="NA")</formula>
    </cfRule>
    <cfRule type="expression" dxfId="1963" priority="2958">
      <formula>AND(AW138&lt;5,U138="NA")</formula>
    </cfRule>
    <cfRule type="expression" dxfId="1962" priority="2959">
      <formula>AND(U138&lt;&gt;"NA",U138&gt;$U$16)</formula>
    </cfRule>
  </conditionalFormatting>
  <conditionalFormatting sqref="V138">
    <cfRule type="expression" priority="2911" stopIfTrue="1">
      <formula>"ISBLANK($K$185)"</formula>
    </cfRule>
    <cfRule type="expression" dxfId="1961" priority="2950">
      <formula>AND(OR(AW138=0,ISBLANK(V138)),B138&lt;&gt;"")</formula>
    </cfRule>
    <cfRule type="expression" dxfId="1960" priority="2951">
      <formula>AND(V138="NA",NOT(ISTEXT(W138)))</formula>
    </cfRule>
    <cfRule type="expression" dxfId="1959" priority="2952">
      <formula>AND(AW138&gt;5,V138="NA")</formula>
    </cfRule>
    <cfRule type="expression" dxfId="1958" priority="2953">
      <formula>AND(AW138&lt;5,V138="NA")</formula>
    </cfRule>
    <cfRule type="expression" dxfId="1957" priority="2954">
      <formula>AND(V138&lt;&gt;"NA",V138&gt;$V$16)</formula>
    </cfRule>
  </conditionalFormatting>
  <conditionalFormatting sqref="W138">
    <cfRule type="expression" priority="2910" stopIfTrue="1">
      <formula>"ISBLANK($K$185)"</formula>
    </cfRule>
    <cfRule type="expression" dxfId="1956" priority="2945">
      <formula>AND(OR(AW138=0,ISBLANK(W138)),B138&lt;&gt;"")</formula>
    </cfRule>
    <cfRule type="expression" dxfId="1955" priority="2946">
      <formula>AND(W138="NA",NOT(ISTEXT(V138)))</formula>
    </cfRule>
    <cfRule type="expression" dxfId="1954" priority="2947">
      <formula>AND(AW138&gt;5,W138="NA")</formula>
    </cfRule>
    <cfRule type="expression" dxfId="1953" priority="2948">
      <formula>AND(AW138&lt;5,W138="NA")</formula>
    </cfRule>
    <cfRule type="expression" dxfId="1952" priority="2949">
      <formula>AND(W138&lt;&gt;"NA",W138&gt;$W$16)</formula>
    </cfRule>
  </conditionalFormatting>
  <conditionalFormatting sqref="X138">
    <cfRule type="expression" priority="2909" stopIfTrue="1">
      <formula>"ISBLANK($K$185)"</formula>
    </cfRule>
    <cfRule type="expression" dxfId="1951" priority="2940">
      <formula>AND(OR(AW138=0,ISBLANK(X138)),B138&lt;&gt;"")</formula>
    </cfRule>
    <cfRule type="expression" dxfId="1950" priority="2941">
      <formula>AND(X138="NA",NOT(ISTEXT(Y138)))</formula>
    </cfRule>
    <cfRule type="expression" dxfId="1949" priority="2942">
      <formula>AND(AW138&gt;5,X138="NA")</formula>
    </cfRule>
    <cfRule type="expression" dxfId="1948" priority="2943">
      <formula>AND(AW138&lt;5,X138="NA")</formula>
    </cfRule>
    <cfRule type="expression" dxfId="1947" priority="2944">
      <formula>AND(X138&lt;&gt;"NA",X138&gt;$Y$16)</formula>
    </cfRule>
  </conditionalFormatting>
  <conditionalFormatting sqref="Y138">
    <cfRule type="expression" priority="2908" stopIfTrue="1">
      <formula>"ISBLANK($K$185)"</formula>
    </cfRule>
    <cfRule type="expression" dxfId="1946" priority="2935">
      <formula>AND(OR(AW138=0,ISBLANK(Y138)),B138&lt;&gt;"")</formula>
    </cfRule>
    <cfRule type="expression" dxfId="1945" priority="2936">
      <formula>AND(Y138="NA",NOT(ISTEXT(X138)))</formula>
    </cfRule>
    <cfRule type="expression" dxfId="1944" priority="2937">
      <formula>AND(AW138&gt;5,Y138="NA")</formula>
    </cfRule>
    <cfRule type="expression" dxfId="1943" priority="2938">
      <formula>AND(AW138&lt;5,Y138="NA")</formula>
    </cfRule>
    <cfRule type="expression" dxfId="1942" priority="2939">
      <formula>AND(Y138&lt;&gt;"NA",Y138&gt;$Y$16)</formula>
    </cfRule>
  </conditionalFormatting>
  <conditionalFormatting sqref="N138">
    <cfRule type="expression" priority="2919" stopIfTrue="1">
      <formula>"ISBLANK($K$185)"</formula>
    </cfRule>
    <cfRule type="expression" dxfId="1941" priority="2990">
      <formula>AND(OR(AW138=0,ISBLANK(N138)),B138&lt;&gt;"")</formula>
    </cfRule>
    <cfRule type="expression" dxfId="1940" priority="2991">
      <formula>AND(N138="NA",NOT(ISTEXT(O138)))</formula>
    </cfRule>
    <cfRule type="expression" dxfId="1939" priority="2992">
      <formula>AND(AW138&gt;5,N138="NA")</formula>
    </cfRule>
    <cfRule type="expression" dxfId="1938" priority="2993">
      <formula>AND(AW138&lt;5,N138="NA")</formula>
    </cfRule>
    <cfRule type="expression" dxfId="1937" priority="2994">
      <formula>AND(N138&lt;&gt;"NA",N138&gt;$N$16)</formula>
    </cfRule>
  </conditionalFormatting>
  <conditionalFormatting sqref="O139">
    <cfRule type="expression" priority="2827" stopIfTrue="1">
      <formula>"ISBLANK($K$185)"</formula>
    </cfRule>
    <cfRule type="expression" dxfId="1936" priority="2894">
      <formula>AND(OR(AW139=0,ISBLANK(O139)),B139&lt;&gt;"")</formula>
    </cfRule>
    <cfRule type="expression" dxfId="1935" priority="2895">
      <formula>AND(O139="NA",NOT(ISTEXT(N139)))</formula>
    </cfRule>
    <cfRule type="expression" dxfId="1934" priority="2896">
      <formula>AND(AW139&gt;5,O139="NA")</formula>
    </cfRule>
    <cfRule type="expression" dxfId="1933" priority="2897">
      <formula>AND(AW139&lt;5,O139="NA")</formula>
    </cfRule>
    <cfRule type="expression" dxfId="1932" priority="2898">
      <formula>AND(O139&lt;&gt;"NA",O139&gt;$O$16)</formula>
    </cfRule>
  </conditionalFormatting>
  <conditionalFormatting sqref="P139">
    <cfRule type="expression" priority="2826" stopIfTrue="1">
      <formula>"ISBLANK($K$185)"</formula>
    </cfRule>
    <cfRule type="expression" dxfId="1931" priority="2889">
      <formula>AND(OR(AW139=0,ISBLANK(P139)),B139&lt;&gt;"")</formula>
    </cfRule>
    <cfRule type="expression" dxfId="1930" priority="2890">
      <formula>AND(P139="NA",NOT(ISTEXT(Q139)))</formula>
    </cfRule>
    <cfRule type="expression" dxfId="1929" priority="2891">
      <formula>AND(AW139&gt;5,P139="NA")</formula>
    </cfRule>
    <cfRule type="expression" dxfId="1928" priority="2892">
      <formula>AND(AW139&lt;5,P139="NA")</formula>
    </cfRule>
    <cfRule type="expression" dxfId="1927" priority="2893">
      <formula>AND(P139&lt;&gt;"NA",P139&gt;$P$16)</formula>
    </cfRule>
  </conditionalFormatting>
  <conditionalFormatting sqref="Q139">
    <cfRule type="expression" priority="2825" stopIfTrue="1">
      <formula>"ISBLANK($K$185)"</formula>
    </cfRule>
    <cfRule type="expression" dxfId="1926" priority="2884">
      <formula>AND(OR(AW139=0,ISBLANK(Q139)),B139&lt;&gt;"")</formula>
    </cfRule>
    <cfRule type="expression" dxfId="1925" priority="2885">
      <formula>AND(Q139="NA",NOT(ISTEXT(P139)))</formula>
    </cfRule>
    <cfRule type="expression" dxfId="1924" priority="2886">
      <formula>AND(AW139&gt;5,Q139="NA")</formula>
    </cfRule>
    <cfRule type="expression" dxfId="1923" priority="2887">
      <formula>AND(AW139&lt;5,Q139="NA")</formula>
    </cfRule>
    <cfRule type="expression" dxfId="1922" priority="2888">
      <formula>AND(Q139&lt;&gt;"NA",Q139&gt;$Q$16)</formula>
    </cfRule>
  </conditionalFormatting>
  <conditionalFormatting sqref="R139">
    <cfRule type="expression" priority="2824" stopIfTrue="1">
      <formula>"ISBLANK($K$185)"</formula>
    </cfRule>
    <cfRule type="expression" dxfId="1921" priority="2879">
      <formula>AND(OR(AW139=0,ISBLANK(R139)),B139&lt;&gt;"")</formula>
    </cfRule>
    <cfRule type="expression" dxfId="1920" priority="2880">
      <formula>AND(R139="NA",NOT(ISTEXT(S139)))</formula>
    </cfRule>
    <cfRule type="expression" dxfId="1919" priority="2881">
      <formula>AND(AW139&gt;5,R139="NA")</formula>
    </cfRule>
    <cfRule type="expression" dxfId="1918" priority="2882">
      <formula>AND(AW139&lt;5,R139="NA")</formula>
    </cfRule>
    <cfRule type="expression" dxfId="1917" priority="2883">
      <formula>AND(R139&lt;&gt;"NA",R139&gt;$R$16)</formula>
    </cfRule>
  </conditionalFormatting>
  <conditionalFormatting sqref="S139">
    <cfRule type="expression" priority="2823" stopIfTrue="1">
      <formula>"ISBLANK($K$185)"</formula>
    </cfRule>
    <cfRule type="expression" dxfId="1916" priority="2874">
      <formula>AND(OR(AW139=0,ISBLANK(S139)),B139&lt;&gt;"")</formula>
    </cfRule>
    <cfRule type="expression" dxfId="1915" priority="2875">
      <formula>AND(S139="NA",NOT(ISTEXT(R139)))</formula>
    </cfRule>
    <cfRule type="expression" dxfId="1914" priority="2876">
      <formula>AND(AW139&gt;5,S139="NA")</formula>
    </cfRule>
    <cfRule type="expression" dxfId="1913" priority="2877">
      <formula>AND(AW139&lt;5,S139="NA")</formula>
    </cfRule>
    <cfRule type="expression" dxfId="1912" priority="2878">
      <formula>AND(S139&lt;&gt;"NA",S139&gt;$S$16)</formula>
    </cfRule>
  </conditionalFormatting>
  <conditionalFormatting sqref="T139">
    <cfRule type="expression" priority="2822" stopIfTrue="1">
      <formula>"ISBLANK($K$185)"</formula>
    </cfRule>
    <cfRule type="expression" dxfId="1911" priority="2869">
      <formula>AND(OR(AW139=0,ISBLANK(T139)),B139&lt;&gt;"")</formula>
    </cfRule>
    <cfRule type="expression" dxfId="1910" priority="2870">
      <formula>AND(T139="NA",NOT(ISTEXT(U139)))</formula>
    </cfRule>
    <cfRule type="expression" dxfId="1909" priority="2871">
      <formula>AND(AW139&gt;5,T139="NA")</formula>
    </cfRule>
    <cfRule type="expression" dxfId="1908" priority="2872">
      <formula>AND(AW139&lt;5,T139="NA")</formula>
    </cfRule>
    <cfRule type="expression" dxfId="1907" priority="2873">
      <formula>AND(T139&lt;&gt;"NA",T139&gt;$T$16)</formula>
    </cfRule>
  </conditionalFormatting>
  <conditionalFormatting sqref="U139">
    <cfRule type="expression" priority="2821" stopIfTrue="1">
      <formula>"ISBLANK($K$185)"</formula>
    </cfRule>
    <cfRule type="expression" dxfId="1906" priority="2864">
      <formula>AND(OR(AW139=0,ISBLANK(U139)),B139&lt;&gt;"")</formula>
    </cfRule>
    <cfRule type="expression" dxfId="1905" priority="2865">
      <formula>AND(U139="NA",NOT(ISTEXT(T139)))</formula>
    </cfRule>
    <cfRule type="expression" dxfId="1904" priority="2866">
      <formula>AND(AW139&gt;5,U139="NA")</formula>
    </cfRule>
    <cfRule type="expression" dxfId="1903" priority="2867">
      <formula>AND(AW139&lt;5,U139="NA")</formula>
    </cfRule>
    <cfRule type="expression" dxfId="1902" priority="2868">
      <formula>AND(U139&lt;&gt;"NA",U139&gt;$U$16)</formula>
    </cfRule>
  </conditionalFormatting>
  <conditionalFormatting sqref="V139">
    <cfRule type="expression" priority="2820" stopIfTrue="1">
      <formula>"ISBLANK($K$185)"</formula>
    </cfRule>
    <cfRule type="expression" dxfId="1901" priority="2859">
      <formula>AND(OR(AW139=0,ISBLANK(V139)),B139&lt;&gt;"")</formula>
    </cfRule>
    <cfRule type="expression" dxfId="1900" priority="2860">
      <formula>AND(V139="NA",NOT(ISTEXT(W139)))</formula>
    </cfRule>
    <cfRule type="expression" dxfId="1899" priority="2861">
      <formula>AND(AW139&gt;5,V139="NA")</formula>
    </cfRule>
    <cfRule type="expression" dxfId="1898" priority="2862">
      <formula>AND(AW139&lt;5,V139="NA")</formula>
    </cfRule>
    <cfRule type="expression" dxfId="1897" priority="2863">
      <formula>AND(V139&lt;&gt;"NA",V139&gt;$V$16)</formula>
    </cfRule>
  </conditionalFormatting>
  <conditionalFormatting sqref="W139">
    <cfRule type="expression" priority="2819" stopIfTrue="1">
      <formula>"ISBLANK($K$185)"</formula>
    </cfRule>
    <cfRule type="expression" dxfId="1896" priority="2854">
      <formula>AND(OR(AW139=0,ISBLANK(W139)),B139&lt;&gt;"")</formula>
    </cfRule>
    <cfRule type="expression" dxfId="1895" priority="2855">
      <formula>AND(W139="NA",NOT(ISTEXT(V139)))</formula>
    </cfRule>
    <cfRule type="expression" dxfId="1894" priority="2856">
      <formula>AND(AW139&gt;5,W139="NA")</formula>
    </cfRule>
    <cfRule type="expression" dxfId="1893" priority="2857">
      <formula>AND(AW139&lt;5,W139="NA")</formula>
    </cfRule>
    <cfRule type="expression" dxfId="1892" priority="2858">
      <formula>AND(W139&lt;&gt;"NA",W139&gt;$W$16)</formula>
    </cfRule>
  </conditionalFormatting>
  <conditionalFormatting sqref="X139">
    <cfRule type="expression" priority="2818" stopIfTrue="1">
      <formula>"ISBLANK($K$185)"</formula>
    </cfRule>
    <cfRule type="expression" dxfId="1891" priority="2849">
      <formula>AND(OR(AW139=0,ISBLANK(X139)),B139&lt;&gt;"")</formula>
    </cfRule>
    <cfRule type="expression" dxfId="1890" priority="2850">
      <formula>AND(X139="NA",NOT(ISTEXT(Y139)))</formula>
    </cfRule>
    <cfRule type="expression" dxfId="1889" priority="2851">
      <formula>AND(AW139&gt;5,X139="NA")</formula>
    </cfRule>
    <cfRule type="expression" dxfId="1888" priority="2852">
      <formula>AND(AW139&lt;5,X139="NA")</formula>
    </cfRule>
    <cfRule type="expression" dxfId="1887" priority="2853">
      <formula>AND(X139&lt;&gt;"NA",X139&gt;$Y$16)</formula>
    </cfRule>
  </conditionalFormatting>
  <conditionalFormatting sqref="Y139">
    <cfRule type="expression" priority="2817" stopIfTrue="1">
      <formula>"ISBLANK($K$185)"</formula>
    </cfRule>
    <cfRule type="expression" dxfId="1886" priority="2844">
      <formula>AND(OR(AW139=0,ISBLANK(Y139)),B139&lt;&gt;"")</formula>
    </cfRule>
    <cfRule type="expression" dxfId="1885" priority="2845">
      <formula>AND(Y139="NA",NOT(ISTEXT(X139)))</formula>
    </cfRule>
    <cfRule type="expression" dxfId="1884" priority="2846">
      <formula>AND(AW139&gt;5,Y139="NA")</formula>
    </cfRule>
    <cfRule type="expression" dxfId="1883" priority="2847">
      <formula>AND(AW139&lt;5,Y139="NA")</formula>
    </cfRule>
    <cfRule type="expression" dxfId="1882" priority="2848">
      <formula>AND(Y139&lt;&gt;"NA",Y139&gt;$Y$16)</formula>
    </cfRule>
  </conditionalFormatting>
  <conditionalFormatting sqref="N139">
    <cfRule type="expression" priority="2828" stopIfTrue="1">
      <formula>"ISBLANK($K$185)"</formula>
    </cfRule>
    <cfRule type="expression" dxfId="1881" priority="2899">
      <formula>AND(OR(AW139=0,ISBLANK(N139)),B139&lt;&gt;"")</formula>
    </cfRule>
    <cfRule type="expression" dxfId="1880" priority="2900">
      <formula>AND(N139="NA",NOT(ISTEXT(O139)))</formula>
    </cfRule>
    <cfRule type="expression" dxfId="1879" priority="2901">
      <formula>AND(AW139&gt;5,N139="NA")</formula>
    </cfRule>
    <cfRule type="expression" dxfId="1878" priority="2902">
      <formula>AND(AW139&lt;5,N139="NA")</formula>
    </cfRule>
    <cfRule type="expression" dxfId="1877" priority="2903">
      <formula>AND(N139&lt;&gt;"NA",N139&gt;$N$16)</formula>
    </cfRule>
  </conditionalFormatting>
  <conditionalFormatting sqref="O140">
    <cfRule type="expression" priority="2736" stopIfTrue="1">
      <formula>"ISBLANK($K$185)"</formula>
    </cfRule>
    <cfRule type="expression" dxfId="1876" priority="2803">
      <formula>AND(OR(AW140=0,ISBLANK(O140)),B140&lt;&gt;"")</formula>
    </cfRule>
    <cfRule type="expression" dxfId="1875" priority="2804">
      <formula>AND(O140="NA",NOT(ISTEXT(N140)))</formula>
    </cfRule>
    <cfRule type="expression" dxfId="1874" priority="2805">
      <formula>AND(AW140&gt;5,O140="NA")</formula>
    </cfRule>
    <cfRule type="expression" dxfId="1873" priority="2806">
      <formula>AND(AW140&lt;5,O140="NA")</formula>
    </cfRule>
    <cfRule type="expression" dxfId="1872" priority="2807">
      <formula>AND(O140&lt;&gt;"NA",O140&gt;$O$16)</formula>
    </cfRule>
  </conditionalFormatting>
  <conditionalFormatting sqref="P140">
    <cfRule type="expression" priority="2735" stopIfTrue="1">
      <formula>"ISBLANK($K$185)"</formula>
    </cfRule>
    <cfRule type="expression" dxfId="1871" priority="2798">
      <formula>AND(OR(AW140=0,ISBLANK(P140)),B140&lt;&gt;"")</formula>
    </cfRule>
    <cfRule type="expression" dxfId="1870" priority="2799">
      <formula>AND(P140="NA",NOT(ISTEXT(Q140)))</formula>
    </cfRule>
    <cfRule type="expression" dxfId="1869" priority="2800">
      <formula>AND(AW140&gt;5,P140="NA")</formula>
    </cfRule>
    <cfRule type="expression" dxfId="1868" priority="2801">
      <formula>AND(AW140&lt;5,P140="NA")</formula>
    </cfRule>
    <cfRule type="expression" dxfId="1867" priority="2802">
      <formula>AND(P140&lt;&gt;"NA",P140&gt;$P$16)</formula>
    </cfRule>
  </conditionalFormatting>
  <conditionalFormatting sqref="Q140">
    <cfRule type="expression" priority="2734" stopIfTrue="1">
      <formula>"ISBLANK($K$185)"</formula>
    </cfRule>
    <cfRule type="expression" dxfId="1866" priority="2793">
      <formula>AND(OR(AW140=0,ISBLANK(Q140)),B140&lt;&gt;"")</formula>
    </cfRule>
    <cfRule type="expression" dxfId="1865" priority="2794">
      <formula>AND(Q140="NA",NOT(ISTEXT(P140)))</formula>
    </cfRule>
    <cfRule type="expression" dxfId="1864" priority="2795">
      <formula>AND(AW140&gt;5,Q140="NA")</formula>
    </cfRule>
    <cfRule type="expression" dxfId="1863" priority="2796">
      <formula>AND(AW140&lt;5,Q140="NA")</formula>
    </cfRule>
    <cfRule type="expression" dxfId="1862" priority="2797">
      <formula>AND(Q140&lt;&gt;"NA",Q140&gt;$Q$16)</formula>
    </cfRule>
  </conditionalFormatting>
  <conditionalFormatting sqref="R140">
    <cfRule type="expression" priority="2733" stopIfTrue="1">
      <formula>"ISBLANK($K$185)"</formula>
    </cfRule>
    <cfRule type="expression" dxfId="1861" priority="2788">
      <formula>AND(OR(AW140=0,ISBLANK(R140)),B140&lt;&gt;"")</formula>
    </cfRule>
    <cfRule type="expression" dxfId="1860" priority="2789">
      <formula>AND(R140="NA",NOT(ISTEXT(S140)))</formula>
    </cfRule>
    <cfRule type="expression" dxfId="1859" priority="2790">
      <formula>AND(AW140&gt;5,R140="NA")</formula>
    </cfRule>
    <cfRule type="expression" dxfId="1858" priority="2791">
      <formula>AND(AW140&lt;5,R140="NA")</formula>
    </cfRule>
    <cfRule type="expression" dxfId="1857" priority="2792">
      <formula>AND(R140&lt;&gt;"NA",R140&gt;$R$16)</formula>
    </cfRule>
  </conditionalFormatting>
  <conditionalFormatting sqref="S140">
    <cfRule type="expression" priority="2732" stopIfTrue="1">
      <formula>"ISBLANK($K$185)"</formula>
    </cfRule>
    <cfRule type="expression" dxfId="1856" priority="2783">
      <formula>AND(OR(AW140=0,ISBLANK(S140)),B140&lt;&gt;"")</formula>
    </cfRule>
    <cfRule type="expression" dxfId="1855" priority="2784">
      <formula>AND(S140="NA",NOT(ISTEXT(R140)))</formula>
    </cfRule>
    <cfRule type="expression" dxfId="1854" priority="2785">
      <formula>AND(AW140&gt;5,S140="NA")</formula>
    </cfRule>
    <cfRule type="expression" dxfId="1853" priority="2786">
      <formula>AND(AW140&lt;5,S140="NA")</formula>
    </cfRule>
    <cfRule type="expression" dxfId="1852" priority="2787">
      <formula>AND(S140&lt;&gt;"NA",S140&gt;$S$16)</formula>
    </cfRule>
  </conditionalFormatting>
  <conditionalFormatting sqref="T140">
    <cfRule type="expression" priority="2731" stopIfTrue="1">
      <formula>"ISBLANK($K$185)"</formula>
    </cfRule>
    <cfRule type="expression" dxfId="1851" priority="2778">
      <formula>AND(OR(AW140=0,ISBLANK(T140)),B140&lt;&gt;"")</formula>
    </cfRule>
    <cfRule type="expression" dxfId="1850" priority="2779">
      <formula>AND(T140="NA",NOT(ISTEXT(U140)))</formula>
    </cfRule>
    <cfRule type="expression" dxfId="1849" priority="2780">
      <formula>AND(AW140&gt;5,T140="NA")</formula>
    </cfRule>
    <cfRule type="expression" dxfId="1848" priority="2781">
      <formula>AND(AW140&lt;5,T140="NA")</formula>
    </cfRule>
    <cfRule type="expression" dxfId="1847" priority="2782">
      <formula>AND(T140&lt;&gt;"NA",T140&gt;$T$16)</formula>
    </cfRule>
  </conditionalFormatting>
  <conditionalFormatting sqref="U140">
    <cfRule type="expression" priority="2730" stopIfTrue="1">
      <formula>"ISBLANK($K$185)"</formula>
    </cfRule>
    <cfRule type="expression" dxfId="1846" priority="2773">
      <formula>AND(OR(AW140=0,ISBLANK(U140)),B140&lt;&gt;"")</formula>
    </cfRule>
    <cfRule type="expression" dxfId="1845" priority="2774">
      <formula>AND(U140="NA",NOT(ISTEXT(T140)))</formula>
    </cfRule>
    <cfRule type="expression" dxfId="1844" priority="2775">
      <formula>AND(AW140&gt;5,U140="NA")</formula>
    </cfRule>
    <cfRule type="expression" dxfId="1843" priority="2776">
      <formula>AND(AW140&lt;5,U140="NA")</formula>
    </cfRule>
    <cfRule type="expression" dxfId="1842" priority="2777">
      <formula>AND(U140&lt;&gt;"NA",U140&gt;$U$16)</formula>
    </cfRule>
  </conditionalFormatting>
  <conditionalFormatting sqref="V140">
    <cfRule type="expression" priority="2729" stopIfTrue="1">
      <formula>"ISBLANK($K$185)"</formula>
    </cfRule>
    <cfRule type="expression" dxfId="1841" priority="2768">
      <formula>AND(OR(AW140=0,ISBLANK(V140)),B140&lt;&gt;"")</formula>
    </cfRule>
    <cfRule type="expression" dxfId="1840" priority="2769">
      <formula>AND(V140="NA",NOT(ISTEXT(W140)))</formula>
    </cfRule>
    <cfRule type="expression" dxfId="1839" priority="2770">
      <formula>AND(AW140&gt;5,V140="NA")</formula>
    </cfRule>
    <cfRule type="expression" dxfId="1838" priority="2771">
      <formula>AND(AW140&lt;5,V140="NA")</formula>
    </cfRule>
    <cfRule type="expression" dxfId="1837" priority="2772">
      <formula>AND(V140&lt;&gt;"NA",V140&gt;$V$16)</formula>
    </cfRule>
  </conditionalFormatting>
  <conditionalFormatting sqref="W140">
    <cfRule type="expression" priority="2728" stopIfTrue="1">
      <formula>"ISBLANK($K$185)"</formula>
    </cfRule>
    <cfRule type="expression" dxfId="1836" priority="2763">
      <formula>AND(OR(AW140=0,ISBLANK(W140)),B140&lt;&gt;"")</formula>
    </cfRule>
    <cfRule type="expression" dxfId="1835" priority="2764">
      <formula>AND(W140="NA",NOT(ISTEXT(V140)))</formula>
    </cfRule>
    <cfRule type="expression" dxfId="1834" priority="2765">
      <formula>AND(AW140&gt;5,W140="NA")</formula>
    </cfRule>
    <cfRule type="expression" dxfId="1833" priority="2766">
      <formula>AND(AW140&lt;5,W140="NA")</formula>
    </cfRule>
    <cfRule type="expression" dxfId="1832" priority="2767">
      <formula>AND(W140&lt;&gt;"NA",W140&gt;$W$16)</formula>
    </cfRule>
  </conditionalFormatting>
  <conditionalFormatting sqref="X140">
    <cfRule type="expression" priority="2727" stopIfTrue="1">
      <formula>"ISBLANK($K$185)"</formula>
    </cfRule>
    <cfRule type="expression" dxfId="1831" priority="2758">
      <formula>AND(OR(AW140=0,ISBLANK(X140)),B140&lt;&gt;"")</formula>
    </cfRule>
    <cfRule type="expression" dxfId="1830" priority="2759">
      <formula>AND(X140="NA",NOT(ISTEXT(Y140)))</formula>
    </cfRule>
    <cfRule type="expression" dxfId="1829" priority="2760">
      <formula>AND(AW140&gt;5,X140="NA")</formula>
    </cfRule>
    <cfRule type="expression" dxfId="1828" priority="2761">
      <formula>AND(AW140&lt;5,X140="NA")</formula>
    </cfRule>
    <cfRule type="expression" dxfId="1827" priority="2762">
      <formula>AND(X140&lt;&gt;"NA",X140&gt;$Y$16)</formula>
    </cfRule>
  </conditionalFormatting>
  <conditionalFormatting sqref="Y140">
    <cfRule type="expression" priority="2726" stopIfTrue="1">
      <formula>"ISBLANK($K$185)"</formula>
    </cfRule>
    <cfRule type="expression" dxfId="1826" priority="2753">
      <formula>AND(OR(AW140=0,ISBLANK(Y140)),B140&lt;&gt;"")</formula>
    </cfRule>
    <cfRule type="expression" dxfId="1825" priority="2754">
      <formula>AND(Y140="NA",NOT(ISTEXT(X140)))</formula>
    </cfRule>
    <cfRule type="expression" dxfId="1824" priority="2755">
      <formula>AND(AW140&gt;5,Y140="NA")</formula>
    </cfRule>
    <cfRule type="expression" dxfId="1823" priority="2756">
      <formula>AND(AW140&lt;5,Y140="NA")</formula>
    </cfRule>
    <cfRule type="expression" dxfId="1822" priority="2757">
      <formula>AND(Y140&lt;&gt;"NA",Y140&gt;$Y$16)</formula>
    </cfRule>
  </conditionalFormatting>
  <conditionalFormatting sqref="N140">
    <cfRule type="expression" priority="2737" stopIfTrue="1">
      <formula>"ISBLANK($K$185)"</formula>
    </cfRule>
    <cfRule type="expression" dxfId="1821" priority="2808">
      <formula>AND(OR(AW140=0,ISBLANK(N140)),B140&lt;&gt;"")</formula>
    </cfRule>
    <cfRule type="expression" dxfId="1820" priority="2809">
      <formula>AND(N140="NA",NOT(ISTEXT(O140)))</formula>
    </cfRule>
    <cfRule type="expression" dxfId="1819" priority="2810">
      <formula>AND(AW140&gt;5,N140="NA")</formula>
    </cfRule>
    <cfRule type="expression" dxfId="1818" priority="2811">
      <formula>AND(AW140&lt;5,N140="NA")</formula>
    </cfRule>
    <cfRule type="expression" dxfId="1817" priority="2812">
      <formula>AND(N140&lt;&gt;"NA",N140&gt;$N$16)</formula>
    </cfRule>
  </conditionalFormatting>
  <conditionalFormatting sqref="O141">
    <cfRule type="expression" priority="2645" stopIfTrue="1">
      <formula>"ISBLANK($K$185)"</formula>
    </cfRule>
    <cfRule type="expression" dxfId="1816" priority="2712">
      <formula>AND(OR(AW141=0,ISBLANK(O141)),B141&lt;&gt;"")</formula>
    </cfRule>
    <cfRule type="expression" dxfId="1815" priority="2713">
      <formula>AND(O141="NA",NOT(ISTEXT(N141)))</formula>
    </cfRule>
    <cfRule type="expression" dxfId="1814" priority="2714">
      <formula>AND(AW141&gt;5,O141="NA")</formula>
    </cfRule>
    <cfRule type="expression" dxfId="1813" priority="2715">
      <formula>AND(AW141&lt;5,O141="NA")</formula>
    </cfRule>
    <cfRule type="expression" dxfId="1812" priority="2716">
      <formula>AND(O141&lt;&gt;"NA",O141&gt;$O$16)</formula>
    </cfRule>
  </conditionalFormatting>
  <conditionalFormatting sqref="P141">
    <cfRule type="expression" priority="2644" stopIfTrue="1">
      <formula>"ISBLANK($K$185)"</formula>
    </cfRule>
    <cfRule type="expression" dxfId="1811" priority="2707">
      <formula>AND(OR(AW141=0,ISBLANK(P141)),B141&lt;&gt;"")</formula>
    </cfRule>
    <cfRule type="expression" dxfId="1810" priority="2708">
      <formula>AND(P141="NA",NOT(ISTEXT(Q141)))</formula>
    </cfRule>
    <cfRule type="expression" dxfId="1809" priority="2709">
      <formula>AND(AW141&gt;5,P141="NA")</formula>
    </cfRule>
    <cfRule type="expression" dxfId="1808" priority="2710">
      <formula>AND(AW141&lt;5,P141="NA")</formula>
    </cfRule>
    <cfRule type="expression" dxfId="1807" priority="2711">
      <formula>AND(P141&lt;&gt;"NA",P141&gt;$P$16)</formula>
    </cfRule>
  </conditionalFormatting>
  <conditionalFormatting sqref="Q141">
    <cfRule type="expression" priority="2643" stopIfTrue="1">
      <formula>"ISBLANK($K$185)"</formula>
    </cfRule>
    <cfRule type="expression" dxfId="1806" priority="2702">
      <formula>AND(OR(AW141=0,ISBLANK(Q141)),B141&lt;&gt;"")</formula>
    </cfRule>
    <cfRule type="expression" dxfId="1805" priority="2703">
      <formula>AND(Q141="NA",NOT(ISTEXT(P141)))</formula>
    </cfRule>
    <cfRule type="expression" dxfId="1804" priority="2704">
      <formula>AND(AW141&gt;5,Q141="NA")</formula>
    </cfRule>
    <cfRule type="expression" dxfId="1803" priority="2705">
      <formula>AND(AW141&lt;5,Q141="NA")</formula>
    </cfRule>
    <cfRule type="expression" dxfId="1802" priority="2706">
      <formula>AND(Q141&lt;&gt;"NA",Q141&gt;$Q$16)</formula>
    </cfRule>
  </conditionalFormatting>
  <conditionalFormatting sqref="R141">
    <cfRule type="expression" priority="2642" stopIfTrue="1">
      <formula>"ISBLANK($K$185)"</formula>
    </cfRule>
    <cfRule type="expression" dxfId="1801" priority="2697">
      <formula>AND(OR(AW141=0,ISBLANK(R141)),B141&lt;&gt;"")</formula>
    </cfRule>
    <cfRule type="expression" dxfId="1800" priority="2698">
      <formula>AND(R141="NA",NOT(ISTEXT(S141)))</formula>
    </cfRule>
    <cfRule type="expression" dxfId="1799" priority="2699">
      <formula>AND(AW141&gt;5,R141="NA")</formula>
    </cfRule>
    <cfRule type="expression" dxfId="1798" priority="2700">
      <formula>AND(AW141&lt;5,R141="NA")</formula>
    </cfRule>
    <cfRule type="expression" dxfId="1797" priority="2701">
      <formula>AND(R141&lt;&gt;"NA",R141&gt;$R$16)</formula>
    </cfRule>
  </conditionalFormatting>
  <conditionalFormatting sqref="S141">
    <cfRule type="expression" priority="2641" stopIfTrue="1">
      <formula>"ISBLANK($K$185)"</formula>
    </cfRule>
    <cfRule type="expression" dxfId="1796" priority="2692">
      <formula>AND(OR(AW141=0,ISBLANK(S141)),B141&lt;&gt;"")</formula>
    </cfRule>
    <cfRule type="expression" dxfId="1795" priority="2693">
      <formula>AND(S141="NA",NOT(ISTEXT(R141)))</formula>
    </cfRule>
    <cfRule type="expression" dxfId="1794" priority="2694">
      <formula>AND(AW141&gt;5,S141="NA")</formula>
    </cfRule>
    <cfRule type="expression" dxfId="1793" priority="2695">
      <formula>AND(AW141&lt;5,S141="NA")</formula>
    </cfRule>
    <cfRule type="expression" dxfId="1792" priority="2696">
      <formula>AND(S141&lt;&gt;"NA",S141&gt;$S$16)</formula>
    </cfRule>
  </conditionalFormatting>
  <conditionalFormatting sqref="T141">
    <cfRule type="expression" priority="2640" stopIfTrue="1">
      <formula>"ISBLANK($K$185)"</formula>
    </cfRule>
    <cfRule type="expression" dxfId="1791" priority="2687">
      <formula>AND(OR(AW141=0,ISBLANK(T141)),B141&lt;&gt;"")</formula>
    </cfRule>
    <cfRule type="expression" dxfId="1790" priority="2688">
      <formula>AND(T141="NA",NOT(ISTEXT(U141)))</formula>
    </cfRule>
    <cfRule type="expression" dxfId="1789" priority="2689">
      <formula>AND(AW141&gt;5,T141="NA")</formula>
    </cfRule>
    <cfRule type="expression" dxfId="1788" priority="2690">
      <formula>AND(AW141&lt;5,T141="NA")</formula>
    </cfRule>
    <cfRule type="expression" dxfId="1787" priority="2691">
      <formula>AND(T141&lt;&gt;"NA",T141&gt;$T$16)</formula>
    </cfRule>
  </conditionalFormatting>
  <conditionalFormatting sqref="U141">
    <cfRule type="expression" priority="2639" stopIfTrue="1">
      <formula>"ISBLANK($K$185)"</formula>
    </cfRule>
    <cfRule type="expression" dxfId="1786" priority="2682">
      <formula>AND(OR(AW141=0,ISBLANK(U141)),B141&lt;&gt;"")</formula>
    </cfRule>
    <cfRule type="expression" dxfId="1785" priority="2683">
      <formula>AND(U141="NA",NOT(ISTEXT(T141)))</formula>
    </cfRule>
    <cfRule type="expression" dxfId="1784" priority="2684">
      <formula>AND(AW141&gt;5,U141="NA")</formula>
    </cfRule>
    <cfRule type="expression" dxfId="1783" priority="2685">
      <formula>AND(AW141&lt;5,U141="NA")</formula>
    </cfRule>
    <cfRule type="expression" dxfId="1782" priority="2686">
      <formula>AND(U141&lt;&gt;"NA",U141&gt;$U$16)</formula>
    </cfRule>
  </conditionalFormatting>
  <conditionalFormatting sqref="V141">
    <cfRule type="expression" priority="2638" stopIfTrue="1">
      <formula>"ISBLANK($K$185)"</formula>
    </cfRule>
    <cfRule type="expression" dxfId="1781" priority="2677">
      <formula>AND(OR(AW141=0,ISBLANK(V141)),B141&lt;&gt;"")</formula>
    </cfRule>
    <cfRule type="expression" dxfId="1780" priority="2678">
      <formula>AND(V141="NA",NOT(ISTEXT(W141)))</formula>
    </cfRule>
    <cfRule type="expression" dxfId="1779" priority="2679">
      <formula>AND(AW141&gt;5,V141="NA")</formula>
    </cfRule>
    <cfRule type="expression" dxfId="1778" priority="2680">
      <formula>AND(AW141&lt;5,V141="NA")</formula>
    </cfRule>
    <cfRule type="expression" dxfId="1777" priority="2681">
      <formula>AND(V141&lt;&gt;"NA",V141&gt;$V$16)</formula>
    </cfRule>
  </conditionalFormatting>
  <conditionalFormatting sqref="W141">
    <cfRule type="expression" priority="2637" stopIfTrue="1">
      <formula>"ISBLANK($K$185)"</formula>
    </cfRule>
    <cfRule type="expression" dxfId="1776" priority="2672">
      <formula>AND(OR(AW141=0,ISBLANK(W141)),B141&lt;&gt;"")</formula>
    </cfRule>
    <cfRule type="expression" dxfId="1775" priority="2673">
      <formula>AND(W141="NA",NOT(ISTEXT(V141)))</formula>
    </cfRule>
    <cfRule type="expression" dxfId="1774" priority="2674">
      <formula>AND(AW141&gt;5,W141="NA")</formula>
    </cfRule>
    <cfRule type="expression" dxfId="1773" priority="2675">
      <formula>AND(AW141&lt;5,W141="NA")</formula>
    </cfRule>
    <cfRule type="expression" dxfId="1772" priority="2676">
      <formula>AND(W141&lt;&gt;"NA",W141&gt;$W$16)</formula>
    </cfRule>
  </conditionalFormatting>
  <conditionalFormatting sqref="X141">
    <cfRule type="expression" priority="2636" stopIfTrue="1">
      <formula>"ISBLANK($K$185)"</formula>
    </cfRule>
    <cfRule type="expression" dxfId="1771" priority="2667">
      <formula>AND(OR(AW141=0,ISBLANK(X141)),B141&lt;&gt;"")</formula>
    </cfRule>
    <cfRule type="expression" dxfId="1770" priority="2668">
      <formula>AND(X141="NA",NOT(ISTEXT(Y141)))</formula>
    </cfRule>
    <cfRule type="expression" dxfId="1769" priority="2669">
      <formula>AND(AW141&gt;5,X141="NA")</formula>
    </cfRule>
    <cfRule type="expression" dxfId="1768" priority="2670">
      <formula>AND(AW141&lt;5,X141="NA")</formula>
    </cfRule>
    <cfRule type="expression" dxfId="1767" priority="2671">
      <formula>AND(X141&lt;&gt;"NA",X141&gt;$Y$16)</formula>
    </cfRule>
  </conditionalFormatting>
  <conditionalFormatting sqref="Y141">
    <cfRule type="expression" priority="2635" stopIfTrue="1">
      <formula>"ISBLANK($K$185)"</formula>
    </cfRule>
    <cfRule type="expression" dxfId="1766" priority="2662">
      <formula>AND(OR(AW141=0,ISBLANK(Y141)),B141&lt;&gt;"")</formula>
    </cfRule>
    <cfRule type="expression" dxfId="1765" priority="2663">
      <formula>AND(Y141="NA",NOT(ISTEXT(X141)))</formula>
    </cfRule>
    <cfRule type="expression" dxfId="1764" priority="2664">
      <formula>AND(AW141&gt;5,Y141="NA")</formula>
    </cfRule>
    <cfRule type="expression" dxfId="1763" priority="2665">
      <formula>AND(AW141&lt;5,Y141="NA")</formula>
    </cfRule>
    <cfRule type="expression" dxfId="1762" priority="2666">
      <formula>AND(Y141&lt;&gt;"NA",Y141&gt;$Y$16)</formula>
    </cfRule>
  </conditionalFormatting>
  <conditionalFormatting sqref="N141">
    <cfRule type="expression" priority="2646" stopIfTrue="1">
      <formula>"ISBLANK($K$185)"</formula>
    </cfRule>
    <cfRule type="expression" dxfId="1761" priority="2717">
      <formula>AND(OR(AW141=0,ISBLANK(N141)),B141&lt;&gt;"")</formula>
    </cfRule>
    <cfRule type="expression" dxfId="1760" priority="2718">
      <formula>AND(N141="NA",NOT(ISTEXT(O141)))</formula>
    </cfRule>
    <cfRule type="expression" dxfId="1759" priority="2719">
      <formula>AND(AW141&gt;5,N141="NA")</formula>
    </cfRule>
    <cfRule type="expression" dxfId="1758" priority="2720">
      <formula>AND(AW141&lt;5,N141="NA")</formula>
    </cfRule>
    <cfRule type="expression" dxfId="1757" priority="2721">
      <formula>AND(N141&lt;&gt;"NA",N141&gt;$N$16)</formula>
    </cfRule>
  </conditionalFormatting>
  <conditionalFormatting sqref="O142">
    <cfRule type="expression" priority="2554" stopIfTrue="1">
      <formula>"ISBLANK($K$185)"</formula>
    </cfRule>
    <cfRule type="expression" dxfId="1756" priority="2621">
      <formula>AND(OR(AW142=0,ISBLANK(O142)),B142&lt;&gt;"")</formula>
    </cfRule>
    <cfRule type="expression" dxfId="1755" priority="2622">
      <formula>AND(O142="NA",NOT(ISTEXT(N142)))</formula>
    </cfRule>
    <cfRule type="expression" dxfId="1754" priority="2623">
      <formula>AND(AW142&gt;5,O142="NA")</formula>
    </cfRule>
    <cfRule type="expression" dxfId="1753" priority="2624">
      <formula>AND(AW142&lt;5,O142="NA")</formula>
    </cfRule>
    <cfRule type="expression" dxfId="1752" priority="2625">
      <formula>AND(O142&lt;&gt;"NA",O142&gt;$O$16)</formula>
    </cfRule>
  </conditionalFormatting>
  <conditionalFormatting sqref="P142">
    <cfRule type="expression" priority="2553" stopIfTrue="1">
      <formula>"ISBLANK($K$185)"</formula>
    </cfRule>
    <cfRule type="expression" dxfId="1751" priority="2616">
      <formula>AND(OR(AW142=0,ISBLANK(P142)),B142&lt;&gt;"")</formula>
    </cfRule>
    <cfRule type="expression" dxfId="1750" priority="2617">
      <formula>AND(P142="NA",NOT(ISTEXT(Q142)))</formula>
    </cfRule>
    <cfRule type="expression" dxfId="1749" priority="2618">
      <formula>AND(AW142&gt;5,P142="NA")</formula>
    </cfRule>
    <cfRule type="expression" dxfId="1748" priority="2619">
      <formula>AND(AW142&lt;5,P142="NA")</formula>
    </cfRule>
    <cfRule type="expression" dxfId="1747" priority="2620">
      <formula>AND(P142&lt;&gt;"NA",P142&gt;$P$16)</formula>
    </cfRule>
  </conditionalFormatting>
  <conditionalFormatting sqref="Q142">
    <cfRule type="expression" priority="2552" stopIfTrue="1">
      <formula>"ISBLANK($K$185)"</formula>
    </cfRule>
    <cfRule type="expression" dxfId="1746" priority="2611">
      <formula>AND(OR(AW142=0,ISBLANK(Q142)),B142&lt;&gt;"")</formula>
    </cfRule>
    <cfRule type="expression" dxfId="1745" priority="2612">
      <formula>AND(Q142="NA",NOT(ISTEXT(P142)))</formula>
    </cfRule>
    <cfRule type="expression" dxfId="1744" priority="2613">
      <formula>AND(AW142&gt;5,Q142="NA")</formula>
    </cfRule>
    <cfRule type="expression" dxfId="1743" priority="2614">
      <formula>AND(AW142&lt;5,Q142="NA")</formula>
    </cfRule>
    <cfRule type="expression" dxfId="1742" priority="2615">
      <formula>AND(Q142&lt;&gt;"NA",Q142&gt;$Q$16)</formula>
    </cfRule>
  </conditionalFormatting>
  <conditionalFormatting sqref="R142">
    <cfRule type="expression" priority="2551" stopIfTrue="1">
      <formula>"ISBLANK($K$185)"</formula>
    </cfRule>
    <cfRule type="expression" dxfId="1741" priority="2606">
      <formula>AND(OR(AW142=0,ISBLANK(R142)),B142&lt;&gt;"")</formula>
    </cfRule>
    <cfRule type="expression" dxfId="1740" priority="2607">
      <formula>AND(R142="NA",NOT(ISTEXT(S142)))</formula>
    </cfRule>
    <cfRule type="expression" dxfId="1739" priority="2608">
      <formula>AND(AW142&gt;5,R142="NA")</formula>
    </cfRule>
    <cfRule type="expression" dxfId="1738" priority="2609">
      <formula>AND(AW142&lt;5,R142="NA")</formula>
    </cfRule>
    <cfRule type="expression" dxfId="1737" priority="2610">
      <formula>AND(R142&lt;&gt;"NA",R142&gt;$R$16)</formula>
    </cfRule>
  </conditionalFormatting>
  <conditionalFormatting sqref="S142">
    <cfRule type="expression" priority="2550" stopIfTrue="1">
      <formula>"ISBLANK($K$185)"</formula>
    </cfRule>
    <cfRule type="expression" dxfId="1736" priority="2601">
      <formula>AND(OR(AW142=0,ISBLANK(S142)),B142&lt;&gt;"")</formula>
    </cfRule>
    <cfRule type="expression" dxfId="1735" priority="2602">
      <formula>AND(S142="NA",NOT(ISTEXT(R142)))</formula>
    </cfRule>
    <cfRule type="expression" dxfId="1734" priority="2603">
      <formula>AND(AW142&gt;5,S142="NA")</formula>
    </cfRule>
    <cfRule type="expression" dxfId="1733" priority="2604">
      <formula>AND(AW142&lt;5,S142="NA")</formula>
    </cfRule>
    <cfRule type="expression" dxfId="1732" priority="2605">
      <formula>AND(S142&lt;&gt;"NA",S142&gt;$S$16)</formula>
    </cfRule>
  </conditionalFormatting>
  <conditionalFormatting sqref="T142">
    <cfRule type="expression" priority="2549" stopIfTrue="1">
      <formula>"ISBLANK($K$185)"</formula>
    </cfRule>
    <cfRule type="expression" dxfId="1731" priority="2596">
      <formula>AND(OR(AW142=0,ISBLANK(T142)),B142&lt;&gt;"")</formula>
    </cfRule>
    <cfRule type="expression" dxfId="1730" priority="2597">
      <formula>AND(T142="NA",NOT(ISTEXT(U142)))</formula>
    </cfRule>
    <cfRule type="expression" dxfId="1729" priority="2598">
      <formula>AND(AW142&gt;5,T142="NA")</formula>
    </cfRule>
    <cfRule type="expression" dxfId="1728" priority="2599">
      <formula>AND(AW142&lt;5,T142="NA")</formula>
    </cfRule>
    <cfRule type="expression" dxfId="1727" priority="2600">
      <formula>AND(T142&lt;&gt;"NA",T142&gt;$T$16)</formula>
    </cfRule>
  </conditionalFormatting>
  <conditionalFormatting sqref="U142">
    <cfRule type="expression" priority="2548" stopIfTrue="1">
      <formula>"ISBLANK($K$185)"</formula>
    </cfRule>
    <cfRule type="expression" dxfId="1726" priority="2591">
      <formula>AND(OR(AW142=0,ISBLANK(U142)),B142&lt;&gt;"")</formula>
    </cfRule>
    <cfRule type="expression" dxfId="1725" priority="2592">
      <formula>AND(U142="NA",NOT(ISTEXT(T142)))</formula>
    </cfRule>
    <cfRule type="expression" dxfId="1724" priority="2593">
      <formula>AND(AW142&gt;5,U142="NA")</formula>
    </cfRule>
    <cfRule type="expression" dxfId="1723" priority="2594">
      <formula>AND(AW142&lt;5,U142="NA")</formula>
    </cfRule>
    <cfRule type="expression" dxfId="1722" priority="2595">
      <formula>AND(U142&lt;&gt;"NA",U142&gt;$U$16)</formula>
    </cfRule>
  </conditionalFormatting>
  <conditionalFormatting sqref="V142">
    <cfRule type="expression" priority="2547" stopIfTrue="1">
      <formula>"ISBLANK($K$185)"</formula>
    </cfRule>
    <cfRule type="expression" dxfId="1721" priority="2586">
      <formula>AND(OR(AW142=0,ISBLANK(V142)),B142&lt;&gt;"")</formula>
    </cfRule>
    <cfRule type="expression" dxfId="1720" priority="2587">
      <formula>AND(V142="NA",NOT(ISTEXT(W142)))</formula>
    </cfRule>
    <cfRule type="expression" dxfId="1719" priority="2588">
      <formula>AND(AW142&gt;5,V142="NA")</formula>
    </cfRule>
    <cfRule type="expression" dxfId="1718" priority="2589">
      <formula>AND(AW142&lt;5,V142="NA")</formula>
    </cfRule>
    <cfRule type="expression" dxfId="1717" priority="2590">
      <formula>AND(V142&lt;&gt;"NA",V142&gt;$V$16)</formula>
    </cfRule>
  </conditionalFormatting>
  <conditionalFormatting sqref="W142">
    <cfRule type="expression" priority="2546" stopIfTrue="1">
      <formula>"ISBLANK($K$185)"</formula>
    </cfRule>
    <cfRule type="expression" dxfId="1716" priority="2581">
      <formula>AND(OR(AW142=0,ISBLANK(W142)),B142&lt;&gt;"")</formula>
    </cfRule>
    <cfRule type="expression" dxfId="1715" priority="2582">
      <formula>AND(W142="NA",NOT(ISTEXT(V142)))</formula>
    </cfRule>
    <cfRule type="expression" dxfId="1714" priority="2583">
      <formula>AND(AW142&gt;5,W142="NA")</formula>
    </cfRule>
    <cfRule type="expression" dxfId="1713" priority="2584">
      <formula>AND(AW142&lt;5,W142="NA")</formula>
    </cfRule>
    <cfRule type="expression" dxfId="1712" priority="2585">
      <formula>AND(W142&lt;&gt;"NA",W142&gt;$W$16)</formula>
    </cfRule>
  </conditionalFormatting>
  <conditionalFormatting sqref="X142">
    <cfRule type="expression" priority="2545" stopIfTrue="1">
      <formula>"ISBLANK($K$185)"</formula>
    </cfRule>
    <cfRule type="expression" dxfId="1711" priority="2576">
      <formula>AND(OR(AW142=0,ISBLANK(X142)),B142&lt;&gt;"")</formula>
    </cfRule>
    <cfRule type="expression" dxfId="1710" priority="2577">
      <formula>AND(X142="NA",NOT(ISTEXT(Y142)))</formula>
    </cfRule>
    <cfRule type="expression" dxfId="1709" priority="2578">
      <formula>AND(AW142&gt;5,X142="NA")</formula>
    </cfRule>
    <cfRule type="expression" dxfId="1708" priority="2579">
      <formula>AND(AW142&lt;5,X142="NA")</formula>
    </cfRule>
    <cfRule type="expression" dxfId="1707" priority="2580">
      <formula>AND(X142&lt;&gt;"NA",X142&gt;$Y$16)</formula>
    </cfRule>
  </conditionalFormatting>
  <conditionalFormatting sqref="Y142">
    <cfRule type="expression" priority="2544" stopIfTrue="1">
      <formula>"ISBLANK($K$185)"</formula>
    </cfRule>
    <cfRule type="expression" dxfId="1706" priority="2571">
      <formula>AND(OR(AW142=0,ISBLANK(Y142)),B142&lt;&gt;"")</formula>
    </cfRule>
    <cfRule type="expression" dxfId="1705" priority="2572">
      <formula>AND(Y142="NA",NOT(ISTEXT(X142)))</formula>
    </cfRule>
    <cfRule type="expression" dxfId="1704" priority="2573">
      <formula>AND(AW142&gt;5,Y142="NA")</formula>
    </cfRule>
    <cfRule type="expression" dxfId="1703" priority="2574">
      <formula>AND(AW142&lt;5,Y142="NA")</formula>
    </cfRule>
    <cfRule type="expression" dxfId="1702" priority="2575">
      <formula>AND(Y142&lt;&gt;"NA",Y142&gt;$Y$16)</formula>
    </cfRule>
  </conditionalFormatting>
  <conditionalFormatting sqref="N142">
    <cfRule type="expression" priority="2555" stopIfTrue="1">
      <formula>"ISBLANK($K$185)"</formula>
    </cfRule>
    <cfRule type="expression" dxfId="1701" priority="2626">
      <formula>AND(OR(AW142=0,ISBLANK(N142)),B142&lt;&gt;"")</formula>
    </cfRule>
    <cfRule type="expression" dxfId="1700" priority="2627">
      <formula>AND(N142="NA",NOT(ISTEXT(O142)))</formula>
    </cfRule>
    <cfRule type="expression" dxfId="1699" priority="2628">
      <formula>AND(AW142&gt;5,N142="NA")</formula>
    </cfRule>
    <cfRule type="expression" dxfId="1698" priority="2629">
      <formula>AND(AW142&lt;5,N142="NA")</formula>
    </cfRule>
    <cfRule type="expression" dxfId="1697" priority="2630">
      <formula>AND(N142&lt;&gt;"NA",N142&gt;$N$16)</formula>
    </cfRule>
  </conditionalFormatting>
  <conditionalFormatting sqref="O143">
    <cfRule type="expression" priority="2463" stopIfTrue="1">
      <formula>"ISBLANK($K$185)"</formula>
    </cfRule>
    <cfRule type="expression" dxfId="1696" priority="2530">
      <formula>AND(OR(AW143=0,ISBLANK(O143)),B143&lt;&gt;"")</formula>
    </cfRule>
    <cfRule type="expression" dxfId="1695" priority="2531">
      <formula>AND(O143="NA",NOT(ISTEXT(N143)))</formula>
    </cfRule>
    <cfRule type="expression" dxfId="1694" priority="2532">
      <formula>AND(AW143&gt;5,O143="NA")</formula>
    </cfRule>
    <cfRule type="expression" dxfId="1693" priority="2533">
      <formula>AND(AW143&lt;5,O143="NA")</formula>
    </cfRule>
    <cfRule type="expression" dxfId="1692" priority="2534">
      <formula>AND(O143&lt;&gt;"NA",O143&gt;$O$16)</formula>
    </cfRule>
  </conditionalFormatting>
  <conditionalFormatting sqref="P143">
    <cfRule type="expression" priority="2462" stopIfTrue="1">
      <formula>"ISBLANK($K$185)"</formula>
    </cfRule>
    <cfRule type="expression" dxfId="1691" priority="2525">
      <formula>AND(OR(AW143=0,ISBLANK(P143)),B143&lt;&gt;"")</formula>
    </cfRule>
    <cfRule type="expression" dxfId="1690" priority="2526">
      <formula>AND(P143="NA",NOT(ISTEXT(Q143)))</formula>
    </cfRule>
    <cfRule type="expression" dxfId="1689" priority="2527">
      <formula>AND(AW143&gt;5,P143="NA")</formula>
    </cfRule>
    <cfRule type="expression" dxfId="1688" priority="2528">
      <formula>AND(AW143&lt;5,P143="NA")</formula>
    </cfRule>
    <cfRule type="expression" dxfId="1687" priority="2529">
      <formula>AND(P143&lt;&gt;"NA",P143&gt;$P$16)</formula>
    </cfRule>
  </conditionalFormatting>
  <conditionalFormatting sqref="Q143">
    <cfRule type="expression" priority="2461" stopIfTrue="1">
      <formula>"ISBLANK($K$185)"</formula>
    </cfRule>
    <cfRule type="expression" dxfId="1686" priority="2520">
      <formula>AND(OR(AW143=0,ISBLANK(Q143)),B143&lt;&gt;"")</formula>
    </cfRule>
    <cfRule type="expression" dxfId="1685" priority="2521">
      <formula>AND(Q143="NA",NOT(ISTEXT(P143)))</formula>
    </cfRule>
    <cfRule type="expression" dxfId="1684" priority="2522">
      <formula>AND(AW143&gt;5,Q143="NA")</formula>
    </cfRule>
    <cfRule type="expression" dxfId="1683" priority="2523">
      <formula>AND(AW143&lt;5,Q143="NA")</formula>
    </cfRule>
    <cfRule type="expression" dxfId="1682" priority="2524">
      <formula>AND(Q143&lt;&gt;"NA",Q143&gt;$Q$16)</formula>
    </cfRule>
  </conditionalFormatting>
  <conditionalFormatting sqref="R143">
    <cfRule type="expression" priority="2460" stopIfTrue="1">
      <formula>"ISBLANK($K$185)"</formula>
    </cfRule>
    <cfRule type="expression" dxfId="1681" priority="2515">
      <formula>AND(OR(AW143=0,ISBLANK(R143)),B143&lt;&gt;"")</formula>
    </cfRule>
    <cfRule type="expression" dxfId="1680" priority="2516">
      <formula>AND(R143="NA",NOT(ISTEXT(S143)))</formula>
    </cfRule>
    <cfRule type="expression" dxfId="1679" priority="2517">
      <formula>AND(AW143&gt;5,R143="NA")</formula>
    </cfRule>
    <cfRule type="expression" dxfId="1678" priority="2518">
      <formula>AND(AW143&lt;5,R143="NA")</formula>
    </cfRule>
    <cfRule type="expression" dxfId="1677" priority="2519">
      <formula>AND(R143&lt;&gt;"NA",R143&gt;$R$16)</formula>
    </cfRule>
  </conditionalFormatting>
  <conditionalFormatting sqref="S143">
    <cfRule type="expression" priority="2459" stopIfTrue="1">
      <formula>"ISBLANK($K$185)"</formula>
    </cfRule>
    <cfRule type="expression" dxfId="1676" priority="2510">
      <formula>AND(OR(AW143=0,ISBLANK(S143)),B143&lt;&gt;"")</formula>
    </cfRule>
    <cfRule type="expression" dxfId="1675" priority="2511">
      <formula>AND(S143="NA",NOT(ISTEXT(R143)))</formula>
    </cfRule>
    <cfRule type="expression" dxfId="1674" priority="2512">
      <formula>AND(AW143&gt;5,S143="NA")</formula>
    </cfRule>
    <cfRule type="expression" dxfId="1673" priority="2513">
      <formula>AND(AW143&lt;5,S143="NA")</formula>
    </cfRule>
    <cfRule type="expression" dxfId="1672" priority="2514">
      <formula>AND(S143&lt;&gt;"NA",S143&gt;$S$16)</formula>
    </cfRule>
  </conditionalFormatting>
  <conditionalFormatting sqref="T143">
    <cfRule type="expression" priority="2458" stopIfTrue="1">
      <formula>"ISBLANK($K$185)"</formula>
    </cfRule>
    <cfRule type="expression" dxfId="1671" priority="2505">
      <formula>AND(OR(AW143=0,ISBLANK(T143)),B143&lt;&gt;"")</formula>
    </cfRule>
    <cfRule type="expression" dxfId="1670" priority="2506">
      <formula>AND(T143="NA",NOT(ISTEXT(U143)))</formula>
    </cfRule>
    <cfRule type="expression" dxfId="1669" priority="2507">
      <formula>AND(AW143&gt;5,T143="NA")</formula>
    </cfRule>
    <cfRule type="expression" dxfId="1668" priority="2508">
      <formula>AND(AW143&lt;5,T143="NA")</formula>
    </cfRule>
    <cfRule type="expression" dxfId="1667" priority="2509">
      <formula>AND(T143&lt;&gt;"NA",T143&gt;$T$16)</formula>
    </cfRule>
  </conditionalFormatting>
  <conditionalFormatting sqref="U143">
    <cfRule type="expression" priority="2457" stopIfTrue="1">
      <formula>"ISBLANK($K$185)"</formula>
    </cfRule>
    <cfRule type="expression" dxfId="1666" priority="2500">
      <formula>AND(OR(AW143=0,ISBLANK(U143)),B143&lt;&gt;"")</formula>
    </cfRule>
    <cfRule type="expression" dxfId="1665" priority="2501">
      <formula>AND(U143="NA",NOT(ISTEXT(T143)))</formula>
    </cfRule>
    <cfRule type="expression" dxfId="1664" priority="2502">
      <formula>AND(AW143&gt;5,U143="NA")</formula>
    </cfRule>
    <cfRule type="expression" dxfId="1663" priority="2503">
      <formula>AND(AW143&lt;5,U143="NA")</formula>
    </cfRule>
    <cfRule type="expression" dxfId="1662" priority="2504">
      <formula>AND(U143&lt;&gt;"NA",U143&gt;$U$16)</formula>
    </cfRule>
  </conditionalFormatting>
  <conditionalFormatting sqref="V143">
    <cfRule type="expression" priority="2456" stopIfTrue="1">
      <formula>"ISBLANK($K$185)"</formula>
    </cfRule>
    <cfRule type="expression" dxfId="1661" priority="2495">
      <formula>AND(OR(AW143=0,ISBLANK(V143)),B143&lt;&gt;"")</formula>
    </cfRule>
    <cfRule type="expression" dxfId="1660" priority="2496">
      <formula>AND(V143="NA",NOT(ISTEXT(W143)))</formula>
    </cfRule>
    <cfRule type="expression" dxfId="1659" priority="2497">
      <formula>AND(AW143&gt;5,V143="NA")</formula>
    </cfRule>
    <cfRule type="expression" dxfId="1658" priority="2498">
      <formula>AND(AW143&lt;5,V143="NA")</formula>
    </cfRule>
    <cfRule type="expression" dxfId="1657" priority="2499">
      <formula>AND(V143&lt;&gt;"NA",V143&gt;$V$16)</formula>
    </cfRule>
  </conditionalFormatting>
  <conditionalFormatting sqref="W143">
    <cfRule type="expression" priority="2455" stopIfTrue="1">
      <formula>"ISBLANK($K$185)"</formula>
    </cfRule>
    <cfRule type="expression" dxfId="1656" priority="2490">
      <formula>AND(OR(AW143=0,ISBLANK(W143)),B143&lt;&gt;"")</formula>
    </cfRule>
    <cfRule type="expression" dxfId="1655" priority="2491">
      <formula>AND(W143="NA",NOT(ISTEXT(V143)))</formula>
    </cfRule>
    <cfRule type="expression" dxfId="1654" priority="2492">
      <formula>AND(AW143&gt;5,W143="NA")</formula>
    </cfRule>
    <cfRule type="expression" dxfId="1653" priority="2493">
      <formula>AND(AW143&lt;5,W143="NA")</formula>
    </cfRule>
    <cfRule type="expression" dxfId="1652" priority="2494">
      <formula>AND(W143&lt;&gt;"NA",W143&gt;$W$16)</formula>
    </cfRule>
  </conditionalFormatting>
  <conditionalFormatting sqref="X143">
    <cfRule type="expression" priority="2454" stopIfTrue="1">
      <formula>"ISBLANK($K$185)"</formula>
    </cfRule>
    <cfRule type="expression" dxfId="1651" priority="2485">
      <formula>AND(OR(AW143=0,ISBLANK(X143)),B143&lt;&gt;"")</formula>
    </cfRule>
    <cfRule type="expression" dxfId="1650" priority="2486">
      <formula>AND(X143="NA",NOT(ISTEXT(Y143)))</formula>
    </cfRule>
    <cfRule type="expression" dxfId="1649" priority="2487">
      <formula>AND(AW143&gt;5,X143="NA")</formula>
    </cfRule>
    <cfRule type="expression" dxfId="1648" priority="2488">
      <formula>AND(AW143&lt;5,X143="NA")</formula>
    </cfRule>
    <cfRule type="expression" dxfId="1647" priority="2489">
      <formula>AND(X143&lt;&gt;"NA",X143&gt;$Y$16)</formula>
    </cfRule>
  </conditionalFormatting>
  <conditionalFormatting sqref="Y143">
    <cfRule type="expression" priority="2453" stopIfTrue="1">
      <formula>"ISBLANK($K$185)"</formula>
    </cfRule>
    <cfRule type="expression" dxfId="1646" priority="2480">
      <formula>AND(OR(AW143=0,ISBLANK(Y143)),B143&lt;&gt;"")</formula>
    </cfRule>
    <cfRule type="expression" dxfId="1645" priority="2481">
      <formula>AND(Y143="NA",NOT(ISTEXT(X143)))</formula>
    </cfRule>
    <cfRule type="expression" dxfId="1644" priority="2482">
      <formula>AND(AW143&gt;5,Y143="NA")</formula>
    </cfRule>
    <cfRule type="expression" dxfId="1643" priority="2483">
      <formula>AND(AW143&lt;5,Y143="NA")</formula>
    </cfRule>
    <cfRule type="expression" dxfId="1642" priority="2484">
      <formula>AND(Y143&lt;&gt;"NA",Y143&gt;$Y$16)</formula>
    </cfRule>
  </conditionalFormatting>
  <conditionalFormatting sqref="N143">
    <cfRule type="expression" priority="2464" stopIfTrue="1">
      <formula>"ISBLANK($K$185)"</formula>
    </cfRule>
    <cfRule type="expression" dxfId="1641" priority="2535">
      <formula>AND(OR(AW143=0,ISBLANK(N143)),B143&lt;&gt;"")</formula>
    </cfRule>
    <cfRule type="expression" dxfId="1640" priority="2536">
      <formula>AND(N143="NA",NOT(ISTEXT(O143)))</formula>
    </cfRule>
    <cfRule type="expression" dxfId="1639" priority="2537">
      <formula>AND(AW143&gt;5,N143="NA")</formula>
    </cfRule>
    <cfRule type="expression" dxfId="1638" priority="2538">
      <formula>AND(AW143&lt;5,N143="NA")</formula>
    </cfRule>
    <cfRule type="expression" dxfId="1637" priority="2539">
      <formula>AND(N143&lt;&gt;"NA",N143&gt;$N$16)</formula>
    </cfRule>
  </conditionalFormatting>
  <conditionalFormatting sqref="O144">
    <cfRule type="expression" priority="2372" stopIfTrue="1">
      <formula>"ISBLANK($K$185)"</formula>
    </cfRule>
    <cfRule type="expression" dxfId="1636" priority="2439">
      <formula>AND(OR(AW144=0,ISBLANK(O144)),B144&lt;&gt;"")</formula>
    </cfRule>
    <cfRule type="expression" dxfId="1635" priority="2440">
      <formula>AND(O144="NA",NOT(ISTEXT(N144)))</formula>
    </cfRule>
    <cfRule type="expression" dxfId="1634" priority="2441">
      <formula>AND(AW144&gt;5,O144="NA")</formula>
    </cfRule>
    <cfRule type="expression" dxfId="1633" priority="2442">
      <formula>AND(AW144&lt;5,O144="NA")</formula>
    </cfRule>
    <cfRule type="expression" dxfId="1632" priority="2443">
      <formula>AND(O144&lt;&gt;"NA",O144&gt;$O$16)</formula>
    </cfRule>
  </conditionalFormatting>
  <conditionalFormatting sqref="P144">
    <cfRule type="expression" priority="2371" stopIfTrue="1">
      <formula>"ISBLANK($K$185)"</formula>
    </cfRule>
    <cfRule type="expression" dxfId="1631" priority="2434">
      <formula>AND(OR(AW144=0,ISBLANK(P144)),B144&lt;&gt;"")</formula>
    </cfRule>
    <cfRule type="expression" dxfId="1630" priority="2435">
      <formula>AND(P144="NA",NOT(ISTEXT(Q144)))</formula>
    </cfRule>
    <cfRule type="expression" dxfId="1629" priority="2436">
      <formula>AND(AW144&gt;5,P144="NA")</formula>
    </cfRule>
    <cfRule type="expression" dxfId="1628" priority="2437">
      <formula>AND(AW144&lt;5,P144="NA")</formula>
    </cfRule>
    <cfRule type="expression" dxfId="1627" priority="2438">
      <formula>AND(P144&lt;&gt;"NA",P144&gt;$P$16)</formula>
    </cfRule>
  </conditionalFormatting>
  <conditionalFormatting sqref="Q144">
    <cfRule type="expression" priority="2370" stopIfTrue="1">
      <formula>"ISBLANK($K$185)"</formula>
    </cfRule>
    <cfRule type="expression" dxfId="1626" priority="2429">
      <formula>AND(OR(AW144=0,ISBLANK(Q144)),B144&lt;&gt;"")</formula>
    </cfRule>
    <cfRule type="expression" dxfId="1625" priority="2430">
      <formula>AND(Q144="NA",NOT(ISTEXT(P144)))</formula>
    </cfRule>
    <cfRule type="expression" dxfId="1624" priority="2431">
      <formula>AND(AW144&gt;5,Q144="NA")</formula>
    </cfRule>
    <cfRule type="expression" dxfId="1623" priority="2432">
      <formula>AND(AW144&lt;5,Q144="NA")</formula>
    </cfRule>
    <cfRule type="expression" dxfId="1622" priority="2433">
      <formula>AND(Q144&lt;&gt;"NA",Q144&gt;$Q$16)</formula>
    </cfRule>
  </conditionalFormatting>
  <conditionalFormatting sqref="R144">
    <cfRule type="expression" priority="2369" stopIfTrue="1">
      <formula>"ISBLANK($K$185)"</formula>
    </cfRule>
    <cfRule type="expression" dxfId="1621" priority="2424">
      <formula>AND(OR(AW144=0,ISBLANK(R144)),B144&lt;&gt;"")</formula>
    </cfRule>
    <cfRule type="expression" dxfId="1620" priority="2425">
      <formula>AND(R144="NA",NOT(ISTEXT(S144)))</formula>
    </cfRule>
    <cfRule type="expression" dxfId="1619" priority="2426">
      <formula>AND(AW144&gt;5,R144="NA")</formula>
    </cfRule>
    <cfRule type="expression" dxfId="1618" priority="2427">
      <formula>AND(AW144&lt;5,R144="NA")</formula>
    </cfRule>
    <cfRule type="expression" dxfId="1617" priority="2428">
      <formula>AND(R144&lt;&gt;"NA",R144&gt;$R$16)</formula>
    </cfRule>
  </conditionalFormatting>
  <conditionalFormatting sqref="S144">
    <cfRule type="expression" priority="2368" stopIfTrue="1">
      <formula>"ISBLANK($K$185)"</formula>
    </cfRule>
    <cfRule type="expression" dxfId="1616" priority="2419">
      <formula>AND(OR(AW144=0,ISBLANK(S144)),B144&lt;&gt;"")</formula>
    </cfRule>
    <cfRule type="expression" dxfId="1615" priority="2420">
      <formula>AND(S144="NA",NOT(ISTEXT(R144)))</formula>
    </cfRule>
    <cfRule type="expression" dxfId="1614" priority="2421">
      <formula>AND(AW144&gt;5,S144="NA")</formula>
    </cfRule>
    <cfRule type="expression" dxfId="1613" priority="2422">
      <formula>AND(AW144&lt;5,S144="NA")</formula>
    </cfRule>
    <cfRule type="expression" dxfId="1612" priority="2423">
      <formula>AND(S144&lt;&gt;"NA",S144&gt;$S$16)</formula>
    </cfRule>
  </conditionalFormatting>
  <conditionalFormatting sqref="T144">
    <cfRule type="expression" priority="2367" stopIfTrue="1">
      <formula>"ISBLANK($K$185)"</formula>
    </cfRule>
    <cfRule type="expression" dxfId="1611" priority="2414">
      <formula>AND(OR(AW144=0,ISBLANK(T144)),B144&lt;&gt;"")</formula>
    </cfRule>
    <cfRule type="expression" dxfId="1610" priority="2415">
      <formula>AND(T144="NA",NOT(ISTEXT(U144)))</formula>
    </cfRule>
    <cfRule type="expression" dxfId="1609" priority="2416">
      <formula>AND(AW144&gt;5,T144="NA")</formula>
    </cfRule>
    <cfRule type="expression" dxfId="1608" priority="2417">
      <formula>AND(AW144&lt;5,T144="NA")</formula>
    </cfRule>
    <cfRule type="expression" dxfId="1607" priority="2418">
      <formula>AND(T144&lt;&gt;"NA",T144&gt;$T$16)</formula>
    </cfRule>
  </conditionalFormatting>
  <conditionalFormatting sqref="U144">
    <cfRule type="expression" priority="2366" stopIfTrue="1">
      <formula>"ISBLANK($K$185)"</formula>
    </cfRule>
    <cfRule type="expression" dxfId="1606" priority="2409">
      <formula>AND(OR(AW144=0,ISBLANK(U144)),B144&lt;&gt;"")</formula>
    </cfRule>
    <cfRule type="expression" dxfId="1605" priority="2410">
      <formula>AND(U144="NA",NOT(ISTEXT(T144)))</formula>
    </cfRule>
    <cfRule type="expression" dxfId="1604" priority="2411">
      <formula>AND(AW144&gt;5,U144="NA")</formula>
    </cfRule>
    <cfRule type="expression" dxfId="1603" priority="2412">
      <formula>AND(AW144&lt;5,U144="NA")</formula>
    </cfRule>
    <cfRule type="expression" dxfId="1602" priority="2413">
      <formula>AND(U144&lt;&gt;"NA",U144&gt;$U$16)</formula>
    </cfRule>
  </conditionalFormatting>
  <conditionalFormatting sqref="V144">
    <cfRule type="expression" priority="2365" stopIfTrue="1">
      <formula>"ISBLANK($K$185)"</formula>
    </cfRule>
    <cfRule type="expression" dxfId="1601" priority="2404">
      <formula>AND(OR(AW144=0,ISBLANK(V144)),B144&lt;&gt;"")</formula>
    </cfRule>
    <cfRule type="expression" dxfId="1600" priority="2405">
      <formula>AND(V144="NA",NOT(ISTEXT(W144)))</formula>
    </cfRule>
    <cfRule type="expression" dxfId="1599" priority="2406">
      <formula>AND(AW144&gt;5,V144="NA")</formula>
    </cfRule>
    <cfRule type="expression" dxfId="1598" priority="2407">
      <formula>AND(AW144&lt;5,V144="NA")</formula>
    </cfRule>
    <cfRule type="expression" dxfId="1597" priority="2408">
      <formula>AND(V144&lt;&gt;"NA",V144&gt;$V$16)</formula>
    </cfRule>
  </conditionalFormatting>
  <conditionalFormatting sqref="W144">
    <cfRule type="expression" priority="2364" stopIfTrue="1">
      <formula>"ISBLANK($K$185)"</formula>
    </cfRule>
    <cfRule type="expression" dxfId="1596" priority="2399">
      <formula>AND(OR(AW144=0,ISBLANK(W144)),B144&lt;&gt;"")</formula>
    </cfRule>
    <cfRule type="expression" dxfId="1595" priority="2400">
      <formula>AND(W144="NA",NOT(ISTEXT(V144)))</formula>
    </cfRule>
    <cfRule type="expression" dxfId="1594" priority="2401">
      <formula>AND(AW144&gt;5,W144="NA")</formula>
    </cfRule>
    <cfRule type="expression" dxfId="1593" priority="2402">
      <formula>AND(AW144&lt;5,W144="NA")</formula>
    </cfRule>
    <cfRule type="expression" dxfId="1592" priority="2403">
      <formula>AND(W144&lt;&gt;"NA",W144&gt;$W$16)</formula>
    </cfRule>
  </conditionalFormatting>
  <conditionalFormatting sqref="X144">
    <cfRule type="expression" priority="2363" stopIfTrue="1">
      <formula>"ISBLANK($K$185)"</formula>
    </cfRule>
    <cfRule type="expression" dxfId="1591" priority="2394">
      <formula>AND(OR(AW144=0,ISBLANK(X144)),B144&lt;&gt;"")</formula>
    </cfRule>
    <cfRule type="expression" dxfId="1590" priority="2395">
      <formula>AND(X144="NA",NOT(ISTEXT(Y144)))</formula>
    </cfRule>
    <cfRule type="expression" dxfId="1589" priority="2396">
      <formula>AND(AW144&gt;5,X144="NA")</formula>
    </cfRule>
    <cfRule type="expression" dxfId="1588" priority="2397">
      <formula>AND(AW144&lt;5,X144="NA")</formula>
    </cfRule>
    <cfRule type="expression" dxfId="1587" priority="2398">
      <formula>AND(X144&lt;&gt;"NA",X144&gt;$Y$16)</formula>
    </cfRule>
  </conditionalFormatting>
  <conditionalFormatting sqref="Y144">
    <cfRule type="expression" priority="2362" stopIfTrue="1">
      <formula>"ISBLANK($K$185)"</formula>
    </cfRule>
    <cfRule type="expression" dxfId="1586" priority="2389">
      <formula>AND(OR(AW144=0,ISBLANK(Y144)),B144&lt;&gt;"")</formula>
    </cfRule>
    <cfRule type="expression" dxfId="1585" priority="2390">
      <formula>AND(Y144="NA",NOT(ISTEXT(X144)))</formula>
    </cfRule>
    <cfRule type="expression" dxfId="1584" priority="2391">
      <formula>AND(AW144&gt;5,Y144="NA")</formula>
    </cfRule>
    <cfRule type="expression" dxfId="1583" priority="2392">
      <formula>AND(AW144&lt;5,Y144="NA")</formula>
    </cfRule>
    <cfRule type="expression" dxfId="1582" priority="2393">
      <formula>AND(Y144&lt;&gt;"NA",Y144&gt;$Y$16)</formula>
    </cfRule>
  </conditionalFormatting>
  <conditionalFormatting sqref="N144">
    <cfRule type="expression" priority="2373" stopIfTrue="1">
      <formula>"ISBLANK($K$185)"</formula>
    </cfRule>
    <cfRule type="expression" dxfId="1581" priority="2444">
      <formula>AND(OR(AW144=0,ISBLANK(N144)),B144&lt;&gt;"")</formula>
    </cfRule>
    <cfRule type="expression" dxfId="1580" priority="2445">
      <formula>AND(N144="NA",NOT(ISTEXT(O144)))</formula>
    </cfRule>
    <cfRule type="expression" dxfId="1579" priority="2446">
      <formula>AND(AW144&gt;5,N144="NA")</formula>
    </cfRule>
    <cfRule type="expression" dxfId="1578" priority="2447">
      <formula>AND(AW144&lt;5,N144="NA")</formula>
    </cfRule>
    <cfRule type="expression" dxfId="1577" priority="2448">
      <formula>AND(N144&lt;&gt;"NA",N144&gt;$N$16)</formula>
    </cfRule>
  </conditionalFormatting>
  <conditionalFormatting sqref="O145">
    <cfRule type="expression" priority="2281" stopIfTrue="1">
      <formula>"ISBLANK($K$185)"</formula>
    </cfRule>
    <cfRule type="expression" dxfId="1576" priority="2348">
      <formula>AND(OR(AW145=0,ISBLANK(O145)),B145&lt;&gt;"")</formula>
    </cfRule>
    <cfRule type="expression" dxfId="1575" priority="2349">
      <formula>AND(O145="NA",NOT(ISTEXT(N145)))</formula>
    </cfRule>
    <cfRule type="expression" dxfId="1574" priority="2350">
      <formula>AND(AW145&gt;5,O145="NA")</formula>
    </cfRule>
    <cfRule type="expression" dxfId="1573" priority="2351">
      <formula>AND(AW145&lt;5,O145="NA")</formula>
    </cfRule>
    <cfRule type="expression" dxfId="1572" priority="2352">
      <formula>AND(O145&lt;&gt;"NA",O145&gt;$O$16)</formula>
    </cfRule>
  </conditionalFormatting>
  <conditionalFormatting sqref="P145">
    <cfRule type="expression" priority="2280" stopIfTrue="1">
      <formula>"ISBLANK($K$185)"</formula>
    </cfRule>
    <cfRule type="expression" dxfId="1571" priority="2343">
      <formula>AND(OR(AW145=0,ISBLANK(P145)),B145&lt;&gt;"")</formula>
    </cfRule>
    <cfRule type="expression" dxfId="1570" priority="2344">
      <formula>AND(P145="NA",NOT(ISTEXT(Q145)))</formula>
    </cfRule>
    <cfRule type="expression" dxfId="1569" priority="2345">
      <formula>AND(AW145&gt;5,P145="NA")</formula>
    </cfRule>
    <cfRule type="expression" dxfId="1568" priority="2346">
      <formula>AND(AW145&lt;5,P145="NA")</formula>
    </cfRule>
    <cfRule type="expression" dxfId="1567" priority="2347">
      <formula>AND(P145&lt;&gt;"NA",P145&gt;$P$16)</formula>
    </cfRule>
  </conditionalFormatting>
  <conditionalFormatting sqref="Q145">
    <cfRule type="expression" priority="2279" stopIfTrue="1">
      <formula>"ISBLANK($K$185)"</formula>
    </cfRule>
    <cfRule type="expression" dxfId="1566" priority="2338">
      <formula>AND(OR(AW145=0,ISBLANK(Q145)),B145&lt;&gt;"")</formula>
    </cfRule>
    <cfRule type="expression" dxfId="1565" priority="2339">
      <formula>AND(Q145="NA",NOT(ISTEXT(P145)))</formula>
    </cfRule>
    <cfRule type="expression" dxfId="1564" priority="2340">
      <formula>AND(AW145&gt;5,Q145="NA")</formula>
    </cfRule>
    <cfRule type="expression" dxfId="1563" priority="2341">
      <formula>AND(AW145&lt;5,Q145="NA")</formula>
    </cfRule>
    <cfRule type="expression" dxfId="1562" priority="2342">
      <formula>AND(Q145&lt;&gt;"NA",Q145&gt;$Q$16)</formula>
    </cfRule>
  </conditionalFormatting>
  <conditionalFormatting sqref="R145">
    <cfRule type="expression" priority="2278" stopIfTrue="1">
      <formula>"ISBLANK($K$185)"</formula>
    </cfRule>
    <cfRule type="expression" dxfId="1561" priority="2333">
      <formula>AND(OR(AW145=0,ISBLANK(R145)),B145&lt;&gt;"")</formula>
    </cfRule>
    <cfRule type="expression" dxfId="1560" priority="2334">
      <formula>AND(R145="NA",NOT(ISTEXT(S145)))</formula>
    </cfRule>
    <cfRule type="expression" dxfId="1559" priority="2335">
      <formula>AND(AW145&gt;5,R145="NA")</formula>
    </cfRule>
    <cfRule type="expression" dxfId="1558" priority="2336">
      <formula>AND(AW145&lt;5,R145="NA")</formula>
    </cfRule>
    <cfRule type="expression" dxfId="1557" priority="2337">
      <formula>AND(R145&lt;&gt;"NA",R145&gt;$R$16)</formula>
    </cfRule>
  </conditionalFormatting>
  <conditionalFormatting sqref="S145">
    <cfRule type="expression" priority="2277" stopIfTrue="1">
      <formula>"ISBLANK($K$185)"</formula>
    </cfRule>
    <cfRule type="expression" dxfId="1556" priority="2328">
      <formula>AND(OR(AW145=0,ISBLANK(S145)),B145&lt;&gt;"")</formula>
    </cfRule>
    <cfRule type="expression" dxfId="1555" priority="2329">
      <formula>AND(S145="NA",NOT(ISTEXT(R145)))</formula>
    </cfRule>
    <cfRule type="expression" dxfId="1554" priority="2330">
      <formula>AND(AW145&gt;5,S145="NA")</formula>
    </cfRule>
    <cfRule type="expression" dxfId="1553" priority="2331">
      <formula>AND(AW145&lt;5,S145="NA")</formula>
    </cfRule>
    <cfRule type="expression" dxfId="1552" priority="2332">
      <formula>AND(S145&lt;&gt;"NA",S145&gt;$S$16)</formula>
    </cfRule>
  </conditionalFormatting>
  <conditionalFormatting sqref="T145">
    <cfRule type="expression" priority="2276" stopIfTrue="1">
      <formula>"ISBLANK($K$185)"</formula>
    </cfRule>
    <cfRule type="expression" dxfId="1551" priority="2323">
      <formula>AND(OR(AW145=0,ISBLANK(T145)),B145&lt;&gt;"")</formula>
    </cfRule>
    <cfRule type="expression" dxfId="1550" priority="2324">
      <formula>AND(T145="NA",NOT(ISTEXT(U145)))</formula>
    </cfRule>
    <cfRule type="expression" dxfId="1549" priority="2325">
      <formula>AND(AW145&gt;5,T145="NA")</formula>
    </cfRule>
    <cfRule type="expression" dxfId="1548" priority="2326">
      <formula>AND(AW145&lt;5,T145="NA")</formula>
    </cfRule>
    <cfRule type="expression" dxfId="1547" priority="2327">
      <formula>AND(T145&lt;&gt;"NA",T145&gt;$T$16)</formula>
    </cfRule>
  </conditionalFormatting>
  <conditionalFormatting sqref="U145">
    <cfRule type="expression" priority="2275" stopIfTrue="1">
      <formula>"ISBLANK($K$185)"</formula>
    </cfRule>
    <cfRule type="expression" dxfId="1546" priority="2318">
      <formula>AND(OR(AW145=0,ISBLANK(U145)),B145&lt;&gt;"")</formula>
    </cfRule>
    <cfRule type="expression" dxfId="1545" priority="2319">
      <formula>AND(U145="NA",NOT(ISTEXT(T145)))</formula>
    </cfRule>
    <cfRule type="expression" dxfId="1544" priority="2320">
      <formula>AND(AW145&gt;5,U145="NA")</formula>
    </cfRule>
    <cfRule type="expression" dxfId="1543" priority="2321">
      <formula>AND(AW145&lt;5,U145="NA")</formula>
    </cfRule>
    <cfRule type="expression" dxfId="1542" priority="2322">
      <formula>AND(U145&lt;&gt;"NA",U145&gt;$U$16)</formula>
    </cfRule>
  </conditionalFormatting>
  <conditionalFormatting sqref="V145">
    <cfRule type="expression" priority="2274" stopIfTrue="1">
      <formula>"ISBLANK($K$185)"</formula>
    </cfRule>
    <cfRule type="expression" dxfId="1541" priority="2313">
      <formula>AND(OR(AW145=0,ISBLANK(V145)),B145&lt;&gt;"")</formula>
    </cfRule>
    <cfRule type="expression" dxfId="1540" priority="2314">
      <formula>AND(V145="NA",NOT(ISTEXT(W145)))</formula>
    </cfRule>
    <cfRule type="expression" dxfId="1539" priority="2315">
      <formula>AND(AW145&gt;5,V145="NA")</formula>
    </cfRule>
    <cfRule type="expression" dxfId="1538" priority="2316">
      <formula>AND(AW145&lt;5,V145="NA")</formula>
    </cfRule>
    <cfRule type="expression" dxfId="1537" priority="2317">
      <formula>AND(V145&lt;&gt;"NA",V145&gt;$V$16)</formula>
    </cfRule>
  </conditionalFormatting>
  <conditionalFormatting sqref="W145">
    <cfRule type="expression" priority="2273" stopIfTrue="1">
      <formula>"ISBLANK($K$185)"</formula>
    </cfRule>
    <cfRule type="expression" dxfId="1536" priority="2308">
      <formula>AND(OR(AW145=0,ISBLANK(W145)),B145&lt;&gt;"")</formula>
    </cfRule>
    <cfRule type="expression" dxfId="1535" priority="2309">
      <formula>AND(W145="NA",NOT(ISTEXT(V145)))</formula>
    </cfRule>
    <cfRule type="expression" dxfId="1534" priority="2310">
      <formula>AND(AW145&gt;5,W145="NA")</formula>
    </cfRule>
    <cfRule type="expression" dxfId="1533" priority="2311">
      <formula>AND(AW145&lt;5,W145="NA")</formula>
    </cfRule>
    <cfRule type="expression" dxfId="1532" priority="2312">
      <formula>AND(W145&lt;&gt;"NA",W145&gt;$W$16)</formula>
    </cfRule>
  </conditionalFormatting>
  <conditionalFormatting sqref="X145">
    <cfRule type="expression" priority="2272" stopIfTrue="1">
      <formula>"ISBLANK($K$185)"</formula>
    </cfRule>
    <cfRule type="expression" dxfId="1531" priority="2303">
      <formula>AND(OR(AW145=0,ISBLANK(X145)),B145&lt;&gt;"")</formula>
    </cfRule>
    <cfRule type="expression" dxfId="1530" priority="2304">
      <formula>AND(X145="NA",NOT(ISTEXT(Y145)))</formula>
    </cfRule>
    <cfRule type="expression" dxfId="1529" priority="2305">
      <formula>AND(AW145&gt;5,X145="NA")</formula>
    </cfRule>
    <cfRule type="expression" dxfId="1528" priority="2306">
      <formula>AND(AW145&lt;5,X145="NA")</formula>
    </cfRule>
    <cfRule type="expression" dxfId="1527" priority="2307">
      <formula>AND(X145&lt;&gt;"NA",X145&gt;$Y$16)</formula>
    </cfRule>
  </conditionalFormatting>
  <conditionalFormatting sqref="Y145">
    <cfRule type="expression" priority="2271" stopIfTrue="1">
      <formula>"ISBLANK($K$185)"</formula>
    </cfRule>
    <cfRule type="expression" dxfId="1526" priority="2298">
      <formula>AND(OR(AW145=0,ISBLANK(Y145)),B145&lt;&gt;"")</formula>
    </cfRule>
    <cfRule type="expression" dxfId="1525" priority="2299">
      <formula>AND(Y145="NA",NOT(ISTEXT(X145)))</formula>
    </cfRule>
    <cfRule type="expression" dxfId="1524" priority="2300">
      <formula>AND(AW145&gt;5,Y145="NA")</formula>
    </cfRule>
    <cfRule type="expression" dxfId="1523" priority="2301">
      <formula>AND(AW145&lt;5,Y145="NA")</formula>
    </cfRule>
    <cfRule type="expression" dxfId="1522" priority="2302">
      <formula>AND(Y145&lt;&gt;"NA",Y145&gt;$Y$16)</formula>
    </cfRule>
  </conditionalFormatting>
  <conditionalFormatting sqref="N145">
    <cfRule type="expression" priority="2282" stopIfTrue="1">
      <formula>"ISBLANK($K$185)"</formula>
    </cfRule>
    <cfRule type="expression" dxfId="1521" priority="2353">
      <formula>AND(OR(AW145=0,ISBLANK(N145)),B145&lt;&gt;"")</formula>
    </cfRule>
    <cfRule type="expression" dxfId="1520" priority="2354">
      <formula>AND(N145="NA",NOT(ISTEXT(O145)))</formula>
    </cfRule>
    <cfRule type="expression" dxfId="1519" priority="2355">
      <formula>AND(AW145&gt;5,N145="NA")</formula>
    </cfRule>
    <cfRule type="expression" dxfId="1518" priority="2356">
      <formula>AND(AW145&lt;5,N145="NA")</formula>
    </cfRule>
    <cfRule type="expression" dxfId="1517" priority="2357">
      <formula>AND(N145&lt;&gt;"NA",N145&gt;$N$16)</formula>
    </cfRule>
  </conditionalFormatting>
  <conditionalFormatting sqref="O146">
    <cfRule type="expression" priority="2190" stopIfTrue="1">
      <formula>"ISBLANK($K$185)"</formula>
    </cfRule>
    <cfRule type="expression" dxfId="1516" priority="2257">
      <formula>AND(OR(AW146=0,ISBLANK(O146)),B146&lt;&gt;"")</formula>
    </cfRule>
    <cfRule type="expression" dxfId="1515" priority="2258">
      <formula>AND(O146="NA",NOT(ISTEXT(N146)))</formula>
    </cfRule>
    <cfRule type="expression" dxfId="1514" priority="2259">
      <formula>AND(AW146&gt;5,O146="NA")</formula>
    </cfRule>
    <cfRule type="expression" dxfId="1513" priority="2260">
      <formula>AND(AW146&lt;5,O146="NA")</formula>
    </cfRule>
    <cfRule type="expression" dxfId="1512" priority="2261">
      <formula>AND(O146&lt;&gt;"NA",O146&gt;$O$16)</formula>
    </cfRule>
  </conditionalFormatting>
  <conditionalFormatting sqref="P146">
    <cfRule type="expression" priority="2189" stopIfTrue="1">
      <formula>"ISBLANK($K$185)"</formula>
    </cfRule>
    <cfRule type="expression" dxfId="1511" priority="2252">
      <formula>AND(OR(AW146=0,ISBLANK(P146)),B146&lt;&gt;"")</formula>
    </cfRule>
    <cfRule type="expression" dxfId="1510" priority="2253">
      <formula>AND(P146="NA",NOT(ISTEXT(Q146)))</formula>
    </cfRule>
    <cfRule type="expression" dxfId="1509" priority="2254">
      <formula>AND(AW146&gt;5,P146="NA")</formula>
    </cfRule>
    <cfRule type="expression" dxfId="1508" priority="2255">
      <formula>AND(AW146&lt;5,P146="NA")</formula>
    </cfRule>
    <cfRule type="expression" dxfId="1507" priority="2256">
      <formula>AND(P146&lt;&gt;"NA",P146&gt;$P$16)</formula>
    </cfRule>
  </conditionalFormatting>
  <conditionalFormatting sqref="Q146">
    <cfRule type="expression" priority="2188" stopIfTrue="1">
      <formula>"ISBLANK($K$185)"</formula>
    </cfRule>
    <cfRule type="expression" dxfId="1506" priority="2247">
      <formula>AND(OR(AW146=0,ISBLANK(Q146)),B146&lt;&gt;"")</formula>
    </cfRule>
    <cfRule type="expression" dxfId="1505" priority="2248">
      <formula>AND(Q146="NA",NOT(ISTEXT(P146)))</formula>
    </cfRule>
    <cfRule type="expression" dxfId="1504" priority="2249">
      <formula>AND(AW146&gt;5,Q146="NA")</formula>
    </cfRule>
    <cfRule type="expression" dxfId="1503" priority="2250">
      <formula>AND(AW146&lt;5,Q146="NA")</formula>
    </cfRule>
    <cfRule type="expression" dxfId="1502" priority="2251">
      <formula>AND(Q146&lt;&gt;"NA",Q146&gt;$Q$16)</formula>
    </cfRule>
  </conditionalFormatting>
  <conditionalFormatting sqref="R146">
    <cfRule type="expression" priority="2187" stopIfTrue="1">
      <formula>"ISBLANK($K$185)"</formula>
    </cfRule>
    <cfRule type="expression" dxfId="1501" priority="2242">
      <formula>AND(OR(AW146=0,ISBLANK(R146)),B146&lt;&gt;"")</formula>
    </cfRule>
    <cfRule type="expression" dxfId="1500" priority="2243">
      <formula>AND(R146="NA",NOT(ISTEXT(S146)))</formula>
    </cfRule>
    <cfRule type="expression" dxfId="1499" priority="2244">
      <formula>AND(AW146&gt;5,R146="NA")</formula>
    </cfRule>
    <cfRule type="expression" dxfId="1498" priority="2245">
      <formula>AND(AW146&lt;5,R146="NA")</formula>
    </cfRule>
    <cfRule type="expression" dxfId="1497" priority="2246">
      <formula>AND(R146&lt;&gt;"NA",R146&gt;$R$16)</formula>
    </cfRule>
  </conditionalFormatting>
  <conditionalFormatting sqref="S146">
    <cfRule type="expression" priority="2186" stopIfTrue="1">
      <formula>"ISBLANK($K$185)"</formula>
    </cfRule>
    <cfRule type="expression" dxfId="1496" priority="2237">
      <formula>AND(OR(AW146=0,ISBLANK(S146)),B146&lt;&gt;"")</formula>
    </cfRule>
    <cfRule type="expression" dxfId="1495" priority="2238">
      <formula>AND(S146="NA",NOT(ISTEXT(R146)))</formula>
    </cfRule>
    <cfRule type="expression" dxfId="1494" priority="2239">
      <formula>AND(AW146&gt;5,S146="NA")</formula>
    </cfRule>
    <cfRule type="expression" dxfId="1493" priority="2240">
      <formula>AND(AW146&lt;5,S146="NA")</formula>
    </cfRule>
    <cfRule type="expression" dxfId="1492" priority="2241">
      <formula>AND(S146&lt;&gt;"NA",S146&gt;$S$16)</formula>
    </cfRule>
  </conditionalFormatting>
  <conditionalFormatting sqref="T146">
    <cfRule type="expression" priority="2185" stopIfTrue="1">
      <formula>"ISBLANK($K$185)"</formula>
    </cfRule>
    <cfRule type="expression" dxfId="1491" priority="2232">
      <formula>AND(OR(AW146=0,ISBLANK(T146)),B146&lt;&gt;"")</formula>
    </cfRule>
    <cfRule type="expression" dxfId="1490" priority="2233">
      <formula>AND(T146="NA",NOT(ISTEXT(U146)))</formula>
    </cfRule>
    <cfRule type="expression" dxfId="1489" priority="2234">
      <formula>AND(AW146&gt;5,T146="NA")</formula>
    </cfRule>
    <cfRule type="expression" dxfId="1488" priority="2235">
      <formula>AND(AW146&lt;5,T146="NA")</formula>
    </cfRule>
    <cfRule type="expression" dxfId="1487" priority="2236">
      <formula>AND(T146&lt;&gt;"NA",T146&gt;$T$16)</formula>
    </cfRule>
  </conditionalFormatting>
  <conditionalFormatting sqref="U146">
    <cfRule type="expression" priority="2184" stopIfTrue="1">
      <formula>"ISBLANK($K$185)"</formula>
    </cfRule>
    <cfRule type="expression" dxfId="1486" priority="2227">
      <formula>AND(OR(AW146=0,ISBLANK(U146)),B146&lt;&gt;"")</formula>
    </cfRule>
    <cfRule type="expression" dxfId="1485" priority="2228">
      <formula>AND(U146="NA",NOT(ISTEXT(T146)))</formula>
    </cfRule>
    <cfRule type="expression" dxfId="1484" priority="2229">
      <formula>AND(AW146&gt;5,U146="NA")</formula>
    </cfRule>
    <cfRule type="expression" dxfId="1483" priority="2230">
      <formula>AND(AW146&lt;5,U146="NA")</formula>
    </cfRule>
    <cfRule type="expression" dxfId="1482" priority="2231">
      <formula>AND(U146&lt;&gt;"NA",U146&gt;$U$16)</formula>
    </cfRule>
  </conditionalFormatting>
  <conditionalFormatting sqref="V146">
    <cfRule type="expression" priority="2183" stopIfTrue="1">
      <formula>"ISBLANK($K$185)"</formula>
    </cfRule>
    <cfRule type="expression" dxfId="1481" priority="2222">
      <formula>AND(OR(AW146=0,ISBLANK(V146)),B146&lt;&gt;"")</formula>
    </cfRule>
    <cfRule type="expression" dxfId="1480" priority="2223">
      <formula>AND(V146="NA",NOT(ISTEXT(W146)))</formula>
    </cfRule>
    <cfRule type="expression" dxfId="1479" priority="2224">
      <formula>AND(AW146&gt;5,V146="NA")</formula>
    </cfRule>
    <cfRule type="expression" dxfId="1478" priority="2225">
      <formula>AND(AW146&lt;5,V146="NA")</formula>
    </cfRule>
    <cfRule type="expression" dxfId="1477" priority="2226">
      <formula>AND(V146&lt;&gt;"NA",V146&gt;$V$16)</formula>
    </cfRule>
  </conditionalFormatting>
  <conditionalFormatting sqref="W146">
    <cfRule type="expression" priority="2182" stopIfTrue="1">
      <formula>"ISBLANK($K$185)"</formula>
    </cfRule>
    <cfRule type="expression" dxfId="1476" priority="2217">
      <formula>AND(OR(AW146=0,ISBLANK(W146)),B146&lt;&gt;"")</formula>
    </cfRule>
    <cfRule type="expression" dxfId="1475" priority="2218">
      <formula>AND(W146="NA",NOT(ISTEXT(V146)))</formula>
    </cfRule>
    <cfRule type="expression" dxfId="1474" priority="2219">
      <formula>AND(AW146&gt;5,W146="NA")</formula>
    </cfRule>
    <cfRule type="expression" dxfId="1473" priority="2220">
      <formula>AND(AW146&lt;5,W146="NA")</formula>
    </cfRule>
    <cfRule type="expression" dxfId="1472" priority="2221">
      <formula>AND(W146&lt;&gt;"NA",W146&gt;$W$16)</formula>
    </cfRule>
  </conditionalFormatting>
  <conditionalFormatting sqref="X146">
    <cfRule type="expression" priority="2181" stopIfTrue="1">
      <formula>"ISBLANK($K$185)"</formula>
    </cfRule>
    <cfRule type="expression" dxfId="1471" priority="2212">
      <formula>AND(OR(AW146=0,ISBLANK(X146)),B146&lt;&gt;"")</formula>
    </cfRule>
    <cfRule type="expression" dxfId="1470" priority="2213">
      <formula>AND(X146="NA",NOT(ISTEXT(Y146)))</formula>
    </cfRule>
    <cfRule type="expression" dxfId="1469" priority="2214">
      <formula>AND(AW146&gt;5,X146="NA")</formula>
    </cfRule>
    <cfRule type="expression" dxfId="1468" priority="2215">
      <formula>AND(AW146&lt;5,X146="NA")</formula>
    </cfRule>
    <cfRule type="expression" dxfId="1467" priority="2216">
      <formula>AND(X146&lt;&gt;"NA",X146&gt;$Y$16)</formula>
    </cfRule>
  </conditionalFormatting>
  <conditionalFormatting sqref="Y146">
    <cfRule type="expression" priority="2180" stopIfTrue="1">
      <formula>"ISBLANK($K$185)"</formula>
    </cfRule>
    <cfRule type="expression" dxfId="1466" priority="2207">
      <formula>AND(OR(AW146=0,ISBLANK(Y146)),B146&lt;&gt;"")</formula>
    </cfRule>
    <cfRule type="expression" dxfId="1465" priority="2208">
      <formula>AND(Y146="NA",NOT(ISTEXT(X146)))</formula>
    </cfRule>
    <cfRule type="expression" dxfId="1464" priority="2209">
      <formula>AND(AW146&gt;5,Y146="NA")</formula>
    </cfRule>
    <cfRule type="expression" dxfId="1463" priority="2210">
      <formula>AND(AW146&lt;5,Y146="NA")</formula>
    </cfRule>
    <cfRule type="expression" dxfId="1462" priority="2211">
      <formula>AND(Y146&lt;&gt;"NA",Y146&gt;$Y$16)</formula>
    </cfRule>
  </conditionalFormatting>
  <conditionalFormatting sqref="N146">
    <cfRule type="expression" priority="2191" stopIfTrue="1">
      <formula>"ISBLANK($K$185)"</formula>
    </cfRule>
    <cfRule type="expression" dxfId="1461" priority="2262">
      <formula>AND(OR(AW146=0,ISBLANK(N146)),B146&lt;&gt;"")</formula>
    </cfRule>
    <cfRule type="expression" dxfId="1460" priority="2263">
      <formula>AND(N146="NA",NOT(ISTEXT(O146)))</formula>
    </cfRule>
    <cfRule type="expression" dxfId="1459" priority="2264">
      <formula>AND(AW146&gt;5,N146="NA")</formula>
    </cfRule>
    <cfRule type="expression" dxfId="1458" priority="2265">
      <formula>AND(AW146&lt;5,N146="NA")</formula>
    </cfRule>
    <cfRule type="expression" dxfId="1457" priority="2266">
      <formula>AND(N146&lt;&gt;"NA",N146&gt;$N$16)</formula>
    </cfRule>
  </conditionalFormatting>
  <conditionalFormatting sqref="O147">
    <cfRule type="expression" priority="2099" stopIfTrue="1">
      <formula>"ISBLANK($K$185)"</formula>
    </cfRule>
    <cfRule type="expression" dxfId="1456" priority="2166">
      <formula>AND(OR(AW147=0,ISBLANK(O147)),B147&lt;&gt;"")</formula>
    </cfRule>
    <cfRule type="expression" dxfId="1455" priority="2167">
      <formula>AND(O147="NA",NOT(ISTEXT(N147)))</formula>
    </cfRule>
    <cfRule type="expression" dxfId="1454" priority="2168">
      <formula>AND(AW147&gt;5,O147="NA")</formula>
    </cfRule>
    <cfRule type="expression" dxfId="1453" priority="2169">
      <formula>AND(AW147&lt;5,O147="NA")</formula>
    </cfRule>
    <cfRule type="expression" dxfId="1452" priority="2170">
      <formula>AND(O147&lt;&gt;"NA",O147&gt;$O$16)</formula>
    </cfRule>
  </conditionalFormatting>
  <conditionalFormatting sqref="P147">
    <cfRule type="expression" priority="2098" stopIfTrue="1">
      <formula>"ISBLANK($K$185)"</formula>
    </cfRule>
    <cfRule type="expression" dxfId="1451" priority="2161">
      <formula>AND(OR(AW147=0,ISBLANK(P147)),B147&lt;&gt;"")</formula>
    </cfRule>
    <cfRule type="expression" dxfId="1450" priority="2162">
      <formula>AND(P147="NA",NOT(ISTEXT(Q147)))</formula>
    </cfRule>
    <cfRule type="expression" dxfId="1449" priority="2163">
      <formula>AND(AW147&gt;5,P147="NA")</formula>
    </cfRule>
    <cfRule type="expression" dxfId="1448" priority="2164">
      <formula>AND(AW147&lt;5,P147="NA")</formula>
    </cfRule>
    <cfRule type="expression" dxfId="1447" priority="2165">
      <formula>AND(P147&lt;&gt;"NA",P147&gt;$P$16)</formula>
    </cfRule>
  </conditionalFormatting>
  <conditionalFormatting sqref="Q147">
    <cfRule type="expression" priority="2097" stopIfTrue="1">
      <formula>"ISBLANK($K$185)"</formula>
    </cfRule>
    <cfRule type="expression" dxfId="1446" priority="2156">
      <formula>AND(OR(AW147=0,ISBLANK(Q147)),B147&lt;&gt;"")</formula>
    </cfRule>
    <cfRule type="expression" dxfId="1445" priority="2157">
      <formula>AND(Q147="NA",NOT(ISTEXT(P147)))</formula>
    </cfRule>
    <cfRule type="expression" dxfId="1444" priority="2158">
      <formula>AND(AW147&gt;5,Q147="NA")</formula>
    </cfRule>
    <cfRule type="expression" dxfId="1443" priority="2159">
      <formula>AND(AW147&lt;5,Q147="NA")</formula>
    </cfRule>
    <cfRule type="expression" dxfId="1442" priority="2160">
      <formula>AND(Q147&lt;&gt;"NA",Q147&gt;$Q$16)</formula>
    </cfRule>
  </conditionalFormatting>
  <conditionalFormatting sqref="R147">
    <cfRule type="expression" priority="2096" stopIfTrue="1">
      <formula>"ISBLANK($K$185)"</formula>
    </cfRule>
    <cfRule type="expression" dxfId="1441" priority="2151">
      <formula>AND(OR(AW147=0,ISBLANK(R147)),B147&lt;&gt;"")</formula>
    </cfRule>
    <cfRule type="expression" dxfId="1440" priority="2152">
      <formula>AND(R147="NA",NOT(ISTEXT(S147)))</formula>
    </cfRule>
    <cfRule type="expression" dxfId="1439" priority="2153">
      <formula>AND(AW147&gt;5,R147="NA")</formula>
    </cfRule>
    <cfRule type="expression" dxfId="1438" priority="2154">
      <formula>AND(AW147&lt;5,R147="NA")</formula>
    </cfRule>
    <cfRule type="expression" dxfId="1437" priority="2155">
      <formula>AND(R147&lt;&gt;"NA",R147&gt;$R$16)</formula>
    </cfRule>
  </conditionalFormatting>
  <conditionalFormatting sqref="S147">
    <cfRule type="expression" priority="2095" stopIfTrue="1">
      <formula>"ISBLANK($K$185)"</formula>
    </cfRule>
    <cfRule type="expression" dxfId="1436" priority="2146">
      <formula>AND(OR(AW147=0,ISBLANK(S147)),B147&lt;&gt;"")</formula>
    </cfRule>
    <cfRule type="expression" dxfId="1435" priority="2147">
      <formula>AND(S147="NA",NOT(ISTEXT(R147)))</formula>
    </cfRule>
    <cfRule type="expression" dxfId="1434" priority="2148">
      <formula>AND(AW147&gt;5,S147="NA")</formula>
    </cfRule>
    <cfRule type="expression" dxfId="1433" priority="2149">
      <formula>AND(AW147&lt;5,S147="NA")</formula>
    </cfRule>
    <cfRule type="expression" dxfId="1432" priority="2150">
      <formula>AND(S147&lt;&gt;"NA",S147&gt;$S$16)</formula>
    </cfRule>
  </conditionalFormatting>
  <conditionalFormatting sqref="T147">
    <cfRule type="expression" priority="2094" stopIfTrue="1">
      <formula>"ISBLANK($K$185)"</formula>
    </cfRule>
    <cfRule type="expression" dxfId="1431" priority="2141">
      <formula>AND(OR(AW147=0,ISBLANK(T147)),B147&lt;&gt;"")</formula>
    </cfRule>
    <cfRule type="expression" dxfId="1430" priority="2142">
      <formula>AND(T147="NA",NOT(ISTEXT(U147)))</formula>
    </cfRule>
    <cfRule type="expression" dxfId="1429" priority="2143">
      <formula>AND(AW147&gt;5,T147="NA")</formula>
    </cfRule>
    <cfRule type="expression" dxfId="1428" priority="2144">
      <formula>AND(AW147&lt;5,T147="NA")</formula>
    </cfRule>
    <cfRule type="expression" dxfId="1427" priority="2145">
      <formula>AND(T147&lt;&gt;"NA",T147&gt;$T$16)</formula>
    </cfRule>
  </conditionalFormatting>
  <conditionalFormatting sqref="U147">
    <cfRule type="expression" priority="2093" stopIfTrue="1">
      <formula>"ISBLANK($K$185)"</formula>
    </cfRule>
    <cfRule type="expression" dxfId="1426" priority="2136">
      <formula>AND(OR(AW147=0,ISBLANK(U147)),B147&lt;&gt;"")</formula>
    </cfRule>
    <cfRule type="expression" dxfId="1425" priority="2137">
      <formula>AND(U147="NA",NOT(ISTEXT(T147)))</formula>
    </cfRule>
    <cfRule type="expression" dxfId="1424" priority="2138">
      <formula>AND(AW147&gt;5,U147="NA")</formula>
    </cfRule>
    <cfRule type="expression" dxfId="1423" priority="2139">
      <formula>AND(AW147&lt;5,U147="NA")</formula>
    </cfRule>
    <cfRule type="expression" dxfId="1422" priority="2140">
      <formula>AND(U147&lt;&gt;"NA",U147&gt;$U$16)</formula>
    </cfRule>
  </conditionalFormatting>
  <conditionalFormatting sqref="V147">
    <cfRule type="expression" priority="2092" stopIfTrue="1">
      <formula>"ISBLANK($K$185)"</formula>
    </cfRule>
    <cfRule type="expression" dxfId="1421" priority="2131">
      <formula>AND(OR(AW147=0,ISBLANK(V147)),B147&lt;&gt;"")</formula>
    </cfRule>
    <cfRule type="expression" dxfId="1420" priority="2132">
      <formula>AND(V147="NA",NOT(ISTEXT(W147)))</formula>
    </cfRule>
    <cfRule type="expression" dxfId="1419" priority="2133">
      <formula>AND(AW147&gt;5,V147="NA")</formula>
    </cfRule>
    <cfRule type="expression" dxfId="1418" priority="2134">
      <formula>AND(AW147&lt;5,V147="NA")</formula>
    </cfRule>
    <cfRule type="expression" dxfId="1417" priority="2135">
      <formula>AND(V147&lt;&gt;"NA",V147&gt;$V$16)</formula>
    </cfRule>
  </conditionalFormatting>
  <conditionalFormatting sqref="W147">
    <cfRule type="expression" priority="2091" stopIfTrue="1">
      <formula>"ISBLANK($K$185)"</formula>
    </cfRule>
    <cfRule type="expression" dxfId="1416" priority="2126">
      <formula>AND(OR(AW147=0,ISBLANK(W147)),B147&lt;&gt;"")</formula>
    </cfRule>
    <cfRule type="expression" dxfId="1415" priority="2127">
      <formula>AND(W147="NA",NOT(ISTEXT(V147)))</formula>
    </cfRule>
    <cfRule type="expression" dxfId="1414" priority="2128">
      <formula>AND(AW147&gt;5,W147="NA")</formula>
    </cfRule>
    <cfRule type="expression" dxfId="1413" priority="2129">
      <formula>AND(AW147&lt;5,W147="NA")</formula>
    </cfRule>
    <cfRule type="expression" dxfId="1412" priority="2130">
      <formula>AND(W147&lt;&gt;"NA",W147&gt;$W$16)</formula>
    </cfRule>
  </conditionalFormatting>
  <conditionalFormatting sqref="X147">
    <cfRule type="expression" priority="2090" stopIfTrue="1">
      <formula>"ISBLANK($K$185)"</formula>
    </cfRule>
    <cfRule type="expression" dxfId="1411" priority="2121">
      <formula>AND(OR(AW147=0,ISBLANK(X147)),B147&lt;&gt;"")</formula>
    </cfRule>
    <cfRule type="expression" dxfId="1410" priority="2122">
      <formula>AND(X147="NA",NOT(ISTEXT(Y147)))</formula>
    </cfRule>
    <cfRule type="expression" dxfId="1409" priority="2123">
      <formula>AND(AW147&gt;5,X147="NA")</formula>
    </cfRule>
    <cfRule type="expression" dxfId="1408" priority="2124">
      <formula>AND(AW147&lt;5,X147="NA")</formula>
    </cfRule>
    <cfRule type="expression" dxfId="1407" priority="2125">
      <formula>AND(X147&lt;&gt;"NA",X147&gt;$Y$16)</formula>
    </cfRule>
  </conditionalFormatting>
  <conditionalFormatting sqref="Y147">
    <cfRule type="expression" priority="2089" stopIfTrue="1">
      <formula>"ISBLANK($K$185)"</formula>
    </cfRule>
    <cfRule type="expression" dxfId="1406" priority="2116">
      <formula>AND(OR(AW147=0,ISBLANK(Y147)),B147&lt;&gt;"")</formula>
    </cfRule>
    <cfRule type="expression" dxfId="1405" priority="2117">
      <formula>AND(Y147="NA",NOT(ISTEXT(X147)))</formula>
    </cfRule>
    <cfRule type="expression" dxfId="1404" priority="2118">
      <formula>AND(AW147&gt;5,Y147="NA")</formula>
    </cfRule>
    <cfRule type="expression" dxfId="1403" priority="2119">
      <formula>AND(AW147&lt;5,Y147="NA")</formula>
    </cfRule>
    <cfRule type="expression" dxfId="1402" priority="2120">
      <formula>AND(Y147&lt;&gt;"NA",Y147&gt;$Y$16)</formula>
    </cfRule>
  </conditionalFormatting>
  <conditionalFormatting sqref="N147">
    <cfRule type="expression" priority="2100" stopIfTrue="1">
      <formula>"ISBLANK($K$185)"</formula>
    </cfRule>
    <cfRule type="expression" dxfId="1401" priority="2171">
      <formula>AND(OR(AW147=0,ISBLANK(N147)),B147&lt;&gt;"")</formula>
    </cfRule>
    <cfRule type="expression" dxfId="1400" priority="2172">
      <formula>AND(N147="NA",NOT(ISTEXT(O147)))</formula>
    </cfRule>
    <cfRule type="expression" dxfId="1399" priority="2173">
      <formula>AND(AW147&gt;5,N147="NA")</formula>
    </cfRule>
    <cfRule type="expression" dxfId="1398" priority="2174">
      <formula>AND(AW147&lt;5,N147="NA")</formula>
    </cfRule>
    <cfRule type="expression" dxfId="1397" priority="2175">
      <formula>AND(N147&lt;&gt;"NA",N147&gt;$N$16)</formula>
    </cfRule>
  </conditionalFormatting>
  <conditionalFormatting sqref="O148">
    <cfRule type="expression" priority="2008" stopIfTrue="1">
      <formula>"ISBLANK($K$185)"</formula>
    </cfRule>
    <cfRule type="expression" dxfId="1396" priority="2075">
      <formula>AND(OR(AW148=0,ISBLANK(O148)),B148&lt;&gt;"")</formula>
    </cfRule>
    <cfRule type="expression" dxfId="1395" priority="2076">
      <formula>AND(O148="NA",NOT(ISTEXT(N148)))</formula>
    </cfRule>
    <cfRule type="expression" dxfId="1394" priority="2077">
      <formula>AND(AW148&gt;5,O148="NA")</formula>
    </cfRule>
    <cfRule type="expression" dxfId="1393" priority="2078">
      <formula>AND(AW148&lt;5,O148="NA")</formula>
    </cfRule>
    <cfRule type="expression" dxfId="1392" priority="2079">
      <formula>AND(O148&lt;&gt;"NA",O148&gt;$O$16)</formula>
    </cfRule>
  </conditionalFormatting>
  <conditionalFormatting sqref="P148">
    <cfRule type="expression" priority="2007" stopIfTrue="1">
      <formula>"ISBLANK($K$185)"</formula>
    </cfRule>
    <cfRule type="expression" dxfId="1391" priority="2070">
      <formula>AND(OR(AW148=0,ISBLANK(P148)),B148&lt;&gt;"")</formula>
    </cfRule>
    <cfRule type="expression" dxfId="1390" priority="2071">
      <formula>AND(P148="NA",NOT(ISTEXT(Q148)))</formula>
    </cfRule>
    <cfRule type="expression" dxfId="1389" priority="2072">
      <formula>AND(AW148&gt;5,P148="NA")</formula>
    </cfRule>
    <cfRule type="expression" dxfId="1388" priority="2073">
      <formula>AND(AW148&lt;5,P148="NA")</formula>
    </cfRule>
    <cfRule type="expression" dxfId="1387" priority="2074">
      <formula>AND(P148&lt;&gt;"NA",P148&gt;$P$16)</formula>
    </cfRule>
  </conditionalFormatting>
  <conditionalFormatting sqref="Q148">
    <cfRule type="expression" priority="2006" stopIfTrue="1">
      <formula>"ISBLANK($K$185)"</formula>
    </cfRule>
    <cfRule type="expression" dxfId="1386" priority="2065">
      <formula>AND(OR(AW148=0,ISBLANK(Q148)),B148&lt;&gt;"")</formula>
    </cfRule>
    <cfRule type="expression" dxfId="1385" priority="2066">
      <formula>AND(Q148="NA",NOT(ISTEXT(P148)))</formula>
    </cfRule>
    <cfRule type="expression" dxfId="1384" priority="2067">
      <formula>AND(AW148&gt;5,Q148="NA")</formula>
    </cfRule>
    <cfRule type="expression" dxfId="1383" priority="2068">
      <formula>AND(AW148&lt;5,Q148="NA")</formula>
    </cfRule>
    <cfRule type="expression" dxfId="1382" priority="2069">
      <formula>AND(Q148&lt;&gt;"NA",Q148&gt;$Q$16)</formula>
    </cfRule>
  </conditionalFormatting>
  <conditionalFormatting sqref="R148">
    <cfRule type="expression" priority="2005" stopIfTrue="1">
      <formula>"ISBLANK($K$185)"</formula>
    </cfRule>
    <cfRule type="expression" dxfId="1381" priority="2060">
      <formula>AND(OR(AW148=0,ISBLANK(R148)),B148&lt;&gt;"")</formula>
    </cfRule>
    <cfRule type="expression" dxfId="1380" priority="2061">
      <formula>AND(R148="NA",NOT(ISTEXT(S148)))</formula>
    </cfRule>
    <cfRule type="expression" dxfId="1379" priority="2062">
      <formula>AND(AW148&gt;5,R148="NA")</formula>
    </cfRule>
    <cfRule type="expression" dxfId="1378" priority="2063">
      <formula>AND(AW148&lt;5,R148="NA")</formula>
    </cfRule>
    <cfRule type="expression" dxfId="1377" priority="2064">
      <formula>AND(R148&lt;&gt;"NA",R148&gt;$R$16)</formula>
    </cfRule>
  </conditionalFormatting>
  <conditionalFormatting sqref="S148">
    <cfRule type="expression" priority="2004" stopIfTrue="1">
      <formula>"ISBLANK($K$185)"</formula>
    </cfRule>
    <cfRule type="expression" dxfId="1376" priority="2055">
      <formula>AND(OR(AW148=0,ISBLANK(S148)),B148&lt;&gt;"")</formula>
    </cfRule>
    <cfRule type="expression" dxfId="1375" priority="2056">
      <formula>AND(S148="NA",NOT(ISTEXT(R148)))</formula>
    </cfRule>
    <cfRule type="expression" dxfId="1374" priority="2057">
      <formula>AND(AW148&gt;5,S148="NA")</formula>
    </cfRule>
    <cfRule type="expression" dxfId="1373" priority="2058">
      <formula>AND(AW148&lt;5,S148="NA")</formula>
    </cfRule>
    <cfRule type="expression" dxfId="1372" priority="2059">
      <formula>AND(S148&lt;&gt;"NA",S148&gt;$S$16)</formula>
    </cfRule>
  </conditionalFormatting>
  <conditionalFormatting sqref="T148">
    <cfRule type="expression" priority="2003" stopIfTrue="1">
      <formula>"ISBLANK($K$185)"</formula>
    </cfRule>
    <cfRule type="expression" dxfId="1371" priority="2050">
      <formula>AND(OR(AW148=0,ISBLANK(T148)),B148&lt;&gt;"")</formula>
    </cfRule>
    <cfRule type="expression" dxfId="1370" priority="2051">
      <formula>AND(T148="NA",NOT(ISTEXT(U148)))</formula>
    </cfRule>
    <cfRule type="expression" dxfId="1369" priority="2052">
      <formula>AND(AW148&gt;5,T148="NA")</formula>
    </cfRule>
    <cfRule type="expression" dxfId="1368" priority="2053">
      <formula>AND(AW148&lt;5,T148="NA")</formula>
    </cfRule>
    <cfRule type="expression" dxfId="1367" priority="2054">
      <formula>AND(T148&lt;&gt;"NA",T148&gt;$T$16)</formula>
    </cfRule>
  </conditionalFormatting>
  <conditionalFormatting sqref="U148">
    <cfRule type="expression" priority="2002" stopIfTrue="1">
      <formula>"ISBLANK($K$185)"</formula>
    </cfRule>
    <cfRule type="expression" dxfId="1366" priority="2045">
      <formula>AND(OR(AW148=0,ISBLANK(U148)),B148&lt;&gt;"")</formula>
    </cfRule>
    <cfRule type="expression" dxfId="1365" priority="2046">
      <formula>AND(U148="NA",NOT(ISTEXT(T148)))</formula>
    </cfRule>
    <cfRule type="expression" dxfId="1364" priority="2047">
      <formula>AND(AW148&gt;5,U148="NA")</formula>
    </cfRule>
    <cfRule type="expression" dxfId="1363" priority="2048">
      <formula>AND(AW148&lt;5,U148="NA")</formula>
    </cfRule>
    <cfRule type="expression" dxfId="1362" priority="2049">
      <formula>AND(U148&lt;&gt;"NA",U148&gt;$U$16)</formula>
    </cfRule>
  </conditionalFormatting>
  <conditionalFormatting sqref="V148">
    <cfRule type="expression" priority="2001" stopIfTrue="1">
      <formula>"ISBLANK($K$185)"</formula>
    </cfRule>
    <cfRule type="expression" dxfId="1361" priority="2040">
      <formula>AND(OR(AW148=0,ISBLANK(V148)),B148&lt;&gt;"")</formula>
    </cfRule>
    <cfRule type="expression" dxfId="1360" priority="2041">
      <formula>AND(V148="NA",NOT(ISTEXT(W148)))</formula>
    </cfRule>
    <cfRule type="expression" dxfId="1359" priority="2042">
      <formula>AND(AW148&gt;5,V148="NA")</formula>
    </cfRule>
    <cfRule type="expression" dxfId="1358" priority="2043">
      <formula>AND(AW148&lt;5,V148="NA")</formula>
    </cfRule>
    <cfRule type="expression" dxfId="1357" priority="2044">
      <formula>AND(V148&lt;&gt;"NA",V148&gt;$V$16)</formula>
    </cfRule>
  </conditionalFormatting>
  <conditionalFormatting sqref="W148">
    <cfRule type="expression" priority="2000" stopIfTrue="1">
      <formula>"ISBLANK($K$185)"</formula>
    </cfRule>
    <cfRule type="expression" dxfId="1356" priority="2035">
      <formula>AND(OR(AW148=0,ISBLANK(W148)),B148&lt;&gt;"")</formula>
    </cfRule>
    <cfRule type="expression" dxfId="1355" priority="2036">
      <formula>AND(W148="NA",NOT(ISTEXT(V148)))</formula>
    </cfRule>
    <cfRule type="expression" dxfId="1354" priority="2037">
      <formula>AND(AW148&gt;5,W148="NA")</formula>
    </cfRule>
    <cfRule type="expression" dxfId="1353" priority="2038">
      <formula>AND(AW148&lt;5,W148="NA")</formula>
    </cfRule>
    <cfRule type="expression" dxfId="1352" priority="2039">
      <formula>AND(W148&lt;&gt;"NA",W148&gt;$W$16)</formula>
    </cfRule>
  </conditionalFormatting>
  <conditionalFormatting sqref="X148">
    <cfRule type="expression" priority="1999" stopIfTrue="1">
      <formula>"ISBLANK($K$185)"</formula>
    </cfRule>
    <cfRule type="expression" dxfId="1351" priority="2030">
      <formula>AND(OR(AW148=0,ISBLANK(X148)),B148&lt;&gt;"")</formula>
    </cfRule>
    <cfRule type="expression" dxfId="1350" priority="2031">
      <formula>AND(X148="NA",NOT(ISTEXT(Y148)))</formula>
    </cfRule>
    <cfRule type="expression" dxfId="1349" priority="2032">
      <formula>AND(AW148&gt;5,X148="NA")</formula>
    </cfRule>
    <cfRule type="expression" dxfId="1348" priority="2033">
      <formula>AND(AW148&lt;5,X148="NA")</formula>
    </cfRule>
    <cfRule type="expression" dxfId="1347" priority="2034">
      <formula>AND(X148&lt;&gt;"NA",X148&gt;$Y$16)</formula>
    </cfRule>
  </conditionalFormatting>
  <conditionalFormatting sqref="Y148">
    <cfRule type="expression" priority="1998" stopIfTrue="1">
      <formula>"ISBLANK($K$185)"</formula>
    </cfRule>
    <cfRule type="expression" dxfId="1346" priority="2025">
      <formula>AND(OR(AW148=0,ISBLANK(Y148)),B148&lt;&gt;"")</formula>
    </cfRule>
    <cfRule type="expression" dxfId="1345" priority="2026">
      <formula>AND(Y148="NA",NOT(ISTEXT(X148)))</formula>
    </cfRule>
    <cfRule type="expression" dxfId="1344" priority="2027">
      <formula>AND(AW148&gt;5,Y148="NA")</formula>
    </cfRule>
    <cfRule type="expression" dxfId="1343" priority="2028">
      <formula>AND(AW148&lt;5,Y148="NA")</formula>
    </cfRule>
    <cfRule type="expression" dxfId="1342" priority="2029">
      <formula>AND(Y148&lt;&gt;"NA",Y148&gt;$Y$16)</formula>
    </cfRule>
  </conditionalFormatting>
  <conditionalFormatting sqref="N148">
    <cfRule type="expression" priority="2009" stopIfTrue="1">
      <formula>"ISBLANK($K$185)"</formula>
    </cfRule>
    <cfRule type="expression" dxfId="1341" priority="2080">
      <formula>AND(OR(AW148=0,ISBLANK(N148)),B148&lt;&gt;"")</formula>
    </cfRule>
    <cfRule type="expression" dxfId="1340" priority="2081">
      <formula>AND(N148="NA",NOT(ISTEXT(O148)))</formula>
    </cfRule>
    <cfRule type="expression" dxfId="1339" priority="2082">
      <formula>AND(AW148&gt;5,N148="NA")</formula>
    </cfRule>
    <cfRule type="expression" dxfId="1338" priority="2083">
      <formula>AND(AW148&lt;5,N148="NA")</formula>
    </cfRule>
    <cfRule type="expression" dxfId="1337" priority="2084">
      <formula>AND(N148&lt;&gt;"NA",N148&gt;$N$16)</formula>
    </cfRule>
  </conditionalFormatting>
  <conditionalFormatting sqref="O149">
    <cfRule type="expression" priority="1917" stopIfTrue="1">
      <formula>"ISBLANK($K$185)"</formula>
    </cfRule>
    <cfRule type="expression" dxfId="1336" priority="1984">
      <formula>AND(OR(AW149=0,ISBLANK(O149)),B149&lt;&gt;"")</formula>
    </cfRule>
    <cfRule type="expression" dxfId="1335" priority="1985">
      <formula>AND(O149="NA",NOT(ISTEXT(N149)))</formula>
    </cfRule>
    <cfRule type="expression" dxfId="1334" priority="1986">
      <formula>AND(AW149&gt;5,O149="NA")</formula>
    </cfRule>
    <cfRule type="expression" dxfId="1333" priority="1987">
      <formula>AND(AW149&lt;5,O149="NA")</formula>
    </cfRule>
    <cfRule type="expression" dxfId="1332" priority="1988">
      <formula>AND(O149&lt;&gt;"NA",O149&gt;$O$16)</formula>
    </cfRule>
  </conditionalFormatting>
  <conditionalFormatting sqref="P149">
    <cfRule type="expression" priority="1916" stopIfTrue="1">
      <formula>"ISBLANK($K$185)"</formula>
    </cfRule>
    <cfRule type="expression" dxfId="1331" priority="1979">
      <formula>AND(OR(AW149=0,ISBLANK(P149)),B149&lt;&gt;"")</formula>
    </cfRule>
    <cfRule type="expression" dxfId="1330" priority="1980">
      <formula>AND(P149="NA",NOT(ISTEXT(Q149)))</formula>
    </cfRule>
    <cfRule type="expression" dxfId="1329" priority="1981">
      <formula>AND(AW149&gt;5,P149="NA")</formula>
    </cfRule>
    <cfRule type="expression" dxfId="1328" priority="1982">
      <formula>AND(AW149&lt;5,P149="NA")</formula>
    </cfRule>
    <cfRule type="expression" dxfId="1327" priority="1983">
      <formula>AND(P149&lt;&gt;"NA",P149&gt;$P$16)</formula>
    </cfRule>
  </conditionalFormatting>
  <conditionalFormatting sqref="Q149">
    <cfRule type="expression" priority="1915" stopIfTrue="1">
      <formula>"ISBLANK($K$185)"</formula>
    </cfRule>
    <cfRule type="expression" dxfId="1326" priority="1974">
      <formula>AND(OR(AW149=0,ISBLANK(Q149)),B149&lt;&gt;"")</formula>
    </cfRule>
    <cfRule type="expression" dxfId="1325" priority="1975">
      <formula>AND(Q149="NA",NOT(ISTEXT(P149)))</formula>
    </cfRule>
    <cfRule type="expression" dxfId="1324" priority="1976">
      <formula>AND(AW149&gt;5,Q149="NA")</formula>
    </cfRule>
    <cfRule type="expression" dxfId="1323" priority="1977">
      <formula>AND(AW149&lt;5,Q149="NA")</formula>
    </cfRule>
    <cfRule type="expression" dxfId="1322" priority="1978">
      <formula>AND(Q149&lt;&gt;"NA",Q149&gt;$Q$16)</formula>
    </cfRule>
  </conditionalFormatting>
  <conditionalFormatting sqref="R149">
    <cfRule type="expression" priority="1914" stopIfTrue="1">
      <formula>"ISBLANK($K$185)"</formula>
    </cfRule>
    <cfRule type="expression" dxfId="1321" priority="1969">
      <formula>AND(OR(AW149=0,ISBLANK(R149)),B149&lt;&gt;"")</formula>
    </cfRule>
    <cfRule type="expression" dxfId="1320" priority="1970">
      <formula>AND(R149="NA",NOT(ISTEXT(S149)))</formula>
    </cfRule>
    <cfRule type="expression" dxfId="1319" priority="1971">
      <formula>AND(AW149&gt;5,R149="NA")</formula>
    </cfRule>
    <cfRule type="expression" dxfId="1318" priority="1972">
      <formula>AND(AW149&lt;5,R149="NA")</formula>
    </cfRule>
    <cfRule type="expression" dxfId="1317" priority="1973">
      <formula>AND(R149&lt;&gt;"NA",R149&gt;$R$16)</formula>
    </cfRule>
  </conditionalFormatting>
  <conditionalFormatting sqref="S149">
    <cfRule type="expression" priority="1913" stopIfTrue="1">
      <formula>"ISBLANK($K$185)"</formula>
    </cfRule>
    <cfRule type="expression" dxfId="1316" priority="1964">
      <formula>AND(OR(AW149=0,ISBLANK(S149)),B149&lt;&gt;"")</formula>
    </cfRule>
    <cfRule type="expression" dxfId="1315" priority="1965">
      <formula>AND(S149="NA",NOT(ISTEXT(R149)))</formula>
    </cfRule>
    <cfRule type="expression" dxfId="1314" priority="1966">
      <formula>AND(AW149&gt;5,S149="NA")</formula>
    </cfRule>
    <cfRule type="expression" dxfId="1313" priority="1967">
      <formula>AND(AW149&lt;5,S149="NA")</formula>
    </cfRule>
    <cfRule type="expression" dxfId="1312" priority="1968">
      <formula>AND(S149&lt;&gt;"NA",S149&gt;$S$16)</formula>
    </cfRule>
  </conditionalFormatting>
  <conditionalFormatting sqref="T149">
    <cfRule type="expression" priority="1912" stopIfTrue="1">
      <formula>"ISBLANK($K$185)"</formula>
    </cfRule>
    <cfRule type="expression" dxfId="1311" priority="1959">
      <formula>AND(OR(AW149=0,ISBLANK(T149)),B149&lt;&gt;"")</formula>
    </cfRule>
    <cfRule type="expression" dxfId="1310" priority="1960">
      <formula>AND(T149="NA",NOT(ISTEXT(U149)))</formula>
    </cfRule>
    <cfRule type="expression" dxfId="1309" priority="1961">
      <formula>AND(AW149&gt;5,T149="NA")</formula>
    </cfRule>
    <cfRule type="expression" dxfId="1308" priority="1962">
      <formula>AND(AW149&lt;5,T149="NA")</formula>
    </cfRule>
    <cfRule type="expression" dxfId="1307" priority="1963">
      <formula>AND(T149&lt;&gt;"NA",T149&gt;$T$16)</formula>
    </cfRule>
  </conditionalFormatting>
  <conditionalFormatting sqref="U149">
    <cfRule type="expression" priority="1911" stopIfTrue="1">
      <formula>"ISBLANK($K$185)"</formula>
    </cfRule>
    <cfRule type="expression" dxfId="1306" priority="1954">
      <formula>AND(OR(AW149=0,ISBLANK(U149)),B149&lt;&gt;"")</formula>
    </cfRule>
    <cfRule type="expression" dxfId="1305" priority="1955">
      <formula>AND(U149="NA",NOT(ISTEXT(T149)))</formula>
    </cfRule>
    <cfRule type="expression" dxfId="1304" priority="1956">
      <formula>AND(AW149&gt;5,U149="NA")</formula>
    </cfRule>
    <cfRule type="expression" dxfId="1303" priority="1957">
      <formula>AND(AW149&lt;5,U149="NA")</formula>
    </cfRule>
    <cfRule type="expression" dxfId="1302" priority="1958">
      <formula>AND(U149&lt;&gt;"NA",U149&gt;$U$16)</formula>
    </cfRule>
  </conditionalFormatting>
  <conditionalFormatting sqref="V149">
    <cfRule type="expression" priority="1910" stopIfTrue="1">
      <formula>"ISBLANK($K$185)"</formula>
    </cfRule>
    <cfRule type="expression" dxfId="1301" priority="1949">
      <formula>AND(OR(AW149=0,ISBLANK(V149)),B149&lt;&gt;"")</formula>
    </cfRule>
    <cfRule type="expression" dxfId="1300" priority="1950">
      <formula>AND(V149="NA",NOT(ISTEXT(W149)))</formula>
    </cfRule>
    <cfRule type="expression" dxfId="1299" priority="1951">
      <formula>AND(AW149&gt;5,V149="NA")</formula>
    </cfRule>
    <cfRule type="expression" dxfId="1298" priority="1952">
      <formula>AND(AW149&lt;5,V149="NA")</formula>
    </cfRule>
    <cfRule type="expression" dxfId="1297" priority="1953">
      <formula>AND(V149&lt;&gt;"NA",V149&gt;$V$16)</formula>
    </cfRule>
  </conditionalFormatting>
  <conditionalFormatting sqref="W149">
    <cfRule type="expression" priority="1909" stopIfTrue="1">
      <formula>"ISBLANK($K$185)"</formula>
    </cfRule>
    <cfRule type="expression" dxfId="1296" priority="1944">
      <formula>AND(OR(AW149=0,ISBLANK(W149)),B149&lt;&gt;"")</formula>
    </cfRule>
    <cfRule type="expression" dxfId="1295" priority="1945">
      <formula>AND(W149="NA",NOT(ISTEXT(V149)))</formula>
    </cfRule>
    <cfRule type="expression" dxfId="1294" priority="1946">
      <formula>AND(AW149&gt;5,W149="NA")</formula>
    </cfRule>
    <cfRule type="expression" dxfId="1293" priority="1947">
      <formula>AND(AW149&lt;5,W149="NA")</formula>
    </cfRule>
    <cfRule type="expression" dxfId="1292" priority="1948">
      <formula>AND(W149&lt;&gt;"NA",W149&gt;$W$16)</formula>
    </cfRule>
  </conditionalFormatting>
  <conditionalFormatting sqref="X149">
    <cfRule type="expression" priority="1908" stopIfTrue="1">
      <formula>"ISBLANK($K$185)"</formula>
    </cfRule>
    <cfRule type="expression" dxfId="1291" priority="1939">
      <formula>AND(OR(AW149=0,ISBLANK(X149)),B149&lt;&gt;"")</formula>
    </cfRule>
    <cfRule type="expression" dxfId="1290" priority="1940">
      <formula>AND(X149="NA",NOT(ISTEXT(Y149)))</formula>
    </cfRule>
    <cfRule type="expression" dxfId="1289" priority="1941">
      <formula>AND(AW149&gt;5,X149="NA")</formula>
    </cfRule>
    <cfRule type="expression" dxfId="1288" priority="1942">
      <formula>AND(AW149&lt;5,X149="NA")</formula>
    </cfRule>
    <cfRule type="expression" dxfId="1287" priority="1943">
      <formula>AND(X149&lt;&gt;"NA",X149&gt;$Y$16)</formula>
    </cfRule>
  </conditionalFormatting>
  <conditionalFormatting sqref="Y149">
    <cfRule type="expression" priority="1907" stopIfTrue="1">
      <formula>"ISBLANK($K$185)"</formula>
    </cfRule>
    <cfRule type="expression" dxfId="1286" priority="1934">
      <formula>AND(OR(AW149=0,ISBLANK(Y149)),B149&lt;&gt;"")</formula>
    </cfRule>
    <cfRule type="expression" dxfId="1285" priority="1935">
      <formula>AND(Y149="NA",NOT(ISTEXT(X149)))</formula>
    </cfRule>
    <cfRule type="expression" dxfId="1284" priority="1936">
      <formula>AND(AW149&gt;5,Y149="NA")</formula>
    </cfRule>
    <cfRule type="expression" dxfId="1283" priority="1937">
      <formula>AND(AW149&lt;5,Y149="NA")</formula>
    </cfRule>
    <cfRule type="expression" dxfId="1282" priority="1938">
      <formula>AND(Y149&lt;&gt;"NA",Y149&gt;$Y$16)</formula>
    </cfRule>
  </conditionalFormatting>
  <conditionalFormatting sqref="N149">
    <cfRule type="expression" priority="1918" stopIfTrue="1">
      <formula>"ISBLANK($K$185)"</formula>
    </cfRule>
    <cfRule type="expression" dxfId="1281" priority="1989">
      <formula>AND(OR(AW149=0,ISBLANK(N149)),B149&lt;&gt;"")</formula>
    </cfRule>
    <cfRule type="expression" dxfId="1280" priority="1990">
      <formula>AND(N149="NA",NOT(ISTEXT(O149)))</formula>
    </cfRule>
    <cfRule type="expression" dxfId="1279" priority="1991">
      <formula>AND(AW149&gt;5,N149="NA")</formula>
    </cfRule>
    <cfRule type="expression" dxfId="1278" priority="1992">
      <formula>AND(AW149&lt;5,N149="NA")</formula>
    </cfRule>
    <cfRule type="expression" dxfId="1277" priority="1993">
      <formula>AND(N149&lt;&gt;"NA",N149&gt;$N$16)</formula>
    </cfRule>
  </conditionalFormatting>
  <conditionalFormatting sqref="O150">
    <cfRule type="expression" priority="1826" stopIfTrue="1">
      <formula>"ISBLANK($K$185)"</formula>
    </cfRule>
    <cfRule type="expression" dxfId="1276" priority="1893">
      <formula>AND(OR(AW150=0,ISBLANK(O150)),B150&lt;&gt;"")</formula>
    </cfRule>
    <cfRule type="expression" dxfId="1275" priority="1894">
      <formula>AND(O150="NA",NOT(ISTEXT(N150)))</formula>
    </cfRule>
    <cfRule type="expression" dxfId="1274" priority="1895">
      <formula>AND(AW150&gt;5,O150="NA")</formula>
    </cfRule>
    <cfRule type="expression" dxfId="1273" priority="1896">
      <formula>AND(AW150&lt;5,O150="NA")</formula>
    </cfRule>
    <cfRule type="expression" dxfId="1272" priority="1897">
      <formula>AND(O150&lt;&gt;"NA",O150&gt;$O$16)</formula>
    </cfRule>
  </conditionalFormatting>
  <conditionalFormatting sqref="P150">
    <cfRule type="expression" priority="1825" stopIfTrue="1">
      <formula>"ISBLANK($K$185)"</formula>
    </cfRule>
    <cfRule type="expression" dxfId="1271" priority="1888">
      <formula>AND(OR(AW150=0,ISBLANK(P150)),B150&lt;&gt;"")</formula>
    </cfRule>
    <cfRule type="expression" dxfId="1270" priority="1889">
      <formula>AND(P150="NA",NOT(ISTEXT(Q150)))</formula>
    </cfRule>
    <cfRule type="expression" dxfId="1269" priority="1890">
      <formula>AND(AW150&gt;5,P150="NA")</formula>
    </cfRule>
    <cfRule type="expression" dxfId="1268" priority="1891">
      <formula>AND(AW150&lt;5,P150="NA")</formula>
    </cfRule>
    <cfRule type="expression" dxfId="1267" priority="1892">
      <formula>AND(P150&lt;&gt;"NA",P150&gt;$P$16)</formula>
    </cfRule>
  </conditionalFormatting>
  <conditionalFormatting sqref="Q150">
    <cfRule type="expression" priority="1824" stopIfTrue="1">
      <formula>"ISBLANK($K$185)"</formula>
    </cfRule>
    <cfRule type="expression" dxfId="1266" priority="1883">
      <formula>AND(OR(AW150=0,ISBLANK(Q150)),B150&lt;&gt;"")</formula>
    </cfRule>
    <cfRule type="expression" dxfId="1265" priority="1884">
      <formula>AND(Q150="NA",NOT(ISTEXT(P150)))</formula>
    </cfRule>
    <cfRule type="expression" dxfId="1264" priority="1885">
      <formula>AND(AW150&gt;5,Q150="NA")</formula>
    </cfRule>
    <cfRule type="expression" dxfId="1263" priority="1886">
      <formula>AND(AW150&lt;5,Q150="NA")</formula>
    </cfRule>
    <cfRule type="expression" dxfId="1262" priority="1887">
      <formula>AND(Q150&lt;&gt;"NA",Q150&gt;$Q$16)</formula>
    </cfRule>
  </conditionalFormatting>
  <conditionalFormatting sqref="R150">
    <cfRule type="expression" priority="1823" stopIfTrue="1">
      <formula>"ISBLANK($K$185)"</formula>
    </cfRule>
    <cfRule type="expression" dxfId="1261" priority="1878">
      <formula>AND(OR(AW150=0,ISBLANK(R150)),B150&lt;&gt;"")</formula>
    </cfRule>
    <cfRule type="expression" dxfId="1260" priority="1879">
      <formula>AND(R150="NA",NOT(ISTEXT(S150)))</formula>
    </cfRule>
    <cfRule type="expression" dxfId="1259" priority="1880">
      <formula>AND(AW150&gt;5,R150="NA")</formula>
    </cfRule>
    <cfRule type="expression" dxfId="1258" priority="1881">
      <formula>AND(AW150&lt;5,R150="NA")</formula>
    </cfRule>
    <cfRule type="expression" dxfId="1257" priority="1882">
      <formula>AND(R150&lt;&gt;"NA",R150&gt;$R$16)</formula>
    </cfRule>
  </conditionalFormatting>
  <conditionalFormatting sqref="S150">
    <cfRule type="expression" priority="1822" stopIfTrue="1">
      <formula>"ISBLANK($K$185)"</formula>
    </cfRule>
    <cfRule type="expression" dxfId="1256" priority="1873">
      <formula>AND(OR(AW150=0,ISBLANK(S150)),B150&lt;&gt;"")</formula>
    </cfRule>
    <cfRule type="expression" dxfId="1255" priority="1874">
      <formula>AND(S150="NA",NOT(ISTEXT(R150)))</formula>
    </cfRule>
    <cfRule type="expression" dxfId="1254" priority="1875">
      <formula>AND(AW150&gt;5,S150="NA")</formula>
    </cfRule>
    <cfRule type="expression" dxfId="1253" priority="1876">
      <formula>AND(AW150&lt;5,S150="NA")</formula>
    </cfRule>
    <cfRule type="expression" dxfId="1252" priority="1877">
      <formula>AND(S150&lt;&gt;"NA",S150&gt;$S$16)</formula>
    </cfRule>
  </conditionalFormatting>
  <conditionalFormatting sqref="T150">
    <cfRule type="expression" priority="1821" stopIfTrue="1">
      <formula>"ISBLANK($K$185)"</formula>
    </cfRule>
    <cfRule type="expression" dxfId="1251" priority="1868">
      <formula>AND(OR(AW150=0,ISBLANK(T150)),B150&lt;&gt;"")</formula>
    </cfRule>
    <cfRule type="expression" dxfId="1250" priority="1869">
      <formula>AND(T150="NA",NOT(ISTEXT(U150)))</formula>
    </cfRule>
    <cfRule type="expression" dxfId="1249" priority="1870">
      <formula>AND(AW150&gt;5,T150="NA")</formula>
    </cfRule>
    <cfRule type="expression" dxfId="1248" priority="1871">
      <formula>AND(AW150&lt;5,T150="NA")</formula>
    </cfRule>
    <cfRule type="expression" dxfId="1247" priority="1872">
      <formula>AND(T150&lt;&gt;"NA",T150&gt;$T$16)</formula>
    </cfRule>
  </conditionalFormatting>
  <conditionalFormatting sqref="U150">
    <cfRule type="expression" priority="1820" stopIfTrue="1">
      <formula>"ISBLANK($K$185)"</formula>
    </cfRule>
    <cfRule type="expression" dxfId="1246" priority="1863">
      <formula>AND(OR(AW150=0,ISBLANK(U150)),B150&lt;&gt;"")</formula>
    </cfRule>
    <cfRule type="expression" dxfId="1245" priority="1864">
      <formula>AND(U150="NA",NOT(ISTEXT(T150)))</formula>
    </cfRule>
    <cfRule type="expression" dxfId="1244" priority="1865">
      <formula>AND(AW150&gt;5,U150="NA")</formula>
    </cfRule>
    <cfRule type="expression" dxfId="1243" priority="1866">
      <formula>AND(AW150&lt;5,U150="NA")</formula>
    </cfRule>
    <cfRule type="expression" dxfId="1242" priority="1867">
      <formula>AND(U150&lt;&gt;"NA",U150&gt;$U$16)</formula>
    </cfRule>
  </conditionalFormatting>
  <conditionalFormatting sqref="V150">
    <cfRule type="expression" priority="1819" stopIfTrue="1">
      <formula>"ISBLANK($K$185)"</formula>
    </cfRule>
    <cfRule type="expression" dxfId="1241" priority="1858">
      <formula>AND(OR(AW150=0,ISBLANK(V150)),B150&lt;&gt;"")</formula>
    </cfRule>
    <cfRule type="expression" dxfId="1240" priority="1859">
      <formula>AND(V150="NA",NOT(ISTEXT(W150)))</formula>
    </cfRule>
    <cfRule type="expression" dxfId="1239" priority="1860">
      <formula>AND(AW150&gt;5,V150="NA")</formula>
    </cfRule>
    <cfRule type="expression" dxfId="1238" priority="1861">
      <formula>AND(AW150&lt;5,V150="NA")</formula>
    </cfRule>
    <cfRule type="expression" dxfId="1237" priority="1862">
      <formula>AND(V150&lt;&gt;"NA",V150&gt;$V$16)</formula>
    </cfRule>
  </conditionalFormatting>
  <conditionalFormatting sqref="W150">
    <cfRule type="expression" priority="1818" stopIfTrue="1">
      <formula>"ISBLANK($K$185)"</formula>
    </cfRule>
    <cfRule type="expression" dxfId="1236" priority="1853">
      <formula>AND(OR(AW150=0,ISBLANK(W150)),B150&lt;&gt;"")</formula>
    </cfRule>
    <cfRule type="expression" dxfId="1235" priority="1854">
      <formula>AND(W150="NA",NOT(ISTEXT(V150)))</formula>
    </cfRule>
    <cfRule type="expression" dxfId="1234" priority="1855">
      <formula>AND(AW150&gt;5,W150="NA")</formula>
    </cfRule>
    <cfRule type="expression" dxfId="1233" priority="1856">
      <formula>AND(AW150&lt;5,W150="NA")</formula>
    </cfRule>
    <cfRule type="expression" dxfId="1232" priority="1857">
      <formula>AND(W150&lt;&gt;"NA",W150&gt;$W$16)</formula>
    </cfRule>
  </conditionalFormatting>
  <conditionalFormatting sqref="X150">
    <cfRule type="expression" priority="1817" stopIfTrue="1">
      <formula>"ISBLANK($K$185)"</formula>
    </cfRule>
    <cfRule type="expression" dxfId="1231" priority="1848">
      <formula>AND(OR(AW150=0,ISBLANK(X150)),B150&lt;&gt;"")</formula>
    </cfRule>
    <cfRule type="expression" dxfId="1230" priority="1849">
      <formula>AND(X150="NA",NOT(ISTEXT(Y150)))</formula>
    </cfRule>
    <cfRule type="expression" dxfId="1229" priority="1850">
      <formula>AND(AW150&gt;5,X150="NA")</formula>
    </cfRule>
    <cfRule type="expression" dxfId="1228" priority="1851">
      <formula>AND(AW150&lt;5,X150="NA")</formula>
    </cfRule>
    <cfRule type="expression" dxfId="1227" priority="1852">
      <formula>AND(X150&lt;&gt;"NA",X150&gt;$Y$16)</formula>
    </cfRule>
  </conditionalFormatting>
  <conditionalFormatting sqref="Y150">
    <cfRule type="expression" priority="1816" stopIfTrue="1">
      <formula>"ISBLANK($K$185)"</formula>
    </cfRule>
    <cfRule type="expression" dxfId="1226" priority="1843">
      <formula>AND(OR(AW150=0,ISBLANK(Y150)),B150&lt;&gt;"")</formula>
    </cfRule>
    <cfRule type="expression" dxfId="1225" priority="1844">
      <formula>AND(Y150="NA",NOT(ISTEXT(X150)))</formula>
    </cfRule>
    <cfRule type="expression" dxfId="1224" priority="1845">
      <formula>AND(AW150&gt;5,Y150="NA")</formula>
    </cfRule>
    <cfRule type="expression" dxfId="1223" priority="1846">
      <formula>AND(AW150&lt;5,Y150="NA")</formula>
    </cfRule>
    <cfRule type="expression" dxfId="1222" priority="1847">
      <formula>AND(Y150&lt;&gt;"NA",Y150&gt;$Y$16)</formula>
    </cfRule>
  </conditionalFormatting>
  <conditionalFormatting sqref="N150">
    <cfRule type="expression" priority="1827" stopIfTrue="1">
      <formula>"ISBLANK($K$185)"</formula>
    </cfRule>
    <cfRule type="expression" dxfId="1221" priority="1898">
      <formula>AND(OR(AW150=0,ISBLANK(N150)),B150&lt;&gt;"")</formula>
    </cfRule>
    <cfRule type="expression" dxfId="1220" priority="1899">
      <formula>AND(N150="NA",NOT(ISTEXT(O150)))</formula>
    </cfRule>
    <cfRule type="expression" dxfId="1219" priority="1900">
      <formula>AND(AW150&gt;5,N150="NA")</formula>
    </cfRule>
    <cfRule type="expression" dxfId="1218" priority="1901">
      <formula>AND(AW150&lt;5,N150="NA")</formula>
    </cfRule>
    <cfRule type="expression" dxfId="1217" priority="1902">
      <formula>AND(N150&lt;&gt;"NA",N150&gt;$N$16)</formula>
    </cfRule>
  </conditionalFormatting>
  <conditionalFormatting sqref="O151">
    <cfRule type="expression" priority="1735" stopIfTrue="1">
      <formula>"ISBLANK($K$185)"</formula>
    </cfRule>
    <cfRule type="expression" dxfId="1216" priority="1802">
      <formula>AND(OR(AW151=0,ISBLANK(O151)),B151&lt;&gt;"")</formula>
    </cfRule>
    <cfRule type="expression" dxfId="1215" priority="1803">
      <formula>AND(O151="NA",NOT(ISTEXT(N151)))</formula>
    </cfRule>
    <cfRule type="expression" dxfId="1214" priority="1804">
      <formula>AND(AW151&gt;5,O151="NA")</formula>
    </cfRule>
    <cfRule type="expression" dxfId="1213" priority="1805">
      <formula>AND(AW151&lt;5,O151="NA")</formula>
    </cfRule>
    <cfRule type="expression" dxfId="1212" priority="1806">
      <formula>AND(O151&lt;&gt;"NA",O151&gt;$O$16)</formula>
    </cfRule>
  </conditionalFormatting>
  <conditionalFormatting sqref="P151">
    <cfRule type="expression" priority="1734" stopIfTrue="1">
      <formula>"ISBLANK($K$185)"</formula>
    </cfRule>
    <cfRule type="expression" dxfId="1211" priority="1797">
      <formula>AND(OR(AW151=0,ISBLANK(P151)),B151&lt;&gt;"")</formula>
    </cfRule>
    <cfRule type="expression" dxfId="1210" priority="1798">
      <formula>AND(P151="NA",NOT(ISTEXT(Q151)))</formula>
    </cfRule>
    <cfRule type="expression" dxfId="1209" priority="1799">
      <formula>AND(AW151&gt;5,P151="NA")</formula>
    </cfRule>
    <cfRule type="expression" dxfId="1208" priority="1800">
      <formula>AND(AW151&lt;5,P151="NA")</formula>
    </cfRule>
    <cfRule type="expression" dxfId="1207" priority="1801">
      <formula>AND(P151&lt;&gt;"NA",P151&gt;$P$16)</formula>
    </cfRule>
  </conditionalFormatting>
  <conditionalFormatting sqref="Q151">
    <cfRule type="expression" priority="1733" stopIfTrue="1">
      <formula>"ISBLANK($K$185)"</formula>
    </cfRule>
    <cfRule type="expression" dxfId="1206" priority="1792">
      <formula>AND(OR(AW151=0,ISBLANK(Q151)),B151&lt;&gt;"")</formula>
    </cfRule>
    <cfRule type="expression" dxfId="1205" priority="1793">
      <formula>AND(Q151="NA",NOT(ISTEXT(P151)))</formula>
    </cfRule>
    <cfRule type="expression" dxfId="1204" priority="1794">
      <formula>AND(AW151&gt;5,Q151="NA")</formula>
    </cfRule>
    <cfRule type="expression" dxfId="1203" priority="1795">
      <formula>AND(AW151&lt;5,Q151="NA")</formula>
    </cfRule>
    <cfRule type="expression" dxfId="1202" priority="1796">
      <formula>AND(Q151&lt;&gt;"NA",Q151&gt;$Q$16)</formula>
    </cfRule>
  </conditionalFormatting>
  <conditionalFormatting sqref="R151">
    <cfRule type="expression" priority="1732" stopIfTrue="1">
      <formula>"ISBLANK($K$185)"</formula>
    </cfRule>
    <cfRule type="expression" dxfId="1201" priority="1787">
      <formula>AND(OR(AW151=0,ISBLANK(R151)),B151&lt;&gt;"")</formula>
    </cfRule>
    <cfRule type="expression" dxfId="1200" priority="1788">
      <formula>AND(R151="NA",NOT(ISTEXT(S151)))</formula>
    </cfRule>
    <cfRule type="expression" dxfId="1199" priority="1789">
      <formula>AND(AW151&gt;5,R151="NA")</formula>
    </cfRule>
    <cfRule type="expression" dxfId="1198" priority="1790">
      <formula>AND(AW151&lt;5,R151="NA")</formula>
    </cfRule>
    <cfRule type="expression" dxfId="1197" priority="1791">
      <formula>AND(R151&lt;&gt;"NA",R151&gt;$R$16)</formula>
    </cfRule>
  </conditionalFormatting>
  <conditionalFormatting sqref="S151">
    <cfRule type="expression" priority="1731" stopIfTrue="1">
      <formula>"ISBLANK($K$185)"</formula>
    </cfRule>
    <cfRule type="expression" dxfId="1196" priority="1782">
      <formula>AND(OR(AW151=0,ISBLANK(S151)),B151&lt;&gt;"")</formula>
    </cfRule>
    <cfRule type="expression" dxfId="1195" priority="1783">
      <formula>AND(S151="NA",NOT(ISTEXT(R151)))</formula>
    </cfRule>
    <cfRule type="expression" dxfId="1194" priority="1784">
      <formula>AND(AW151&gt;5,S151="NA")</formula>
    </cfRule>
    <cfRule type="expression" dxfId="1193" priority="1785">
      <formula>AND(AW151&lt;5,S151="NA")</formula>
    </cfRule>
    <cfRule type="expression" dxfId="1192" priority="1786">
      <formula>AND(S151&lt;&gt;"NA",S151&gt;$S$16)</formula>
    </cfRule>
  </conditionalFormatting>
  <conditionalFormatting sqref="T151">
    <cfRule type="expression" priority="1730" stopIfTrue="1">
      <formula>"ISBLANK($K$185)"</formula>
    </cfRule>
    <cfRule type="expression" dxfId="1191" priority="1777">
      <formula>AND(OR(AW151=0,ISBLANK(T151)),B151&lt;&gt;"")</formula>
    </cfRule>
    <cfRule type="expression" dxfId="1190" priority="1778">
      <formula>AND(T151="NA",NOT(ISTEXT(U151)))</formula>
    </cfRule>
    <cfRule type="expression" dxfId="1189" priority="1779">
      <formula>AND(AW151&gt;5,T151="NA")</formula>
    </cfRule>
    <cfRule type="expression" dxfId="1188" priority="1780">
      <formula>AND(AW151&lt;5,T151="NA")</formula>
    </cfRule>
    <cfRule type="expression" dxfId="1187" priority="1781">
      <formula>AND(T151&lt;&gt;"NA",T151&gt;$T$16)</formula>
    </cfRule>
  </conditionalFormatting>
  <conditionalFormatting sqref="U151">
    <cfRule type="expression" priority="1729" stopIfTrue="1">
      <formula>"ISBLANK($K$185)"</formula>
    </cfRule>
    <cfRule type="expression" dxfId="1186" priority="1772">
      <formula>AND(OR(AW151=0,ISBLANK(U151)),B151&lt;&gt;"")</formula>
    </cfRule>
    <cfRule type="expression" dxfId="1185" priority="1773">
      <formula>AND(U151="NA",NOT(ISTEXT(T151)))</formula>
    </cfRule>
    <cfRule type="expression" dxfId="1184" priority="1774">
      <formula>AND(AW151&gt;5,U151="NA")</formula>
    </cfRule>
    <cfRule type="expression" dxfId="1183" priority="1775">
      <formula>AND(AW151&lt;5,U151="NA")</formula>
    </cfRule>
    <cfRule type="expression" dxfId="1182" priority="1776">
      <formula>AND(U151&lt;&gt;"NA",U151&gt;$U$16)</formula>
    </cfRule>
  </conditionalFormatting>
  <conditionalFormatting sqref="V151">
    <cfRule type="expression" priority="1728" stopIfTrue="1">
      <formula>"ISBLANK($K$185)"</formula>
    </cfRule>
    <cfRule type="expression" dxfId="1181" priority="1767">
      <formula>AND(OR(AW151=0,ISBLANK(V151)),B151&lt;&gt;"")</formula>
    </cfRule>
    <cfRule type="expression" dxfId="1180" priority="1768">
      <formula>AND(V151="NA",NOT(ISTEXT(W151)))</formula>
    </cfRule>
    <cfRule type="expression" dxfId="1179" priority="1769">
      <formula>AND(AW151&gt;5,V151="NA")</formula>
    </cfRule>
    <cfRule type="expression" dxfId="1178" priority="1770">
      <formula>AND(AW151&lt;5,V151="NA")</formula>
    </cfRule>
    <cfRule type="expression" dxfId="1177" priority="1771">
      <formula>AND(V151&lt;&gt;"NA",V151&gt;$V$16)</formula>
    </cfRule>
  </conditionalFormatting>
  <conditionalFormatting sqref="W151">
    <cfRule type="expression" priority="1727" stopIfTrue="1">
      <formula>"ISBLANK($K$185)"</formula>
    </cfRule>
    <cfRule type="expression" dxfId="1176" priority="1762">
      <formula>AND(OR(AW151=0,ISBLANK(W151)),B151&lt;&gt;"")</formula>
    </cfRule>
    <cfRule type="expression" dxfId="1175" priority="1763">
      <formula>AND(W151="NA",NOT(ISTEXT(V151)))</formula>
    </cfRule>
    <cfRule type="expression" dxfId="1174" priority="1764">
      <formula>AND(AW151&gt;5,W151="NA")</formula>
    </cfRule>
    <cfRule type="expression" dxfId="1173" priority="1765">
      <formula>AND(AW151&lt;5,W151="NA")</formula>
    </cfRule>
    <cfRule type="expression" dxfId="1172" priority="1766">
      <formula>AND(W151&lt;&gt;"NA",W151&gt;$W$16)</formula>
    </cfRule>
  </conditionalFormatting>
  <conditionalFormatting sqref="X151">
    <cfRule type="expression" priority="1726" stopIfTrue="1">
      <formula>"ISBLANK($K$185)"</formula>
    </cfRule>
    <cfRule type="expression" dxfId="1171" priority="1757">
      <formula>AND(OR(AW151=0,ISBLANK(X151)),B151&lt;&gt;"")</formula>
    </cfRule>
    <cfRule type="expression" dxfId="1170" priority="1758">
      <formula>AND(X151="NA",NOT(ISTEXT(Y151)))</formula>
    </cfRule>
    <cfRule type="expression" dxfId="1169" priority="1759">
      <formula>AND(AW151&gt;5,X151="NA")</formula>
    </cfRule>
    <cfRule type="expression" dxfId="1168" priority="1760">
      <formula>AND(AW151&lt;5,X151="NA")</formula>
    </cfRule>
    <cfRule type="expression" dxfId="1167" priority="1761">
      <formula>AND(X151&lt;&gt;"NA",X151&gt;$Y$16)</formula>
    </cfRule>
  </conditionalFormatting>
  <conditionalFormatting sqref="Y151">
    <cfRule type="expression" priority="1725" stopIfTrue="1">
      <formula>"ISBLANK($K$185)"</formula>
    </cfRule>
    <cfRule type="expression" dxfId="1166" priority="1752">
      <formula>AND(OR(AW151=0,ISBLANK(Y151)),B151&lt;&gt;"")</formula>
    </cfRule>
    <cfRule type="expression" dxfId="1165" priority="1753">
      <formula>AND(Y151="NA",NOT(ISTEXT(X151)))</formula>
    </cfRule>
    <cfRule type="expression" dxfId="1164" priority="1754">
      <formula>AND(AW151&gt;5,Y151="NA")</formula>
    </cfRule>
    <cfRule type="expression" dxfId="1163" priority="1755">
      <formula>AND(AW151&lt;5,Y151="NA")</formula>
    </cfRule>
    <cfRule type="expression" dxfId="1162" priority="1756">
      <formula>AND(Y151&lt;&gt;"NA",Y151&gt;$Y$16)</formula>
    </cfRule>
  </conditionalFormatting>
  <conditionalFormatting sqref="N151">
    <cfRule type="expression" priority="1736" stopIfTrue="1">
      <formula>"ISBLANK($K$185)"</formula>
    </cfRule>
    <cfRule type="expression" dxfId="1161" priority="1807">
      <formula>AND(OR(AW151=0,ISBLANK(N151)),B151&lt;&gt;"")</formula>
    </cfRule>
    <cfRule type="expression" dxfId="1160" priority="1808">
      <formula>AND(N151="NA",NOT(ISTEXT(O151)))</formula>
    </cfRule>
    <cfRule type="expression" dxfId="1159" priority="1809">
      <formula>AND(AW151&gt;5,N151="NA")</formula>
    </cfRule>
    <cfRule type="expression" dxfId="1158" priority="1810">
      <formula>AND(AW151&lt;5,N151="NA")</formula>
    </cfRule>
    <cfRule type="expression" dxfId="1157" priority="1811">
      <formula>AND(N151&lt;&gt;"NA",N151&gt;$N$16)</formula>
    </cfRule>
  </conditionalFormatting>
  <conditionalFormatting sqref="O152">
    <cfRule type="expression" priority="1644" stopIfTrue="1">
      <formula>"ISBLANK($K$185)"</formula>
    </cfRule>
    <cfRule type="expression" dxfId="1156" priority="1711">
      <formula>AND(OR(AW152=0,ISBLANK(O152)),B152&lt;&gt;"")</formula>
    </cfRule>
    <cfRule type="expression" dxfId="1155" priority="1712">
      <formula>AND(O152="NA",NOT(ISTEXT(N152)))</formula>
    </cfRule>
    <cfRule type="expression" dxfId="1154" priority="1713">
      <formula>AND(AW152&gt;5,O152="NA")</formula>
    </cfRule>
    <cfRule type="expression" dxfId="1153" priority="1714">
      <formula>AND(AW152&lt;5,O152="NA")</formula>
    </cfRule>
    <cfRule type="expression" dxfId="1152" priority="1715">
      <formula>AND(O152&lt;&gt;"NA",O152&gt;$O$16)</formula>
    </cfRule>
  </conditionalFormatting>
  <conditionalFormatting sqref="P152">
    <cfRule type="expression" priority="1643" stopIfTrue="1">
      <formula>"ISBLANK($K$185)"</formula>
    </cfRule>
    <cfRule type="expression" dxfId="1151" priority="1706">
      <formula>AND(OR(AW152=0,ISBLANK(P152)),B152&lt;&gt;"")</formula>
    </cfRule>
    <cfRule type="expression" dxfId="1150" priority="1707">
      <formula>AND(P152="NA",NOT(ISTEXT(Q152)))</formula>
    </cfRule>
    <cfRule type="expression" dxfId="1149" priority="1708">
      <formula>AND(AW152&gt;5,P152="NA")</formula>
    </cfRule>
    <cfRule type="expression" dxfId="1148" priority="1709">
      <formula>AND(AW152&lt;5,P152="NA")</formula>
    </cfRule>
    <cfRule type="expression" dxfId="1147" priority="1710">
      <formula>AND(P152&lt;&gt;"NA",P152&gt;$P$16)</formula>
    </cfRule>
  </conditionalFormatting>
  <conditionalFormatting sqref="Q152">
    <cfRule type="expression" priority="1642" stopIfTrue="1">
      <formula>"ISBLANK($K$185)"</formula>
    </cfRule>
    <cfRule type="expression" dxfId="1146" priority="1701">
      <formula>AND(OR(AW152=0,ISBLANK(Q152)),B152&lt;&gt;"")</formula>
    </cfRule>
    <cfRule type="expression" dxfId="1145" priority="1702">
      <formula>AND(Q152="NA",NOT(ISTEXT(P152)))</formula>
    </cfRule>
    <cfRule type="expression" dxfId="1144" priority="1703">
      <formula>AND(AW152&gt;5,Q152="NA")</formula>
    </cfRule>
    <cfRule type="expression" dxfId="1143" priority="1704">
      <formula>AND(AW152&lt;5,Q152="NA")</formula>
    </cfRule>
    <cfRule type="expression" dxfId="1142" priority="1705">
      <formula>AND(Q152&lt;&gt;"NA",Q152&gt;$Q$16)</formula>
    </cfRule>
  </conditionalFormatting>
  <conditionalFormatting sqref="R152">
    <cfRule type="expression" priority="1641" stopIfTrue="1">
      <formula>"ISBLANK($K$185)"</formula>
    </cfRule>
    <cfRule type="expression" dxfId="1141" priority="1696">
      <formula>AND(OR(AW152=0,ISBLANK(R152)),B152&lt;&gt;"")</formula>
    </cfRule>
    <cfRule type="expression" dxfId="1140" priority="1697">
      <formula>AND(R152="NA",NOT(ISTEXT(S152)))</formula>
    </cfRule>
    <cfRule type="expression" dxfId="1139" priority="1698">
      <formula>AND(AW152&gt;5,R152="NA")</formula>
    </cfRule>
    <cfRule type="expression" dxfId="1138" priority="1699">
      <formula>AND(AW152&lt;5,R152="NA")</formula>
    </cfRule>
    <cfRule type="expression" dxfId="1137" priority="1700">
      <formula>AND(R152&lt;&gt;"NA",R152&gt;$R$16)</formula>
    </cfRule>
  </conditionalFormatting>
  <conditionalFormatting sqref="S152">
    <cfRule type="expression" priority="1640" stopIfTrue="1">
      <formula>"ISBLANK($K$185)"</formula>
    </cfRule>
    <cfRule type="expression" dxfId="1136" priority="1691">
      <formula>AND(OR(AW152=0,ISBLANK(S152)),B152&lt;&gt;"")</formula>
    </cfRule>
    <cfRule type="expression" dxfId="1135" priority="1692">
      <formula>AND(S152="NA",NOT(ISTEXT(R152)))</formula>
    </cfRule>
    <cfRule type="expression" dxfId="1134" priority="1693">
      <formula>AND(AW152&gt;5,S152="NA")</formula>
    </cfRule>
    <cfRule type="expression" dxfId="1133" priority="1694">
      <formula>AND(AW152&lt;5,S152="NA")</formula>
    </cfRule>
    <cfRule type="expression" dxfId="1132" priority="1695">
      <formula>AND(S152&lt;&gt;"NA",S152&gt;$S$16)</formula>
    </cfRule>
  </conditionalFormatting>
  <conditionalFormatting sqref="T152">
    <cfRule type="expression" priority="1639" stopIfTrue="1">
      <formula>"ISBLANK($K$185)"</formula>
    </cfRule>
    <cfRule type="expression" dxfId="1131" priority="1686">
      <formula>AND(OR(AW152=0,ISBLANK(T152)),B152&lt;&gt;"")</formula>
    </cfRule>
    <cfRule type="expression" dxfId="1130" priority="1687">
      <formula>AND(T152="NA",NOT(ISTEXT(U152)))</formula>
    </cfRule>
    <cfRule type="expression" dxfId="1129" priority="1688">
      <formula>AND(AW152&gt;5,T152="NA")</formula>
    </cfRule>
    <cfRule type="expression" dxfId="1128" priority="1689">
      <formula>AND(AW152&lt;5,T152="NA")</formula>
    </cfRule>
    <cfRule type="expression" dxfId="1127" priority="1690">
      <formula>AND(T152&lt;&gt;"NA",T152&gt;$T$16)</formula>
    </cfRule>
  </conditionalFormatting>
  <conditionalFormatting sqref="U152">
    <cfRule type="expression" priority="1638" stopIfTrue="1">
      <formula>"ISBLANK($K$185)"</formula>
    </cfRule>
    <cfRule type="expression" dxfId="1126" priority="1681">
      <formula>AND(OR(AW152=0,ISBLANK(U152)),B152&lt;&gt;"")</formula>
    </cfRule>
    <cfRule type="expression" dxfId="1125" priority="1682">
      <formula>AND(U152="NA",NOT(ISTEXT(T152)))</formula>
    </cfRule>
    <cfRule type="expression" dxfId="1124" priority="1683">
      <formula>AND(AW152&gt;5,U152="NA")</formula>
    </cfRule>
    <cfRule type="expression" dxfId="1123" priority="1684">
      <formula>AND(AW152&lt;5,U152="NA")</formula>
    </cfRule>
    <cfRule type="expression" dxfId="1122" priority="1685">
      <formula>AND(U152&lt;&gt;"NA",U152&gt;$U$16)</formula>
    </cfRule>
  </conditionalFormatting>
  <conditionalFormatting sqref="V152">
    <cfRule type="expression" priority="1637" stopIfTrue="1">
      <formula>"ISBLANK($K$185)"</formula>
    </cfRule>
    <cfRule type="expression" dxfId="1121" priority="1676">
      <formula>AND(OR(AW152=0,ISBLANK(V152)),B152&lt;&gt;"")</formula>
    </cfRule>
    <cfRule type="expression" dxfId="1120" priority="1677">
      <formula>AND(V152="NA",NOT(ISTEXT(W152)))</formula>
    </cfRule>
    <cfRule type="expression" dxfId="1119" priority="1678">
      <formula>AND(AW152&gt;5,V152="NA")</formula>
    </cfRule>
    <cfRule type="expression" dxfId="1118" priority="1679">
      <formula>AND(AW152&lt;5,V152="NA")</formula>
    </cfRule>
    <cfRule type="expression" dxfId="1117" priority="1680">
      <formula>AND(V152&lt;&gt;"NA",V152&gt;$V$16)</formula>
    </cfRule>
  </conditionalFormatting>
  <conditionalFormatting sqref="W152">
    <cfRule type="expression" priority="1636" stopIfTrue="1">
      <formula>"ISBLANK($K$185)"</formula>
    </cfRule>
    <cfRule type="expression" dxfId="1116" priority="1671">
      <formula>AND(OR(AW152=0,ISBLANK(W152)),B152&lt;&gt;"")</formula>
    </cfRule>
    <cfRule type="expression" dxfId="1115" priority="1672">
      <formula>AND(W152="NA",NOT(ISTEXT(V152)))</formula>
    </cfRule>
    <cfRule type="expression" dxfId="1114" priority="1673">
      <formula>AND(AW152&gt;5,W152="NA")</formula>
    </cfRule>
    <cfRule type="expression" dxfId="1113" priority="1674">
      <formula>AND(AW152&lt;5,W152="NA")</formula>
    </cfRule>
    <cfRule type="expression" dxfId="1112" priority="1675">
      <formula>AND(W152&lt;&gt;"NA",W152&gt;$W$16)</formula>
    </cfRule>
  </conditionalFormatting>
  <conditionalFormatting sqref="X152">
    <cfRule type="expression" priority="1635" stopIfTrue="1">
      <formula>"ISBLANK($K$185)"</formula>
    </cfRule>
    <cfRule type="expression" dxfId="1111" priority="1666">
      <formula>AND(OR(AW152=0,ISBLANK(X152)),B152&lt;&gt;"")</formula>
    </cfRule>
    <cfRule type="expression" dxfId="1110" priority="1667">
      <formula>AND(X152="NA",NOT(ISTEXT(Y152)))</formula>
    </cfRule>
    <cfRule type="expression" dxfId="1109" priority="1668">
      <formula>AND(AW152&gt;5,X152="NA")</formula>
    </cfRule>
    <cfRule type="expression" dxfId="1108" priority="1669">
      <formula>AND(AW152&lt;5,X152="NA")</formula>
    </cfRule>
    <cfRule type="expression" dxfId="1107" priority="1670">
      <formula>AND(X152&lt;&gt;"NA",X152&gt;$Y$16)</formula>
    </cfRule>
  </conditionalFormatting>
  <conditionalFormatting sqref="Y152">
    <cfRule type="expression" priority="1634" stopIfTrue="1">
      <formula>"ISBLANK($K$185)"</formula>
    </cfRule>
    <cfRule type="expression" dxfId="1106" priority="1661">
      <formula>AND(OR(AW152=0,ISBLANK(Y152)),B152&lt;&gt;"")</formula>
    </cfRule>
    <cfRule type="expression" dxfId="1105" priority="1662">
      <formula>AND(Y152="NA",NOT(ISTEXT(X152)))</formula>
    </cfRule>
    <cfRule type="expression" dxfId="1104" priority="1663">
      <formula>AND(AW152&gt;5,Y152="NA")</formula>
    </cfRule>
    <cfRule type="expression" dxfId="1103" priority="1664">
      <formula>AND(AW152&lt;5,Y152="NA")</formula>
    </cfRule>
    <cfRule type="expression" dxfId="1102" priority="1665">
      <formula>AND(Y152&lt;&gt;"NA",Y152&gt;$Y$16)</formula>
    </cfRule>
  </conditionalFormatting>
  <conditionalFormatting sqref="N152">
    <cfRule type="expression" priority="1645" stopIfTrue="1">
      <formula>"ISBLANK($K$185)"</formula>
    </cfRule>
    <cfRule type="expression" dxfId="1101" priority="1716">
      <formula>AND(OR(AW152=0,ISBLANK(N152)),B152&lt;&gt;"")</formula>
    </cfRule>
    <cfRule type="expression" dxfId="1100" priority="1717">
      <formula>AND(N152="NA",NOT(ISTEXT(O152)))</formula>
    </cfRule>
    <cfRule type="expression" dxfId="1099" priority="1718">
      <formula>AND(AW152&gt;5,N152="NA")</formula>
    </cfRule>
    <cfRule type="expression" dxfId="1098" priority="1719">
      <formula>AND(AW152&lt;5,N152="NA")</formula>
    </cfRule>
    <cfRule type="expression" dxfId="1097" priority="1720">
      <formula>AND(N152&lt;&gt;"NA",N152&gt;$N$16)</formula>
    </cfRule>
  </conditionalFormatting>
  <conditionalFormatting sqref="O153">
    <cfRule type="expression" priority="1553" stopIfTrue="1">
      <formula>"ISBLANK($K$185)"</formula>
    </cfRule>
    <cfRule type="expression" dxfId="1096" priority="1620">
      <formula>AND(OR(AW153=0,ISBLANK(O153)),B153&lt;&gt;"")</formula>
    </cfRule>
    <cfRule type="expression" dxfId="1095" priority="1621">
      <formula>AND(O153="NA",NOT(ISTEXT(N153)))</formula>
    </cfRule>
    <cfRule type="expression" dxfId="1094" priority="1622">
      <formula>AND(AW153&gt;5,O153="NA")</formula>
    </cfRule>
    <cfRule type="expression" dxfId="1093" priority="1623">
      <formula>AND(AW153&lt;5,O153="NA")</formula>
    </cfRule>
    <cfRule type="expression" dxfId="1092" priority="1624">
      <formula>AND(O153&lt;&gt;"NA",O153&gt;$O$16)</formula>
    </cfRule>
  </conditionalFormatting>
  <conditionalFormatting sqref="P153">
    <cfRule type="expression" priority="1552" stopIfTrue="1">
      <formula>"ISBLANK($K$185)"</formula>
    </cfRule>
    <cfRule type="expression" dxfId="1091" priority="1615">
      <formula>AND(OR(AW153=0,ISBLANK(P153)),B153&lt;&gt;"")</formula>
    </cfRule>
    <cfRule type="expression" dxfId="1090" priority="1616">
      <formula>AND(P153="NA",NOT(ISTEXT(Q153)))</formula>
    </cfRule>
    <cfRule type="expression" dxfId="1089" priority="1617">
      <formula>AND(AW153&gt;5,P153="NA")</formula>
    </cfRule>
    <cfRule type="expression" dxfId="1088" priority="1618">
      <formula>AND(AW153&lt;5,P153="NA")</formula>
    </cfRule>
    <cfRule type="expression" dxfId="1087" priority="1619">
      <formula>AND(P153&lt;&gt;"NA",P153&gt;$P$16)</formula>
    </cfRule>
  </conditionalFormatting>
  <conditionalFormatting sqref="Q153">
    <cfRule type="expression" priority="1551" stopIfTrue="1">
      <formula>"ISBLANK($K$185)"</formula>
    </cfRule>
    <cfRule type="expression" dxfId="1086" priority="1610">
      <formula>AND(OR(AW153=0,ISBLANK(Q153)),B153&lt;&gt;"")</formula>
    </cfRule>
    <cfRule type="expression" dxfId="1085" priority="1611">
      <formula>AND(Q153="NA",NOT(ISTEXT(P153)))</formula>
    </cfRule>
    <cfRule type="expression" dxfId="1084" priority="1612">
      <formula>AND(AW153&gt;5,Q153="NA")</formula>
    </cfRule>
    <cfRule type="expression" dxfId="1083" priority="1613">
      <formula>AND(AW153&lt;5,Q153="NA")</formula>
    </cfRule>
    <cfRule type="expression" dxfId="1082" priority="1614">
      <formula>AND(Q153&lt;&gt;"NA",Q153&gt;$Q$16)</formula>
    </cfRule>
  </conditionalFormatting>
  <conditionalFormatting sqref="R153">
    <cfRule type="expression" priority="1550" stopIfTrue="1">
      <formula>"ISBLANK($K$185)"</formula>
    </cfRule>
    <cfRule type="expression" dxfId="1081" priority="1605">
      <formula>AND(OR(AW153=0,ISBLANK(R153)),B153&lt;&gt;"")</formula>
    </cfRule>
    <cfRule type="expression" dxfId="1080" priority="1606">
      <formula>AND(R153="NA",NOT(ISTEXT(S153)))</formula>
    </cfRule>
    <cfRule type="expression" dxfId="1079" priority="1607">
      <formula>AND(AW153&gt;5,R153="NA")</formula>
    </cfRule>
    <cfRule type="expression" dxfId="1078" priority="1608">
      <formula>AND(AW153&lt;5,R153="NA")</formula>
    </cfRule>
    <cfRule type="expression" dxfId="1077" priority="1609">
      <formula>AND(R153&lt;&gt;"NA",R153&gt;$R$16)</formula>
    </cfRule>
  </conditionalFormatting>
  <conditionalFormatting sqref="S153">
    <cfRule type="expression" priority="1549" stopIfTrue="1">
      <formula>"ISBLANK($K$185)"</formula>
    </cfRule>
    <cfRule type="expression" dxfId="1076" priority="1600">
      <formula>AND(OR(AW153=0,ISBLANK(S153)),B153&lt;&gt;"")</formula>
    </cfRule>
    <cfRule type="expression" dxfId="1075" priority="1601">
      <formula>AND(S153="NA",NOT(ISTEXT(R153)))</formula>
    </cfRule>
    <cfRule type="expression" dxfId="1074" priority="1602">
      <formula>AND(AW153&gt;5,S153="NA")</formula>
    </cfRule>
    <cfRule type="expression" dxfId="1073" priority="1603">
      <formula>AND(AW153&lt;5,S153="NA")</formula>
    </cfRule>
    <cfRule type="expression" dxfId="1072" priority="1604">
      <formula>AND(S153&lt;&gt;"NA",S153&gt;$S$16)</formula>
    </cfRule>
  </conditionalFormatting>
  <conditionalFormatting sqref="T153">
    <cfRule type="expression" priority="1548" stopIfTrue="1">
      <formula>"ISBLANK($K$185)"</formula>
    </cfRule>
    <cfRule type="expression" dxfId="1071" priority="1595">
      <formula>AND(OR(AW153=0,ISBLANK(T153)),B153&lt;&gt;"")</formula>
    </cfRule>
    <cfRule type="expression" dxfId="1070" priority="1596">
      <formula>AND(T153="NA",NOT(ISTEXT(U153)))</formula>
    </cfRule>
    <cfRule type="expression" dxfId="1069" priority="1597">
      <formula>AND(AW153&gt;5,T153="NA")</formula>
    </cfRule>
    <cfRule type="expression" dxfId="1068" priority="1598">
      <formula>AND(AW153&lt;5,T153="NA")</formula>
    </cfRule>
    <cfRule type="expression" dxfId="1067" priority="1599">
      <formula>AND(T153&lt;&gt;"NA",T153&gt;$T$16)</formula>
    </cfRule>
  </conditionalFormatting>
  <conditionalFormatting sqref="U153">
    <cfRule type="expression" priority="1547" stopIfTrue="1">
      <formula>"ISBLANK($K$185)"</formula>
    </cfRule>
    <cfRule type="expression" dxfId="1066" priority="1590">
      <formula>AND(OR(AW153=0,ISBLANK(U153)),B153&lt;&gt;"")</formula>
    </cfRule>
    <cfRule type="expression" dxfId="1065" priority="1591">
      <formula>AND(U153="NA",NOT(ISTEXT(T153)))</formula>
    </cfRule>
    <cfRule type="expression" dxfId="1064" priority="1592">
      <formula>AND(AW153&gt;5,U153="NA")</formula>
    </cfRule>
    <cfRule type="expression" dxfId="1063" priority="1593">
      <formula>AND(AW153&lt;5,U153="NA")</formula>
    </cfRule>
    <cfRule type="expression" dxfId="1062" priority="1594">
      <formula>AND(U153&lt;&gt;"NA",U153&gt;$U$16)</formula>
    </cfRule>
  </conditionalFormatting>
  <conditionalFormatting sqref="V153">
    <cfRule type="expression" priority="1546" stopIfTrue="1">
      <formula>"ISBLANK($K$185)"</formula>
    </cfRule>
    <cfRule type="expression" dxfId="1061" priority="1585">
      <formula>AND(OR(AW153=0,ISBLANK(V153)),B153&lt;&gt;"")</formula>
    </cfRule>
    <cfRule type="expression" dxfId="1060" priority="1586">
      <formula>AND(V153="NA",NOT(ISTEXT(W153)))</formula>
    </cfRule>
    <cfRule type="expression" dxfId="1059" priority="1587">
      <formula>AND(AW153&gt;5,V153="NA")</formula>
    </cfRule>
    <cfRule type="expression" dxfId="1058" priority="1588">
      <formula>AND(AW153&lt;5,V153="NA")</formula>
    </cfRule>
    <cfRule type="expression" dxfId="1057" priority="1589">
      <formula>AND(V153&lt;&gt;"NA",V153&gt;$V$16)</formula>
    </cfRule>
  </conditionalFormatting>
  <conditionalFormatting sqref="W153">
    <cfRule type="expression" priority="1545" stopIfTrue="1">
      <formula>"ISBLANK($K$185)"</formula>
    </cfRule>
    <cfRule type="expression" dxfId="1056" priority="1580">
      <formula>AND(OR(AW153=0,ISBLANK(W153)),B153&lt;&gt;"")</formula>
    </cfRule>
    <cfRule type="expression" dxfId="1055" priority="1581">
      <formula>AND(W153="NA",NOT(ISTEXT(V153)))</formula>
    </cfRule>
    <cfRule type="expression" dxfId="1054" priority="1582">
      <formula>AND(AW153&gt;5,W153="NA")</formula>
    </cfRule>
    <cfRule type="expression" dxfId="1053" priority="1583">
      <formula>AND(AW153&lt;5,W153="NA")</formula>
    </cfRule>
    <cfRule type="expression" dxfId="1052" priority="1584">
      <formula>AND(W153&lt;&gt;"NA",W153&gt;$W$16)</formula>
    </cfRule>
  </conditionalFormatting>
  <conditionalFormatting sqref="X153">
    <cfRule type="expression" priority="1544" stopIfTrue="1">
      <formula>"ISBLANK($K$185)"</formula>
    </cfRule>
    <cfRule type="expression" dxfId="1051" priority="1575">
      <formula>AND(OR(AW153=0,ISBLANK(X153)),B153&lt;&gt;"")</formula>
    </cfRule>
    <cfRule type="expression" dxfId="1050" priority="1576">
      <formula>AND(X153="NA",NOT(ISTEXT(Y153)))</formula>
    </cfRule>
    <cfRule type="expression" dxfId="1049" priority="1577">
      <formula>AND(AW153&gt;5,X153="NA")</formula>
    </cfRule>
    <cfRule type="expression" dxfId="1048" priority="1578">
      <formula>AND(AW153&lt;5,X153="NA")</formula>
    </cfRule>
    <cfRule type="expression" dxfId="1047" priority="1579">
      <formula>AND(X153&lt;&gt;"NA",X153&gt;$Y$16)</formula>
    </cfRule>
  </conditionalFormatting>
  <conditionalFormatting sqref="Y153">
    <cfRule type="expression" priority="1543" stopIfTrue="1">
      <formula>"ISBLANK($K$185)"</formula>
    </cfRule>
    <cfRule type="expression" dxfId="1046" priority="1570">
      <formula>AND(OR(AW153=0,ISBLANK(Y153)),B153&lt;&gt;"")</formula>
    </cfRule>
    <cfRule type="expression" dxfId="1045" priority="1571">
      <formula>AND(Y153="NA",NOT(ISTEXT(X153)))</formula>
    </cfRule>
    <cfRule type="expression" dxfId="1044" priority="1572">
      <formula>AND(AW153&gt;5,Y153="NA")</formula>
    </cfRule>
    <cfRule type="expression" dxfId="1043" priority="1573">
      <formula>AND(AW153&lt;5,Y153="NA")</formula>
    </cfRule>
    <cfRule type="expression" dxfId="1042" priority="1574">
      <formula>AND(Y153&lt;&gt;"NA",Y153&gt;$Y$16)</formula>
    </cfRule>
  </conditionalFormatting>
  <conditionalFormatting sqref="N153">
    <cfRule type="expression" priority="1554" stopIfTrue="1">
      <formula>"ISBLANK($K$185)"</formula>
    </cfRule>
    <cfRule type="expression" dxfId="1041" priority="1625">
      <formula>AND(OR(AW153=0,ISBLANK(N153)),B153&lt;&gt;"")</formula>
    </cfRule>
    <cfRule type="expression" dxfId="1040" priority="1626">
      <formula>AND(N153="NA",NOT(ISTEXT(O153)))</formula>
    </cfRule>
    <cfRule type="expression" dxfId="1039" priority="1627">
      <formula>AND(AW153&gt;5,N153="NA")</formula>
    </cfRule>
    <cfRule type="expression" dxfId="1038" priority="1628">
      <formula>AND(AW153&lt;5,N153="NA")</formula>
    </cfRule>
    <cfRule type="expression" dxfId="1037" priority="1629">
      <formula>AND(N153&lt;&gt;"NA",N153&gt;$N$16)</formula>
    </cfRule>
  </conditionalFormatting>
  <conditionalFormatting sqref="O154">
    <cfRule type="expression" priority="1462" stopIfTrue="1">
      <formula>"ISBLANK($K$185)"</formula>
    </cfRule>
    <cfRule type="expression" dxfId="1036" priority="1529">
      <formula>AND(OR(AW154=0,ISBLANK(O154)),B154&lt;&gt;"")</formula>
    </cfRule>
    <cfRule type="expression" dxfId="1035" priority="1530">
      <formula>AND(O154="NA",NOT(ISTEXT(N154)))</formula>
    </cfRule>
    <cfRule type="expression" dxfId="1034" priority="1531">
      <formula>AND(AW154&gt;5,O154="NA")</formula>
    </cfRule>
    <cfRule type="expression" dxfId="1033" priority="1532">
      <formula>AND(AW154&lt;5,O154="NA")</formula>
    </cfRule>
    <cfRule type="expression" dxfId="1032" priority="1533">
      <formula>AND(O154&lt;&gt;"NA",O154&gt;$O$16)</formula>
    </cfRule>
  </conditionalFormatting>
  <conditionalFormatting sqref="P154">
    <cfRule type="expression" priority="1461" stopIfTrue="1">
      <formula>"ISBLANK($K$185)"</formula>
    </cfRule>
    <cfRule type="expression" dxfId="1031" priority="1524">
      <formula>AND(OR(AW154=0,ISBLANK(P154)),B154&lt;&gt;"")</formula>
    </cfRule>
    <cfRule type="expression" dxfId="1030" priority="1525">
      <formula>AND(P154="NA",NOT(ISTEXT(Q154)))</formula>
    </cfRule>
    <cfRule type="expression" dxfId="1029" priority="1526">
      <formula>AND(AW154&gt;5,P154="NA")</formula>
    </cfRule>
    <cfRule type="expression" dxfId="1028" priority="1527">
      <formula>AND(AW154&lt;5,P154="NA")</formula>
    </cfRule>
    <cfRule type="expression" dxfId="1027" priority="1528">
      <formula>AND(P154&lt;&gt;"NA",P154&gt;$P$16)</formula>
    </cfRule>
  </conditionalFormatting>
  <conditionalFormatting sqref="Q154">
    <cfRule type="expression" priority="1460" stopIfTrue="1">
      <formula>"ISBLANK($K$185)"</formula>
    </cfRule>
    <cfRule type="expression" dxfId="1026" priority="1519">
      <formula>AND(OR(AW154=0,ISBLANK(Q154)),B154&lt;&gt;"")</formula>
    </cfRule>
    <cfRule type="expression" dxfId="1025" priority="1520">
      <formula>AND(Q154="NA",NOT(ISTEXT(P154)))</formula>
    </cfRule>
    <cfRule type="expression" dxfId="1024" priority="1521">
      <formula>AND(AW154&gt;5,Q154="NA")</formula>
    </cfRule>
    <cfRule type="expression" dxfId="1023" priority="1522">
      <formula>AND(AW154&lt;5,Q154="NA")</formula>
    </cfRule>
    <cfRule type="expression" dxfId="1022" priority="1523">
      <formula>AND(Q154&lt;&gt;"NA",Q154&gt;$Q$16)</formula>
    </cfRule>
  </conditionalFormatting>
  <conditionalFormatting sqref="R154">
    <cfRule type="expression" priority="1459" stopIfTrue="1">
      <formula>"ISBLANK($K$185)"</formula>
    </cfRule>
    <cfRule type="expression" dxfId="1021" priority="1514">
      <formula>AND(OR(AW154=0,ISBLANK(R154)),B154&lt;&gt;"")</formula>
    </cfRule>
    <cfRule type="expression" dxfId="1020" priority="1515">
      <formula>AND(R154="NA",NOT(ISTEXT(S154)))</formula>
    </cfRule>
    <cfRule type="expression" dxfId="1019" priority="1516">
      <formula>AND(AW154&gt;5,R154="NA")</formula>
    </cfRule>
    <cfRule type="expression" dxfId="1018" priority="1517">
      <formula>AND(AW154&lt;5,R154="NA")</formula>
    </cfRule>
    <cfRule type="expression" dxfId="1017" priority="1518">
      <formula>AND(R154&lt;&gt;"NA",R154&gt;$R$16)</formula>
    </cfRule>
  </conditionalFormatting>
  <conditionalFormatting sqref="S154">
    <cfRule type="expression" priority="1458" stopIfTrue="1">
      <formula>"ISBLANK($K$185)"</formula>
    </cfRule>
    <cfRule type="expression" dxfId="1016" priority="1509">
      <formula>AND(OR(AW154=0,ISBLANK(S154)),B154&lt;&gt;"")</formula>
    </cfRule>
    <cfRule type="expression" dxfId="1015" priority="1510">
      <formula>AND(S154="NA",NOT(ISTEXT(R154)))</formula>
    </cfRule>
    <cfRule type="expression" dxfId="1014" priority="1511">
      <formula>AND(AW154&gt;5,S154="NA")</formula>
    </cfRule>
    <cfRule type="expression" dxfId="1013" priority="1512">
      <formula>AND(AW154&lt;5,S154="NA")</formula>
    </cfRule>
    <cfRule type="expression" dxfId="1012" priority="1513">
      <formula>AND(S154&lt;&gt;"NA",S154&gt;$S$16)</formula>
    </cfRule>
  </conditionalFormatting>
  <conditionalFormatting sqref="T154">
    <cfRule type="expression" priority="1457" stopIfTrue="1">
      <formula>"ISBLANK($K$185)"</formula>
    </cfRule>
    <cfRule type="expression" dxfId="1011" priority="1504">
      <formula>AND(OR(AW154=0,ISBLANK(T154)),B154&lt;&gt;"")</formula>
    </cfRule>
    <cfRule type="expression" dxfId="1010" priority="1505">
      <formula>AND(T154="NA",NOT(ISTEXT(U154)))</formula>
    </cfRule>
    <cfRule type="expression" dxfId="1009" priority="1506">
      <formula>AND(AW154&gt;5,T154="NA")</formula>
    </cfRule>
    <cfRule type="expression" dxfId="1008" priority="1507">
      <formula>AND(AW154&lt;5,T154="NA")</formula>
    </cfRule>
    <cfRule type="expression" dxfId="1007" priority="1508">
      <formula>AND(T154&lt;&gt;"NA",T154&gt;$T$16)</formula>
    </cfRule>
  </conditionalFormatting>
  <conditionalFormatting sqref="U154">
    <cfRule type="expression" priority="1456" stopIfTrue="1">
      <formula>"ISBLANK($K$185)"</formula>
    </cfRule>
    <cfRule type="expression" dxfId="1006" priority="1499">
      <formula>AND(OR(AW154=0,ISBLANK(U154)),B154&lt;&gt;"")</formula>
    </cfRule>
    <cfRule type="expression" dxfId="1005" priority="1500">
      <formula>AND(U154="NA",NOT(ISTEXT(T154)))</formula>
    </cfRule>
    <cfRule type="expression" dxfId="1004" priority="1501">
      <formula>AND(AW154&gt;5,U154="NA")</formula>
    </cfRule>
    <cfRule type="expression" dxfId="1003" priority="1502">
      <formula>AND(AW154&lt;5,U154="NA")</formula>
    </cfRule>
    <cfRule type="expression" dxfId="1002" priority="1503">
      <formula>AND(U154&lt;&gt;"NA",U154&gt;$U$16)</formula>
    </cfRule>
  </conditionalFormatting>
  <conditionalFormatting sqref="V154">
    <cfRule type="expression" priority="1455" stopIfTrue="1">
      <formula>"ISBLANK($K$185)"</formula>
    </cfRule>
    <cfRule type="expression" dxfId="1001" priority="1494">
      <formula>AND(OR(AW154=0,ISBLANK(V154)),B154&lt;&gt;"")</formula>
    </cfRule>
    <cfRule type="expression" dxfId="1000" priority="1495">
      <formula>AND(V154="NA",NOT(ISTEXT(W154)))</formula>
    </cfRule>
    <cfRule type="expression" dxfId="999" priority="1496">
      <formula>AND(AW154&gt;5,V154="NA")</formula>
    </cfRule>
    <cfRule type="expression" dxfId="998" priority="1497">
      <formula>AND(AW154&lt;5,V154="NA")</formula>
    </cfRule>
    <cfRule type="expression" dxfId="997" priority="1498">
      <formula>AND(V154&lt;&gt;"NA",V154&gt;$V$16)</formula>
    </cfRule>
  </conditionalFormatting>
  <conditionalFormatting sqref="W154">
    <cfRule type="expression" priority="1454" stopIfTrue="1">
      <formula>"ISBLANK($K$185)"</formula>
    </cfRule>
    <cfRule type="expression" dxfId="996" priority="1489">
      <formula>AND(OR(AW154=0,ISBLANK(W154)),B154&lt;&gt;"")</formula>
    </cfRule>
    <cfRule type="expression" dxfId="995" priority="1490">
      <formula>AND(W154="NA",NOT(ISTEXT(V154)))</formula>
    </cfRule>
    <cfRule type="expression" dxfId="994" priority="1491">
      <formula>AND(AW154&gt;5,W154="NA")</formula>
    </cfRule>
    <cfRule type="expression" dxfId="993" priority="1492">
      <formula>AND(AW154&lt;5,W154="NA")</formula>
    </cfRule>
    <cfRule type="expression" dxfId="992" priority="1493">
      <formula>AND(W154&lt;&gt;"NA",W154&gt;$W$16)</formula>
    </cfRule>
  </conditionalFormatting>
  <conditionalFormatting sqref="X154">
    <cfRule type="expression" priority="1453" stopIfTrue="1">
      <formula>"ISBLANK($K$185)"</formula>
    </cfRule>
    <cfRule type="expression" dxfId="991" priority="1484">
      <formula>AND(OR(AW154=0,ISBLANK(X154)),B154&lt;&gt;"")</formula>
    </cfRule>
    <cfRule type="expression" dxfId="990" priority="1485">
      <formula>AND(X154="NA",NOT(ISTEXT(Y154)))</formula>
    </cfRule>
    <cfRule type="expression" dxfId="989" priority="1486">
      <formula>AND(AW154&gt;5,X154="NA")</formula>
    </cfRule>
    <cfRule type="expression" dxfId="988" priority="1487">
      <formula>AND(AW154&lt;5,X154="NA")</formula>
    </cfRule>
    <cfRule type="expression" dxfId="987" priority="1488">
      <formula>AND(X154&lt;&gt;"NA",X154&gt;$Y$16)</formula>
    </cfRule>
  </conditionalFormatting>
  <conditionalFormatting sqref="Y154">
    <cfRule type="expression" priority="1452" stopIfTrue="1">
      <formula>"ISBLANK($K$185)"</formula>
    </cfRule>
    <cfRule type="expression" dxfId="986" priority="1479">
      <formula>AND(OR(AW154=0,ISBLANK(Y154)),B154&lt;&gt;"")</formula>
    </cfRule>
    <cfRule type="expression" dxfId="985" priority="1480">
      <formula>AND(Y154="NA",NOT(ISTEXT(X154)))</formula>
    </cfRule>
    <cfRule type="expression" dxfId="984" priority="1481">
      <formula>AND(AW154&gt;5,Y154="NA")</formula>
    </cfRule>
    <cfRule type="expression" dxfId="983" priority="1482">
      <formula>AND(AW154&lt;5,Y154="NA")</formula>
    </cfRule>
    <cfRule type="expression" dxfId="982" priority="1483">
      <formula>AND(Y154&lt;&gt;"NA",Y154&gt;$Y$16)</formula>
    </cfRule>
  </conditionalFormatting>
  <conditionalFormatting sqref="N154">
    <cfRule type="expression" priority="1463" stopIfTrue="1">
      <formula>"ISBLANK($K$185)"</formula>
    </cfRule>
    <cfRule type="expression" dxfId="981" priority="1534">
      <formula>AND(OR(AW154=0,ISBLANK(N154)),B154&lt;&gt;"")</formula>
    </cfRule>
    <cfRule type="expression" dxfId="980" priority="1535">
      <formula>AND(N154="NA",NOT(ISTEXT(O154)))</formula>
    </cfRule>
    <cfRule type="expression" dxfId="979" priority="1536">
      <formula>AND(AW154&gt;5,N154="NA")</formula>
    </cfRule>
    <cfRule type="expression" dxfId="978" priority="1537">
      <formula>AND(AW154&lt;5,N154="NA")</formula>
    </cfRule>
    <cfRule type="expression" dxfId="977" priority="1538">
      <formula>AND(N154&lt;&gt;"NA",N154&gt;$N$16)</formula>
    </cfRule>
  </conditionalFormatting>
  <conditionalFormatting sqref="O155">
    <cfRule type="expression" priority="1371" stopIfTrue="1">
      <formula>"ISBLANK($K$185)"</formula>
    </cfRule>
    <cfRule type="expression" dxfId="976" priority="1438">
      <formula>AND(OR(AW155=0,ISBLANK(O155)),B155&lt;&gt;"")</formula>
    </cfRule>
    <cfRule type="expression" dxfId="975" priority="1439">
      <formula>AND(O155="NA",NOT(ISTEXT(N155)))</formula>
    </cfRule>
    <cfRule type="expression" dxfId="974" priority="1440">
      <formula>AND(AW155&gt;5,O155="NA")</formula>
    </cfRule>
    <cfRule type="expression" dxfId="973" priority="1441">
      <formula>AND(AW155&lt;5,O155="NA")</formula>
    </cfRule>
    <cfRule type="expression" dxfId="972" priority="1442">
      <formula>AND(O155&lt;&gt;"NA",O155&gt;$O$16)</formula>
    </cfRule>
  </conditionalFormatting>
  <conditionalFormatting sqref="P155">
    <cfRule type="expression" priority="1370" stopIfTrue="1">
      <formula>"ISBLANK($K$185)"</formula>
    </cfRule>
    <cfRule type="expression" dxfId="971" priority="1433">
      <formula>AND(OR(AW155=0,ISBLANK(P155)),B155&lt;&gt;"")</formula>
    </cfRule>
    <cfRule type="expression" dxfId="970" priority="1434">
      <formula>AND(P155="NA",NOT(ISTEXT(Q155)))</formula>
    </cfRule>
    <cfRule type="expression" dxfId="969" priority="1435">
      <formula>AND(AW155&gt;5,P155="NA")</formula>
    </cfRule>
    <cfRule type="expression" dxfId="968" priority="1436">
      <formula>AND(AW155&lt;5,P155="NA")</formula>
    </cfRule>
    <cfRule type="expression" dxfId="967" priority="1437">
      <formula>AND(P155&lt;&gt;"NA",P155&gt;$P$16)</formula>
    </cfRule>
  </conditionalFormatting>
  <conditionalFormatting sqref="Q155">
    <cfRule type="expression" priority="1369" stopIfTrue="1">
      <formula>"ISBLANK($K$185)"</formula>
    </cfRule>
    <cfRule type="expression" dxfId="966" priority="1428">
      <formula>AND(OR(AW155=0,ISBLANK(Q155)),B155&lt;&gt;"")</formula>
    </cfRule>
    <cfRule type="expression" dxfId="965" priority="1429">
      <formula>AND(Q155="NA",NOT(ISTEXT(P155)))</formula>
    </cfRule>
    <cfRule type="expression" dxfId="964" priority="1430">
      <formula>AND(AW155&gt;5,Q155="NA")</formula>
    </cfRule>
    <cfRule type="expression" dxfId="963" priority="1431">
      <formula>AND(AW155&lt;5,Q155="NA")</formula>
    </cfRule>
    <cfRule type="expression" dxfId="962" priority="1432">
      <formula>AND(Q155&lt;&gt;"NA",Q155&gt;$Q$16)</formula>
    </cfRule>
  </conditionalFormatting>
  <conditionalFormatting sqref="R155">
    <cfRule type="expression" priority="1368" stopIfTrue="1">
      <formula>"ISBLANK($K$185)"</formula>
    </cfRule>
    <cfRule type="expression" dxfId="961" priority="1423">
      <formula>AND(OR(AW155=0,ISBLANK(R155)),B155&lt;&gt;"")</formula>
    </cfRule>
    <cfRule type="expression" dxfId="960" priority="1424">
      <formula>AND(R155="NA",NOT(ISTEXT(S155)))</formula>
    </cfRule>
    <cfRule type="expression" dxfId="959" priority="1425">
      <formula>AND(AW155&gt;5,R155="NA")</formula>
    </cfRule>
    <cfRule type="expression" dxfId="958" priority="1426">
      <formula>AND(AW155&lt;5,R155="NA")</formula>
    </cfRule>
    <cfRule type="expression" dxfId="957" priority="1427">
      <formula>AND(R155&lt;&gt;"NA",R155&gt;$R$16)</formula>
    </cfRule>
  </conditionalFormatting>
  <conditionalFormatting sqref="S155">
    <cfRule type="expression" priority="1367" stopIfTrue="1">
      <formula>"ISBLANK($K$185)"</formula>
    </cfRule>
    <cfRule type="expression" dxfId="956" priority="1418">
      <formula>AND(OR(AW155=0,ISBLANK(S155)),B155&lt;&gt;"")</formula>
    </cfRule>
    <cfRule type="expression" dxfId="955" priority="1419">
      <formula>AND(S155="NA",NOT(ISTEXT(R155)))</formula>
    </cfRule>
    <cfRule type="expression" dxfId="954" priority="1420">
      <formula>AND(AW155&gt;5,S155="NA")</formula>
    </cfRule>
    <cfRule type="expression" dxfId="953" priority="1421">
      <formula>AND(AW155&lt;5,S155="NA")</formula>
    </cfRule>
    <cfRule type="expression" dxfId="952" priority="1422">
      <formula>AND(S155&lt;&gt;"NA",S155&gt;$S$16)</formula>
    </cfRule>
  </conditionalFormatting>
  <conditionalFormatting sqref="T155">
    <cfRule type="expression" priority="1366" stopIfTrue="1">
      <formula>"ISBLANK($K$185)"</formula>
    </cfRule>
    <cfRule type="expression" dxfId="951" priority="1413">
      <formula>AND(OR(AW155=0,ISBLANK(T155)),B155&lt;&gt;"")</formula>
    </cfRule>
    <cfRule type="expression" dxfId="950" priority="1414">
      <formula>AND(T155="NA",NOT(ISTEXT(U155)))</formula>
    </cfRule>
    <cfRule type="expression" dxfId="949" priority="1415">
      <formula>AND(AW155&gt;5,T155="NA")</formula>
    </cfRule>
    <cfRule type="expression" dxfId="948" priority="1416">
      <formula>AND(AW155&lt;5,T155="NA")</formula>
    </cfRule>
    <cfRule type="expression" dxfId="947" priority="1417">
      <formula>AND(T155&lt;&gt;"NA",T155&gt;$T$16)</formula>
    </cfRule>
  </conditionalFormatting>
  <conditionalFormatting sqref="U155">
    <cfRule type="expression" priority="1365" stopIfTrue="1">
      <formula>"ISBLANK($K$185)"</formula>
    </cfRule>
    <cfRule type="expression" dxfId="946" priority="1408">
      <formula>AND(OR(AW155=0,ISBLANK(U155)),B155&lt;&gt;"")</formula>
    </cfRule>
    <cfRule type="expression" dxfId="945" priority="1409">
      <formula>AND(U155="NA",NOT(ISTEXT(T155)))</formula>
    </cfRule>
    <cfRule type="expression" dxfId="944" priority="1410">
      <formula>AND(AW155&gt;5,U155="NA")</formula>
    </cfRule>
    <cfRule type="expression" dxfId="943" priority="1411">
      <formula>AND(AW155&lt;5,U155="NA")</formula>
    </cfRule>
    <cfRule type="expression" dxfId="942" priority="1412">
      <formula>AND(U155&lt;&gt;"NA",U155&gt;$U$16)</formula>
    </cfRule>
  </conditionalFormatting>
  <conditionalFormatting sqref="V155">
    <cfRule type="expression" priority="1364" stopIfTrue="1">
      <formula>"ISBLANK($K$185)"</formula>
    </cfRule>
    <cfRule type="expression" dxfId="941" priority="1403">
      <formula>AND(OR(AW155=0,ISBLANK(V155)),B155&lt;&gt;"")</formula>
    </cfRule>
    <cfRule type="expression" dxfId="940" priority="1404">
      <formula>AND(V155="NA",NOT(ISTEXT(W155)))</formula>
    </cfRule>
    <cfRule type="expression" dxfId="939" priority="1405">
      <formula>AND(AW155&gt;5,V155="NA")</formula>
    </cfRule>
    <cfRule type="expression" dxfId="938" priority="1406">
      <formula>AND(AW155&lt;5,V155="NA")</formula>
    </cfRule>
    <cfRule type="expression" dxfId="937" priority="1407">
      <formula>AND(V155&lt;&gt;"NA",V155&gt;$V$16)</formula>
    </cfRule>
  </conditionalFormatting>
  <conditionalFormatting sqref="W155">
    <cfRule type="expression" priority="1363" stopIfTrue="1">
      <formula>"ISBLANK($K$185)"</formula>
    </cfRule>
    <cfRule type="expression" dxfId="936" priority="1398">
      <formula>AND(OR(AW155=0,ISBLANK(W155)),B155&lt;&gt;"")</formula>
    </cfRule>
    <cfRule type="expression" dxfId="935" priority="1399">
      <formula>AND(W155="NA",NOT(ISTEXT(V155)))</formula>
    </cfRule>
    <cfRule type="expression" dxfId="934" priority="1400">
      <formula>AND(AW155&gt;5,W155="NA")</formula>
    </cfRule>
    <cfRule type="expression" dxfId="933" priority="1401">
      <formula>AND(AW155&lt;5,W155="NA")</formula>
    </cfRule>
    <cfRule type="expression" dxfId="932" priority="1402">
      <formula>AND(W155&lt;&gt;"NA",W155&gt;$W$16)</formula>
    </cfRule>
  </conditionalFormatting>
  <conditionalFormatting sqref="X155">
    <cfRule type="expression" priority="1362" stopIfTrue="1">
      <formula>"ISBLANK($K$185)"</formula>
    </cfRule>
    <cfRule type="expression" dxfId="931" priority="1393">
      <formula>AND(OR(AW155=0,ISBLANK(X155)),B155&lt;&gt;"")</formula>
    </cfRule>
    <cfRule type="expression" dxfId="930" priority="1394">
      <formula>AND(X155="NA",NOT(ISTEXT(Y155)))</formula>
    </cfRule>
    <cfRule type="expression" dxfId="929" priority="1395">
      <formula>AND(AW155&gt;5,X155="NA")</formula>
    </cfRule>
    <cfRule type="expression" dxfId="928" priority="1396">
      <formula>AND(AW155&lt;5,X155="NA")</formula>
    </cfRule>
    <cfRule type="expression" dxfId="927" priority="1397">
      <formula>AND(X155&lt;&gt;"NA",X155&gt;$Y$16)</formula>
    </cfRule>
  </conditionalFormatting>
  <conditionalFormatting sqref="Y155">
    <cfRule type="expression" priority="1361" stopIfTrue="1">
      <formula>"ISBLANK($K$185)"</formula>
    </cfRule>
    <cfRule type="expression" dxfId="926" priority="1388">
      <formula>AND(OR(AW155=0,ISBLANK(Y155)),B155&lt;&gt;"")</formula>
    </cfRule>
    <cfRule type="expression" dxfId="925" priority="1389">
      <formula>AND(Y155="NA",NOT(ISTEXT(X155)))</formula>
    </cfRule>
    <cfRule type="expression" dxfId="924" priority="1390">
      <formula>AND(AW155&gt;5,Y155="NA")</formula>
    </cfRule>
    <cfRule type="expression" dxfId="923" priority="1391">
      <formula>AND(AW155&lt;5,Y155="NA")</formula>
    </cfRule>
    <cfRule type="expression" dxfId="922" priority="1392">
      <formula>AND(Y155&lt;&gt;"NA",Y155&gt;$Y$16)</formula>
    </cfRule>
  </conditionalFormatting>
  <conditionalFormatting sqref="N155">
    <cfRule type="expression" priority="1372" stopIfTrue="1">
      <formula>"ISBLANK($K$185)"</formula>
    </cfRule>
    <cfRule type="expression" dxfId="921" priority="1443">
      <formula>AND(OR(AW155=0,ISBLANK(N155)),B155&lt;&gt;"")</formula>
    </cfRule>
    <cfRule type="expression" dxfId="920" priority="1444">
      <formula>AND(N155="NA",NOT(ISTEXT(O155)))</formula>
    </cfRule>
    <cfRule type="expression" dxfId="919" priority="1445">
      <formula>AND(AW155&gt;5,N155="NA")</formula>
    </cfRule>
    <cfRule type="expression" dxfId="918" priority="1446">
      <formula>AND(AW155&lt;5,N155="NA")</formula>
    </cfRule>
    <cfRule type="expression" dxfId="917" priority="1447">
      <formula>AND(N155&lt;&gt;"NA",N155&gt;$N$16)</formula>
    </cfRule>
  </conditionalFormatting>
  <conditionalFormatting sqref="O156">
    <cfRule type="expression" priority="1280" stopIfTrue="1">
      <formula>"ISBLANK($K$185)"</formula>
    </cfRule>
    <cfRule type="expression" dxfId="916" priority="1347">
      <formula>AND(OR(AW156=0,ISBLANK(O156)),B156&lt;&gt;"")</formula>
    </cfRule>
    <cfRule type="expression" dxfId="915" priority="1348">
      <formula>AND(O156="NA",NOT(ISTEXT(N156)))</formula>
    </cfRule>
    <cfRule type="expression" dxfId="914" priority="1349">
      <formula>AND(AW156&gt;5,O156="NA")</formula>
    </cfRule>
    <cfRule type="expression" dxfId="913" priority="1350">
      <formula>AND(AW156&lt;5,O156="NA")</formula>
    </cfRule>
    <cfRule type="expression" dxfId="912" priority="1351">
      <formula>AND(O156&lt;&gt;"NA",O156&gt;$O$16)</formula>
    </cfRule>
  </conditionalFormatting>
  <conditionalFormatting sqref="P156">
    <cfRule type="expression" priority="1279" stopIfTrue="1">
      <formula>"ISBLANK($K$185)"</formula>
    </cfRule>
    <cfRule type="expression" dxfId="911" priority="1342">
      <formula>AND(OR(AW156=0,ISBLANK(P156)),B156&lt;&gt;"")</formula>
    </cfRule>
    <cfRule type="expression" dxfId="910" priority="1343">
      <formula>AND(P156="NA",NOT(ISTEXT(Q156)))</formula>
    </cfRule>
    <cfRule type="expression" dxfId="909" priority="1344">
      <formula>AND(AW156&gt;5,P156="NA")</formula>
    </cfRule>
    <cfRule type="expression" dxfId="908" priority="1345">
      <formula>AND(AW156&lt;5,P156="NA")</formula>
    </cfRule>
    <cfRule type="expression" dxfId="907" priority="1346">
      <formula>AND(P156&lt;&gt;"NA",P156&gt;$P$16)</formula>
    </cfRule>
  </conditionalFormatting>
  <conditionalFormatting sqref="Q156">
    <cfRule type="expression" priority="1278" stopIfTrue="1">
      <formula>"ISBLANK($K$185)"</formula>
    </cfRule>
    <cfRule type="expression" dxfId="906" priority="1337">
      <formula>AND(OR(AW156=0,ISBLANK(Q156)),B156&lt;&gt;"")</formula>
    </cfRule>
    <cfRule type="expression" dxfId="905" priority="1338">
      <formula>AND(Q156="NA",NOT(ISTEXT(P156)))</formula>
    </cfRule>
    <cfRule type="expression" dxfId="904" priority="1339">
      <formula>AND(AW156&gt;5,Q156="NA")</formula>
    </cfRule>
    <cfRule type="expression" dxfId="903" priority="1340">
      <formula>AND(AW156&lt;5,Q156="NA")</formula>
    </cfRule>
    <cfRule type="expression" dxfId="902" priority="1341">
      <formula>AND(Q156&lt;&gt;"NA",Q156&gt;$Q$16)</formula>
    </cfRule>
  </conditionalFormatting>
  <conditionalFormatting sqref="R156">
    <cfRule type="expression" priority="1277" stopIfTrue="1">
      <formula>"ISBLANK($K$185)"</formula>
    </cfRule>
    <cfRule type="expression" dxfId="901" priority="1332">
      <formula>AND(OR(AW156=0,ISBLANK(R156)),B156&lt;&gt;"")</formula>
    </cfRule>
    <cfRule type="expression" dxfId="900" priority="1333">
      <formula>AND(R156="NA",NOT(ISTEXT(S156)))</formula>
    </cfRule>
    <cfRule type="expression" dxfId="899" priority="1334">
      <formula>AND(AW156&gt;5,R156="NA")</formula>
    </cfRule>
    <cfRule type="expression" dxfId="898" priority="1335">
      <formula>AND(AW156&lt;5,R156="NA")</formula>
    </cfRule>
    <cfRule type="expression" dxfId="897" priority="1336">
      <formula>AND(R156&lt;&gt;"NA",R156&gt;$R$16)</formula>
    </cfRule>
  </conditionalFormatting>
  <conditionalFormatting sqref="S156">
    <cfRule type="expression" priority="1276" stopIfTrue="1">
      <formula>"ISBLANK($K$185)"</formula>
    </cfRule>
    <cfRule type="expression" dxfId="896" priority="1327">
      <formula>AND(OR(AW156=0,ISBLANK(S156)),B156&lt;&gt;"")</formula>
    </cfRule>
    <cfRule type="expression" dxfId="895" priority="1328">
      <formula>AND(S156="NA",NOT(ISTEXT(R156)))</formula>
    </cfRule>
    <cfRule type="expression" dxfId="894" priority="1329">
      <formula>AND(AW156&gt;5,S156="NA")</formula>
    </cfRule>
    <cfRule type="expression" dxfId="893" priority="1330">
      <formula>AND(AW156&lt;5,S156="NA")</formula>
    </cfRule>
    <cfRule type="expression" dxfId="892" priority="1331">
      <formula>AND(S156&lt;&gt;"NA",S156&gt;$S$16)</formula>
    </cfRule>
  </conditionalFormatting>
  <conditionalFormatting sqref="T156">
    <cfRule type="expression" priority="1275" stopIfTrue="1">
      <formula>"ISBLANK($K$185)"</formula>
    </cfRule>
    <cfRule type="expression" dxfId="891" priority="1322">
      <formula>AND(OR(AW156=0,ISBLANK(T156)),B156&lt;&gt;"")</formula>
    </cfRule>
    <cfRule type="expression" dxfId="890" priority="1323">
      <formula>AND(T156="NA",NOT(ISTEXT(U156)))</formula>
    </cfRule>
    <cfRule type="expression" dxfId="889" priority="1324">
      <formula>AND(AW156&gt;5,T156="NA")</formula>
    </cfRule>
    <cfRule type="expression" dxfId="888" priority="1325">
      <formula>AND(AW156&lt;5,T156="NA")</formula>
    </cfRule>
    <cfRule type="expression" dxfId="887" priority="1326">
      <formula>AND(T156&lt;&gt;"NA",T156&gt;$T$16)</formula>
    </cfRule>
  </conditionalFormatting>
  <conditionalFormatting sqref="U156">
    <cfRule type="expression" priority="1274" stopIfTrue="1">
      <formula>"ISBLANK($K$185)"</formula>
    </cfRule>
    <cfRule type="expression" dxfId="886" priority="1317">
      <formula>AND(OR(AW156=0,ISBLANK(U156)),B156&lt;&gt;"")</formula>
    </cfRule>
    <cfRule type="expression" dxfId="885" priority="1318">
      <formula>AND(U156="NA",NOT(ISTEXT(T156)))</formula>
    </cfRule>
    <cfRule type="expression" dxfId="884" priority="1319">
      <formula>AND(AW156&gt;5,U156="NA")</formula>
    </cfRule>
    <cfRule type="expression" dxfId="883" priority="1320">
      <formula>AND(AW156&lt;5,U156="NA")</formula>
    </cfRule>
    <cfRule type="expression" dxfId="882" priority="1321">
      <formula>AND(U156&lt;&gt;"NA",U156&gt;$U$16)</formula>
    </cfRule>
  </conditionalFormatting>
  <conditionalFormatting sqref="V156">
    <cfRule type="expression" priority="1273" stopIfTrue="1">
      <formula>"ISBLANK($K$185)"</formula>
    </cfRule>
    <cfRule type="expression" dxfId="881" priority="1312">
      <formula>AND(OR(AW156=0,ISBLANK(V156)),B156&lt;&gt;"")</formula>
    </cfRule>
    <cfRule type="expression" dxfId="880" priority="1313">
      <formula>AND(V156="NA",NOT(ISTEXT(W156)))</formula>
    </cfRule>
    <cfRule type="expression" dxfId="879" priority="1314">
      <formula>AND(AW156&gt;5,V156="NA")</formula>
    </cfRule>
    <cfRule type="expression" dxfId="878" priority="1315">
      <formula>AND(AW156&lt;5,V156="NA")</formula>
    </cfRule>
    <cfRule type="expression" dxfId="877" priority="1316">
      <formula>AND(V156&lt;&gt;"NA",V156&gt;$V$16)</formula>
    </cfRule>
  </conditionalFormatting>
  <conditionalFormatting sqref="W156">
    <cfRule type="expression" priority="1272" stopIfTrue="1">
      <formula>"ISBLANK($K$185)"</formula>
    </cfRule>
    <cfRule type="expression" dxfId="876" priority="1307">
      <formula>AND(OR(AW156=0,ISBLANK(W156)),B156&lt;&gt;"")</formula>
    </cfRule>
    <cfRule type="expression" dxfId="875" priority="1308">
      <formula>AND(W156="NA",NOT(ISTEXT(V156)))</formula>
    </cfRule>
    <cfRule type="expression" dxfId="874" priority="1309">
      <formula>AND(AW156&gt;5,W156="NA")</formula>
    </cfRule>
    <cfRule type="expression" dxfId="873" priority="1310">
      <formula>AND(AW156&lt;5,W156="NA")</formula>
    </cfRule>
    <cfRule type="expression" dxfId="872" priority="1311">
      <formula>AND(W156&lt;&gt;"NA",W156&gt;$W$16)</formula>
    </cfRule>
  </conditionalFormatting>
  <conditionalFormatting sqref="X156">
    <cfRule type="expression" priority="1271" stopIfTrue="1">
      <formula>"ISBLANK($K$185)"</formula>
    </cfRule>
    <cfRule type="expression" dxfId="871" priority="1302">
      <formula>AND(OR(AW156=0,ISBLANK(X156)),B156&lt;&gt;"")</formula>
    </cfRule>
    <cfRule type="expression" dxfId="870" priority="1303">
      <formula>AND(X156="NA",NOT(ISTEXT(Y156)))</formula>
    </cfRule>
    <cfRule type="expression" dxfId="869" priority="1304">
      <formula>AND(AW156&gt;5,X156="NA")</formula>
    </cfRule>
    <cfRule type="expression" dxfId="868" priority="1305">
      <formula>AND(AW156&lt;5,X156="NA")</formula>
    </cfRule>
    <cfRule type="expression" dxfId="867" priority="1306">
      <formula>AND(X156&lt;&gt;"NA",X156&gt;$Y$16)</formula>
    </cfRule>
  </conditionalFormatting>
  <conditionalFormatting sqref="Y156">
    <cfRule type="expression" priority="1270" stopIfTrue="1">
      <formula>"ISBLANK($K$185)"</formula>
    </cfRule>
    <cfRule type="expression" dxfId="866" priority="1297">
      <formula>AND(OR(AW156=0,ISBLANK(Y156)),B156&lt;&gt;"")</formula>
    </cfRule>
    <cfRule type="expression" dxfId="865" priority="1298">
      <formula>AND(Y156="NA",NOT(ISTEXT(X156)))</formula>
    </cfRule>
    <cfRule type="expression" dxfId="864" priority="1299">
      <formula>AND(AW156&gt;5,Y156="NA")</formula>
    </cfRule>
    <cfRule type="expression" dxfId="863" priority="1300">
      <formula>AND(AW156&lt;5,Y156="NA")</formula>
    </cfRule>
    <cfRule type="expression" dxfId="862" priority="1301">
      <formula>AND(Y156&lt;&gt;"NA",Y156&gt;$Y$16)</formula>
    </cfRule>
  </conditionalFormatting>
  <conditionalFormatting sqref="N156">
    <cfRule type="expression" priority="1281" stopIfTrue="1">
      <formula>"ISBLANK($K$185)"</formula>
    </cfRule>
    <cfRule type="expression" dxfId="861" priority="1352">
      <formula>AND(OR(AW156=0,ISBLANK(N156)),B156&lt;&gt;"")</formula>
    </cfRule>
    <cfRule type="expression" dxfId="860" priority="1353">
      <formula>AND(N156="NA",NOT(ISTEXT(O156)))</formula>
    </cfRule>
    <cfRule type="expression" dxfId="859" priority="1354">
      <formula>AND(AW156&gt;5,N156="NA")</formula>
    </cfRule>
    <cfRule type="expression" dxfId="858" priority="1355">
      <formula>AND(AW156&lt;5,N156="NA")</formula>
    </cfRule>
    <cfRule type="expression" dxfId="857" priority="1356">
      <formula>AND(N156&lt;&gt;"NA",N156&gt;$N$16)</formula>
    </cfRule>
  </conditionalFormatting>
  <conditionalFormatting sqref="O157">
    <cfRule type="expression" priority="1189" stopIfTrue="1">
      <formula>"ISBLANK($K$185)"</formula>
    </cfRule>
    <cfRule type="expression" dxfId="856" priority="1256">
      <formula>AND(OR(AW157=0,ISBLANK(O157)),B157&lt;&gt;"")</formula>
    </cfRule>
    <cfRule type="expression" dxfId="855" priority="1257">
      <formula>AND(O157="NA",NOT(ISTEXT(N157)))</formula>
    </cfRule>
    <cfRule type="expression" dxfId="854" priority="1258">
      <formula>AND(AW157&gt;5,O157="NA")</formula>
    </cfRule>
    <cfRule type="expression" dxfId="853" priority="1259">
      <formula>AND(AW157&lt;5,O157="NA")</formula>
    </cfRule>
    <cfRule type="expression" dxfId="852" priority="1260">
      <formula>AND(O157&lt;&gt;"NA",O157&gt;$O$16)</formula>
    </cfRule>
  </conditionalFormatting>
  <conditionalFormatting sqref="P157">
    <cfRule type="expression" priority="1188" stopIfTrue="1">
      <formula>"ISBLANK($K$185)"</formula>
    </cfRule>
    <cfRule type="expression" dxfId="851" priority="1251">
      <formula>AND(OR(AW157=0,ISBLANK(P157)),B157&lt;&gt;"")</formula>
    </cfRule>
    <cfRule type="expression" dxfId="850" priority="1252">
      <formula>AND(P157="NA",NOT(ISTEXT(Q157)))</formula>
    </cfRule>
    <cfRule type="expression" dxfId="849" priority="1253">
      <formula>AND(AW157&gt;5,P157="NA")</formula>
    </cfRule>
    <cfRule type="expression" dxfId="848" priority="1254">
      <formula>AND(AW157&lt;5,P157="NA")</formula>
    </cfRule>
    <cfRule type="expression" dxfId="847" priority="1255">
      <formula>AND(P157&lt;&gt;"NA",P157&gt;$P$16)</formula>
    </cfRule>
  </conditionalFormatting>
  <conditionalFormatting sqref="Q157">
    <cfRule type="expression" priority="1187" stopIfTrue="1">
      <formula>"ISBLANK($K$185)"</formula>
    </cfRule>
    <cfRule type="expression" dxfId="846" priority="1246">
      <formula>AND(OR(AW157=0,ISBLANK(Q157)),B157&lt;&gt;"")</formula>
    </cfRule>
    <cfRule type="expression" dxfId="845" priority="1247">
      <formula>AND(Q157="NA",NOT(ISTEXT(P157)))</formula>
    </cfRule>
    <cfRule type="expression" dxfId="844" priority="1248">
      <formula>AND(AW157&gt;5,Q157="NA")</formula>
    </cfRule>
    <cfRule type="expression" dxfId="843" priority="1249">
      <formula>AND(AW157&lt;5,Q157="NA")</formula>
    </cfRule>
    <cfRule type="expression" dxfId="842" priority="1250">
      <formula>AND(Q157&lt;&gt;"NA",Q157&gt;$Q$16)</formula>
    </cfRule>
  </conditionalFormatting>
  <conditionalFormatting sqref="R157">
    <cfRule type="expression" priority="1186" stopIfTrue="1">
      <formula>"ISBLANK($K$185)"</formula>
    </cfRule>
    <cfRule type="expression" dxfId="841" priority="1241">
      <formula>AND(OR(AW157=0,ISBLANK(R157)),B157&lt;&gt;"")</formula>
    </cfRule>
    <cfRule type="expression" dxfId="840" priority="1242">
      <formula>AND(R157="NA",NOT(ISTEXT(S157)))</formula>
    </cfRule>
    <cfRule type="expression" dxfId="839" priority="1243">
      <formula>AND(AW157&gt;5,R157="NA")</formula>
    </cfRule>
    <cfRule type="expression" dxfId="838" priority="1244">
      <formula>AND(AW157&lt;5,R157="NA")</formula>
    </cfRule>
    <cfRule type="expression" dxfId="837" priority="1245">
      <formula>AND(R157&lt;&gt;"NA",R157&gt;$R$16)</formula>
    </cfRule>
  </conditionalFormatting>
  <conditionalFormatting sqref="S157">
    <cfRule type="expression" priority="1185" stopIfTrue="1">
      <formula>"ISBLANK($K$185)"</formula>
    </cfRule>
    <cfRule type="expression" dxfId="836" priority="1236">
      <formula>AND(OR(AW157=0,ISBLANK(S157)),B157&lt;&gt;"")</formula>
    </cfRule>
    <cfRule type="expression" dxfId="835" priority="1237">
      <formula>AND(S157="NA",NOT(ISTEXT(R157)))</formula>
    </cfRule>
    <cfRule type="expression" dxfId="834" priority="1238">
      <formula>AND(AW157&gt;5,S157="NA")</formula>
    </cfRule>
    <cfRule type="expression" dxfId="833" priority="1239">
      <formula>AND(AW157&lt;5,S157="NA")</formula>
    </cfRule>
    <cfRule type="expression" dxfId="832" priority="1240">
      <formula>AND(S157&lt;&gt;"NA",S157&gt;$S$16)</formula>
    </cfRule>
  </conditionalFormatting>
  <conditionalFormatting sqref="T157">
    <cfRule type="expression" priority="1184" stopIfTrue="1">
      <formula>"ISBLANK($K$185)"</formula>
    </cfRule>
    <cfRule type="expression" dxfId="831" priority="1231">
      <formula>AND(OR(AW157=0,ISBLANK(T157)),B157&lt;&gt;"")</formula>
    </cfRule>
    <cfRule type="expression" dxfId="830" priority="1232">
      <formula>AND(T157="NA",NOT(ISTEXT(U157)))</formula>
    </cfRule>
    <cfRule type="expression" dxfId="829" priority="1233">
      <formula>AND(AW157&gt;5,T157="NA")</formula>
    </cfRule>
    <cfRule type="expression" dxfId="828" priority="1234">
      <formula>AND(AW157&lt;5,T157="NA")</formula>
    </cfRule>
    <cfRule type="expression" dxfId="827" priority="1235">
      <formula>AND(T157&lt;&gt;"NA",T157&gt;$T$16)</formula>
    </cfRule>
  </conditionalFormatting>
  <conditionalFormatting sqref="U157">
    <cfRule type="expression" priority="1183" stopIfTrue="1">
      <formula>"ISBLANK($K$185)"</formula>
    </cfRule>
    <cfRule type="expression" dxfId="826" priority="1226">
      <formula>AND(OR(AW157=0,ISBLANK(U157)),B157&lt;&gt;"")</formula>
    </cfRule>
    <cfRule type="expression" dxfId="825" priority="1227">
      <formula>AND(U157="NA",NOT(ISTEXT(T157)))</formula>
    </cfRule>
    <cfRule type="expression" dxfId="824" priority="1228">
      <formula>AND(AW157&gt;5,U157="NA")</formula>
    </cfRule>
    <cfRule type="expression" dxfId="823" priority="1229">
      <formula>AND(AW157&lt;5,U157="NA")</formula>
    </cfRule>
    <cfRule type="expression" dxfId="822" priority="1230">
      <formula>AND(U157&lt;&gt;"NA",U157&gt;$U$16)</formula>
    </cfRule>
  </conditionalFormatting>
  <conditionalFormatting sqref="V157">
    <cfRule type="expression" priority="1182" stopIfTrue="1">
      <formula>"ISBLANK($K$185)"</formula>
    </cfRule>
    <cfRule type="expression" dxfId="821" priority="1221">
      <formula>AND(OR(AW157=0,ISBLANK(V157)),B157&lt;&gt;"")</formula>
    </cfRule>
    <cfRule type="expression" dxfId="820" priority="1222">
      <formula>AND(V157="NA",NOT(ISTEXT(W157)))</formula>
    </cfRule>
    <cfRule type="expression" dxfId="819" priority="1223">
      <formula>AND(AW157&gt;5,V157="NA")</formula>
    </cfRule>
    <cfRule type="expression" dxfId="818" priority="1224">
      <formula>AND(AW157&lt;5,V157="NA")</formula>
    </cfRule>
    <cfRule type="expression" dxfId="817" priority="1225">
      <formula>AND(V157&lt;&gt;"NA",V157&gt;$V$16)</formula>
    </cfRule>
  </conditionalFormatting>
  <conditionalFormatting sqref="W157">
    <cfRule type="expression" priority="1181" stopIfTrue="1">
      <formula>"ISBLANK($K$185)"</formula>
    </cfRule>
    <cfRule type="expression" dxfId="816" priority="1216">
      <formula>AND(OR(AW157=0,ISBLANK(W157)),B157&lt;&gt;"")</formula>
    </cfRule>
    <cfRule type="expression" dxfId="815" priority="1217">
      <formula>AND(W157="NA",NOT(ISTEXT(V157)))</formula>
    </cfRule>
    <cfRule type="expression" dxfId="814" priority="1218">
      <formula>AND(AW157&gt;5,W157="NA")</formula>
    </cfRule>
    <cfRule type="expression" dxfId="813" priority="1219">
      <formula>AND(AW157&lt;5,W157="NA")</formula>
    </cfRule>
    <cfRule type="expression" dxfId="812" priority="1220">
      <formula>AND(W157&lt;&gt;"NA",W157&gt;$W$16)</formula>
    </cfRule>
  </conditionalFormatting>
  <conditionalFormatting sqref="X157">
    <cfRule type="expression" priority="1180" stopIfTrue="1">
      <formula>"ISBLANK($K$185)"</formula>
    </cfRule>
    <cfRule type="expression" dxfId="811" priority="1211">
      <formula>AND(OR(AW157=0,ISBLANK(X157)),B157&lt;&gt;"")</formula>
    </cfRule>
    <cfRule type="expression" dxfId="810" priority="1212">
      <formula>AND(X157="NA",NOT(ISTEXT(Y157)))</formula>
    </cfRule>
    <cfRule type="expression" dxfId="809" priority="1213">
      <formula>AND(AW157&gt;5,X157="NA")</formula>
    </cfRule>
    <cfRule type="expression" dxfId="808" priority="1214">
      <formula>AND(AW157&lt;5,X157="NA")</formula>
    </cfRule>
    <cfRule type="expression" dxfId="807" priority="1215">
      <formula>AND(X157&lt;&gt;"NA",X157&gt;$Y$16)</formula>
    </cfRule>
  </conditionalFormatting>
  <conditionalFormatting sqref="Y157">
    <cfRule type="expression" priority="1179" stopIfTrue="1">
      <formula>"ISBLANK($K$185)"</formula>
    </cfRule>
    <cfRule type="expression" dxfId="806" priority="1206">
      <formula>AND(OR(AW157=0,ISBLANK(Y157)),B157&lt;&gt;"")</formula>
    </cfRule>
    <cfRule type="expression" dxfId="805" priority="1207">
      <formula>AND(Y157="NA",NOT(ISTEXT(X157)))</formula>
    </cfRule>
    <cfRule type="expression" dxfId="804" priority="1208">
      <formula>AND(AW157&gt;5,Y157="NA")</formula>
    </cfRule>
    <cfRule type="expression" dxfId="803" priority="1209">
      <formula>AND(AW157&lt;5,Y157="NA")</formula>
    </cfRule>
    <cfRule type="expression" dxfId="802" priority="1210">
      <formula>AND(Y157&lt;&gt;"NA",Y157&gt;$Y$16)</formula>
    </cfRule>
  </conditionalFormatting>
  <conditionalFormatting sqref="N157">
    <cfRule type="expression" priority="1190" stopIfTrue="1">
      <formula>"ISBLANK($K$185)"</formula>
    </cfRule>
    <cfRule type="expression" dxfId="801" priority="1261">
      <formula>AND(OR(AW157=0,ISBLANK(N157)),B157&lt;&gt;"")</formula>
    </cfRule>
    <cfRule type="expression" dxfId="800" priority="1262">
      <formula>AND(N157="NA",NOT(ISTEXT(O157)))</formula>
    </cfRule>
    <cfRule type="expression" dxfId="799" priority="1263">
      <formula>AND(AW157&gt;5,N157="NA")</formula>
    </cfRule>
    <cfRule type="expression" dxfId="798" priority="1264">
      <formula>AND(AW157&lt;5,N157="NA")</formula>
    </cfRule>
    <cfRule type="expression" dxfId="797" priority="1265">
      <formula>AND(N157&lt;&gt;"NA",N157&gt;$N$16)</formula>
    </cfRule>
  </conditionalFormatting>
  <conditionalFormatting sqref="O158">
    <cfRule type="expression" priority="1098" stopIfTrue="1">
      <formula>"ISBLANK($K$185)"</formula>
    </cfRule>
    <cfRule type="expression" dxfId="796" priority="1165">
      <formula>AND(OR(AW158=0,ISBLANK(O158)),B158&lt;&gt;"")</formula>
    </cfRule>
    <cfRule type="expression" dxfId="795" priority="1166">
      <formula>AND(O158="NA",NOT(ISTEXT(N158)))</formula>
    </cfRule>
    <cfRule type="expression" dxfId="794" priority="1167">
      <formula>AND(AW158&gt;5,O158="NA")</formula>
    </cfRule>
    <cfRule type="expression" dxfId="793" priority="1168">
      <formula>AND(AW158&lt;5,O158="NA")</formula>
    </cfRule>
    <cfRule type="expression" dxfId="792" priority="1169">
      <formula>AND(O158&lt;&gt;"NA",O158&gt;$O$16)</formula>
    </cfRule>
  </conditionalFormatting>
  <conditionalFormatting sqref="P158">
    <cfRule type="expression" priority="1097" stopIfTrue="1">
      <formula>"ISBLANK($K$185)"</formula>
    </cfRule>
    <cfRule type="expression" dxfId="791" priority="1160">
      <formula>AND(OR(AW158=0,ISBLANK(P158)),B158&lt;&gt;"")</formula>
    </cfRule>
    <cfRule type="expression" dxfId="790" priority="1161">
      <formula>AND(P158="NA",NOT(ISTEXT(Q158)))</formula>
    </cfRule>
    <cfRule type="expression" dxfId="789" priority="1162">
      <formula>AND(AW158&gt;5,P158="NA")</formula>
    </cfRule>
    <cfRule type="expression" dxfId="788" priority="1163">
      <formula>AND(AW158&lt;5,P158="NA")</formula>
    </cfRule>
    <cfRule type="expression" dxfId="787" priority="1164">
      <formula>AND(P158&lt;&gt;"NA",P158&gt;$P$16)</formula>
    </cfRule>
  </conditionalFormatting>
  <conditionalFormatting sqref="Q158">
    <cfRule type="expression" priority="1096" stopIfTrue="1">
      <formula>"ISBLANK($K$185)"</formula>
    </cfRule>
    <cfRule type="expression" dxfId="786" priority="1155">
      <formula>AND(OR(AW158=0,ISBLANK(Q158)),B158&lt;&gt;"")</formula>
    </cfRule>
    <cfRule type="expression" dxfId="785" priority="1156">
      <formula>AND(Q158="NA",NOT(ISTEXT(P158)))</formula>
    </cfRule>
    <cfRule type="expression" dxfId="784" priority="1157">
      <formula>AND(AW158&gt;5,Q158="NA")</formula>
    </cfRule>
    <cfRule type="expression" dxfId="783" priority="1158">
      <formula>AND(AW158&lt;5,Q158="NA")</formula>
    </cfRule>
    <cfRule type="expression" dxfId="782" priority="1159">
      <formula>AND(Q158&lt;&gt;"NA",Q158&gt;$Q$16)</formula>
    </cfRule>
  </conditionalFormatting>
  <conditionalFormatting sqref="R158">
    <cfRule type="expression" priority="1095" stopIfTrue="1">
      <formula>"ISBLANK($K$185)"</formula>
    </cfRule>
    <cfRule type="expression" dxfId="781" priority="1150">
      <formula>AND(OR(AW158=0,ISBLANK(R158)),B158&lt;&gt;"")</formula>
    </cfRule>
    <cfRule type="expression" dxfId="780" priority="1151">
      <formula>AND(R158="NA",NOT(ISTEXT(S158)))</formula>
    </cfRule>
    <cfRule type="expression" dxfId="779" priority="1152">
      <formula>AND(AW158&gt;5,R158="NA")</formula>
    </cfRule>
    <cfRule type="expression" dxfId="778" priority="1153">
      <formula>AND(AW158&lt;5,R158="NA")</formula>
    </cfRule>
    <cfRule type="expression" dxfId="777" priority="1154">
      <formula>AND(R158&lt;&gt;"NA",R158&gt;$R$16)</formula>
    </cfRule>
  </conditionalFormatting>
  <conditionalFormatting sqref="S158">
    <cfRule type="expression" priority="1094" stopIfTrue="1">
      <formula>"ISBLANK($K$185)"</formula>
    </cfRule>
    <cfRule type="expression" dxfId="776" priority="1145">
      <formula>AND(OR(AW158=0,ISBLANK(S158)),B158&lt;&gt;"")</formula>
    </cfRule>
    <cfRule type="expression" dxfId="775" priority="1146">
      <formula>AND(S158="NA",NOT(ISTEXT(R158)))</formula>
    </cfRule>
    <cfRule type="expression" dxfId="774" priority="1147">
      <formula>AND(AW158&gt;5,S158="NA")</formula>
    </cfRule>
    <cfRule type="expression" dxfId="773" priority="1148">
      <formula>AND(AW158&lt;5,S158="NA")</formula>
    </cfRule>
    <cfRule type="expression" dxfId="772" priority="1149">
      <formula>AND(S158&lt;&gt;"NA",S158&gt;$S$16)</formula>
    </cfRule>
  </conditionalFormatting>
  <conditionalFormatting sqref="T158">
    <cfRule type="expression" priority="1093" stopIfTrue="1">
      <formula>"ISBLANK($K$185)"</formula>
    </cfRule>
    <cfRule type="expression" dxfId="771" priority="1140">
      <formula>AND(OR(AW158=0,ISBLANK(T158)),B158&lt;&gt;"")</formula>
    </cfRule>
    <cfRule type="expression" dxfId="770" priority="1141">
      <formula>AND(T158="NA",NOT(ISTEXT(U158)))</formula>
    </cfRule>
    <cfRule type="expression" dxfId="769" priority="1142">
      <formula>AND(AW158&gt;5,T158="NA")</formula>
    </cfRule>
    <cfRule type="expression" dxfId="768" priority="1143">
      <formula>AND(AW158&lt;5,T158="NA")</formula>
    </cfRule>
    <cfRule type="expression" dxfId="767" priority="1144">
      <formula>AND(T158&lt;&gt;"NA",T158&gt;$T$16)</formula>
    </cfRule>
  </conditionalFormatting>
  <conditionalFormatting sqref="U158">
    <cfRule type="expression" priority="1092" stopIfTrue="1">
      <formula>"ISBLANK($K$185)"</formula>
    </cfRule>
    <cfRule type="expression" dxfId="766" priority="1135">
      <formula>AND(OR(AW158=0,ISBLANK(U158)),B158&lt;&gt;"")</formula>
    </cfRule>
    <cfRule type="expression" dxfId="765" priority="1136">
      <formula>AND(U158="NA",NOT(ISTEXT(T158)))</formula>
    </cfRule>
    <cfRule type="expression" dxfId="764" priority="1137">
      <formula>AND(AW158&gt;5,U158="NA")</formula>
    </cfRule>
    <cfRule type="expression" dxfId="763" priority="1138">
      <formula>AND(AW158&lt;5,U158="NA")</formula>
    </cfRule>
    <cfRule type="expression" dxfId="762" priority="1139">
      <formula>AND(U158&lt;&gt;"NA",U158&gt;$U$16)</formula>
    </cfRule>
  </conditionalFormatting>
  <conditionalFormatting sqref="V158">
    <cfRule type="expression" priority="1091" stopIfTrue="1">
      <formula>"ISBLANK($K$185)"</formula>
    </cfRule>
    <cfRule type="expression" dxfId="761" priority="1130">
      <formula>AND(OR(AW158=0,ISBLANK(V158)),B158&lt;&gt;"")</formula>
    </cfRule>
    <cfRule type="expression" dxfId="760" priority="1131">
      <formula>AND(V158="NA",NOT(ISTEXT(W158)))</formula>
    </cfRule>
    <cfRule type="expression" dxfId="759" priority="1132">
      <formula>AND(AW158&gt;5,V158="NA")</formula>
    </cfRule>
    <cfRule type="expression" dxfId="758" priority="1133">
      <formula>AND(AW158&lt;5,V158="NA")</formula>
    </cfRule>
    <cfRule type="expression" dxfId="757" priority="1134">
      <formula>AND(V158&lt;&gt;"NA",V158&gt;$V$16)</formula>
    </cfRule>
  </conditionalFormatting>
  <conditionalFormatting sqref="W158">
    <cfRule type="expression" priority="1090" stopIfTrue="1">
      <formula>"ISBLANK($K$185)"</formula>
    </cfRule>
    <cfRule type="expression" dxfId="756" priority="1125">
      <formula>AND(OR(AW158=0,ISBLANK(W158)),B158&lt;&gt;"")</formula>
    </cfRule>
    <cfRule type="expression" dxfId="755" priority="1126">
      <formula>AND(W158="NA",NOT(ISTEXT(V158)))</formula>
    </cfRule>
    <cfRule type="expression" dxfId="754" priority="1127">
      <formula>AND(AW158&gt;5,W158="NA")</formula>
    </cfRule>
    <cfRule type="expression" dxfId="753" priority="1128">
      <formula>AND(AW158&lt;5,W158="NA")</formula>
    </cfRule>
    <cfRule type="expression" dxfId="752" priority="1129">
      <formula>AND(W158&lt;&gt;"NA",W158&gt;$W$16)</formula>
    </cfRule>
  </conditionalFormatting>
  <conditionalFormatting sqref="X158">
    <cfRule type="expression" priority="1089" stopIfTrue="1">
      <formula>"ISBLANK($K$185)"</formula>
    </cfRule>
    <cfRule type="expression" dxfId="751" priority="1120">
      <formula>AND(OR(AW158=0,ISBLANK(X158)),B158&lt;&gt;"")</formula>
    </cfRule>
    <cfRule type="expression" dxfId="750" priority="1121">
      <formula>AND(X158="NA",NOT(ISTEXT(Y158)))</formula>
    </cfRule>
    <cfRule type="expression" dxfId="749" priority="1122">
      <formula>AND(AW158&gt;5,X158="NA")</formula>
    </cfRule>
    <cfRule type="expression" dxfId="748" priority="1123">
      <formula>AND(AW158&lt;5,X158="NA")</formula>
    </cfRule>
    <cfRule type="expression" dxfId="747" priority="1124">
      <formula>AND(X158&lt;&gt;"NA",X158&gt;$Y$16)</formula>
    </cfRule>
  </conditionalFormatting>
  <conditionalFormatting sqref="Y158">
    <cfRule type="expression" priority="1088" stopIfTrue="1">
      <formula>"ISBLANK($K$185)"</formula>
    </cfRule>
    <cfRule type="expression" dxfId="746" priority="1115">
      <formula>AND(OR(AW158=0,ISBLANK(Y158)),B158&lt;&gt;"")</formula>
    </cfRule>
    <cfRule type="expression" dxfId="745" priority="1116">
      <formula>AND(Y158="NA",NOT(ISTEXT(X158)))</formula>
    </cfRule>
    <cfRule type="expression" dxfId="744" priority="1117">
      <formula>AND(AW158&gt;5,Y158="NA")</formula>
    </cfRule>
    <cfRule type="expression" dxfId="743" priority="1118">
      <formula>AND(AW158&lt;5,Y158="NA")</formula>
    </cfRule>
    <cfRule type="expression" dxfId="742" priority="1119">
      <formula>AND(Y158&lt;&gt;"NA",Y158&gt;$Y$16)</formula>
    </cfRule>
  </conditionalFormatting>
  <conditionalFormatting sqref="N158">
    <cfRule type="expression" priority="1099" stopIfTrue="1">
      <formula>"ISBLANK($K$185)"</formula>
    </cfRule>
    <cfRule type="expression" dxfId="741" priority="1170">
      <formula>AND(OR(AW158=0,ISBLANK(N158)),B158&lt;&gt;"")</formula>
    </cfRule>
    <cfRule type="expression" dxfId="740" priority="1171">
      <formula>AND(N158="NA",NOT(ISTEXT(O158)))</formula>
    </cfRule>
    <cfRule type="expression" dxfId="739" priority="1172">
      <formula>AND(AW158&gt;5,N158="NA")</formula>
    </cfRule>
    <cfRule type="expression" dxfId="738" priority="1173">
      <formula>AND(AW158&lt;5,N158="NA")</formula>
    </cfRule>
    <cfRule type="expression" dxfId="737" priority="1174">
      <formula>AND(N158&lt;&gt;"NA",N158&gt;$N$16)</formula>
    </cfRule>
  </conditionalFormatting>
  <conditionalFormatting sqref="O159">
    <cfRule type="expression" priority="1007" stopIfTrue="1">
      <formula>"ISBLANK($K$185)"</formula>
    </cfRule>
    <cfRule type="expression" dxfId="736" priority="1074">
      <formula>AND(OR(AW159=0,ISBLANK(O159)),B159&lt;&gt;"")</formula>
    </cfRule>
    <cfRule type="expression" dxfId="735" priority="1075">
      <formula>AND(O159="NA",NOT(ISTEXT(N159)))</formula>
    </cfRule>
    <cfRule type="expression" dxfId="734" priority="1076">
      <formula>AND(AW159&gt;5,O159="NA")</formula>
    </cfRule>
    <cfRule type="expression" dxfId="733" priority="1077">
      <formula>AND(AW159&lt;5,O159="NA")</formula>
    </cfRule>
    <cfRule type="expression" dxfId="732" priority="1078">
      <formula>AND(O159&lt;&gt;"NA",O159&gt;$O$16)</formula>
    </cfRule>
  </conditionalFormatting>
  <conditionalFormatting sqref="P159">
    <cfRule type="expression" priority="1006" stopIfTrue="1">
      <formula>"ISBLANK($K$185)"</formula>
    </cfRule>
    <cfRule type="expression" dxfId="731" priority="1069">
      <formula>AND(OR(AW159=0,ISBLANK(P159)),B159&lt;&gt;"")</formula>
    </cfRule>
    <cfRule type="expression" dxfId="730" priority="1070">
      <formula>AND(P159="NA",NOT(ISTEXT(Q159)))</formula>
    </cfRule>
    <cfRule type="expression" dxfId="729" priority="1071">
      <formula>AND(AW159&gt;5,P159="NA")</formula>
    </cfRule>
    <cfRule type="expression" dxfId="728" priority="1072">
      <formula>AND(AW159&lt;5,P159="NA")</formula>
    </cfRule>
    <cfRule type="expression" dxfId="727" priority="1073">
      <formula>AND(P159&lt;&gt;"NA",P159&gt;$P$16)</formula>
    </cfRule>
  </conditionalFormatting>
  <conditionalFormatting sqref="Q159">
    <cfRule type="expression" priority="1005" stopIfTrue="1">
      <formula>"ISBLANK($K$185)"</formula>
    </cfRule>
    <cfRule type="expression" dxfId="726" priority="1064">
      <formula>AND(OR(AW159=0,ISBLANK(Q159)),B159&lt;&gt;"")</formula>
    </cfRule>
    <cfRule type="expression" dxfId="725" priority="1065">
      <formula>AND(Q159="NA",NOT(ISTEXT(P159)))</formula>
    </cfRule>
    <cfRule type="expression" dxfId="724" priority="1066">
      <formula>AND(AW159&gt;5,Q159="NA")</formula>
    </cfRule>
    <cfRule type="expression" dxfId="723" priority="1067">
      <formula>AND(AW159&lt;5,Q159="NA")</formula>
    </cfRule>
    <cfRule type="expression" dxfId="722" priority="1068">
      <formula>AND(Q159&lt;&gt;"NA",Q159&gt;$Q$16)</formula>
    </cfRule>
  </conditionalFormatting>
  <conditionalFormatting sqref="R159">
    <cfRule type="expression" priority="1004" stopIfTrue="1">
      <formula>"ISBLANK($K$185)"</formula>
    </cfRule>
    <cfRule type="expression" dxfId="721" priority="1059">
      <formula>AND(OR(AW159=0,ISBLANK(R159)),B159&lt;&gt;"")</formula>
    </cfRule>
    <cfRule type="expression" dxfId="720" priority="1060">
      <formula>AND(R159="NA",NOT(ISTEXT(S159)))</formula>
    </cfRule>
    <cfRule type="expression" dxfId="719" priority="1061">
      <formula>AND(AW159&gt;5,R159="NA")</formula>
    </cfRule>
    <cfRule type="expression" dxfId="718" priority="1062">
      <formula>AND(AW159&lt;5,R159="NA")</formula>
    </cfRule>
    <cfRule type="expression" dxfId="717" priority="1063">
      <formula>AND(R159&lt;&gt;"NA",R159&gt;$R$16)</formula>
    </cfRule>
  </conditionalFormatting>
  <conditionalFormatting sqref="S159">
    <cfRule type="expression" priority="1003" stopIfTrue="1">
      <formula>"ISBLANK($K$185)"</formula>
    </cfRule>
    <cfRule type="expression" dxfId="716" priority="1054">
      <formula>AND(OR(AW159=0,ISBLANK(S159)),B159&lt;&gt;"")</formula>
    </cfRule>
    <cfRule type="expression" dxfId="715" priority="1055">
      <formula>AND(S159="NA",NOT(ISTEXT(R159)))</formula>
    </cfRule>
    <cfRule type="expression" dxfId="714" priority="1056">
      <formula>AND(AW159&gt;5,S159="NA")</formula>
    </cfRule>
    <cfRule type="expression" dxfId="713" priority="1057">
      <formula>AND(AW159&lt;5,S159="NA")</formula>
    </cfRule>
    <cfRule type="expression" dxfId="712" priority="1058">
      <formula>AND(S159&lt;&gt;"NA",S159&gt;$S$16)</formula>
    </cfRule>
  </conditionalFormatting>
  <conditionalFormatting sqref="T159">
    <cfRule type="expression" priority="1002" stopIfTrue="1">
      <formula>"ISBLANK($K$185)"</formula>
    </cfRule>
    <cfRule type="expression" dxfId="711" priority="1049">
      <formula>AND(OR(AW159=0,ISBLANK(T159)),B159&lt;&gt;"")</formula>
    </cfRule>
    <cfRule type="expression" dxfId="710" priority="1050">
      <formula>AND(T159="NA",NOT(ISTEXT(U159)))</formula>
    </cfRule>
    <cfRule type="expression" dxfId="709" priority="1051">
      <formula>AND(AW159&gt;5,T159="NA")</formula>
    </cfRule>
    <cfRule type="expression" dxfId="708" priority="1052">
      <formula>AND(AW159&lt;5,T159="NA")</formula>
    </cfRule>
    <cfRule type="expression" dxfId="707" priority="1053">
      <formula>AND(T159&lt;&gt;"NA",T159&gt;$T$16)</formula>
    </cfRule>
  </conditionalFormatting>
  <conditionalFormatting sqref="U159">
    <cfRule type="expression" priority="1001" stopIfTrue="1">
      <formula>"ISBLANK($K$185)"</formula>
    </cfRule>
    <cfRule type="expression" dxfId="706" priority="1044">
      <formula>AND(OR(AW159=0,ISBLANK(U159)),B159&lt;&gt;"")</formula>
    </cfRule>
    <cfRule type="expression" dxfId="705" priority="1045">
      <formula>AND(U159="NA",NOT(ISTEXT(T159)))</formula>
    </cfRule>
    <cfRule type="expression" dxfId="704" priority="1046">
      <formula>AND(AW159&gt;5,U159="NA")</formula>
    </cfRule>
    <cfRule type="expression" dxfId="703" priority="1047">
      <formula>AND(AW159&lt;5,U159="NA")</formula>
    </cfRule>
    <cfRule type="expression" dxfId="702" priority="1048">
      <formula>AND(U159&lt;&gt;"NA",U159&gt;$U$16)</formula>
    </cfRule>
  </conditionalFormatting>
  <conditionalFormatting sqref="V159">
    <cfRule type="expression" priority="1000" stopIfTrue="1">
      <formula>"ISBLANK($K$185)"</formula>
    </cfRule>
    <cfRule type="expression" dxfId="701" priority="1039">
      <formula>AND(OR(AW159=0,ISBLANK(V159)),B159&lt;&gt;"")</formula>
    </cfRule>
    <cfRule type="expression" dxfId="700" priority="1040">
      <formula>AND(V159="NA",NOT(ISTEXT(W159)))</formula>
    </cfRule>
    <cfRule type="expression" dxfId="699" priority="1041">
      <formula>AND(AW159&gt;5,V159="NA")</formula>
    </cfRule>
    <cfRule type="expression" dxfId="698" priority="1042">
      <formula>AND(AW159&lt;5,V159="NA")</formula>
    </cfRule>
    <cfRule type="expression" dxfId="697" priority="1043">
      <formula>AND(V159&lt;&gt;"NA",V159&gt;$V$16)</formula>
    </cfRule>
  </conditionalFormatting>
  <conditionalFormatting sqref="W159">
    <cfRule type="expression" priority="999" stopIfTrue="1">
      <formula>"ISBLANK($K$185)"</formula>
    </cfRule>
    <cfRule type="expression" dxfId="696" priority="1034">
      <formula>AND(OR(AW159=0,ISBLANK(W159)),B159&lt;&gt;"")</formula>
    </cfRule>
    <cfRule type="expression" dxfId="695" priority="1035">
      <formula>AND(W159="NA",NOT(ISTEXT(V159)))</formula>
    </cfRule>
    <cfRule type="expression" dxfId="694" priority="1036">
      <formula>AND(AW159&gt;5,W159="NA")</formula>
    </cfRule>
    <cfRule type="expression" dxfId="693" priority="1037">
      <formula>AND(AW159&lt;5,W159="NA")</formula>
    </cfRule>
    <cfRule type="expression" dxfId="692" priority="1038">
      <formula>AND(W159&lt;&gt;"NA",W159&gt;$W$16)</formula>
    </cfRule>
  </conditionalFormatting>
  <conditionalFormatting sqref="X159">
    <cfRule type="expression" priority="998" stopIfTrue="1">
      <formula>"ISBLANK($K$185)"</formula>
    </cfRule>
    <cfRule type="expression" dxfId="691" priority="1029">
      <formula>AND(OR(AW159=0,ISBLANK(X159)),B159&lt;&gt;"")</formula>
    </cfRule>
    <cfRule type="expression" dxfId="690" priority="1030">
      <formula>AND(X159="NA",NOT(ISTEXT(Y159)))</formula>
    </cfRule>
    <cfRule type="expression" dxfId="689" priority="1031">
      <formula>AND(AW159&gt;5,X159="NA")</formula>
    </cfRule>
    <cfRule type="expression" dxfId="688" priority="1032">
      <formula>AND(AW159&lt;5,X159="NA")</formula>
    </cfRule>
    <cfRule type="expression" dxfId="687" priority="1033">
      <formula>AND(X159&lt;&gt;"NA",X159&gt;$Y$16)</formula>
    </cfRule>
  </conditionalFormatting>
  <conditionalFormatting sqref="Y159">
    <cfRule type="expression" priority="997" stopIfTrue="1">
      <formula>"ISBLANK($K$185)"</formula>
    </cfRule>
    <cfRule type="expression" dxfId="686" priority="1024">
      <formula>AND(OR(AW159=0,ISBLANK(Y159)),B159&lt;&gt;"")</formula>
    </cfRule>
    <cfRule type="expression" dxfId="685" priority="1025">
      <formula>AND(Y159="NA",NOT(ISTEXT(X159)))</formula>
    </cfRule>
    <cfRule type="expression" dxfId="684" priority="1026">
      <formula>AND(AW159&gt;5,Y159="NA")</formula>
    </cfRule>
    <cfRule type="expression" dxfId="683" priority="1027">
      <formula>AND(AW159&lt;5,Y159="NA")</formula>
    </cfRule>
    <cfRule type="expression" dxfId="682" priority="1028">
      <formula>AND(Y159&lt;&gt;"NA",Y159&gt;$Y$16)</formula>
    </cfRule>
  </conditionalFormatting>
  <conditionalFormatting sqref="N159">
    <cfRule type="expression" priority="1008" stopIfTrue="1">
      <formula>"ISBLANK($K$185)"</formula>
    </cfRule>
    <cfRule type="expression" dxfId="681" priority="1079">
      <formula>AND(OR(AW159=0,ISBLANK(N159)),B159&lt;&gt;"")</formula>
    </cfRule>
    <cfRule type="expression" dxfId="680" priority="1080">
      <formula>AND(N159="NA",NOT(ISTEXT(O159)))</formula>
    </cfRule>
    <cfRule type="expression" dxfId="679" priority="1081">
      <formula>AND(AW159&gt;5,N159="NA")</formula>
    </cfRule>
    <cfRule type="expression" dxfId="678" priority="1082">
      <formula>AND(AW159&lt;5,N159="NA")</formula>
    </cfRule>
    <cfRule type="expression" dxfId="677" priority="1083">
      <formula>AND(N159&lt;&gt;"NA",N159&gt;$N$16)</formula>
    </cfRule>
  </conditionalFormatting>
  <conditionalFormatting sqref="O160">
    <cfRule type="expression" priority="916" stopIfTrue="1">
      <formula>"ISBLANK($K$185)"</formula>
    </cfRule>
    <cfRule type="expression" dxfId="676" priority="983">
      <formula>AND(OR(AW160=0,ISBLANK(O160)),B160&lt;&gt;"")</formula>
    </cfRule>
    <cfRule type="expression" dxfId="675" priority="984">
      <formula>AND(O160="NA",NOT(ISTEXT(N160)))</formula>
    </cfRule>
    <cfRule type="expression" dxfId="674" priority="985">
      <formula>AND(AW160&gt;5,O160="NA")</formula>
    </cfRule>
    <cfRule type="expression" dxfId="673" priority="986">
      <formula>AND(AW160&lt;5,O160="NA")</formula>
    </cfRule>
    <cfRule type="expression" dxfId="672" priority="987">
      <formula>AND(O160&lt;&gt;"NA",O160&gt;$O$16)</formula>
    </cfRule>
  </conditionalFormatting>
  <conditionalFormatting sqref="P160">
    <cfRule type="expression" priority="915" stopIfTrue="1">
      <formula>"ISBLANK($K$185)"</formula>
    </cfRule>
    <cfRule type="expression" dxfId="671" priority="978">
      <formula>AND(OR(AW160=0,ISBLANK(P160)),B160&lt;&gt;"")</formula>
    </cfRule>
    <cfRule type="expression" dxfId="670" priority="979">
      <formula>AND(P160="NA",NOT(ISTEXT(Q160)))</formula>
    </cfRule>
    <cfRule type="expression" dxfId="669" priority="980">
      <formula>AND(AW160&gt;5,P160="NA")</formula>
    </cfRule>
    <cfRule type="expression" dxfId="668" priority="981">
      <formula>AND(AW160&lt;5,P160="NA")</formula>
    </cfRule>
    <cfRule type="expression" dxfId="667" priority="982">
      <formula>AND(P160&lt;&gt;"NA",P160&gt;$P$16)</formula>
    </cfRule>
  </conditionalFormatting>
  <conditionalFormatting sqref="Q160">
    <cfRule type="expression" priority="914" stopIfTrue="1">
      <formula>"ISBLANK($K$185)"</formula>
    </cfRule>
    <cfRule type="expression" dxfId="666" priority="973">
      <formula>AND(OR(AW160=0,ISBLANK(Q160)),B160&lt;&gt;"")</formula>
    </cfRule>
    <cfRule type="expression" dxfId="665" priority="974">
      <formula>AND(Q160="NA",NOT(ISTEXT(P160)))</formula>
    </cfRule>
    <cfRule type="expression" dxfId="664" priority="975">
      <formula>AND(AW160&gt;5,Q160="NA")</formula>
    </cfRule>
    <cfRule type="expression" dxfId="663" priority="976">
      <formula>AND(AW160&lt;5,Q160="NA")</formula>
    </cfRule>
    <cfRule type="expression" dxfId="662" priority="977">
      <formula>AND(Q160&lt;&gt;"NA",Q160&gt;$Q$16)</formula>
    </cfRule>
  </conditionalFormatting>
  <conditionalFormatting sqref="R160">
    <cfRule type="expression" priority="913" stopIfTrue="1">
      <formula>"ISBLANK($K$185)"</formula>
    </cfRule>
    <cfRule type="expression" dxfId="661" priority="968">
      <formula>AND(OR(AW160=0,ISBLANK(R160)),B160&lt;&gt;"")</formula>
    </cfRule>
    <cfRule type="expression" dxfId="660" priority="969">
      <formula>AND(R160="NA",NOT(ISTEXT(S160)))</formula>
    </cfRule>
    <cfRule type="expression" dxfId="659" priority="970">
      <formula>AND(AW160&gt;5,R160="NA")</formula>
    </cfRule>
    <cfRule type="expression" dxfId="658" priority="971">
      <formula>AND(AW160&lt;5,R160="NA")</formula>
    </cfRule>
    <cfRule type="expression" dxfId="657" priority="972">
      <formula>AND(R160&lt;&gt;"NA",R160&gt;$R$16)</formula>
    </cfRule>
  </conditionalFormatting>
  <conditionalFormatting sqref="S160">
    <cfRule type="expression" priority="912" stopIfTrue="1">
      <formula>"ISBLANK($K$185)"</formula>
    </cfRule>
    <cfRule type="expression" dxfId="656" priority="963">
      <formula>AND(OR(AW160=0,ISBLANK(S160)),B160&lt;&gt;"")</formula>
    </cfRule>
    <cfRule type="expression" dxfId="655" priority="964">
      <formula>AND(S160="NA",NOT(ISTEXT(R160)))</formula>
    </cfRule>
    <cfRule type="expression" dxfId="654" priority="965">
      <formula>AND(AW160&gt;5,S160="NA")</formula>
    </cfRule>
    <cfRule type="expression" dxfId="653" priority="966">
      <formula>AND(AW160&lt;5,S160="NA")</formula>
    </cfRule>
    <cfRule type="expression" dxfId="652" priority="967">
      <formula>AND(S160&lt;&gt;"NA",S160&gt;$S$16)</formula>
    </cfRule>
  </conditionalFormatting>
  <conditionalFormatting sqref="T160">
    <cfRule type="expression" priority="911" stopIfTrue="1">
      <formula>"ISBLANK($K$185)"</formula>
    </cfRule>
    <cfRule type="expression" dxfId="651" priority="958">
      <formula>AND(OR(AW160=0,ISBLANK(T160)),B160&lt;&gt;"")</formula>
    </cfRule>
    <cfRule type="expression" dxfId="650" priority="959">
      <formula>AND(T160="NA",NOT(ISTEXT(U160)))</formula>
    </cfRule>
    <cfRule type="expression" dxfId="649" priority="960">
      <formula>AND(AW160&gt;5,T160="NA")</formula>
    </cfRule>
    <cfRule type="expression" dxfId="648" priority="961">
      <formula>AND(AW160&lt;5,T160="NA")</formula>
    </cfRule>
    <cfRule type="expression" dxfId="647" priority="962">
      <formula>AND(T160&lt;&gt;"NA",T160&gt;$T$16)</formula>
    </cfRule>
  </conditionalFormatting>
  <conditionalFormatting sqref="U160">
    <cfRule type="expression" priority="910" stopIfTrue="1">
      <formula>"ISBLANK($K$185)"</formula>
    </cfRule>
    <cfRule type="expression" dxfId="646" priority="953">
      <formula>AND(OR(AW160=0,ISBLANK(U160)),B160&lt;&gt;"")</formula>
    </cfRule>
    <cfRule type="expression" dxfId="645" priority="954">
      <formula>AND(U160="NA",NOT(ISTEXT(T160)))</formula>
    </cfRule>
    <cfRule type="expression" dxfId="644" priority="955">
      <formula>AND(AW160&gt;5,U160="NA")</formula>
    </cfRule>
    <cfRule type="expression" dxfId="643" priority="956">
      <formula>AND(AW160&lt;5,U160="NA")</formula>
    </cfRule>
    <cfRule type="expression" dxfId="642" priority="957">
      <formula>AND(U160&lt;&gt;"NA",U160&gt;$U$16)</formula>
    </cfRule>
  </conditionalFormatting>
  <conditionalFormatting sqref="V160">
    <cfRule type="expression" priority="909" stopIfTrue="1">
      <formula>"ISBLANK($K$185)"</formula>
    </cfRule>
    <cfRule type="expression" dxfId="641" priority="948">
      <formula>AND(OR(AW160=0,ISBLANK(V160)),B160&lt;&gt;"")</formula>
    </cfRule>
    <cfRule type="expression" dxfId="640" priority="949">
      <formula>AND(V160="NA",NOT(ISTEXT(W160)))</formula>
    </cfRule>
    <cfRule type="expression" dxfId="639" priority="950">
      <formula>AND(AW160&gt;5,V160="NA")</formula>
    </cfRule>
    <cfRule type="expression" dxfId="638" priority="951">
      <formula>AND(AW160&lt;5,V160="NA")</formula>
    </cfRule>
    <cfRule type="expression" dxfId="637" priority="952">
      <formula>AND(V160&lt;&gt;"NA",V160&gt;$V$16)</formula>
    </cfRule>
  </conditionalFormatting>
  <conditionalFormatting sqref="W160">
    <cfRule type="expression" priority="908" stopIfTrue="1">
      <formula>"ISBLANK($K$185)"</formula>
    </cfRule>
    <cfRule type="expression" dxfId="636" priority="943">
      <formula>AND(OR(AW160=0,ISBLANK(W160)),B160&lt;&gt;"")</formula>
    </cfRule>
    <cfRule type="expression" dxfId="635" priority="944">
      <formula>AND(W160="NA",NOT(ISTEXT(V160)))</formula>
    </cfRule>
    <cfRule type="expression" dxfId="634" priority="945">
      <formula>AND(AW160&gt;5,W160="NA")</formula>
    </cfRule>
    <cfRule type="expression" dxfId="633" priority="946">
      <formula>AND(AW160&lt;5,W160="NA")</formula>
    </cfRule>
    <cfRule type="expression" dxfId="632" priority="947">
      <formula>AND(W160&lt;&gt;"NA",W160&gt;$W$16)</formula>
    </cfRule>
  </conditionalFormatting>
  <conditionalFormatting sqref="X160">
    <cfRule type="expression" priority="907" stopIfTrue="1">
      <formula>"ISBLANK($K$185)"</formula>
    </cfRule>
    <cfRule type="expression" dxfId="631" priority="938">
      <formula>AND(OR(AW160=0,ISBLANK(X160)),B160&lt;&gt;"")</formula>
    </cfRule>
    <cfRule type="expression" dxfId="630" priority="939">
      <formula>AND(X160="NA",NOT(ISTEXT(Y160)))</formula>
    </cfRule>
    <cfRule type="expression" dxfId="629" priority="940">
      <formula>AND(AW160&gt;5,X160="NA")</formula>
    </cfRule>
    <cfRule type="expression" dxfId="628" priority="941">
      <formula>AND(AW160&lt;5,X160="NA")</formula>
    </cfRule>
    <cfRule type="expression" dxfId="627" priority="942">
      <formula>AND(X160&lt;&gt;"NA",X160&gt;$Y$16)</formula>
    </cfRule>
  </conditionalFormatting>
  <conditionalFormatting sqref="Y160">
    <cfRule type="expression" priority="906" stopIfTrue="1">
      <formula>"ISBLANK($K$185)"</formula>
    </cfRule>
    <cfRule type="expression" dxfId="626" priority="933">
      <formula>AND(OR(AW160=0,ISBLANK(Y160)),B160&lt;&gt;"")</formula>
    </cfRule>
    <cfRule type="expression" dxfId="625" priority="934">
      <formula>AND(Y160="NA",NOT(ISTEXT(X160)))</formula>
    </cfRule>
    <cfRule type="expression" dxfId="624" priority="935">
      <formula>AND(AW160&gt;5,Y160="NA")</formula>
    </cfRule>
    <cfRule type="expression" dxfId="623" priority="936">
      <formula>AND(AW160&lt;5,Y160="NA")</formula>
    </cfRule>
    <cfRule type="expression" dxfId="622" priority="937">
      <formula>AND(Y160&lt;&gt;"NA",Y160&gt;$Y$16)</formula>
    </cfRule>
  </conditionalFormatting>
  <conditionalFormatting sqref="N160">
    <cfRule type="expression" priority="917" stopIfTrue="1">
      <formula>"ISBLANK($K$185)"</formula>
    </cfRule>
    <cfRule type="expression" dxfId="621" priority="988">
      <formula>AND(OR(AW160=0,ISBLANK(N160)),B160&lt;&gt;"")</formula>
    </cfRule>
    <cfRule type="expression" dxfId="620" priority="989">
      <formula>AND(N160="NA",NOT(ISTEXT(O160)))</formula>
    </cfRule>
    <cfRule type="expression" dxfId="619" priority="990">
      <formula>AND(AW160&gt;5,N160="NA")</formula>
    </cfRule>
    <cfRule type="expression" dxfId="618" priority="991">
      <formula>AND(AW160&lt;5,N160="NA")</formula>
    </cfRule>
    <cfRule type="expression" dxfId="617" priority="992">
      <formula>AND(N160&lt;&gt;"NA",N160&gt;$N$16)</formula>
    </cfRule>
  </conditionalFormatting>
  <conditionalFormatting sqref="O161">
    <cfRule type="expression" priority="825" stopIfTrue="1">
      <formula>"ISBLANK($K$185)"</formula>
    </cfRule>
    <cfRule type="expression" dxfId="616" priority="892">
      <formula>AND(OR(AW161=0,ISBLANK(O161)),B161&lt;&gt;"")</formula>
    </cfRule>
    <cfRule type="expression" dxfId="615" priority="893">
      <formula>AND(O161="NA",NOT(ISTEXT(N161)))</formula>
    </cfRule>
    <cfRule type="expression" dxfId="614" priority="894">
      <formula>AND(AW161&gt;5,O161="NA")</formula>
    </cfRule>
    <cfRule type="expression" dxfId="613" priority="895">
      <formula>AND(AW161&lt;5,O161="NA")</formula>
    </cfRule>
    <cfRule type="expression" dxfId="612" priority="896">
      <formula>AND(O161&lt;&gt;"NA",O161&gt;$O$16)</formula>
    </cfRule>
  </conditionalFormatting>
  <conditionalFormatting sqref="P161">
    <cfRule type="expression" priority="824" stopIfTrue="1">
      <formula>"ISBLANK($K$185)"</formula>
    </cfRule>
    <cfRule type="expression" dxfId="611" priority="887">
      <formula>AND(OR(AW161=0,ISBLANK(P161)),B161&lt;&gt;"")</formula>
    </cfRule>
    <cfRule type="expression" dxfId="610" priority="888">
      <formula>AND(P161="NA",NOT(ISTEXT(Q161)))</formula>
    </cfRule>
    <cfRule type="expression" dxfId="609" priority="889">
      <formula>AND(AW161&gt;5,P161="NA")</formula>
    </cfRule>
    <cfRule type="expression" dxfId="608" priority="890">
      <formula>AND(AW161&lt;5,P161="NA")</formula>
    </cfRule>
    <cfRule type="expression" dxfId="607" priority="891">
      <formula>AND(P161&lt;&gt;"NA",P161&gt;$P$16)</formula>
    </cfRule>
  </conditionalFormatting>
  <conditionalFormatting sqref="Q161">
    <cfRule type="expression" priority="823" stopIfTrue="1">
      <formula>"ISBLANK($K$185)"</formula>
    </cfRule>
    <cfRule type="expression" dxfId="606" priority="882">
      <formula>AND(OR(AW161=0,ISBLANK(Q161)),B161&lt;&gt;"")</formula>
    </cfRule>
    <cfRule type="expression" dxfId="605" priority="883">
      <formula>AND(Q161="NA",NOT(ISTEXT(P161)))</formula>
    </cfRule>
    <cfRule type="expression" dxfId="604" priority="884">
      <formula>AND(AW161&gt;5,Q161="NA")</formula>
    </cfRule>
    <cfRule type="expression" dxfId="603" priority="885">
      <formula>AND(AW161&lt;5,Q161="NA")</formula>
    </cfRule>
    <cfRule type="expression" dxfId="602" priority="886">
      <formula>AND(Q161&lt;&gt;"NA",Q161&gt;$Q$16)</formula>
    </cfRule>
  </conditionalFormatting>
  <conditionalFormatting sqref="R161">
    <cfRule type="expression" priority="822" stopIfTrue="1">
      <formula>"ISBLANK($K$185)"</formula>
    </cfRule>
    <cfRule type="expression" dxfId="601" priority="877">
      <formula>AND(OR(AW161=0,ISBLANK(R161)),B161&lt;&gt;"")</formula>
    </cfRule>
    <cfRule type="expression" dxfId="600" priority="878">
      <formula>AND(R161="NA",NOT(ISTEXT(S161)))</formula>
    </cfRule>
    <cfRule type="expression" dxfId="599" priority="879">
      <formula>AND(AW161&gt;5,R161="NA")</formula>
    </cfRule>
    <cfRule type="expression" dxfId="598" priority="880">
      <formula>AND(AW161&lt;5,R161="NA")</formula>
    </cfRule>
    <cfRule type="expression" dxfId="597" priority="881">
      <formula>AND(R161&lt;&gt;"NA",R161&gt;$R$16)</formula>
    </cfRule>
  </conditionalFormatting>
  <conditionalFormatting sqref="S161">
    <cfRule type="expression" priority="821" stopIfTrue="1">
      <formula>"ISBLANK($K$185)"</formula>
    </cfRule>
    <cfRule type="expression" dxfId="596" priority="872">
      <formula>AND(OR(AW161=0,ISBLANK(S161)),B161&lt;&gt;"")</formula>
    </cfRule>
    <cfRule type="expression" dxfId="595" priority="873">
      <formula>AND(S161="NA",NOT(ISTEXT(R161)))</formula>
    </cfRule>
    <cfRule type="expression" dxfId="594" priority="874">
      <formula>AND(AW161&gt;5,S161="NA")</formula>
    </cfRule>
    <cfRule type="expression" dxfId="593" priority="875">
      <formula>AND(AW161&lt;5,S161="NA")</formula>
    </cfRule>
    <cfRule type="expression" dxfId="592" priority="876">
      <formula>AND(S161&lt;&gt;"NA",S161&gt;$S$16)</formula>
    </cfRule>
  </conditionalFormatting>
  <conditionalFormatting sqref="T161">
    <cfRule type="expression" priority="820" stopIfTrue="1">
      <formula>"ISBLANK($K$185)"</formula>
    </cfRule>
    <cfRule type="expression" dxfId="591" priority="867">
      <formula>AND(OR(AW161=0,ISBLANK(T161)),B161&lt;&gt;"")</formula>
    </cfRule>
    <cfRule type="expression" dxfId="590" priority="868">
      <formula>AND(T161="NA",NOT(ISTEXT(U161)))</formula>
    </cfRule>
    <cfRule type="expression" dxfId="589" priority="869">
      <formula>AND(AW161&gt;5,T161="NA")</formula>
    </cfRule>
    <cfRule type="expression" dxfId="588" priority="870">
      <formula>AND(AW161&lt;5,T161="NA")</formula>
    </cfRule>
    <cfRule type="expression" dxfId="587" priority="871">
      <formula>AND(T161&lt;&gt;"NA",T161&gt;$T$16)</formula>
    </cfRule>
  </conditionalFormatting>
  <conditionalFormatting sqref="U161">
    <cfRule type="expression" priority="819" stopIfTrue="1">
      <formula>"ISBLANK($K$185)"</formula>
    </cfRule>
    <cfRule type="expression" dxfId="586" priority="862">
      <formula>AND(OR(AW161=0,ISBLANK(U161)),B161&lt;&gt;"")</formula>
    </cfRule>
    <cfRule type="expression" dxfId="585" priority="863">
      <formula>AND(U161="NA",NOT(ISTEXT(T161)))</formula>
    </cfRule>
    <cfRule type="expression" dxfId="584" priority="864">
      <formula>AND(AW161&gt;5,U161="NA")</formula>
    </cfRule>
    <cfRule type="expression" dxfId="583" priority="865">
      <formula>AND(AW161&lt;5,U161="NA")</formula>
    </cfRule>
    <cfRule type="expression" dxfId="582" priority="866">
      <formula>AND(U161&lt;&gt;"NA",U161&gt;$U$16)</formula>
    </cfRule>
  </conditionalFormatting>
  <conditionalFormatting sqref="V161">
    <cfRule type="expression" priority="818" stopIfTrue="1">
      <formula>"ISBLANK($K$185)"</formula>
    </cfRule>
    <cfRule type="expression" dxfId="581" priority="857">
      <formula>AND(OR(AW161=0,ISBLANK(V161)),B161&lt;&gt;"")</formula>
    </cfRule>
    <cfRule type="expression" dxfId="580" priority="858">
      <formula>AND(V161="NA",NOT(ISTEXT(W161)))</formula>
    </cfRule>
    <cfRule type="expression" dxfId="579" priority="859">
      <formula>AND(AW161&gt;5,V161="NA")</formula>
    </cfRule>
    <cfRule type="expression" dxfId="578" priority="860">
      <formula>AND(AW161&lt;5,V161="NA")</formula>
    </cfRule>
    <cfRule type="expression" dxfId="577" priority="861">
      <formula>AND(V161&lt;&gt;"NA",V161&gt;$V$16)</formula>
    </cfRule>
  </conditionalFormatting>
  <conditionalFormatting sqref="W161">
    <cfRule type="expression" priority="817" stopIfTrue="1">
      <formula>"ISBLANK($K$185)"</formula>
    </cfRule>
    <cfRule type="expression" dxfId="576" priority="852">
      <formula>AND(OR(AW161=0,ISBLANK(W161)),B161&lt;&gt;"")</formula>
    </cfRule>
    <cfRule type="expression" dxfId="575" priority="853">
      <formula>AND(W161="NA",NOT(ISTEXT(V161)))</formula>
    </cfRule>
    <cfRule type="expression" dxfId="574" priority="854">
      <formula>AND(AW161&gt;5,W161="NA")</formula>
    </cfRule>
    <cfRule type="expression" dxfId="573" priority="855">
      <formula>AND(AW161&lt;5,W161="NA")</formula>
    </cfRule>
    <cfRule type="expression" dxfId="572" priority="856">
      <formula>AND(W161&lt;&gt;"NA",W161&gt;$W$16)</formula>
    </cfRule>
  </conditionalFormatting>
  <conditionalFormatting sqref="X161">
    <cfRule type="expression" priority="816" stopIfTrue="1">
      <formula>"ISBLANK($K$185)"</formula>
    </cfRule>
    <cfRule type="expression" dxfId="571" priority="847">
      <formula>AND(OR(AW161=0,ISBLANK(X161)),B161&lt;&gt;"")</formula>
    </cfRule>
    <cfRule type="expression" dxfId="570" priority="848">
      <formula>AND(X161="NA",NOT(ISTEXT(Y161)))</formula>
    </cfRule>
    <cfRule type="expression" dxfId="569" priority="849">
      <formula>AND(AW161&gt;5,X161="NA")</formula>
    </cfRule>
    <cfRule type="expression" dxfId="568" priority="850">
      <formula>AND(AW161&lt;5,X161="NA")</formula>
    </cfRule>
    <cfRule type="expression" dxfId="567" priority="851">
      <formula>AND(X161&lt;&gt;"NA",X161&gt;$Y$16)</formula>
    </cfRule>
  </conditionalFormatting>
  <conditionalFormatting sqref="Y161">
    <cfRule type="expression" priority="815" stopIfTrue="1">
      <formula>"ISBLANK($K$185)"</formula>
    </cfRule>
    <cfRule type="expression" dxfId="566" priority="842">
      <formula>AND(OR(AW161=0,ISBLANK(Y161)),B161&lt;&gt;"")</formula>
    </cfRule>
    <cfRule type="expression" dxfId="565" priority="843">
      <formula>AND(Y161="NA",NOT(ISTEXT(X161)))</formula>
    </cfRule>
    <cfRule type="expression" dxfId="564" priority="844">
      <formula>AND(AW161&gt;5,Y161="NA")</formula>
    </cfRule>
    <cfRule type="expression" dxfId="563" priority="845">
      <formula>AND(AW161&lt;5,Y161="NA")</formula>
    </cfRule>
    <cfRule type="expression" dxfId="562" priority="846">
      <formula>AND(Y161&lt;&gt;"NA",Y161&gt;$Y$16)</formula>
    </cfRule>
  </conditionalFormatting>
  <conditionalFormatting sqref="N161">
    <cfRule type="expression" priority="826" stopIfTrue="1">
      <formula>"ISBLANK($K$185)"</formula>
    </cfRule>
    <cfRule type="expression" dxfId="561" priority="897">
      <formula>AND(OR(AW161=0,ISBLANK(N161)),B161&lt;&gt;"")</formula>
    </cfRule>
    <cfRule type="expression" dxfId="560" priority="898">
      <formula>AND(N161="NA",NOT(ISTEXT(O161)))</formula>
    </cfRule>
    <cfRule type="expression" dxfId="559" priority="899">
      <formula>AND(AW161&gt;5,N161="NA")</formula>
    </cfRule>
    <cfRule type="expression" dxfId="558" priority="900">
      <formula>AND(AW161&lt;5,N161="NA")</formula>
    </cfRule>
    <cfRule type="expression" dxfId="557" priority="901">
      <formula>AND(N161&lt;&gt;"NA",N161&gt;$N$16)</formula>
    </cfRule>
  </conditionalFormatting>
  <conditionalFormatting sqref="O162">
    <cfRule type="expression" priority="734" stopIfTrue="1">
      <formula>"ISBLANK($K$185)"</formula>
    </cfRule>
    <cfRule type="expression" dxfId="556" priority="801">
      <formula>AND(OR(AW162=0,ISBLANK(O162)),B162&lt;&gt;"")</formula>
    </cfRule>
    <cfRule type="expression" dxfId="555" priority="802">
      <formula>AND(O162="NA",NOT(ISTEXT(N162)))</formula>
    </cfRule>
    <cfRule type="expression" dxfId="554" priority="803">
      <formula>AND(AW162&gt;5,O162="NA")</formula>
    </cfRule>
    <cfRule type="expression" dxfId="553" priority="804">
      <formula>AND(AW162&lt;5,O162="NA")</formula>
    </cfRule>
    <cfRule type="expression" dxfId="552" priority="805">
      <formula>AND(O162&lt;&gt;"NA",O162&gt;$O$16)</formula>
    </cfRule>
  </conditionalFormatting>
  <conditionalFormatting sqref="P162">
    <cfRule type="expression" priority="733" stopIfTrue="1">
      <formula>"ISBLANK($K$185)"</formula>
    </cfRule>
    <cfRule type="expression" dxfId="551" priority="796">
      <formula>AND(OR(AW162=0,ISBLANK(P162)),B162&lt;&gt;"")</formula>
    </cfRule>
    <cfRule type="expression" dxfId="550" priority="797">
      <formula>AND(P162="NA",NOT(ISTEXT(Q162)))</formula>
    </cfRule>
    <cfRule type="expression" dxfId="549" priority="798">
      <formula>AND(AW162&gt;5,P162="NA")</formula>
    </cfRule>
    <cfRule type="expression" dxfId="548" priority="799">
      <formula>AND(AW162&lt;5,P162="NA")</formula>
    </cfRule>
    <cfRule type="expression" dxfId="547" priority="800">
      <formula>AND(P162&lt;&gt;"NA",P162&gt;$P$16)</formula>
    </cfRule>
  </conditionalFormatting>
  <conditionalFormatting sqref="Q162">
    <cfRule type="expression" priority="732" stopIfTrue="1">
      <formula>"ISBLANK($K$185)"</formula>
    </cfRule>
    <cfRule type="expression" dxfId="546" priority="791">
      <formula>AND(OR(AW162=0,ISBLANK(Q162)),B162&lt;&gt;"")</formula>
    </cfRule>
    <cfRule type="expression" dxfId="545" priority="792">
      <formula>AND(Q162="NA",NOT(ISTEXT(P162)))</formula>
    </cfRule>
    <cfRule type="expression" dxfId="544" priority="793">
      <formula>AND(AW162&gt;5,Q162="NA")</formula>
    </cfRule>
    <cfRule type="expression" dxfId="543" priority="794">
      <formula>AND(AW162&lt;5,Q162="NA")</formula>
    </cfRule>
    <cfRule type="expression" dxfId="542" priority="795">
      <formula>AND(Q162&lt;&gt;"NA",Q162&gt;$Q$16)</formula>
    </cfRule>
  </conditionalFormatting>
  <conditionalFormatting sqref="R162">
    <cfRule type="expression" priority="731" stopIfTrue="1">
      <formula>"ISBLANK($K$185)"</formula>
    </cfRule>
    <cfRule type="expression" dxfId="541" priority="786">
      <formula>AND(OR(AW162=0,ISBLANK(R162)),B162&lt;&gt;"")</formula>
    </cfRule>
    <cfRule type="expression" dxfId="540" priority="787">
      <formula>AND(R162="NA",NOT(ISTEXT(S162)))</formula>
    </cfRule>
    <cfRule type="expression" dxfId="539" priority="788">
      <formula>AND(AW162&gt;5,R162="NA")</formula>
    </cfRule>
    <cfRule type="expression" dxfId="538" priority="789">
      <formula>AND(AW162&lt;5,R162="NA")</formula>
    </cfRule>
    <cfRule type="expression" dxfId="537" priority="790">
      <formula>AND(R162&lt;&gt;"NA",R162&gt;$R$16)</formula>
    </cfRule>
  </conditionalFormatting>
  <conditionalFormatting sqref="S162">
    <cfRule type="expression" priority="730" stopIfTrue="1">
      <formula>"ISBLANK($K$185)"</formula>
    </cfRule>
    <cfRule type="expression" dxfId="536" priority="781">
      <formula>AND(OR(AW162=0,ISBLANK(S162)),B162&lt;&gt;"")</formula>
    </cfRule>
    <cfRule type="expression" dxfId="535" priority="782">
      <formula>AND(S162="NA",NOT(ISTEXT(R162)))</formula>
    </cfRule>
    <cfRule type="expression" dxfId="534" priority="783">
      <formula>AND(AW162&gt;5,S162="NA")</formula>
    </cfRule>
    <cfRule type="expression" dxfId="533" priority="784">
      <formula>AND(AW162&lt;5,S162="NA")</formula>
    </cfRule>
    <cfRule type="expression" dxfId="532" priority="785">
      <formula>AND(S162&lt;&gt;"NA",S162&gt;$S$16)</formula>
    </cfRule>
  </conditionalFormatting>
  <conditionalFormatting sqref="T162">
    <cfRule type="expression" priority="729" stopIfTrue="1">
      <formula>"ISBLANK($K$185)"</formula>
    </cfRule>
    <cfRule type="expression" dxfId="531" priority="776">
      <formula>AND(OR(AW162=0,ISBLANK(T162)),B162&lt;&gt;"")</formula>
    </cfRule>
    <cfRule type="expression" dxfId="530" priority="777">
      <formula>AND(T162="NA",NOT(ISTEXT(U162)))</formula>
    </cfRule>
    <cfRule type="expression" dxfId="529" priority="778">
      <formula>AND(AW162&gt;5,T162="NA")</formula>
    </cfRule>
    <cfRule type="expression" dxfId="528" priority="779">
      <formula>AND(AW162&lt;5,T162="NA")</formula>
    </cfRule>
    <cfRule type="expression" dxfId="527" priority="780">
      <formula>AND(T162&lt;&gt;"NA",T162&gt;$T$16)</formula>
    </cfRule>
  </conditionalFormatting>
  <conditionalFormatting sqref="U162">
    <cfRule type="expression" priority="728" stopIfTrue="1">
      <formula>"ISBLANK($K$185)"</formula>
    </cfRule>
    <cfRule type="expression" dxfId="526" priority="771">
      <formula>AND(OR(AW162=0,ISBLANK(U162)),B162&lt;&gt;"")</formula>
    </cfRule>
    <cfRule type="expression" dxfId="525" priority="772">
      <formula>AND(U162="NA",NOT(ISTEXT(T162)))</formula>
    </cfRule>
    <cfRule type="expression" dxfId="524" priority="773">
      <formula>AND(AW162&gt;5,U162="NA")</formula>
    </cfRule>
    <cfRule type="expression" dxfId="523" priority="774">
      <formula>AND(AW162&lt;5,U162="NA")</formula>
    </cfRule>
    <cfRule type="expression" dxfId="522" priority="775">
      <formula>AND(U162&lt;&gt;"NA",U162&gt;$U$16)</formula>
    </cfRule>
  </conditionalFormatting>
  <conditionalFormatting sqref="V162">
    <cfRule type="expression" priority="727" stopIfTrue="1">
      <formula>"ISBLANK($K$185)"</formula>
    </cfRule>
    <cfRule type="expression" dxfId="521" priority="766">
      <formula>AND(OR(AW162=0,ISBLANK(V162)),B162&lt;&gt;"")</formula>
    </cfRule>
    <cfRule type="expression" dxfId="520" priority="767">
      <formula>AND(V162="NA",NOT(ISTEXT(W162)))</formula>
    </cfRule>
    <cfRule type="expression" dxfId="519" priority="768">
      <formula>AND(AW162&gt;5,V162="NA")</formula>
    </cfRule>
    <cfRule type="expression" dxfId="518" priority="769">
      <formula>AND(AW162&lt;5,V162="NA")</formula>
    </cfRule>
    <cfRule type="expression" dxfId="517" priority="770">
      <formula>AND(V162&lt;&gt;"NA",V162&gt;$V$16)</formula>
    </cfRule>
  </conditionalFormatting>
  <conditionalFormatting sqref="W162">
    <cfRule type="expression" priority="726" stopIfTrue="1">
      <formula>"ISBLANK($K$185)"</formula>
    </cfRule>
    <cfRule type="expression" dxfId="516" priority="761">
      <formula>AND(OR(AW162=0,ISBLANK(W162)),B162&lt;&gt;"")</formula>
    </cfRule>
    <cfRule type="expression" dxfId="515" priority="762">
      <formula>AND(W162="NA",NOT(ISTEXT(V162)))</formula>
    </cfRule>
    <cfRule type="expression" dxfId="514" priority="763">
      <formula>AND(AW162&gt;5,W162="NA")</formula>
    </cfRule>
    <cfRule type="expression" dxfId="513" priority="764">
      <formula>AND(AW162&lt;5,W162="NA")</formula>
    </cfRule>
    <cfRule type="expression" dxfId="512" priority="765">
      <formula>AND(W162&lt;&gt;"NA",W162&gt;$W$16)</formula>
    </cfRule>
  </conditionalFormatting>
  <conditionalFormatting sqref="X162">
    <cfRule type="expression" priority="725" stopIfTrue="1">
      <formula>"ISBLANK($K$185)"</formula>
    </cfRule>
    <cfRule type="expression" dxfId="511" priority="756">
      <formula>AND(OR(AW162=0,ISBLANK(X162)),B162&lt;&gt;"")</formula>
    </cfRule>
    <cfRule type="expression" dxfId="510" priority="757">
      <formula>AND(X162="NA",NOT(ISTEXT(Y162)))</formula>
    </cfRule>
    <cfRule type="expression" dxfId="509" priority="758">
      <formula>AND(AW162&gt;5,X162="NA")</formula>
    </cfRule>
    <cfRule type="expression" dxfId="508" priority="759">
      <formula>AND(AW162&lt;5,X162="NA")</formula>
    </cfRule>
    <cfRule type="expression" dxfId="507" priority="760">
      <formula>AND(X162&lt;&gt;"NA",X162&gt;$Y$16)</formula>
    </cfRule>
  </conditionalFormatting>
  <conditionalFormatting sqref="Y162">
    <cfRule type="expression" priority="724" stopIfTrue="1">
      <formula>"ISBLANK($K$185)"</formula>
    </cfRule>
    <cfRule type="expression" dxfId="506" priority="751">
      <formula>AND(OR(AW162=0,ISBLANK(Y162)),B162&lt;&gt;"")</formula>
    </cfRule>
    <cfRule type="expression" dxfId="505" priority="752">
      <formula>AND(Y162="NA",NOT(ISTEXT(X162)))</formula>
    </cfRule>
    <cfRule type="expression" dxfId="504" priority="753">
      <formula>AND(AW162&gt;5,Y162="NA")</formula>
    </cfRule>
    <cfRule type="expression" dxfId="503" priority="754">
      <formula>AND(AW162&lt;5,Y162="NA")</formula>
    </cfRule>
    <cfRule type="expression" dxfId="502" priority="755">
      <formula>AND(Y162&lt;&gt;"NA",Y162&gt;$Y$16)</formula>
    </cfRule>
  </conditionalFormatting>
  <conditionalFormatting sqref="N162">
    <cfRule type="expression" priority="735" stopIfTrue="1">
      <formula>"ISBLANK($K$185)"</formula>
    </cfRule>
    <cfRule type="expression" dxfId="501" priority="806">
      <formula>AND(OR(AW162=0,ISBLANK(N162)),B162&lt;&gt;"")</formula>
    </cfRule>
    <cfRule type="expression" dxfId="500" priority="807">
      <formula>AND(N162="NA",NOT(ISTEXT(O162)))</formula>
    </cfRule>
    <cfRule type="expression" dxfId="499" priority="808">
      <formula>AND(AW162&gt;5,N162="NA")</formula>
    </cfRule>
    <cfRule type="expression" dxfId="498" priority="809">
      <formula>AND(AW162&lt;5,N162="NA")</formula>
    </cfRule>
    <cfRule type="expression" dxfId="497" priority="810">
      <formula>AND(N162&lt;&gt;"NA",N162&gt;$N$16)</formula>
    </cfRule>
  </conditionalFormatting>
  <conditionalFormatting sqref="O163">
    <cfRule type="expression" priority="643" stopIfTrue="1">
      <formula>"ISBLANK($K$185)"</formula>
    </cfRule>
    <cfRule type="expression" dxfId="496" priority="710">
      <formula>AND(OR(AW163=0,ISBLANK(O163)),B163&lt;&gt;"")</formula>
    </cfRule>
    <cfRule type="expression" dxfId="495" priority="711">
      <formula>AND(O163="NA",NOT(ISTEXT(N163)))</formula>
    </cfRule>
    <cfRule type="expression" dxfId="494" priority="712">
      <formula>AND(AW163&gt;5,O163="NA")</formula>
    </cfRule>
    <cfRule type="expression" dxfId="493" priority="713">
      <formula>AND(AW163&lt;5,O163="NA")</formula>
    </cfRule>
    <cfRule type="expression" dxfId="492" priority="714">
      <formula>AND(O163&lt;&gt;"NA",O163&gt;$O$16)</formula>
    </cfRule>
  </conditionalFormatting>
  <conditionalFormatting sqref="P163">
    <cfRule type="expression" priority="642" stopIfTrue="1">
      <formula>"ISBLANK($K$185)"</formula>
    </cfRule>
    <cfRule type="expression" dxfId="491" priority="705">
      <formula>AND(OR(AW163=0,ISBLANK(P163)),B163&lt;&gt;"")</formula>
    </cfRule>
    <cfRule type="expression" dxfId="490" priority="706">
      <formula>AND(P163="NA",NOT(ISTEXT(Q163)))</formula>
    </cfRule>
    <cfRule type="expression" dxfId="489" priority="707">
      <formula>AND(AW163&gt;5,P163="NA")</formula>
    </cfRule>
    <cfRule type="expression" dxfId="488" priority="708">
      <formula>AND(AW163&lt;5,P163="NA")</formula>
    </cfRule>
    <cfRule type="expression" dxfId="487" priority="709">
      <formula>AND(P163&lt;&gt;"NA",P163&gt;$P$16)</formula>
    </cfRule>
  </conditionalFormatting>
  <conditionalFormatting sqref="Q163">
    <cfRule type="expression" priority="641" stopIfTrue="1">
      <formula>"ISBLANK($K$185)"</formula>
    </cfRule>
    <cfRule type="expression" dxfId="486" priority="700">
      <formula>AND(OR(AW163=0,ISBLANK(Q163)),B163&lt;&gt;"")</formula>
    </cfRule>
    <cfRule type="expression" dxfId="485" priority="701">
      <formula>AND(Q163="NA",NOT(ISTEXT(P163)))</formula>
    </cfRule>
    <cfRule type="expression" dxfId="484" priority="702">
      <formula>AND(AW163&gt;5,Q163="NA")</formula>
    </cfRule>
    <cfRule type="expression" dxfId="483" priority="703">
      <formula>AND(AW163&lt;5,Q163="NA")</formula>
    </cfRule>
    <cfRule type="expression" dxfId="482" priority="704">
      <formula>AND(Q163&lt;&gt;"NA",Q163&gt;$Q$16)</formula>
    </cfRule>
  </conditionalFormatting>
  <conditionalFormatting sqref="R163">
    <cfRule type="expression" priority="640" stopIfTrue="1">
      <formula>"ISBLANK($K$185)"</formula>
    </cfRule>
    <cfRule type="expression" dxfId="481" priority="695">
      <formula>AND(OR(AW163=0,ISBLANK(R163)),B163&lt;&gt;"")</formula>
    </cfRule>
    <cfRule type="expression" dxfId="480" priority="696">
      <formula>AND(R163="NA",NOT(ISTEXT(S163)))</formula>
    </cfRule>
    <cfRule type="expression" dxfId="479" priority="697">
      <formula>AND(AW163&gt;5,R163="NA")</formula>
    </cfRule>
    <cfRule type="expression" dxfId="478" priority="698">
      <formula>AND(AW163&lt;5,R163="NA")</formula>
    </cfRule>
    <cfRule type="expression" dxfId="477" priority="699">
      <formula>AND(R163&lt;&gt;"NA",R163&gt;$R$16)</formula>
    </cfRule>
  </conditionalFormatting>
  <conditionalFormatting sqref="S163">
    <cfRule type="expression" priority="639" stopIfTrue="1">
      <formula>"ISBLANK($K$185)"</formula>
    </cfRule>
    <cfRule type="expression" dxfId="476" priority="690">
      <formula>AND(OR(AW163=0,ISBLANK(S163)),B163&lt;&gt;"")</formula>
    </cfRule>
    <cfRule type="expression" dxfId="475" priority="691">
      <formula>AND(S163="NA",NOT(ISTEXT(R163)))</formula>
    </cfRule>
    <cfRule type="expression" dxfId="474" priority="692">
      <formula>AND(AW163&gt;5,S163="NA")</formula>
    </cfRule>
    <cfRule type="expression" dxfId="473" priority="693">
      <formula>AND(AW163&lt;5,S163="NA")</formula>
    </cfRule>
    <cfRule type="expression" dxfId="472" priority="694">
      <formula>AND(S163&lt;&gt;"NA",S163&gt;$S$16)</formula>
    </cfRule>
  </conditionalFormatting>
  <conditionalFormatting sqref="T163">
    <cfRule type="expression" priority="638" stopIfTrue="1">
      <formula>"ISBLANK($K$185)"</formula>
    </cfRule>
    <cfRule type="expression" dxfId="471" priority="685">
      <formula>AND(OR(AW163=0,ISBLANK(T163)),B163&lt;&gt;"")</formula>
    </cfRule>
    <cfRule type="expression" dxfId="470" priority="686">
      <formula>AND(T163="NA",NOT(ISTEXT(U163)))</formula>
    </cfRule>
    <cfRule type="expression" dxfId="469" priority="687">
      <formula>AND(AW163&gt;5,T163="NA")</formula>
    </cfRule>
    <cfRule type="expression" dxfId="468" priority="688">
      <formula>AND(AW163&lt;5,T163="NA")</formula>
    </cfRule>
    <cfRule type="expression" dxfId="467" priority="689">
      <formula>AND(T163&lt;&gt;"NA",T163&gt;$T$16)</formula>
    </cfRule>
  </conditionalFormatting>
  <conditionalFormatting sqref="U163">
    <cfRule type="expression" priority="637" stopIfTrue="1">
      <formula>"ISBLANK($K$185)"</formula>
    </cfRule>
    <cfRule type="expression" dxfId="466" priority="680">
      <formula>AND(OR(AW163=0,ISBLANK(U163)),B163&lt;&gt;"")</formula>
    </cfRule>
    <cfRule type="expression" dxfId="465" priority="681">
      <formula>AND(U163="NA",NOT(ISTEXT(T163)))</formula>
    </cfRule>
    <cfRule type="expression" dxfId="464" priority="682">
      <formula>AND(AW163&gt;5,U163="NA")</formula>
    </cfRule>
    <cfRule type="expression" dxfId="463" priority="683">
      <formula>AND(AW163&lt;5,U163="NA")</formula>
    </cfRule>
    <cfRule type="expression" dxfId="462" priority="684">
      <formula>AND(U163&lt;&gt;"NA",U163&gt;$U$16)</formula>
    </cfRule>
  </conditionalFormatting>
  <conditionalFormatting sqref="V163">
    <cfRule type="expression" priority="636" stopIfTrue="1">
      <formula>"ISBLANK($K$185)"</formula>
    </cfRule>
    <cfRule type="expression" dxfId="461" priority="675">
      <formula>AND(OR(AW163=0,ISBLANK(V163)),B163&lt;&gt;"")</formula>
    </cfRule>
    <cfRule type="expression" dxfId="460" priority="676">
      <formula>AND(V163="NA",NOT(ISTEXT(W163)))</formula>
    </cfRule>
    <cfRule type="expression" dxfId="459" priority="677">
      <formula>AND(AW163&gt;5,V163="NA")</formula>
    </cfRule>
    <cfRule type="expression" dxfId="458" priority="678">
      <formula>AND(AW163&lt;5,V163="NA")</formula>
    </cfRule>
    <cfRule type="expression" dxfId="457" priority="679">
      <formula>AND(V163&lt;&gt;"NA",V163&gt;$V$16)</formula>
    </cfRule>
  </conditionalFormatting>
  <conditionalFormatting sqref="W163">
    <cfRule type="expression" priority="635" stopIfTrue="1">
      <formula>"ISBLANK($K$185)"</formula>
    </cfRule>
    <cfRule type="expression" dxfId="456" priority="670">
      <formula>AND(OR(AW163=0,ISBLANK(W163)),B163&lt;&gt;"")</formula>
    </cfRule>
    <cfRule type="expression" dxfId="455" priority="671">
      <formula>AND(W163="NA",NOT(ISTEXT(V163)))</formula>
    </cfRule>
    <cfRule type="expression" dxfId="454" priority="672">
      <formula>AND(AW163&gt;5,W163="NA")</formula>
    </cfRule>
    <cfRule type="expression" dxfId="453" priority="673">
      <formula>AND(AW163&lt;5,W163="NA")</formula>
    </cfRule>
    <cfRule type="expression" dxfId="452" priority="674">
      <formula>AND(W163&lt;&gt;"NA",W163&gt;$W$16)</formula>
    </cfRule>
  </conditionalFormatting>
  <conditionalFormatting sqref="X163">
    <cfRule type="expression" priority="634" stopIfTrue="1">
      <formula>"ISBLANK($K$185)"</formula>
    </cfRule>
    <cfRule type="expression" dxfId="451" priority="665">
      <formula>AND(OR(AW163=0,ISBLANK(X163)),B163&lt;&gt;"")</formula>
    </cfRule>
    <cfRule type="expression" dxfId="450" priority="666">
      <formula>AND(X163="NA",NOT(ISTEXT(Y163)))</formula>
    </cfRule>
    <cfRule type="expression" dxfId="449" priority="667">
      <formula>AND(AW163&gt;5,X163="NA")</formula>
    </cfRule>
    <cfRule type="expression" dxfId="448" priority="668">
      <formula>AND(AW163&lt;5,X163="NA")</formula>
    </cfRule>
    <cfRule type="expression" dxfId="447" priority="669">
      <formula>AND(X163&lt;&gt;"NA",X163&gt;$Y$16)</formula>
    </cfRule>
  </conditionalFormatting>
  <conditionalFormatting sqref="Y163">
    <cfRule type="expression" priority="633" stopIfTrue="1">
      <formula>"ISBLANK($K$185)"</formula>
    </cfRule>
    <cfRule type="expression" dxfId="446" priority="660">
      <formula>AND(OR(AW163=0,ISBLANK(Y163)),B163&lt;&gt;"")</formula>
    </cfRule>
    <cfRule type="expression" dxfId="445" priority="661">
      <formula>AND(Y163="NA",NOT(ISTEXT(X163)))</formula>
    </cfRule>
    <cfRule type="expression" dxfId="444" priority="662">
      <formula>AND(AW163&gt;5,Y163="NA")</formula>
    </cfRule>
    <cfRule type="expression" dxfId="443" priority="663">
      <formula>AND(AW163&lt;5,Y163="NA")</formula>
    </cfRule>
    <cfRule type="expression" dxfId="442" priority="664">
      <formula>AND(Y163&lt;&gt;"NA",Y163&gt;$Y$16)</formula>
    </cfRule>
  </conditionalFormatting>
  <conditionalFormatting sqref="N163">
    <cfRule type="expression" priority="644" stopIfTrue="1">
      <formula>"ISBLANK($K$185)"</formula>
    </cfRule>
    <cfRule type="expression" dxfId="441" priority="715">
      <formula>AND(OR(AW163=0,ISBLANK(N163)),B163&lt;&gt;"")</formula>
    </cfRule>
    <cfRule type="expression" dxfId="440" priority="716">
      <formula>AND(N163="NA",NOT(ISTEXT(O163)))</formula>
    </cfRule>
    <cfRule type="expression" dxfId="439" priority="717">
      <formula>AND(AW163&gt;5,N163="NA")</formula>
    </cfRule>
    <cfRule type="expression" dxfId="438" priority="718">
      <formula>AND(AW163&lt;5,N163="NA")</formula>
    </cfRule>
    <cfRule type="expression" dxfId="437" priority="719">
      <formula>AND(N163&lt;&gt;"NA",N163&gt;$N$16)</formula>
    </cfRule>
  </conditionalFormatting>
  <conditionalFormatting sqref="O164">
    <cfRule type="expression" priority="552" stopIfTrue="1">
      <formula>"ISBLANK($K$185)"</formula>
    </cfRule>
    <cfRule type="expression" dxfId="436" priority="619">
      <formula>AND(OR(AW164=0,ISBLANK(O164)),B164&lt;&gt;"")</formula>
    </cfRule>
    <cfRule type="expression" dxfId="435" priority="620">
      <formula>AND(O164="NA",NOT(ISTEXT(N164)))</formula>
    </cfRule>
    <cfRule type="expression" dxfId="434" priority="621">
      <formula>AND(AW164&gt;5,O164="NA")</formula>
    </cfRule>
    <cfRule type="expression" dxfId="433" priority="622">
      <formula>AND(AW164&lt;5,O164="NA")</formula>
    </cfRule>
    <cfRule type="expression" dxfId="432" priority="623">
      <formula>AND(O164&lt;&gt;"NA",O164&gt;$O$16)</formula>
    </cfRule>
  </conditionalFormatting>
  <conditionalFormatting sqref="P164">
    <cfRule type="expression" priority="551" stopIfTrue="1">
      <formula>"ISBLANK($K$185)"</formula>
    </cfRule>
    <cfRule type="expression" dxfId="431" priority="614">
      <formula>AND(OR(AW164=0,ISBLANK(P164)),B164&lt;&gt;"")</formula>
    </cfRule>
    <cfRule type="expression" dxfId="430" priority="615">
      <formula>AND(P164="NA",NOT(ISTEXT(Q164)))</formula>
    </cfRule>
    <cfRule type="expression" dxfId="429" priority="616">
      <formula>AND(AW164&gt;5,P164="NA")</formula>
    </cfRule>
    <cfRule type="expression" dxfId="428" priority="617">
      <formula>AND(AW164&lt;5,P164="NA")</formula>
    </cfRule>
    <cfRule type="expression" dxfId="427" priority="618">
      <formula>AND(P164&lt;&gt;"NA",P164&gt;$P$16)</formula>
    </cfRule>
  </conditionalFormatting>
  <conditionalFormatting sqref="Q164">
    <cfRule type="expression" priority="550" stopIfTrue="1">
      <formula>"ISBLANK($K$185)"</formula>
    </cfRule>
    <cfRule type="expression" dxfId="426" priority="609">
      <formula>AND(OR(AW164=0,ISBLANK(Q164)),B164&lt;&gt;"")</formula>
    </cfRule>
    <cfRule type="expression" dxfId="425" priority="610">
      <formula>AND(Q164="NA",NOT(ISTEXT(P164)))</formula>
    </cfRule>
    <cfRule type="expression" dxfId="424" priority="611">
      <formula>AND(AW164&gt;5,Q164="NA")</formula>
    </cfRule>
    <cfRule type="expression" dxfId="423" priority="612">
      <formula>AND(AW164&lt;5,Q164="NA")</formula>
    </cfRule>
    <cfRule type="expression" dxfId="422" priority="613">
      <formula>AND(Q164&lt;&gt;"NA",Q164&gt;$Q$16)</formula>
    </cfRule>
  </conditionalFormatting>
  <conditionalFormatting sqref="R164">
    <cfRule type="expression" priority="549" stopIfTrue="1">
      <formula>"ISBLANK($K$185)"</formula>
    </cfRule>
    <cfRule type="expression" dxfId="421" priority="604">
      <formula>AND(OR(AW164=0,ISBLANK(R164)),B164&lt;&gt;"")</formula>
    </cfRule>
    <cfRule type="expression" dxfId="420" priority="605">
      <formula>AND(R164="NA",NOT(ISTEXT(S164)))</formula>
    </cfRule>
    <cfRule type="expression" dxfId="419" priority="606">
      <formula>AND(AW164&gt;5,R164="NA")</formula>
    </cfRule>
    <cfRule type="expression" dxfId="418" priority="607">
      <formula>AND(AW164&lt;5,R164="NA")</formula>
    </cfRule>
    <cfRule type="expression" dxfId="417" priority="608">
      <formula>AND(R164&lt;&gt;"NA",R164&gt;$R$16)</formula>
    </cfRule>
  </conditionalFormatting>
  <conditionalFormatting sqref="S164">
    <cfRule type="expression" priority="548" stopIfTrue="1">
      <formula>"ISBLANK($K$185)"</formula>
    </cfRule>
    <cfRule type="expression" dxfId="416" priority="599">
      <formula>AND(OR(AW164=0,ISBLANK(S164)),B164&lt;&gt;"")</formula>
    </cfRule>
    <cfRule type="expression" dxfId="415" priority="600">
      <formula>AND(S164="NA",NOT(ISTEXT(R164)))</formula>
    </cfRule>
    <cfRule type="expression" dxfId="414" priority="601">
      <formula>AND(AW164&gt;5,S164="NA")</formula>
    </cfRule>
    <cfRule type="expression" dxfId="413" priority="602">
      <formula>AND(AW164&lt;5,S164="NA")</formula>
    </cfRule>
    <cfRule type="expression" dxfId="412" priority="603">
      <formula>AND(S164&lt;&gt;"NA",S164&gt;$S$16)</formula>
    </cfRule>
  </conditionalFormatting>
  <conditionalFormatting sqref="T164">
    <cfRule type="expression" priority="547" stopIfTrue="1">
      <formula>"ISBLANK($K$185)"</formula>
    </cfRule>
    <cfRule type="expression" dxfId="411" priority="594">
      <formula>AND(OR(AW164=0,ISBLANK(T164)),B164&lt;&gt;"")</formula>
    </cfRule>
    <cfRule type="expression" dxfId="410" priority="595">
      <formula>AND(T164="NA",NOT(ISTEXT(U164)))</formula>
    </cfRule>
    <cfRule type="expression" dxfId="409" priority="596">
      <formula>AND(AW164&gt;5,T164="NA")</formula>
    </cfRule>
    <cfRule type="expression" dxfId="408" priority="597">
      <formula>AND(AW164&lt;5,T164="NA")</formula>
    </cfRule>
    <cfRule type="expression" dxfId="407" priority="598">
      <formula>AND(T164&lt;&gt;"NA",T164&gt;$T$16)</formula>
    </cfRule>
  </conditionalFormatting>
  <conditionalFormatting sqref="U164">
    <cfRule type="expression" priority="546" stopIfTrue="1">
      <formula>"ISBLANK($K$185)"</formula>
    </cfRule>
    <cfRule type="expression" dxfId="406" priority="589">
      <formula>AND(OR(AW164=0,ISBLANK(U164)),B164&lt;&gt;"")</formula>
    </cfRule>
    <cfRule type="expression" dxfId="405" priority="590">
      <formula>AND(U164="NA",NOT(ISTEXT(T164)))</formula>
    </cfRule>
    <cfRule type="expression" dxfId="404" priority="591">
      <formula>AND(AW164&gt;5,U164="NA")</formula>
    </cfRule>
    <cfRule type="expression" dxfId="403" priority="592">
      <formula>AND(AW164&lt;5,U164="NA")</formula>
    </cfRule>
    <cfRule type="expression" dxfId="402" priority="593">
      <formula>AND(U164&lt;&gt;"NA",U164&gt;$U$16)</formula>
    </cfRule>
  </conditionalFormatting>
  <conditionalFormatting sqref="V164">
    <cfRule type="expression" priority="545" stopIfTrue="1">
      <formula>"ISBLANK($K$185)"</formula>
    </cfRule>
    <cfRule type="expression" dxfId="401" priority="584">
      <formula>AND(OR(AW164=0,ISBLANK(V164)),B164&lt;&gt;"")</formula>
    </cfRule>
    <cfRule type="expression" dxfId="400" priority="585">
      <formula>AND(V164="NA",NOT(ISTEXT(W164)))</formula>
    </cfRule>
    <cfRule type="expression" dxfId="399" priority="586">
      <formula>AND(AW164&gt;5,V164="NA")</formula>
    </cfRule>
    <cfRule type="expression" dxfId="398" priority="587">
      <formula>AND(AW164&lt;5,V164="NA")</formula>
    </cfRule>
    <cfRule type="expression" dxfId="397" priority="588">
      <formula>AND(V164&lt;&gt;"NA",V164&gt;$V$16)</formula>
    </cfRule>
  </conditionalFormatting>
  <conditionalFormatting sqref="W164">
    <cfRule type="expression" priority="544" stopIfTrue="1">
      <formula>"ISBLANK($K$185)"</formula>
    </cfRule>
    <cfRule type="expression" dxfId="396" priority="579">
      <formula>AND(OR(AW164=0,ISBLANK(W164)),B164&lt;&gt;"")</formula>
    </cfRule>
    <cfRule type="expression" dxfId="395" priority="580">
      <formula>AND(W164="NA",NOT(ISTEXT(V164)))</formula>
    </cfRule>
    <cfRule type="expression" dxfId="394" priority="581">
      <formula>AND(AW164&gt;5,W164="NA")</formula>
    </cfRule>
    <cfRule type="expression" dxfId="393" priority="582">
      <formula>AND(AW164&lt;5,W164="NA")</formula>
    </cfRule>
    <cfRule type="expression" dxfId="392" priority="583">
      <formula>AND(W164&lt;&gt;"NA",W164&gt;$W$16)</formula>
    </cfRule>
  </conditionalFormatting>
  <conditionalFormatting sqref="X164">
    <cfRule type="expression" priority="543" stopIfTrue="1">
      <formula>"ISBLANK($K$185)"</formula>
    </cfRule>
    <cfRule type="expression" dxfId="391" priority="574">
      <formula>AND(OR(AW164=0,ISBLANK(X164)),B164&lt;&gt;"")</formula>
    </cfRule>
    <cfRule type="expression" dxfId="390" priority="575">
      <formula>AND(X164="NA",NOT(ISTEXT(Y164)))</formula>
    </cfRule>
    <cfRule type="expression" dxfId="389" priority="576">
      <formula>AND(AW164&gt;5,X164="NA")</formula>
    </cfRule>
    <cfRule type="expression" dxfId="388" priority="577">
      <formula>AND(AW164&lt;5,X164="NA")</formula>
    </cfRule>
    <cfRule type="expression" dxfId="387" priority="578">
      <formula>AND(X164&lt;&gt;"NA",X164&gt;$Y$16)</formula>
    </cfRule>
  </conditionalFormatting>
  <conditionalFormatting sqref="Y164">
    <cfRule type="expression" priority="542" stopIfTrue="1">
      <formula>"ISBLANK($K$185)"</formula>
    </cfRule>
    <cfRule type="expression" dxfId="386" priority="569">
      <formula>AND(OR(AW164=0,ISBLANK(Y164)),B164&lt;&gt;"")</formula>
    </cfRule>
    <cfRule type="expression" dxfId="385" priority="570">
      <formula>AND(Y164="NA",NOT(ISTEXT(X164)))</formula>
    </cfRule>
    <cfRule type="expression" dxfId="384" priority="571">
      <formula>AND(AW164&gt;5,Y164="NA")</formula>
    </cfRule>
    <cfRule type="expression" dxfId="383" priority="572">
      <formula>AND(AW164&lt;5,Y164="NA")</formula>
    </cfRule>
    <cfRule type="expression" dxfId="382" priority="573">
      <formula>AND(Y164&lt;&gt;"NA",Y164&gt;$Y$16)</formula>
    </cfRule>
  </conditionalFormatting>
  <conditionalFormatting sqref="N164">
    <cfRule type="expression" priority="553" stopIfTrue="1">
      <formula>"ISBLANK($K$185)"</formula>
    </cfRule>
    <cfRule type="expression" dxfId="381" priority="624">
      <formula>AND(OR(AW164=0,ISBLANK(N164)),B164&lt;&gt;"")</formula>
    </cfRule>
    <cfRule type="expression" dxfId="380" priority="625">
      <formula>AND(N164="NA",NOT(ISTEXT(O164)))</formula>
    </cfRule>
    <cfRule type="expression" dxfId="379" priority="626">
      <formula>AND(AW164&gt;5,N164="NA")</formula>
    </cfRule>
    <cfRule type="expression" dxfId="378" priority="627">
      <formula>AND(AW164&lt;5,N164="NA")</formula>
    </cfRule>
    <cfRule type="expression" dxfId="377" priority="628">
      <formula>AND(N164&lt;&gt;"NA",N164&gt;$N$16)</formula>
    </cfRule>
  </conditionalFormatting>
  <conditionalFormatting sqref="O165">
    <cfRule type="expression" priority="461" stopIfTrue="1">
      <formula>"ISBLANK($K$185)"</formula>
    </cfRule>
    <cfRule type="expression" dxfId="376" priority="528">
      <formula>AND(OR(AW165=0,ISBLANK(O165)),B165&lt;&gt;"")</formula>
    </cfRule>
    <cfRule type="expression" dxfId="375" priority="529">
      <formula>AND(O165="NA",NOT(ISTEXT(N165)))</formula>
    </cfRule>
    <cfRule type="expression" dxfId="374" priority="530">
      <formula>AND(AW165&gt;5,O165="NA")</formula>
    </cfRule>
    <cfRule type="expression" dxfId="373" priority="531">
      <formula>AND(AW165&lt;5,O165="NA")</formula>
    </cfRule>
    <cfRule type="expression" dxfId="372" priority="532">
      <formula>AND(O165&lt;&gt;"NA",O165&gt;$O$16)</formula>
    </cfRule>
  </conditionalFormatting>
  <conditionalFormatting sqref="P165">
    <cfRule type="expression" priority="460" stopIfTrue="1">
      <formula>"ISBLANK($K$185)"</formula>
    </cfRule>
    <cfRule type="expression" dxfId="371" priority="523">
      <formula>AND(OR(AW165=0,ISBLANK(P165)),B165&lt;&gt;"")</formula>
    </cfRule>
    <cfRule type="expression" dxfId="370" priority="524">
      <formula>AND(P165="NA",NOT(ISTEXT(Q165)))</formula>
    </cfRule>
    <cfRule type="expression" dxfId="369" priority="525">
      <formula>AND(AW165&gt;5,P165="NA")</formula>
    </cfRule>
    <cfRule type="expression" dxfId="368" priority="526">
      <formula>AND(AW165&lt;5,P165="NA")</formula>
    </cfRule>
    <cfRule type="expression" dxfId="367" priority="527">
      <formula>AND(P165&lt;&gt;"NA",P165&gt;$P$16)</formula>
    </cfRule>
  </conditionalFormatting>
  <conditionalFormatting sqref="Q165">
    <cfRule type="expression" priority="459" stopIfTrue="1">
      <formula>"ISBLANK($K$185)"</formula>
    </cfRule>
    <cfRule type="expression" dxfId="366" priority="518">
      <formula>AND(OR(AW165=0,ISBLANK(Q165)),B165&lt;&gt;"")</formula>
    </cfRule>
    <cfRule type="expression" dxfId="365" priority="519">
      <formula>AND(Q165="NA",NOT(ISTEXT(P165)))</formula>
    </cfRule>
    <cfRule type="expression" dxfId="364" priority="520">
      <formula>AND(AW165&gt;5,Q165="NA")</formula>
    </cfRule>
    <cfRule type="expression" dxfId="363" priority="521">
      <formula>AND(AW165&lt;5,Q165="NA")</formula>
    </cfRule>
    <cfRule type="expression" dxfId="362" priority="522">
      <formula>AND(Q165&lt;&gt;"NA",Q165&gt;$Q$16)</formula>
    </cfRule>
  </conditionalFormatting>
  <conditionalFormatting sqref="R165">
    <cfRule type="expression" priority="458" stopIfTrue="1">
      <formula>"ISBLANK($K$185)"</formula>
    </cfRule>
    <cfRule type="expression" dxfId="361" priority="513">
      <formula>AND(OR(AW165=0,ISBLANK(R165)),B165&lt;&gt;"")</formula>
    </cfRule>
    <cfRule type="expression" dxfId="360" priority="514">
      <formula>AND(R165="NA",NOT(ISTEXT(S165)))</formula>
    </cfRule>
    <cfRule type="expression" dxfId="359" priority="515">
      <formula>AND(AW165&gt;5,R165="NA")</formula>
    </cfRule>
    <cfRule type="expression" dxfId="358" priority="516">
      <formula>AND(AW165&lt;5,R165="NA")</formula>
    </cfRule>
    <cfRule type="expression" dxfId="357" priority="517">
      <formula>AND(R165&lt;&gt;"NA",R165&gt;$R$16)</formula>
    </cfRule>
  </conditionalFormatting>
  <conditionalFormatting sqref="S165">
    <cfRule type="expression" priority="457" stopIfTrue="1">
      <formula>"ISBLANK($K$185)"</formula>
    </cfRule>
    <cfRule type="expression" dxfId="356" priority="508">
      <formula>AND(OR(AW165=0,ISBLANK(S165)),B165&lt;&gt;"")</formula>
    </cfRule>
    <cfRule type="expression" dxfId="355" priority="509">
      <formula>AND(S165="NA",NOT(ISTEXT(R165)))</formula>
    </cfRule>
    <cfRule type="expression" dxfId="354" priority="510">
      <formula>AND(AW165&gt;5,S165="NA")</formula>
    </cfRule>
    <cfRule type="expression" dxfId="353" priority="511">
      <formula>AND(AW165&lt;5,S165="NA")</formula>
    </cfRule>
    <cfRule type="expression" dxfId="352" priority="512">
      <formula>AND(S165&lt;&gt;"NA",S165&gt;$S$16)</formula>
    </cfRule>
  </conditionalFormatting>
  <conditionalFormatting sqref="T165">
    <cfRule type="expression" priority="456" stopIfTrue="1">
      <formula>"ISBLANK($K$185)"</formula>
    </cfRule>
    <cfRule type="expression" dxfId="351" priority="503">
      <formula>AND(OR(AW165=0,ISBLANK(T165)),B165&lt;&gt;"")</formula>
    </cfRule>
    <cfRule type="expression" dxfId="350" priority="504">
      <formula>AND(T165="NA",NOT(ISTEXT(U165)))</formula>
    </cfRule>
    <cfRule type="expression" dxfId="349" priority="505">
      <formula>AND(AW165&gt;5,T165="NA")</formula>
    </cfRule>
    <cfRule type="expression" dxfId="348" priority="506">
      <formula>AND(AW165&lt;5,T165="NA")</formula>
    </cfRule>
    <cfRule type="expression" dxfId="347" priority="507">
      <formula>AND(T165&lt;&gt;"NA",T165&gt;$T$16)</formula>
    </cfRule>
  </conditionalFormatting>
  <conditionalFormatting sqref="U165">
    <cfRule type="expression" priority="455" stopIfTrue="1">
      <formula>"ISBLANK($K$185)"</formula>
    </cfRule>
    <cfRule type="expression" dxfId="346" priority="498">
      <formula>AND(OR(AW165=0,ISBLANK(U165)),B165&lt;&gt;"")</formula>
    </cfRule>
    <cfRule type="expression" dxfId="345" priority="499">
      <formula>AND(U165="NA",NOT(ISTEXT(T165)))</formula>
    </cfRule>
    <cfRule type="expression" dxfId="344" priority="500">
      <formula>AND(AW165&gt;5,U165="NA")</formula>
    </cfRule>
    <cfRule type="expression" dxfId="343" priority="501">
      <formula>AND(AW165&lt;5,U165="NA")</formula>
    </cfRule>
    <cfRule type="expression" dxfId="342" priority="502">
      <formula>AND(U165&lt;&gt;"NA",U165&gt;$U$16)</formula>
    </cfRule>
  </conditionalFormatting>
  <conditionalFormatting sqref="V165">
    <cfRule type="expression" priority="454" stopIfTrue="1">
      <formula>"ISBLANK($K$185)"</formula>
    </cfRule>
    <cfRule type="expression" dxfId="341" priority="493">
      <formula>AND(OR(AW165=0,ISBLANK(V165)),B165&lt;&gt;"")</formula>
    </cfRule>
    <cfRule type="expression" dxfId="340" priority="494">
      <formula>AND(V165="NA",NOT(ISTEXT(W165)))</formula>
    </cfRule>
    <cfRule type="expression" dxfId="339" priority="495">
      <formula>AND(AW165&gt;5,V165="NA")</formula>
    </cfRule>
    <cfRule type="expression" dxfId="338" priority="496">
      <formula>AND(AW165&lt;5,V165="NA")</formula>
    </cfRule>
    <cfRule type="expression" dxfId="337" priority="497">
      <formula>AND(V165&lt;&gt;"NA",V165&gt;$V$16)</formula>
    </cfRule>
  </conditionalFormatting>
  <conditionalFormatting sqref="W165">
    <cfRule type="expression" priority="453" stopIfTrue="1">
      <formula>"ISBLANK($K$185)"</formula>
    </cfRule>
    <cfRule type="expression" dxfId="336" priority="488">
      <formula>AND(OR(AW165=0,ISBLANK(W165)),B165&lt;&gt;"")</formula>
    </cfRule>
    <cfRule type="expression" dxfId="335" priority="489">
      <formula>AND(W165="NA",NOT(ISTEXT(V165)))</formula>
    </cfRule>
    <cfRule type="expression" dxfId="334" priority="490">
      <formula>AND(AW165&gt;5,W165="NA")</formula>
    </cfRule>
    <cfRule type="expression" dxfId="333" priority="491">
      <formula>AND(AW165&lt;5,W165="NA")</formula>
    </cfRule>
    <cfRule type="expression" dxfId="332" priority="492">
      <formula>AND(W165&lt;&gt;"NA",W165&gt;$W$16)</formula>
    </cfRule>
  </conditionalFormatting>
  <conditionalFormatting sqref="X165">
    <cfRule type="expression" priority="452" stopIfTrue="1">
      <formula>"ISBLANK($K$185)"</formula>
    </cfRule>
    <cfRule type="expression" dxfId="331" priority="483">
      <formula>AND(OR(AW165=0,ISBLANK(X165)),B165&lt;&gt;"")</formula>
    </cfRule>
    <cfRule type="expression" dxfId="330" priority="484">
      <formula>AND(X165="NA",NOT(ISTEXT(Y165)))</formula>
    </cfRule>
    <cfRule type="expression" dxfId="329" priority="485">
      <formula>AND(AW165&gt;5,X165="NA")</formula>
    </cfRule>
    <cfRule type="expression" dxfId="328" priority="486">
      <formula>AND(AW165&lt;5,X165="NA")</formula>
    </cfRule>
    <cfRule type="expression" dxfId="327" priority="487">
      <formula>AND(X165&lt;&gt;"NA",X165&gt;$Y$16)</formula>
    </cfRule>
  </conditionalFormatting>
  <conditionalFormatting sqref="Y165">
    <cfRule type="expression" priority="451" stopIfTrue="1">
      <formula>"ISBLANK($K$185)"</formula>
    </cfRule>
    <cfRule type="expression" dxfId="326" priority="478">
      <formula>AND(OR(AW165=0,ISBLANK(Y165)),B165&lt;&gt;"")</formula>
    </cfRule>
    <cfRule type="expression" dxfId="325" priority="479">
      <formula>AND(Y165="NA",NOT(ISTEXT(X165)))</formula>
    </cfRule>
    <cfRule type="expression" dxfId="324" priority="480">
      <formula>AND(AW165&gt;5,Y165="NA")</formula>
    </cfRule>
    <cfRule type="expression" dxfId="323" priority="481">
      <formula>AND(AW165&lt;5,Y165="NA")</formula>
    </cfRule>
    <cfRule type="expression" dxfId="322" priority="482">
      <formula>AND(Y165&lt;&gt;"NA",Y165&gt;$Y$16)</formula>
    </cfRule>
  </conditionalFormatting>
  <conditionalFormatting sqref="N165">
    <cfRule type="expression" priority="462" stopIfTrue="1">
      <formula>"ISBLANK($K$185)"</formula>
    </cfRule>
    <cfRule type="expression" dxfId="321" priority="533">
      <formula>AND(OR(AW165=0,ISBLANK(N165)),B165&lt;&gt;"")</formula>
    </cfRule>
    <cfRule type="expression" dxfId="320" priority="534">
      <formula>AND(N165="NA",NOT(ISTEXT(O165)))</formula>
    </cfRule>
    <cfRule type="expression" dxfId="319" priority="535">
      <formula>AND(AW165&gt;5,N165="NA")</formula>
    </cfRule>
    <cfRule type="expression" dxfId="318" priority="536">
      <formula>AND(AW165&lt;5,N165="NA")</formula>
    </cfRule>
    <cfRule type="expression" dxfId="317" priority="537">
      <formula>AND(N165&lt;&gt;"NA",N165&gt;$N$16)</formula>
    </cfRule>
  </conditionalFormatting>
  <conditionalFormatting sqref="O166">
    <cfRule type="expression" priority="370" stopIfTrue="1">
      <formula>"ISBLANK($K$185)"</formula>
    </cfRule>
    <cfRule type="expression" dxfId="316" priority="437">
      <formula>AND(OR(AW166=0,ISBLANK(O166)),B166&lt;&gt;"")</formula>
    </cfRule>
    <cfRule type="expression" dxfId="315" priority="438">
      <formula>AND(O166="NA",NOT(ISTEXT(N166)))</formula>
    </cfRule>
    <cfRule type="expression" dxfId="314" priority="439">
      <formula>AND(AW166&gt;5,O166="NA")</formula>
    </cfRule>
    <cfRule type="expression" dxfId="313" priority="440">
      <formula>AND(AW166&lt;5,O166="NA")</formula>
    </cfRule>
    <cfRule type="expression" dxfId="312" priority="441">
      <formula>AND(O166&lt;&gt;"NA",O166&gt;$O$16)</formula>
    </cfRule>
  </conditionalFormatting>
  <conditionalFormatting sqref="P166">
    <cfRule type="expression" priority="369" stopIfTrue="1">
      <formula>"ISBLANK($K$185)"</formula>
    </cfRule>
    <cfRule type="expression" dxfId="311" priority="432">
      <formula>AND(OR(AW166=0,ISBLANK(P166)),B166&lt;&gt;"")</formula>
    </cfRule>
    <cfRule type="expression" dxfId="310" priority="433">
      <formula>AND(P166="NA",NOT(ISTEXT(Q166)))</formula>
    </cfRule>
    <cfRule type="expression" dxfId="309" priority="434">
      <formula>AND(AW166&gt;5,P166="NA")</formula>
    </cfRule>
    <cfRule type="expression" dxfId="308" priority="435">
      <formula>AND(AW166&lt;5,P166="NA")</formula>
    </cfRule>
    <cfRule type="expression" dxfId="307" priority="436">
      <formula>AND(P166&lt;&gt;"NA",P166&gt;$P$16)</formula>
    </cfRule>
  </conditionalFormatting>
  <conditionalFormatting sqref="Q166">
    <cfRule type="expression" priority="368" stopIfTrue="1">
      <formula>"ISBLANK($K$185)"</formula>
    </cfRule>
    <cfRule type="expression" dxfId="306" priority="427">
      <formula>AND(OR(AW166=0,ISBLANK(Q166)),B166&lt;&gt;"")</formula>
    </cfRule>
    <cfRule type="expression" dxfId="305" priority="428">
      <formula>AND(Q166="NA",NOT(ISTEXT(P166)))</formula>
    </cfRule>
    <cfRule type="expression" dxfId="304" priority="429">
      <formula>AND(AW166&gt;5,Q166="NA")</formula>
    </cfRule>
    <cfRule type="expression" dxfId="303" priority="430">
      <formula>AND(AW166&lt;5,Q166="NA")</formula>
    </cfRule>
    <cfRule type="expression" dxfId="302" priority="431">
      <formula>AND(Q166&lt;&gt;"NA",Q166&gt;$Q$16)</formula>
    </cfRule>
  </conditionalFormatting>
  <conditionalFormatting sqref="R166">
    <cfRule type="expression" priority="367" stopIfTrue="1">
      <formula>"ISBLANK($K$185)"</formula>
    </cfRule>
    <cfRule type="expression" dxfId="301" priority="422">
      <formula>AND(OR(AW166=0,ISBLANK(R166)),B166&lt;&gt;"")</formula>
    </cfRule>
    <cfRule type="expression" dxfId="300" priority="423">
      <formula>AND(R166="NA",NOT(ISTEXT(S166)))</formula>
    </cfRule>
    <cfRule type="expression" dxfId="299" priority="424">
      <formula>AND(AW166&gt;5,R166="NA")</formula>
    </cfRule>
    <cfRule type="expression" dxfId="298" priority="425">
      <formula>AND(AW166&lt;5,R166="NA")</formula>
    </cfRule>
    <cfRule type="expression" dxfId="297" priority="426">
      <formula>AND(R166&lt;&gt;"NA",R166&gt;$R$16)</formula>
    </cfRule>
  </conditionalFormatting>
  <conditionalFormatting sqref="S166">
    <cfRule type="expression" priority="366" stopIfTrue="1">
      <formula>"ISBLANK($K$185)"</formula>
    </cfRule>
    <cfRule type="expression" dxfId="296" priority="417">
      <formula>AND(OR(AW166=0,ISBLANK(S166)),B166&lt;&gt;"")</formula>
    </cfRule>
    <cfRule type="expression" dxfId="295" priority="418">
      <formula>AND(S166="NA",NOT(ISTEXT(R166)))</formula>
    </cfRule>
    <cfRule type="expression" dxfId="294" priority="419">
      <formula>AND(AW166&gt;5,S166="NA")</formula>
    </cfRule>
    <cfRule type="expression" dxfId="293" priority="420">
      <formula>AND(AW166&lt;5,S166="NA")</formula>
    </cfRule>
    <cfRule type="expression" dxfId="292" priority="421">
      <formula>AND(S166&lt;&gt;"NA",S166&gt;$S$16)</formula>
    </cfRule>
  </conditionalFormatting>
  <conditionalFormatting sqref="T166">
    <cfRule type="expression" priority="365" stopIfTrue="1">
      <formula>"ISBLANK($K$185)"</formula>
    </cfRule>
    <cfRule type="expression" dxfId="291" priority="412">
      <formula>AND(OR(AW166=0,ISBLANK(T166)),B166&lt;&gt;"")</formula>
    </cfRule>
    <cfRule type="expression" dxfId="290" priority="413">
      <formula>AND(T166="NA",NOT(ISTEXT(U166)))</formula>
    </cfRule>
    <cfRule type="expression" dxfId="289" priority="414">
      <formula>AND(AW166&gt;5,T166="NA")</formula>
    </cfRule>
    <cfRule type="expression" dxfId="288" priority="415">
      <formula>AND(AW166&lt;5,T166="NA")</formula>
    </cfRule>
    <cfRule type="expression" dxfId="287" priority="416">
      <formula>AND(T166&lt;&gt;"NA",T166&gt;$T$16)</formula>
    </cfRule>
  </conditionalFormatting>
  <conditionalFormatting sqref="U166">
    <cfRule type="expression" priority="364" stopIfTrue="1">
      <formula>"ISBLANK($K$185)"</formula>
    </cfRule>
    <cfRule type="expression" dxfId="286" priority="407">
      <formula>AND(OR(AW166=0,ISBLANK(U166)),B166&lt;&gt;"")</formula>
    </cfRule>
    <cfRule type="expression" dxfId="285" priority="408">
      <formula>AND(U166="NA",NOT(ISTEXT(T166)))</formula>
    </cfRule>
    <cfRule type="expression" dxfId="284" priority="409">
      <formula>AND(AW166&gt;5,U166="NA")</formula>
    </cfRule>
    <cfRule type="expression" dxfId="283" priority="410">
      <formula>AND(AW166&lt;5,U166="NA")</formula>
    </cfRule>
    <cfRule type="expression" dxfId="282" priority="411">
      <formula>AND(U166&lt;&gt;"NA",U166&gt;$U$16)</formula>
    </cfRule>
  </conditionalFormatting>
  <conditionalFormatting sqref="V166">
    <cfRule type="expression" priority="363" stopIfTrue="1">
      <formula>"ISBLANK($K$185)"</formula>
    </cfRule>
    <cfRule type="expression" dxfId="281" priority="402">
      <formula>AND(OR(AW166=0,ISBLANK(V166)),B166&lt;&gt;"")</formula>
    </cfRule>
    <cfRule type="expression" dxfId="280" priority="403">
      <formula>AND(V166="NA",NOT(ISTEXT(W166)))</formula>
    </cfRule>
    <cfRule type="expression" dxfId="279" priority="404">
      <formula>AND(AW166&gt;5,V166="NA")</formula>
    </cfRule>
    <cfRule type="expression" dxfId="278" priority="405">
      <formula>AND(AW166&lt;5,V166="NA")</formula>
    </cfRule>
    <cfRule type="expression" dxfId="277" priority="406">
      <formula>AND(V166&lt;&gt;"NA",V166&gt;$V$16)</formula>
    </cfRule>
  </conditionalFormatting>
  <conditionalFormatting sqref="W166">
    <cfRule type="expression" priority="362" stopIfTrue="1">
      <formula>"ISBLANK($K$185)"</formula>
    </cfRule>
    <cfRule type="expression" dxfId="276" priority="397">
      <formula>AND(OR(AW166=0,ISBLANK(W166)),B166&lt;&gt;"")</formula>
    </cfRule>
    <cfRule type="expression" dxfId="275" priority="398">
      <formula>AND(W166="NA",NOT(ISTEXT(V166)))</formula>
    </cfRule>
    <cfRule type="expression" dxfId="274" priority="399">
      <formula>AND(AW166&gt;5,W166="NA")</formula>
    </cfRule>
    <cfRule type="expression" dxfId="273" priority="400">
      <formula>AND(AW166&lt;5,W166="NA")</formula>
    </cfRule>
    <cfRule type="expression" dxfId="272" priority="401">
      <formula>AND(W166&lt;&gt;"NA",W166&gt;$W$16)</formula>
    </cfRule>
  </conditionalFormatting>
  <conditionalFormatting sqref="X166">
    <cfRule type="expression" priority="361" stopIfTrue="1">
      <formula>"ISBLANK($K$185)"</formula>
    </cfRule>
    <cfRule type="expression" dxfId="271" priority="392">
      <formula>AND(OR(AW166=0,ISBLANK(X166)),B166&lt;&gt;"")</formula>
    </cfRule>
    <cfRule type="expression" dxfId="270" priority="393">
      <formula>AND(X166="NA",NOT(ISTEXT(Y166)))</formula>
    </cfRule>
    <cfRule type="expression" dxfId="269" priority="394">
      <formula>AND(AW166&gt;5,X166="NA")</formula>
    </cfRule>
    <cfRule type="expression" dxfId="268" priority="395">
      <formula>AND(AW166&lt;5,X166="NA")</formula>
    </cfRule>
    <cfRule type="expression" dxfId="267" priority="396">
      <formula>AND(X166&lt;&gt;"NA",X166&gt;$Y$16)</formula>
    </cfRule>
  </conditionalFormatting>
  <conditionalFormatting sqref="Y166">
    <cfRule type="expression" priority="360" stopIfTrue="1">
      <formula>"ISBLANK($K$185)"</formula>
    </cfRule>
    <cfRule type="expression" dxfId="266" priority="387">
      <formula>AND(OR(AW166=0,ISBLANK(Y166)),B166&lt;&gt;"")</formula>
    </cfRule>
    <cfRule type="expression" dxfId="265" priority="388">
      <formula>AND(Y166="NA",NOT(ISTEXT(X166)))</formula>
    </cfRule>
    <cfRule type="expression" dxfId="264" priority="389">
      <formula>AND(AW166&gt;5,Y166="NA")</formula>
    </cfRule>
    <cfRule type="expression" dxfId="263" priority="390">
      <formula>AND(AW166&lt;5,Y166="NA")</formula>
    </cfRule>
    <cfRule type="expression" dxfId="262" priority="391">
      <formula>AND(Y166&lt;&gt;"NA",Y166&gt;$Y$16)</formula>
    </cfRule>
  </conditionalFormatting>
  <conditionalFormatting sqref="N166">
    <cfRule type="expression" priority="371" stopIfTrue="1">
      <formula>"ISBLANK($K$185)"</formula>
    </cfRule>
    <cfRule type="expression" dxfId="261" priority="442">
      <formula>AND(OR(AW166=0,ISBLANK(N166)),B166&lt;&gt;"")</formula>
    </cfRule>
    <cfRule type="expression" dxfId="260" priority="443">
      <formula>AND(N166="NA",NOT(ISTEXT(O166)))</formula>
    </cfRule>
    <cfRule type="expression" dxfId="259" priority="444">
      <formula>AND(AW166&gt;5,N166="NA")</formula>
    </cfRule>
    <cfRule type="expression" dxfId="258" priority="445">
      <formula>AND(AW166&lt;5,N166="NA")</formula>
    </cfRule>
    <cfRule type="expression" dxfId="257" priority="446">
      <formula>AND(N166&lt;&gt;"NA",N166&gt;$N$16)</formula>
    </cfRule>
  </conditionalFormatting>
  <conditionalFormatting sqref="O167">
    <cfRule type="expression" priority="279" stopIfTrue="1">
      <formula>"ISBLANK($K$185)"</formula>
    </cfRule>
    <cfRule type="expression" dxfId="256" priority="346">
      <formula>AND(OR(AW167=0,ISBLANK(O167)),B167&lt;&gt;"")</formula>
    </cfRule>
    <cfRule type="expression" dxfId="255" priority="347">
      <formula>AND(O167="NA",NOT(ISTEXT(N167)))</formula>
    </cfRule>
    <cfRule type="expression" dxfId="254" priority="348">
      <formula>AND(AW167&gt;5,O167="NA")</formula>
    </cfRule>
    <cfRule type="expression" dxfId="253" priority="349">
      <formula>AND(AW167&lt;5,O167="NA")</formula>
    </cfRule>
    <cfRule type="expression" dxfId="252" priority="350">
      <formula>AND(O167&lt;&gt;"NA",O167&gt;$O$16)</formula>
    </cfRule>
  </conditionalFormatting>
  <conditionalFormatting sqref="P167">
    <cfRule type="expression" priority="278" stopIfTrue="1">
      <formula>"ISBLANK($K$185)"</formula>
    </cfRule>
    <cfRule type="expression" dxfId="251" priority="341">
      <formula>AND(OR(AW167=0,ISBLANK(P167)),B167&lt;&gt;"")</formula>
    </cfRule>
    <cfRule type="expression" dxfId="250" priority="342">
      <formula>AND(P167="NA",NOT(ISTEXT(Q167)))</formula>
    </cfRule>
    <cfRule type="expression" dxfId="249" priority="343">
      <formula>AND(AW167&gt;5,P167="NA")</formula>
    </cfRule>
    <cfRule type="expression" dxfId="248" priority="344">
      <formula>AND(AW167&lt;5,P167="NA")</formula>
    </cfRule>
    <cfRule type="expression" dxfId="247" priority="345">
      <formula>AND(P167&lt;&gt;"NA",P167&gt;$P$16)</formula>
    </cfRule>
  </conditionalFormatting>
  <conditionalFormatting sqref="Q167">
    <cfRule type="expression" priority="277" stopIfTrue="1">
      <formula>"ISBLANK($K$185)"</formula>
    </cfRule>
    <cfRule type="expression" dxfId="246" priority="336">
      <formula>AND(OR(AW167=0,ISBLANK(Q167)),B167&lt;&gt;"")</formula>
    </cfRule>
    <cfRule type="expression" dxfId="245" priority="337">
      <formula>AND(Q167="NA",NOT(ISTEXT(P167)))</formula>
    </cfRule>
    <cfRule type="expression" dxfId="244" priority="338">
      <formula>AND(AW167&gt;5,Q167="NA")</formula>
    </cfRule>
    <cfRule type="expression" dxfId="243" priority="339">
      <formula>AND(AW167&lt;5,Q167="NA")</formula>
    </cfRule>
    <cfRule type="expression" dxfId="242" priority="340">
      <formula>AND(Q167&lt;&gt;"NA",Q167&gt;$Q$16)</formula>
    </cfRule>
  </conditionalFormatting>
  <conditionalFormatting sqref="R167">
    <cfRule type="expression" priority="276" stopIfTrue="1">
      <formula>"ISBLANK($K$185)"</formula>
    </cfRule>
    <cfRule type="expression" dxfId="241" priority="331">
      <formula>AND(OR(AW167=0,ISBLANK(R167)),B167&lt;&gt;"")</formula>
    </cfRule>
    <cfRule type="expression" dxfId="240" priority="332">
      <formula>AND(R167="NA",NOT(ISTEXT(S167)))</formula>
    </cfRule>
    <cfRule type="expression" dxfId="239" priority="333">
      <formula>AND(AW167&gt;5,R167="NA")</formula>
    </cfRule>
    <cfRule type="expression" dxfId="238" priority="334">
      <formula>AND(AW167&lt;5,R167="NA")</formula>
    </cfRule>
    <cfRule type="expression" dxfId="237" priority="335">
      <formula>AND(R167&lt;&gt;"NA",R167&gt;$R$16)</formula>
    </cfRule>
  </conditionalFormatting>
  <conditionalFormatting sqref="S167">
    <cfRule type="expression" priority="275" stopIfTrue="1">
      <formula>"ISBLANK($K$185)"</formula>
    </cfRule>
    <cfRule type="expression" dxfId="236" priority="326">
      <formula>AND(OR(AW167=0,ISBLANK(S167)),B167&lt;&gt;"")</formula>
    </cfRule>
    <cfRule type="expression" dxfId="235" priority="327">
      <formula>AND(S167="NA",NOT(ISTEXT(R167)))</formula>
    </cfRule>
    <cfRule type="expression" dxfId="234" priority="328">
      <formula>AND(AW167&gt;5,S167="NA")</formula>
    </cfRule>
    <cfRule type="expression" dxfId="233" priority="329">
      <formula>AND(AW167&lt;5,S167="NA")</formula>
    </cfRule>
    <cfRule type="expression" dxfId="232" priority="330">
      <formula>AND(S167&lt;&gt;"NA",S167&gt;$S$16)</formula>
    </cfRule>
  </conditionalFormatting>
  <conditionalFormatting sqref="T167">
    <cfRule type="expression" priority="274" stopIfTrue="1">
      <formula>"ISBLANK($K$185)"</formula>
    </cfRule>
    <cfRule type="expression" dxfId="231" priority="321">
      <formula>AND(OR(AW167=0,ISBLANK(T167)),B167&lt;&gt;"")</formula>
    </cfRule>
    <cfRule type="expression" dxfId="230" priority="322">
      <formula>AND(T167="NA",NOT(ISTEXT(U167)))</formula>
    </cfRule>
    <cfRule type="expression" dxfId="229" priority="323">
      <formula>AND(AW167&gt;5,T167="NA")</formula>
    </cfRule>
    <cfRule type="expression" dxfId="228" priority="324">
      <formula>AND(AW167&lt;5,T167="NA")</formula>
    </cfRule>
    <cfRule type="expression" dxfId="227" priority="325">
      <formula>AND(T167&lt;&gt;"NA",T167&gt;$T$16)</formula>
    </cfRule>
  </conditionalFormatting>
  <conditionalFormatting sqref="U167">
    <cfRule type="expression" priority="273" stopIfTrue="1">
      <formula>"ISBLANK($K$185)"</formula>
    </cfRule>
    <cfRule type="expression" dxfId="226" priority="316">
      <formula>AND(OR(AW167=0,ISBLANK(U167)),B167&lt;&gt;"")</formula>
    </cfRule>
    <cfRule type="expression" dxfId="225" priority="317">
      <formula>AND(U167="NA",NOT(ISTEXT(T167)))</formula>
    </cfRule>
    <cfRule type="expression" dxfId="224" priority="318">
      <formula>AND(AW167&gt;5,U167="NA")</formula>
    </cfRule>
    <cfRule type="expression" dxfId="223" priority="319">
      <formula>AND(AW167&lt;5,U167="NA")</formula>
    </cfRule>
    <cfRule type="expression" dxfId="222" priority="320">
      <formula>AND(U167&lt;&gt;"NA",U167&gt;$U$16)</formula>
    </cfRule>
  </conditionalFormatting>
  <conditionalFormatting sqref="V167">
    <cfRule type="expression" priority="272" stopIfTrue="1">
      <formula>"ISBLANK($K$185)"</formula>
    </cfRule>
    <cfRule type="expression" dxfId="221" priority="311">
      <formula>AND(OR(AW167=0,ISBLANK(V167)),B167&lt;&gt;"")</formula>
    </cfRule>
    <cfRule type="expression" dxfId="220" priority="312">
      <formula>AND(V167="NA",NOT(ISTEXT(W167)))</formula>
    </cfRule>
    <cfRule type="expression" dxfId="219" priority="313">
      <formula>AND(AW167&gt;5,V167="NA")</formula>
    </cfRule>
    <cfRule type="expression" dxfId="218" priority="314">
      <formula>AND(AW167&lt;5,V167="NA")</formula>
    </cfRule>
    <cfRule type="expression" dxfId="217" priority="315">
      <formula>AND(V167&lt;&gt;"NA",V167&gt;$V$16)</formula>
    </cfRule>
  </conditionalFormatting>
  <conditionalFormatting sqref="W167">
    <cfRule type="expression" priority="271" stopIfTrue="1">
      <formula>"ISBLANK($K$185)"</formula>
    </cfRule>
    <cfRule type="expression" dxfId="216" priority="306">
      <formula>AND(OR(AW167=0,ISBLANK(W167)),B167&lt;&gt;"")</formula>
    </cfRule>
    <cfRule type="expression" dxfId="215" priority="307">
      <formula>AND(W167="NA",NOT(ISTEXT(V167)))</formula>
    </cfRule>
    <cfRule type="expression" dxfId="214" priority="308">
      <formula>AND(AW167&gt;5,W167="NA")</formula>
    </cfRule>
    <cfRule type="expression" dxfId="213" priority="309">
      <formula>AND(AW167&lt;5,W167="NA")</formula>
    </cfRule>
    <cfRule type="expression" dxfId="212" priority="310">
      <formula>AND(W167&lt;&gt;"NA",W167&gt;$W$16)</formula>
    </cfRule>
  </conditionalFormatting>
  <conditionalFormatting sqref="X167">
    <cfRule type="expression" priority="270" stopIfTrue="1">
      <formula>"ISBLANK($K$185)"</formula>
    </cfRule>
    <cfRule type="expression" dxfId="211" priority="301">
      <formula>AND(OR(AW167=0,ISBLANK(X167)),B167&lt;&gt;"")</formula>
    </cfRule>
    <cfRule type="expression" dxfId="210" priority="302">
      <formula>AND(X167="NA",NOT(ISTEXT(Y167)))</formula>
    </cfRule>
    <cfRule type="expression" dxfId="209" priority="303">
      <formula>AND(AW167&gt;5,X167="NA")</formula>
    </cfRule>
    <cfRule type="expression" dxfId="208" priority="304">
      <formula>AND(AW167&lt;5,X167="NA")</formula>
    </cfRule>
    <cfRule type="expression" dxfId="207" priority="305">
      <formula>AND(X167&lt;&gt;"NA",X167&gt;$Y$16)</formula>
    </cfRule>
  </conditionalFormatting>
  <conditionalFormatting sqref="Y167">
    <cfRule type="expression" priority="269" stopIfTrue="1">
      <formula>"ISBLANK($K$185)"</formula>
    </cfRule>
    <cfRule type="expression" dxfId="206" priority="296">
      <formula>AND(OR(AW167=0,ISBLANK(Y167)),B167&lt;&gt;"")</formula>
    </cfRule>
    <cfRule type="expression" dxfId="205" priority="297">
      <formula>AND(Y167="NA",NOT(ISTEXT(X167)))</formula>
    </cfRule>
    <cfRule type="expression" dxfId="204" priority="298">
      <formula>AND(AW167&gt;5,Y167="NA")</formula>
    </cfRule>
    <cfRule type="expression" dxfId="203" priority="299">
      <formula>AND(AW167&lt;5,Y167="NA")</formula>
    </cfRule>
    <cfRule type="expression" dxfId="202" priority="300">
      <formula>AND(Y167&lt;&gt;"NA",Y167&gt;$Y$16)</formula>
    </cfRule>
  </conditionalFormatting>
  <conditionalFormatting sqref="N167">
    <cfRule type="expression" priority="280" stopIfTrue="1">
      <formula>"ISBLANK($K$185)"</formula>
    </cfRule>
    <cfRule type="expression" dxfId="201" priority="351">
      <formula>AND(OR(AW167=0,ISBLANK(N167)),B167&lt;&gt;"")</formula>
    </cfRule>
    <cfRule type="expression" dxfId="200" priority="352">
      <formula>AND(N167="NA",NOT(ISTEXT(O167)))</formula>
    </cfRule>
    <cfRule type="expression" dxfId="199" priority="353">
      <formula>AND(AW167&gt;5,N167="NA")</formula>
    </cfRule>
    <cfRule type="expression" dxfId="198" priority="354">
      <formula>AND(AW167&lt;5,N167="NA")</formula>
    </cfRule>
    <cfRule type="expression" dxfId="197" priority="355">
      <formula>AND(N167&lt;&gt;"NA",N167&gt;$N$16)</formula>
    </cfRule>
  </conditionalFormatting>
  <conditionalFormatting sqref="O168">
    <cfRule type="expression" priority="188" stopIfTrue="1">
      <formula>"ISBLANK($K$185)"</formula>
    </cfRule>
    <cfRule type="expression" dxfId="196" priority="255">
      <formula>AND(OR(AW168=0,ISBLANK(O168)),B168&lt;&gt;"")</formula>
    </cfRule>
    <cfRule type="expression" dxfId="195" priority="256">
      <formula>AND(O168="NA",NOT(ISTEXT(N168)))</formula>
    </cfRule>
    <cfRule type="expression" dxfId="194" priority="257">
      <formula>AND(AW168&gt;5,O168="NA")</formula>
    </cfRule>
    <cfRule type="expression" dxfId="193" priority="258">
      <formula>AND(AW168&lt;5,O168="NA")</formula>
    </cfRule>
    <cfRule type="expression" dxfId="192" priority="259">
      <formula>AND(O168&lt;&gt;"NA",O168&gt;$O$16)</formula>
    </cfRule>
  </conditionalFormatting>
  <conditionalFormatting sqref="P168">
    <cfRule type="expression" priority="187" stopIfTrue="1">
      <formula>"ISBLANK($K$185)"</formula>
    </cfRule>
    <cfRule type="expression" dxfId="191" priority="250">
      <formula>AND(OR(AW168=0,ISBLANK(P168)),B168&lt;&gt;"")</formula>
    </cfRule>
    <cfRule type="expression" dxfId="190" priority="251">
      <formula>AND(P168="NA",NOT(ISTEXT(Q168)))</formula>
    </cfRule>
    <cfRule type="expression" dxfId="189" priority="252">
      <formula>AND(AW168&gt;5,P168="NA")</formula>
    </cfRule>
    <cfRule type="expression" dxfId="188" priority="253">
      <formula>AND(AW168&lt;5,P168="NA")</formula>
    </cfRule>
    <cfRule type="expression" dxfId="187" priority="254">
      <formula>AND(P168&lt;&gt;"NA",P168&gt;$P$16)</formula>
    </cfRule>
  </conditionalFormatting>
  <conditionalFormatting sqref="Q168">
    <cfRule type="expression" priority="186" stopIfTrue="1">
      <formula>"ISBLANK($K$185)"</formula>
    </cfRule>
    <cfRule type="expression" dxfId="186" priority="245">
      <formula>AND(OR(AW168=0,ISBLANK(Q168)),B168&lt;&gt;"")</formula>
    </cfRule>
    <cfRule type="expression" dxfId="185" priority="246">
      <formula>AND(Q168="NA",NOT(ISTEXT(P168)))</formula>
    </cfRule>
    <cfRule type="expression" dxfId="184" priority="247">
      <formula>AND(AW168&gt;5,Q168="NA")</formula>
    </cfRule>
    <cfRule type="expression" dxfId="183" priority="248">
      <formula>AND(AW168&lt;5,Q168="NA")</formula>
    </cfRule>
    <cfRule type="expression" dxfId="182" priority="249">
      <formula>AND(Q168&lt;&gt;"NA",Q168&gt;$Q$16)</formula>
    </cfRule>
  </conditionalFormatting>
  <conditionalFormatting sqref="R168">
    <cfRule type="expression" priority="185" stopIfTrue="1">
      <formula>"ISBLANK($K$185)"</formula>
    </cfRule>
    <cfRule type="expression" dxfId="181" priority="240">
      <formula>AND(OR(AW168=0,ISBLANK(R168)),B168&lt;&gt;"")</formula>
    </cfRule>
    <cfRule type="expression" dxfId="180" priority="241">
      <formula>AND(R168="NA",NOT(ISTEXT(S168)))</formula>
    </cfRule>
    <cfRule type="expression" dxfId="179" priority="242">
      <formula>AND(AW168&gt;5,R168="NA")</formula>
    </cfRule>
    <cfRule type="expression" dxfId="178" priority="243">
      <formula>AND(AW168&lt;5,R168="NA")</formula>
    </cfRule>
    <cfRule type="expression" dxfId="177" priority="244">
      <formula>AND(R168&lt;&gt;"NA",R168&gt;$R$16)</formula>
    </cfRule>
  </conditionalFormatting>
  <conditionalFormatting sqref="S168">
    <cfRule type="expression" priority="184" stopIfTrue="1">
      <formula>"ISBLANK($K$185)"</formula>
    </cfRule>
    <cfRule type="expression" dxfId="176" priority="235">
      <formula>AND(OR(AW168=0,ISBLANK(S168)),B168&lt;&gt;"")</formula>
    </cfRule>
    <cfRule type="expression" dxfId="175" priority="236">
      <formula>AND(S168="NA",NOT(ISTEXT(R168)))</formula>
    </cfRule>
    <cfRule type="expression" dxfId="174" priority="237">
      <formula>AND(AW168&gt;5,S168="NA")</formula>
    </cfRule>
    <cfRule type="expression" dxfId="173" priority="238">
      <formula>AND(AW168&lt;5,S168="NA")</formula>
    </cfRule>
    <cfRule type="expression" dxfId="172" priority="239">
      <formula>AND(S168&lt;&gt;"NA",S168&gt;$S$16)</formula>
    </cfRule>
  </conditionalFormatting>
  <conditionalFormatting sqref="T168">
    <cfRule type="expression" priority="183" stopIfTrue="1">
      <formula>"ISBLANK($K$185)"</formula>
    </cfRule>
    <cfRule type="expression" dxfId="171" priority="230">
      <formula>AND(OR(AW168=0,ISBLANK(T168)),B168&lt;&gt;"")</formula>
    </cfRule>
    <cfRule type="expression" dxfId="170" priority="231">
      <formula>AND(T168="NA",NOT(ISTEXT(U168)))</formula>
    </cfRule>
    <cfRule type="expression" dxfId="169" priority="232">
      <formula>AND(AW168&gt;5,T168="NA")</formula>
    </cfRule>
    <cfRule type="expression" dxfId="168" priority="233">
      <formula>AND(AW168&lt;5,T168="NA")</formula>
    </cfRule>
    <cfRule type="expression" dxfId="167" priority="234">
      <formula>AND(T168&lt;&gt;"NA",T168&gt;$T$16)</formula>
    </cfRule>
  </conditionalFormatting>
  <conditionalFormatting sqref="U168">
    <cfRule type="expression" priority="182" stopIfTrue="1">
      <formula>"ISBLANK($K$185)"</formula>
    </cfRule>
    <cfRule type="expression" dxfId="166" priority="225">
      <formula>AND(OR(AW168=0,ISBLANK(U168)),B168&lt;&gt;"")</formula>
    </cfRule>
    <cfRule type="expression" dxfId="165" priority="226">
      <formula>AND(U168="NA",NOT(ISTEXT(T168)))</formula>
    </cfRule>
    <cfRule type="expression" dxfId="164" priority="227">
      <formula>AND(AW168&gt;5,U168="NA")</formula>
    </cfRule>
    <cfRule type="expression" dxfId="163" priority="228">
      <formula>AND(AW168&lt;5,U168="NA")</formula>
    </cfRule>
    <cfRule type="expression" dxfId="162" priority="229">
      <formula>AND(U168&lt;&gt;"NA",U168&gt;$U$16)</formula>
    </cfRule>
  </conditionalFormatting>
  <conditionalFormatting sqref="V168">
    <cfRule type="expression" priority="181" stopIfTrue="1">
      <formula>"ISBLANK($K$185)"</formula>
    </cfRule>
    <cfRule type="expression" dxfId="161" priority="220">
      <formula>AND(OR(AW168=0,ISBLANK(V168)),B168&lt;&gt;"")</formula>
    </cfRule>
    <cfRule type="expression" dxfId="160" priority="221">
      <formula>AND(V168="NA",NOT(ISTEXT(W168)))</formula>
    </cfRule>
    <cfRule type="expression" dxfId="159" priority="222">
      <formula>AND(AW168&gt;5,V168="NA")</formula>
    </cfRule>
    <cfRule type="expression" dxfId="158" priority="223">
      <formula>AND(AW168&lt;5,V168="NA")</formula>
    </cfRule>
    <cfRule type="expression" dxfId="157" priority="224">
      <formula>AND(V168&lt;&gt;"NA",V168&gt;$V$16)</formula>
    </cfRule>
  </conditionalFormatting>
  <conditionalFormatting sqref="W168">
    <cfRule type="expression" priority="180" stopIfTrue="1">
      <formula>"ISBLANK($K$185)"</formula>
    </cfRule>
    <cfRule type="expression" dxfId="156" priority="215">
      <formula>AND(OR(AW168=0,ISBLANK(W168)),B168&lt;&gt;"")</formula>
    </cfRule>
    <cfRule type="expression" dxfId="155" priority="216">
      <formula>AND(W168="NA",NOT(ISTEXT(V168)))</formula>
    </cfRule>
    <cfRule type="expression" dxfId="154" priority="217">
      <formula>AND(AW168&gt;5,W168="NA")</formula>
    </cfRule>
    <cfRule type="expression" dxfId="153" priority="218">
      <formula>AND(AW168&lt;5,W168="NA")</formula>
    </cfRule>
    <cfRule type="expression" dxfId="152" priority="219">
      <formula>AND(W168&lt;&gt;"NA",W168&gt;$W$16)</formula>
    </cfRule>
  </conditionalFormatting>
  <conditionalFormatting sqref="X168">
    <cfRule type="expression" priority="179" stopIfTrue="1">
      <formula>"ISBLANK($K$185)"</formula>
    </cfRule>
    <cfRule type="expression" dxfId="151" priority="210">
      <formula>AND(OR(AW168=0,ISBLANK(X168)),B168&lt;&gt;"")</formula>
    </cfRule>
    <cfRule type="expression" dxfId="150" priority="211">
      <formula>AND(X168="NA",NOT(ISTEXT(Y168)))</formula>
    </cfRule>
    <cfRule type="expression" dxfId="149" priority="212">
      <formula>AND(AW168&gt;5,X168="NA")</formula>
    </cfRule>
    <cfRule type="expression" dxfId="148" priority="213">
      <formula>AND(AW168&lt;5,X168="NA")</formula>
    </cfRule>
    <cfRule type="expression" dxfId="147" priority="214">
      <formula>AND(X168&lt;&gt;"NA",X168&gt;$Y$16)</formula>
    </cfRule>
  </conditionalFormatting>
  <conditionalFormatting sqref="Y168">
    <cfRule type="expression" priority="178" stopIfTrue="1">
      <formula>"ISBLANK($K$185)"</formula>
    </cfRule>
    <cfRule type="expression" dxfId="146" priority="205">
      <formula>AND(OR(AW168=0,ISBLANK(Y168)),B168&lt;&gt;"")</formula>
    </cfRule>
    <cfRule type="expression" dxfId="145" priority="206">
      <formula>AND(Y168="NA",NOT(ISTEXT(X168)))</formula>
    </cfRule>
    <cfRule type="expression" dxfId="144" priority="207">
      <formula>AND(AW168&gt;5,Y168="NA")</formula>
    </cfRule>
    <cfRule type="expression" dxfId="143" priority="208">
      <formula>AND(AW168&lt;5,Y168="NA")</formula>
    </cfRule>
    <cfRule type="expression" dxfId="142" priority="209">
      <formula>AND(Y168&lt;&gt;"NA",Y168&gt;$Y$16)</formula>
    </cfRule>
  </conditionalFormatting>
  <conditionalFormatting sqref="N168">
    <cfRule type="expression" priority="189" stopIfTrue="1">
      <formula>"ISBLANK($K$185)"</formula>
    </cfRule>
    <cfRule type="expression" dxfId="141" priority="260">
      <formula>AND(OR(AW168=0,ISBLANK(N168)),B168&lt;&gt;"")</formula>
    </cfRule>
    <cfRule type="expression" dxfId="140" priority="261">
      <formula>AND(N168="NA",NOT(ISTEXT(O168)))</formula>
    </cfRule>
    <cfRule type="expression" dxfId="139" priority="262">
      <formula>AND(AW168&gt;5,N168="NA")</formula>
    </cfRule>
    <cfRule type="expression" dxfId="138" priority="263">
      <formula>AND(AW168&lt;5,N168="NA")</formula>
    </cfRule>
    <cfRule type="expression" dxfId="137" priority="264">
      <formula>AND(N168&lt;&gt;"NA",N168&gt;$N$16)</formula>
    </cfRule>
  </conditionalFormatting>
  <conditionalFormatting sqref="R16">
    <cfRule type="expression" dxfId="136" priority="173">
      <formula>SUM(R16:S16)&lt;&gt;10</formula>
    </cfRule>
  </conditionalFormatting>
  <conditionalFormatting sqref="T16">
    <cfRule type="expression" dxfId="135" priority="172">
      <formula>SUM(T16:U16)&lt;&gt;10</formula>
    </cfRule>
  </conditionalFormatting>
  <conditionalFormatting sqref="X16">
    <cfRule type="expression" dxfId="134" priority="170" stopIfTrue="1">
      <formula>SUM(X16:Y16)&lt;&gt;10</formula>
    </cfRule>
  </conditionalFormatting>
  <conditionalFormatting sqref="Z16">
    <cfRule type="expression" dxfId="133" priority="169" stopIfTrue="1">
      <formula>SUM(Z16:AB16)&lt;&gt;15</formula>
    </cfRule>
  </conditionalFormatting>
  <conditionalFormatting sqref="Z20">
    <cfRule type="expression" priority="149" stopIfTrue="1">
      <formula>"ISBLANK($K$185)"</formula>
    </cfRule>
    <cfRule type="expression" dxfId="132" priority="150">
      <formula>AND(OR(AW20=0,ISBLANK(Z20)),B20&lt;&gt;"")</formula>
    </cfRule>
    <cfRule type="expression" dxfId="131" priority="161">
      <formula>AND(AW20&gt;5,Z20="NA")</formula>
    </cfRule>
    <cfRule type="expression" dxfId="130" priority="162">
      <formula>AND(AW20&lt;5,Z20="NA")</formula>
    </cfRule>
    <cfRule type="expression" dxfId="129" priority="163">
      <formula>AND(Z20="NA",AA20="NA",AB20="NA",AW20=5)</formula>
    </cfRule>
    <cfRule type="expression" dxfId="128" priority="164">
      <formula>AND(Z20&lt;&gt;"NA",Z20&gt;$Z$16)</formula>
    </cfRule>
  </conditionalFormatting>
  <conditionalFormatting sqref="AA20">
    <cfRule type="expression" priority="148" stopIfTrue="1">
      <formula>"ISBLANK($K$185)"</formula>
    </cfRule>
    <cfRule type="expression" dxfId="127" priority="152">
      <formula>AND(OR(AW20=0,ISBLANK(AA20)),B20&lt;&gt;"")</formula>
    </cfRule>
    <cfRule type="expression" dxfId="126" priority="157">
      <formula>AND(AW20&gt;5,AA20="NA")</formula>
    </cfRule>
    <cfRule type="expression" dxfId="125" priority="158">
      <formula>AND(AW20&lt;5,AA20="NA")</formula>
    </cfRule>
    <cfRule type="expression" priority="159">
      <formula>AND(AW20=5,Z20="NA",AA20="NA",AB20="NA")</formula>
    </cfRule>
    <cfRule type="expression" dxfId="124" priority="160">
      <formula>AND(AA20&lt;&gt;"NA",AA20&gt;$AA$16)</formula>
    </cfRule>
  </conditionalFormatting>
  <conditionalFormatting sqref="AB20">
    <cfRule type="expression" priority="147" stopIfTrue="1">
      <formula>"ISBLANK($K$185)"</formula>
    </cfRule>
    <cfRule type="expression" dxfId="123" priority="151">
      <formula>AND(OR(AW20=0,ISBLANK(AB20)),B20&lt;&gt;"")</formula>
    </cfRule>
    <cfRule type="expression" dxfId="122" priority="153">
      <formula>AND(AW20&gt;5,AB20="NA")</formula>
    </cfRule>
    <cfRule type="expression" dxfId="121" priority="154">
      <formula>AND(AW20&lt;5,AB20="NA")</formula>
    </cfRule>
    <cfRule type="expression" dxfId="120" priority="155">
      <formula>AND(AB20&lt;&gt;"NA",AB20&gt;$AB$16)</formula>
    </cfRule>
    <cfRule type="expression" priority="156">
      <formula>AND(AW20=5,Z20="NA",AA20="NA",AB20="NA")</formula>
    </cfRule>
  </conditionalFormatting>
  <conditionalFormatting sqref="Z21:Z168">
    <cfRule type="expression" priority="131" stopIfTrue="1">
      <formula>"ISBLANK($K$185)"</formula>
    </cfRule>
    <cfRule type="expression" dxfId="119" priority="132">
      <formula>AND(OR(AW21=0,ISBLANK(Z21)),B21&lt;&gt;"")</formula>
    </cfRule>
    <cfRule type="expression" dxfId="118" priority="143">
      <formula>AND(AW21&gt;5,Z21="NA")</formula>
    </cfRule>
    <cfRule type="expression" dxfId="117" priority="144">
      <formula>AND(AW21&lt;5,Z21="NA")</formula>
    </cfRule>
    <cfRule type="expression" dxfId="116" priority="145">
      <formula>AND(Z21="NA",AA21="NA",AB21="NA",AW21=5)</formula>
    </cfRule>
    <cfRule type="expression" dxfId="115" priority="146">
      <formula>AND(Z21&lt;&gt;"NA",Z21&gt;$Z$16)</formula>
    </cfRule>
  </conditionalFormatting>
  <conditionalFormatting sqref="AA21:AA168">
    <cfRule type="expression" priority="130" stopIfTrue="1">
      <formula>"ISBLANK($K$185)"</formula>
    </cfRule>
    <cfRule type="expression" dxfId="114" priority="134">
      <formula>AND(OR(AW21=0,ISBLANK(AA21)),B21&lt;&gt;"")</formula>
    </cfRule>
    <cfRule type="expression" dxfId="113" priority="139">
      <formula>AND(AW21&gt;5,AA21="NA")</formula>
    </cfRule>
    <cfRule type="expression" dxfId="112" priority="140">
      <formula>AND(AW21&lt;5,AA21="NA")</formula>
    </cfRule>
    <cfRule type="expression" priority="141">
      <formula>AND(AW21=5,Z21="NA",AA21="NA",AB21="NA")</formula>
    </cfRule>
    <cfRule type="expression" dxfId="111" priority="142">
      <formula>AND(AA21&lt;&gt;"NA",AA21&gt;$AA$16)</formula>
    </cfRule>
  </conditionalFormatting>
  <conditionalFormatting sqref="AB21:AB168">
    <cfRule type="expression" priority="129" stopIfTrue="1">
      <formula>"ISBLANK($K$185)"</formula>
    </cfRule>
    <cfRule type="expression" dxfId="110" priority="133">
      <formula>AND(OR(AW21=0,ISBLANK(AB21)),B21&lt;&gt;"")</formula>
    </cfRule>
    <cfRule type="expression" dxfId="109" priority="135">
      <formula>AND(AW21&gt;5,AB21="NA")</formula>
    </cfRule>
    <cfRule type="expression" dxfId="108" priority="136">
      <formula>AND(AW21&lt;5,AB21="NA")</formula>
    </cfRule>
    <cfRule type="expression" dxfId="107" priority="137">
      <formula>AND(AB21&lt;&gt;"NA",AB21&gt;$AB$16)</formula>
    </cfRule>
    <cfRule type="expression" priority="138">
      <formula>AND(AW21=5,Z21="NA",AA21="NA",AB21="NA")</formula>
    </cfRule>
  </conditionalFormatting>
  <conditionalFormatting sqref="D169">
    <cfRule type="expression" dxfId="106" priority="127">
      <formula>AND(A169=B169,ISBLANK(D169))</formula>
    </cfRule>
    <cfRule type="cellIs" dxfId="105" priority="128" operator="notBetween">
      <formula>0</formula>
      <formula>2</formula>
    </cfRule>
  </conditionalFormatting>
  <conditionalFormatting sqref="E169">
    <cfRule type="cellIs" dxfId="104" priority="125" operator="notBetween">
      <formula>0</formula>
      <formula>2</formula>
    </cfRule>
    <cfRule type="expression" dxfId="103" priority="126">
      <formula>AND(A169=B169,ISBLANK(E169))</formula>
    </cfRule>
  </conditionalFormatting>
  <conditionalFormatting sqref="F169">
    <cfRule type="cellIs" dxfId="102" priority="123" operator="notBetween">
      <formula>0</formula>
      <formula>2</formula>
    </cfRule>
    <cfRule type="expression" dxfId="101" priority="124">
      <formula>AND(A169=B169,ISBLANK(F169))</formula>
    </cfRule>
  </conditionalFormatting>
  <conditionalFormatting sqref="G169">
    <cfRule type="expression" dxfId="100" priority="119">
      <formula>AND(A169=B169,ISBLANK(G169))</formula>
    </cfRule>
    <cfRule type="cellIs" dxfId="99" priority="120" operator="notBetween">
      <formula>0</formula>
      <formula>2</formula>
    </cfRule>
  </conditionalFormatting>
  <conditionalFormatting sqref="H169">
    <cfRule type="expression" dxfId="98" priority="117">
      <formula>AND(A169=B169,ISBLANK(H169))</formula>
    </cfRule>
    <cfRule type="cellIs" dxfId="97" priority="118" operator="notBetween">
      <formula>0</formula>
      <formula>2</formula>
    </cfRule>
  </conditionalFormatting>
  <conditionalFormatting sqref="I169">
    <cfRule type="expression" dxfId="96" priority="115">
      <formula>AND(A169=B169,ISBLANK(I169))</formula>
    </cfRule>
    <cfRule type="cellIs" dxfId="95" priority="116" operator="notBetween">
      <formula>0</formula>
      <formula>2</formula>
    </cfRule>
  </conditionalFormatting>
  <conditionalFormatting sqref="J169">
    <cfRule type="cellIs" dxfId="94" priority="113" operator="notBetween">
      <formula>0</formula>
      <formula>2</formula>
    </cfRule>
    <cfRule type="expression" dxfId="93" priority="114">
      <formula>AND(A169=B169,ISBLANK(J169))</formula>
    </cfRule>
  </conditionalFormatting>
  <conditionalFormatting sqref="K169">
    <cfRule type="cellIs" dxfId="92" priority="111" operator="notBetween">
      <formula>0</formula>
      <formula>2</formula>
    </cfRule>
    <cfRule type="expression" dxfId="91" priority="112">
      <formula>AND(A169=B169,ISBLANK(K169))</formula>
    </cfRule>
  </conditionalFormatting>
  <conditionalFormatting sqref="L169">
    <cfRule type="cellIs" dxfId="90" priority="109" operator="notBetween">
      <formula>0</formula>
      <formula>2</formula>
    </cfRule>
    <cfRule type="expression" dxfId="89" priority="110">
      <formula>AND(A169=B169,ISBLANK(L169))</formula>
    </cfRule>
  </conditionalFormatting>
  <conditionalFormatting sqref="M169">
    <cfRule type="expression" dxfId="88" priority="107">
      <formula>AND(A169=B169,ISBLANK(M169))</formula>
    </cfRule>
    <cfRule type="cellIs" dxfId="87" priority="108" operator="notBetween">
      <formula>0</formula>
      <formula>2</formula>
    </cfRule>
  </conditionalFormatting>
  <conditionalFormatting sqref="N169">
    <cfRule type="expression" priority="101" stopIfTrue="1">
      <formula>"ISBLANK($K$185)"</formula>
    </cfRule>
    <cfRule type="expression" dxfId="86" priority="102">
      <formula>AND(OR(AW169=0,ISBLANK(N169)),B169&lt;&gt;"")</formula>
    </cfRule>
    <cfRule type="expression" dxfId="85" priority="103">
      <formula>AND(N169="NA",NOT(ISTEXT(O169)))</formula>
    </cfRule>
    <cfRule type="expression" dxfId="84" priority="104">
      <formula>AND(AW169&gt;5,N169="NA")</formula>
    </cfRule>
    <cfRule type="expression" dxfId="83" priority="105">
      <formula>AND(AW169&lt;5,N169="NA")</formula>
    </cfRule>
    <cfRule type="expression" dxfId="82" priority="106">
      <formula>AND(N169&lt;&gt;"NA",N169&gt;$N$16)</formula>
    </cfRule>
  </conditionalFormatting>
  <conditionalFormatting sqref="O169">
    <cfRule type="expression" priority="95" stopIfTrue="1">
      <formula>"ISBLANK($K$185)"</formula>
    </cfRule>
    <cfRule type="expression" dxfId="81" priority="96">
      <formula>AND(OR(AW169=0,ISBLANK(O169)),B169&lt;&gt;"")</formula>
    </cfRule>
    <cfRule type="expression" dxfId="80" priority="97">
      <formula>AND(O169="NA",NOT(ISTEXT(N169)))</formula>
    </cfRule>
    <cfRule type="expression" dxfId="79" priority="98">
      <formula>AND(AW169&gt;5,O169="NA")</formula>
    </cfRule>
    <cfRule type="expression" dxfId="78" priority="99">
      <formula>AND(AW169&lt;5,O169="NA")</formula>
    </cfRule>
    <cfRule type="expression" dxfId="77" priority="100">
      <formula>AND(O169&lt;&gt;"NA",O169&gt;$O$16)</formula>
    </cfRule>
  </conditionalFormatting>
  <conditionalFormatting sqref="P169">
    <cfRule type="expression" priority="89" stopIfTrue="1">
      <formula>"ISBLANK($K$185)"</formula>
    </cfRule>
    <cfRule type="expression" dxfId="76" priority="90">
      <formula>AND(OR(AW169=0,ISBLANK(P169)),B169&lt;&gt;"")</formula>
    </cfRule>
    <cfRule type="expression" dxfId="75" priority="91">
      <formula>AND(P169="NA",NOT(ISTEXT(Q169)))</formula>
    </cfRule>
    <cfRule type="expression" dxfId="74" priority="92">
      <formula>AND(AW169&gt;5,P169="NA")</formula>
    </cfRule>
    <cfRule type="expression" dxfId="73" priority="93">
      <formula>AND(AW169&lt;5,P169="NA")</formula>
    </cfRule>
    <cfRule type="expression" dxfId="72" priority="94">
      <formula>AND(P169&lt;&gt;"NA",P169&gt;$P$16)</formula>
    </cfRule>
  </conditionalFormatting>
  <conditionalFormatting sqref="Q169">
    <cfRule type="expression" priority="83" stopIfTrue="1">
      <formula>"ISBLANK($K$185)"</formula>
    </cfRule>
    <cfRule type="expression" dxfId="71" priority="84">
      <formula>AND(OR(AW169=0,ISBLANK(Q169)),B169&lt;&gt;"")</formula>
    </cfRule>
    <cfRule type="expression" dxfId="70" priority="85">
      <formula>AND(Q169="NA",NOT(ISTEXT(P169)))</formula>
    </cfRule>
    <cfRule type="expression" dxfId="69" priority="86">
      <formula>AND(AW169&gt;5,Q169="NA")</formula>
    </cfRule>
    <cfRule type="expression" dxfId="68" priority="87">
      <formula>AND(AW169&lt;5,Q169="NA")</formula>
    </cfRule>
    <cfRule type="expression" dxfId="67" priority="88">
      <formula>AND(Q169&lt;&gt;"NA",Q169&gt;$Q$16)</formula>
    </cfRule>
  </conditionalFormatting>
  <conditionalFormatting sqref="R169">
    <cfRule type="expression" priority="77" stopIfTrue="1">
      <formula>"ISBLANK($K$185)"</formula>
    </cfRule>
    <cfRule type="expression" dxfId="66" priority="78">
      <formula>AND(OR(AW169=0,ISBLANK(R169)),B169&lt;&gt;"")</formula>
    </cfRule>
    <cfRule type="expression" dxfId="65" priority="79">
      <formula>AND(R169="NA",NOT(ISTEXT(S169)))</formula>
    </cfRule>
    <cfRule type="expression" dxfId="64" priority="80">
      <formula>AND(AW169&gt;5,R169="NA")</formula>
    </cfRule>
    <cfRule type="expression" dxfId="63" priority="81">
      <formula>AND(AW169&lt;5,R169="NA")</formula>
    </cfRule>
    <cfRule type="expression" dxfId="62" priority="82">
      <formula>AND(R169&lt;&gt;"NA",R169&gt;$R$16)</formula>
    </cfRule>
  </conditionalFormatting>
  <conditionalFormatting sqref="S169">
    <cfRule type="expression" priority="71" stopIfTrue="1">
      <formula>"ISBLANK($K$185)"</formula>
    </cfRule>
    <cfRule type="expression" dxfId="61" priority="72">
      <formula>AND(OR(AW169=0,ISBLANK(S169)),B169&lt;&gt;"")</formula>
    </cfRule>
    <cfRule type="expression" dxfId="60" priority="73">
      <formula>AND(S169="NA",NOT(ISTEXT(R169)))</formula>
    </cfRule>
    <cfRule type="expression" dxfId="59" priority="74">
      <formula>AND(AW169&gt;5,S169="NA")</formula>
    </cfRule>
    <cfRule type="expression" dxfId="58" priority="75">
      <formula>AND(AW169&lt;5,S169="NA")</formula>
    </cfRule>
    <cfRule type="expression" dxfId="57" priority="76">
      <formula>AND(S169&lt;&gt;"NA",S169&gt;$S$16)</formula>
    </cfRule>
  </conditionalFormatting>
  <conditionalFormatting sqref="T169">
    <cfRule type="expression" priority="65" stopIfTrue="1">
      <formula>"ISBLANK($K$185)"</formula>
    </cfRule>
    <cfRule type="expression" dxfId="56" priority="66">
      <formula>AND(OR(AW169=0,ISBLANK(T169)),B169&lt;&gt;"")</formula>
    </cfRule>
    <cfRule type="expression" dxfId="55" priority="67">
      <formula>AND(T169="NA",NOT(ISTEXT(U169)))</formula>
    </cfRule>
    <cfRule type="expression" dxfId="54" priority="68">
      <formula>AND(AW169&gt;5,T169="NA")</formula>
    </cfRule>
    <cfRule type="expression" dxfId="53" priority="69">
      <formula>AND(AW169&lt;5,T169="NA")</formula>
    </cfRule>
    <cfRule type="expression" dxfId="52" priority="70">
      <formula>AND(T169&lt;&gt;"NA",T169&gt;$T$16)</formula>
    </cfRule>
  </conditionalFormatting>
  <conditionalFormatting sqref="U169">
    <cfRule type="expression" priority="59" stopIfTrue="1">
      <formula>"ISBLANK($K$185)"</formula>
    </cfRule>
    <cfRule type="expression" dxfId="51" priority="60">
      <formula>AND(OR(AW169=0,ISBLANK(U169)),B169&lt;&gt;"")</formula>
    </cfRule>
    <cfRule type="expression" dxfId="50" priority="61">
      <formula>AND(U169="NA",NOT(ISTEXT(T169)))</formula>
    </cfRule>
    <cfRule type="expression" dxfId="49" priority="62">
      <formula>AND(AW169&gt;5,U169="NA")</formula>
    </cfRule>
    <cfRule type="expression" dxfId="48" priority="63">
      <formula>AND(AW169&lt;5,U169="NA")</formula>
    </cfRule>
    <cfRule type="expression" dxfId="47" priority="64">
      <formula>AND(U169&lt;&gt;"NA",U169&gt;$U$16)</formula>
    </cfRule>
  </conditionalFormatting>
  <conditionalFormatting sqref="V169">
    <cfRule type="expression" priority="53" stopIfTrue="1">
      <formula>"ISBLANK($K$185)"</formula>
    </cfRule>
    <cfRule type="expression" dxfId="46" priority="54">
      <formula>AND(OR(AW169=0,ISBLANK(V169)),B169&lt;&gt;"")</formula>
    </cfRule>
    <cfRule type="expression" dxfId="45" priority="55">
      <formula>AND(V169="NA",NOT(ISTEXT(W169)))</formula>
    </cfRule>
    <cfRule type="expression" dxfId="44" priority="56">
      <formula>AND(AW169&gt;5,V169="NA")</formula>
    </cfRule>
    <cfRule type="expression" dxfId="43" priority="57">
      <formula>AND(AW169&lt;5,V169="NA")</formula>
    </cfRule>
    <cfRule type="expression" dxfId="42" priority="58">
      <formula>AND(V169&lt;&gt;"NA",V169&gt;$V$16)</formula>
    </cfRule>
  </conditionalFormatting>
  <conditionalFormatting sqref="W169">
    <cfRule type="expression" priority="47" stopIfTrue="1">
      <formula>"ISBLANK($K$185)"</formula>
    </cfRule>
    <cfRule type="expression" dxfId="41" priority="48">
      <formula>AND(OR(AW169=0,ISBLANK(W169)),B169&lt;&gt;"")</formula>
    </cfRule>
    <cfRule type="expression" dxfId="40" priority="49">
      <formula>AND(W169="NA",NOT(ISTEXT(V169)))</formula>
    </cfRule>
    <cfRule type="expression" dxfId="39" priority="50">
      <formula>AND(AW169&gt;5,W169="NA")</formula>
    </cfRule>
    <cfRule type="expression" dxfId="38" priority="51">
      <formula>AND(AW169&lt;5,W169="NA")</formula>
    </cfRule>
    <cfRule type="expression" dxfId="37" priority="52">
      <formula>AND(W169&lt;&gt;"NA",W169&gt;$W$16)</formula>
    </cfRule>
  </conditionalFormatting>
  <conditionalFormatting sqref="X169">
    <cfRule type="expression" priority="41" stopIfTrue="1">
      <formula>"ISBLANK($K$185)"</formula>
    </cfRule>
    <cfRule type="expression" dxfId="36" priority="42">
      <formula>AND(OR(AW169=0,ISBLANK(X169)),B169&lt;&gt;"")</formula>
    </cfRule>
    <cfRule type="expression" dxfId="35" priority="43">
      <formula>AND(X169="NA",NOT(ISTEXT(Y169)))</formula>
    </cfRule>
    <cfRule type="expression" dxfId="34" priority="44">
      <formula>AND(AW169&gt;5,X169="NA")</formula>
    </cfRule>
    <cfRule type="expression" dxfId="33" priority="45">
      <formula>AND(AW169&lt;5,X169="NA")</formula>
    </cfRule>
    <cfRule type="expression" dxfId="32" priority="46">
      <formula>AND(X169&lt;&gt;"NA",X169&gt;$Y$16)</formula>
    </cfRule>
  </conditionalFormatting>
  <conditionalFormatting sqref="Y169">
    <cfRule type="expression" priority="35" stopIfTrue="1">
      <formula>"ISBLANK($K$185)"</formula>
    </cfRule>
    <cfRule type="expression" dxfId="31" priority="36">
      <formula>AND(OR(AW169=0,ISBLANK(Y169)),B169&lt;&gt;"")</formula>
    </cfRule>
    <cfRule type="expression" dxfId="30" priority="37">
      <formula>AND(Y169="NA",NOT(ISTEXT(X169)))</formula>
    </cfRule>
    <cfRule type="expression" dxfId="29" priority="38">
      <formula>AND(AW169&gt;5,Y169="NA")</formula>
    </cfRule>
    <cfRule type="expression" dxfId="28" priority="39">
      <formula>AND(AW169&lt;5,Y169="NA")</formula>
    </cfRule>
    <cfRule type="expression" dxfId="27" priority="40">
      <formula>AND(Y169&lt;&gt;"NA",Y169&gt;$Y$16)</formula>
    </cfRule>
  </conditionalFormatting>
  <conditionalFormatting sqref="Z169">
    <cfRule type="expression" priority="29" stopIfTrue="1">
      <formula>"ISBLANK($K$185)"</formula>
    </cfRule>
    <cfRule type="expression" dxfId="26" priority="30">
      <formula>AND(OR(AW169=0,ISBLANK(Z169)),B169&lt;&gt;"")</formula>
    </cfRule>
    <cfRule type="expression" dxfId="25" priority="31">
      <formula>AND(AW169&gt;5,Z169="NA")</formula>
    </cfRule>
    <cfRule type="expression" dxfId="24" priority="32">
      <formula>AND(AW169&lt;5,Z169="NA")</formula>
    </cfRule>
    <cfRule type="expression" dxfId="23" priority="33">
      <formula>AND(Z169="NA",AA169="NA",AB169="NA",AW169=5)</formula>
    </cfRule>
    <cfRule type="expression" dxfId="22" priority="34">
      <formula>AND(Z169&lt;&gt;"NA",Z169&gt;$Z$16)</formula>
    </cfRule>
  </conditionalFormatting>
  <conditionalFormatting sqref="AA169">
    <cfRule type="expression" priority="23" stopIfTrue="1">
      <formula>"ISBLANK($K$185)"</formula>
    </cfRule>
    <cfRule type="expression" dxfId="21" priority="24">
      <formula>AND(OR(AW169=0,ISBLANK(AA169)),B169&lt;&gt;"")</formula>
    </cfRule>
    <cfRule type="expression" dxfId="20" priority="25">
      <formula>AND(AW169&gt;5,AA169="NA")</formula>
    </cfRule>
    <cfRule type="expression" dxfId="19" priority="26">
      <formula>AND(AW169&lt;5,AA169="NA")</formula>
    </cfRule>
    <cfRule type="expression" priority="27">
      <formula>AND(AW169=5,Z169="NA",AA169="NA",AB169="NA")</formula>
    </cfRule>
    <cfRule type="expression" dxfId="18" priority="28">
      <formula>AND(AA169&lt;&gt;"NA",AA169&gt;$AA$16)</formula>
    </cfRule>
  </conditionalFormatting>
  <conditionalFormatting sqref="AB169">
    <cfRule type="expression" priority="17" stopIfTrue="1">
      <formula>"ISBLANK($K$185)"</formula>
    </cfRule>
    <cfRule type="expression" dxfId="17" priority="18">
      <formula>AND(OR(AW169=0,ISBLANK(AB169)),B169&lt;&gt;"")</formula>
    </cfRule>
    <cfRule type="expression" dxfId="16" priority="19">
      <formula>AND(AW169&gt;5,AB169="NA")</formula>
    </cfRule>
    <cfRule type="expression" dxfId="15" priority="20">
      <formula>AND(AW169&lt;5,AB169="NA")</formula>
    </cfRule>
    <cfRule type="expression" dxfId="14" priority="21">
      <formula>AND(AB169&lt;&gt;"NA",AB169&gt;$AB$16)</formula>
    </cfRule>
    <cfRule type="expression" priority="22">
      <formula>AND(AW169=5,Z169="NA",AA169="NA",AB169="NA")</formula>
    </cfRule>
  </conditionalFormatting>
  <conditionalFormatting sqref="N16">
    <cfRule type="expression" dxfId="13" priority="16">
      <formula>SUM(N16:O16)&lt;&gt;10</formula>
    </cfRule>
  </conditionalFormatting>
  <conditionalFormatting sqref="O16">
    <cfRule type="expression" dxfId="12" priority="15">
      <formula>SUM(N16:O16)&lt;&gt;10</formula>
    </cfRule>
  </conditionalFormatting>
  <conditionalFormatting sqref="Q16">
    <cfRule type="expression" dxfId="11" priority="14">
      <formula>SUM(P16:Q16)&lt;&gt;10</formula>
    </cfRule>
  </conditionalFormatting>
  <conditionalFormatting sqref="S16">
    <cfRule type="expression" dxfId="10" priority="13">
      <formula>SUM(R16:S16)&lt;&gt;10</formula>
    </cfRule>
  </conditionalFormatting>
  <conditionalFormatting sqref="U16">
    <cfRule type="expression" dxfId="9" priority="12">
      <formula>SUM(T16:U16)&lt;&gt;10</formula>
    </cfRule>
  </conditionalFormatting>
  <conditionalFormatting sqref="Y16">
    <cfRule type="expression" dxfId="8" priority="10">
      <formula>SUM(X16:Y16)&lt;&gt;10</formula>
    </cfRule>
  </conditionalFormatting>
  <conditionalFormatting sqref="AA16">
    <cfRule type="expression" dxfId="7" priority="9">
      <formula>SUM(Z16:AB16)&lt;&gt;15</formula>
    </cfRule>
  </conditionalFormatting>
  <conditionalFormatting sqref="AB16">
    <cfRule type="expression" dxfId="6" priority="8">
      <formula>SUM(Z16:AB16)&lt;&gt;15</formula>
    </cfRule>
  </conditionalFormatting>
  <conditionalFormatting sqref="E4:E5">
    <cfRule type="cellIs" dxfId="5" priority="6" operator="equal">
      <formula>"NULL"</formula>
    </cfRule>
  </conditionalFormatting>
  <conditionalFormatting sqref="E4">
    <cfRule type="cellIs" dxfId="4" priority="5" operator="notBetween">
      <formula>55</formula>
      <formula>150</formula>
    </cfRule>
  </conditionalFormatting>
  <conditionalFormatting sqref="E5">
    <cfRule type="cellIs" dxfId="3" priority="4" operator="notBetween">
      <formula>30</formula>
      <formula>100</formula>
    </cfRule>
  </conditionalFormatting>
  <conditionalFormatting sqref="I9:I13">
    <cfRule type="cellIs" dxfId="2" priority="3" operator="equal">
      <formula>0</formula>
    </cfRule>
  </conditionalFormatting>
  <conditionalFormatting sqref="V16">
    <cfRule type="expression" dxfId="1" priority="2">
      <formula>SUM(V16:W16)&lt;&gt;10</formula>
    </cfRule>
  </conditionalFormatting>
  <conditionalFormatting sqref="W16">
    <cfRule type="expression" dxfId="0" priority="1">
      <formula>SUM(V16:W16)&lt;&gt;10</formula>
    </cfRule>
  </conditionalFormatting>
  <dataValidations count="3">
    <dataValidation errorStyle="warning" showErrorMessage="1" errorTitle="More NA" error="You cannot have more than 2 NA's for each student" sqref="N19:AB19 Z20:AB168 Q20:R168 N21:P168"/>
    <dataValidation type="list" allowBlank="1" showInputMessage="1" showErrorMessage="1" prompt=" - " sqref="D15:AB15">
      <formula1>$AD$19:$AD$24</formula1>
    </dataValidation>
    <dataValidation type="list" allowBlank="1" showInputMessage="1" showErrorMessage="1" sqref="D193:E193">
      <formula1>$AD$193:$AD$194</formula1>
    </dataValidation>
  </dataValidations>
  <printOptions horizontalCentered="1"/>
  <pageMargins left="0.43307086614173229" right="0" top="0.70866141732283472" bottom="0.31496062992125984" header="0.31496062992125984" footer="0.11811023622047245"/>
  <pageSetup paperSize="9" scale="52" fitToHeight="0" orientation="landscape" r:id="rId1"/>
  <headerFooter>
    <oddFooter>Page &amp;P</oddFooter>
  </headerFooter>
  <rowBreaks count="1" manualBreakCount="1">
    <brk id="166" max="55" man="1"/>
  </rowBreaks>
  <colBreaks count="1" manualBreakCount="1">
    <brk id="18" max="188" man="1"/>
  </colBreak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BB197"/>
  <sheetViews>
    <sheetView topLeftCell="B11" zoomScaleSheetLayoutView="88" workbookViewId="0">
      <selection activeCell="E28" sqref="E28"/>
    </sheetView>
  </sheetViews>
  <sheetFormatPr defaultColWidth="0" defaultRowHeight="15"/>
  <cols>
    <col min="1" max="1" width="5.7109375" style="8" hidden="1" customWidth="1"/>
    <col min="2" max="2" width="11.7109375" style="8" customWidth="1"/>
    <col min="3" max="3" width="23.28515625" style="8" customWidth="1"/>
    <col min="4" max="5" width="9.140625" style="8" customWidth="1"/>
    <col min="6" max="6" width="7.7109375" style="8" customWidth="1"/>
    <col min="7" max="10" width="9.140625" style="8" customWidth="1"/>
    <col min="11" max="11" width="10.7109375" style="8" customWidth="1"/>
    <col min="12" max="12" width="8.85546875" style="8" customWidth="1"/>
    <col min="13" max="13" width="10.7109375" style="8" customWidth="1"/>
    <col min="14" max="27" width="9.140625" style="8" customWidth="1"/>
    <col min="28" max="47" width="9.140625" style="8" hidden="1" customWidth="1"/>
    <col min="48" max="54" width="0" style="8" hidden="1" customWidth="1"/>
    <col min="55" max="16384" width="9.140625" style="8" hidden="1"/>
  </cols>
  <sheetData>
    <row r="1" spans="2:47" s="24" customFormat="1" ht="15" customHeight="1">
      <c r="B1" s="282" t="s">
        <v>0</v>
      </c>
      <c r="C1" s="282"/>
      <c r="D1" s="282"/>
      <c r="E1" s="282"/>
      <c r="F1" s="282"/>
      <c r="G1" s="282"/>
      <c r="H1" s="282"/>
      <c r="I1" s="282"/>
      <c r="J1" s="282"/>
      <c r="K1" s="282"/>
      <c r="L1" s="282"/>
      <c r="M1" s="282"/>
      <c r="N1" s="282"/>
      <c r="O1" s="282"/>
      <c r="P1" s="282"/>
      <c r="Q1" s="222"/>
    </row>
    <row r="2" spans="2:47" s="24" customFormat="1" ht="15" customHeight="1">
      <c r="B2" s="282" t="s">
        <v>5</v>
      </c>
      <c r="C2" s="282"/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2"/>
      <c r="Q2" s="222"/>
    </row>
    <row r="3" spans="2:47" s="24" customFormat="1" ht="15" customHeight="1">
      <c r="B3" s="101" t="s">
        <v>231</v>
      </c>
      <c r="C3" s="102" t="str">
        <f>INPUT!E5</f>
        <v>2018-19</v>
      </c>
      <c r="D3" s="35"/>
      <c r="E3" s="35"/>
      <c r="F3" s="222"/>
      <c r="G3" s="48" t="s">
        <v>232</v>
      </c>
      <c r="H3" s="103" t="str">
        <f>INPUT!E6</f>
        <v>3/4</v>
      </c>
      <c r="I3" s="36"/>
      <c r="J3" s="222"/>
      <c r="K3" s="222"/>
      <c r="L3" s="98" t="s">
        <v>233</v>
      </c>
      <c r="M3" s="104" t="str">
        <f>INPUT!E7</f>
        <v>II</v>
      </c>
      <c r="N3" s="222"/>
      <c r="O3" s="222"/>
      <c r="P3" s="222"/>
      <c r="Q3" s="222"/>
    </row>
    <row r="4" spans="2:47" s="24" customFormat="1" ht="22.7" customHeight="1">
      <c r="B4" s="296" t="s">
        <v>234</v>
      </c>
      <c r="C4" s="296"/>
      <c r="D4" s="296"/>
      <c r="E4" s="103">
        <f>INPUT!E8</f>
        <v>73</v>
      </c>
      <c r="F4" s="8"/>
      <c r="G4" s="35"/>
      <c r="H4" s="36"/>
      <c r="I4" s="8"/>
      <c r="J4" s="8"/>
      <c r="L4" s="295" t="str">
        <f>INPUT!B11</f>
        <v>Name of the Faculty (A)</v>
      </c>
      <c r="M4" s="295"/>
      <c r="N4" s="294" t="str">
        <f>INPUT!E11</f>
        <v>S. Vinay Kumar</v>
      </c>
      <c r="O4" s="294"/>
      <c r="P4" s="294"/>
      <c r="Q4" s="34"/>
    </row>
    <row r="5" spans="2:47" s="24" customFormat="1" ht="21.2" customHeight="1">
      <c r="B5" s="296" t="s">
        <v>235</v>
      </c>
      <c r="C5" s="296"/>
      <c r="D5" s="296"/>
      <c r="E5" s="103">
        <f>INPUT!E9</f>
        <v>0</v>
      </c>
      <c r="F5" s="55" t="s">
        <v>236</v>
      </c>
      <c r="G5" s="297" t="str">
        <f>INPUT!E10</f>
        <v>Web Programming &amp; Services</v>
      </c>
      <c r="H5" s="297"/>
      <c r="I5" s="297"/>
      <c r="J5" s="297"/>
      <c r="K5" s="298"/>
      <c r="L5" s="295" t="str">
        <f>INPUT!B12</f>
        <v>Name of the Faculty (B)</v>
      </c>
      <c r="M5" s="295"/>
      <c r="N5" s="294" t="str">
        <f>INPUT!E12</f>
        <v>M.S.V.Sashi Kumar</v>
      </c>
      <c r="O5" s="294"/>
      <c r="P5" s="294"/>
      <c r="Q5" s="223"/>
    </row>
    <row r="6" spans="2:47" s="24" customFormat="1" ht="21.2" customHeight="1">
      <c r="B6" s="299" t="s">
        <v>259</v>
      </c>
      <c r="C6" s="300"/>
      <c r="D6" s="301"/>
      <c r="E6" s="103">
        <f>INPUT!E13</f>
        <v>60</v>
      </c>
      <c r="F6" s="70"/>
      <c r="G6" s="83"/>
      <c r="H6" s="83"/>
      <c r="I6" s="83"/>
      <c r="J6" s="83"/>
      <c r="K6" s="83"/>
      <c r="N6" s="105"/>
      <c r="O6" s="105"/>
      <c r="P6" s="223"/>
      <c r="Q6" s="223"/>
    </row>
    <row r="7" spans="2:47" s="24" customFormat="1" ht="21.2" customHeight="1">
      <c r="B7" s="72"/>
      <c r="C7" s="72"/>
      <c r="D7" s="69"/>
      <c r="E7" s="213"/>
      <c r="F7" s="70"/>
      <c r="G7" s="83"/>
      <c r="H7" s="83"/>
      <c r="I7" s="83"/>
      <c r="J7" s="83"/>
      <c r="K7" s="83"/>
      <c r="L7" s="71"/>
      <c r="M7" s="71"/>
      <c r="N7" s="105"/>
      <c r="O7" s="105"/>
      <c r="P7" s="223"/>
      <c r="Q7" s="223"/>
    </row>
    <row r="8" spans="2:47" s="24" customFormat="1" ht="21.2" customHeight="1">
      <c r="B8" s="69"/>
      <c r="D8" s="211" t="s">
        <v>96</v>
      </c>
      <c r="E8" s="251" t="s">
        <v>97</v>
      </c>
      <c r="F8" s="251"/>
      <c r="G8" s="251"/>
      <c r="H8" s="251"/>
      <c r="I8" s="251"/>
      <c r="J8" s="83"/>
      <c r="K8" s="83"/>
      <c r="L8" s="71"/>
      <c r="M8" s="71"/>
      <c r="N8" s="105"/>
      <c r="O8" s="105"/>
      <c r="P8" s="223"/>
      <c r="Q8" s="223"/>
    </row>
    <row r="9" spans="2:47" s="24" customFormat="1" ht="21.2" customHeight="1">
      <c r="B9" s="69"/>
      <c r="D9" s="221">
        <f>INPUT!B16</f>
        <v>3</v>
      </c>
      <c r="E9" s="216">
        <f>INPUT!C16</f>
        <v>60</v>
      </c>
      <c r="F9" s="302" t="s">
        <v>104</v>
      </c>
      <c r="G9" s="302"/>
      <c r="H9" s="302"/>
      <c r="I9" s="73">
        <f>E6</f>
        <v>60</v>
      </c>
      <c r="J9" s="83"/>
      <c r="M9" s="71"/>
      <c r="N9" s="105"/>
      <c r="O9" s="105"/>
      <c r="P9" s="223"/>
      <c r="Q9" s="223"/>
    </row>
    <row r="10" spans="2:47" s="24" customFormat="1" ht="21.2" customHeight="1">
      <c r="B10" s="69"/>
      <c r="D10" s="221">
        <f>INPUT!B17</f>
        <v>2</v>
      </c>
      <c r="E10" s="216">
        <f>INPUT!C17</f>
        <v>59.9</v>
      </c>
      <c r="F10" s="302" t="s">
        <v>104</v>
      </c>
      <c r="G10" s="302"/>
      <c r="H10" s="302"/>
      <c r="I10" s="73">
        <f>E6</f>
        <v>60</v>
      </c>
      <c r="J10" s="83"/>
      <c r="M10" s="71"/>
      <c r="N10" s="105"/>
      <c r="O10" s="105"/>
      <c r="P10" s="223"/>
      <c r="Q10" s="223"/>
    </row>
    <row r="11" spans="2:47" s="24" customFormat="1" ht="21.2" customHeight="1">
      <c r="B11" s="69"/>
      <c r="D11" s="221">
        <f>INPUT!B18</f>
        <v>2</v>
      </c>
      <c r="E11" s="216">
        <f>INPUT!C18</f>
        <v>50</v>
      </c>
      <c r="F11" s="302" t="s">
        <v>104</v>
      </c>
      <c r="G11" s="302"/>
      <c r="H11" s="302"/>
      <c r="I11" s="73">
        <f>E6</f>
        <v>60</v>
      </c>
      <c r="J11" s="83"/>
      <c r="K11" s="83"/>
      <c r="L11" s="71"/>
      <c r="M11" s="71"/>
      <c r="N11" s="105"/>
      <c r="O11" s="105"/>
      <c r="P11" s="223"/>
      <c r="Q11" s="223"/>
    </row>
    <row r="12" spans="2:47" s="24" customFormat="1" ht="21.2" customHeight="1">
      <c r="B12" s="69"/>
      <c r="D12" s="221">
        <f>INPUT!B19</f>
        <v>1</v>
      </c>
      <c r="E12" s="216">
        <f>INPUT!C19</f>
        <v>49.9</v>
      </c>
      <c r="F12" s="302" t="s">
        <v>104</v>
      </c>
      <c r="G12" s="302"/>
      <c r="H12" s="302"/>
      <c r="I12" s="73">
        <f>E6</f>
        <v>60</v>
      </c>
      <c r="J12" s="83"/>
      <c r="K12" s="83"/>
      <c r="L12" s="71"/>
      <c r="M12" s="71"/>
      <c r="N12" s="105"/>
      <c r="O12" s="105"/>
      <c r="P12" s="223"/>
      <c r="Q12" s="223"/>
    </row>
    <row r="13" spans="2:47" s="24" customFormat="1" ht="21.2" customHeight="1">
      <c r="B13" s="69"/>
      <c r="D13" s="221">
        <f>INPUT!B20</f>
        <v>1</v>
      </c>
      <c r="E13" s="216">
        <f>INPUT!C20</f>
        <v>0</v>
      </c>
      <c r="F13" s="302" t="s">
        <v>104</v>
      </c>
      <c r="G13" s="302"/>
      <c r="H13" s="302"/>
      <c r="I13" s="73">
        <f>E6</f>
        <v>60</v>
      </c>
      <c r="J13" s="83"/>
      <c r="K13" s="83"/>
      <c r="L13" s="71"/>
      <c r="M13" s="71"/>
      <c r="N13" s="105"/>
      <c r="O13" s="105"/>
      <c r="P13" s="223"/>
      <c r="Q13" s="223"/>
    </row>
    <row r="14" spans="2:47">
      <c r="B14" s="213"/>
      <c r="C14" s="213"/>
      <c r="D14" s="314" t="s">
        <v>237</v>
      </c>
      <c r="E14" s="314"/>
      <c r="F14" s="314"/>
      <c r="G14" s="314"/>
      <c r="H14" s="314"/>
      <c r="I14" s="314"/>
      <c r="J14" s="314"/>
      <c r="K14" s="314"/>
      <c r="L14" s="314"/>
      <c r="M14" s="314"/>
      <c r="N14" s="314"/>
      <c r="O14" s="314"/>
      <c r="P14" s="314" t="s">
        <v>260</v>
      </c>
      <c r="Q14" s="314"/>
      <c r="R14" s="314"/>
      <c r="S14" s="314"/>
      <c r="T14" s="314"/>
      <c r="U14" s="314"/>
      <c r="V14" s="314"/>
      <c r="W14" s="314"/>
      <c r="X14" s="314"/>
      <c r="Y14" s="314"/>
      <c r="Z14" s="314"/>
      <c r="AA14" s="314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24"/>
    </row>
    <row r="15" spans="2:47">
      <c r="C15" s="65" t="s">
        <v>238</v>
      </c>
      <c r="D15" s="43">
        <f>IF('1'!D15=0,"",'1'!D15)</f>
        <v>1</v>
      </c>
      <c r="E15" s="43">
        <f>IF('1'!E15=0,"",'1'!E15)</f>
        <v>2</v>
      </c>
      <c r="F15" s="43">
        <f>IF('1'!F15=0,"",'1'!F15)</f>
        <v>3</v>
      </c>
      <c r="G15" s="43">
        <f>IF('1'!G15=0,"",'1'!G15)</f>
        <v>4</v>
      </c>
      <c r="H15" s="43">
        <f>IF('1'!H15=0,"",'1'!H15)</f>
        <v>5</v>
      </c>
      <c r="I15" s="43">
        <f>IF('1'!I15=0,"",'1'!I15)</f>
        <v>6</v>
      </c>
      <c r="J15" s="43" t="str">
        <f>IF('1'!J15=0,"",'1'!J15)</f>
        <v>7a</v>
      </c>
      <c r="K15" s="43" t="str">
        <f>IF('1'!K15=0,"",'1'!K15)</f>
        <v>7b</v>
      </c>
      <c r="L15" s="43" t="str">
        <f>IF('1'!L15=0,"",'1'!L15)</f>
        <v>8a</v>
      </c>
      <c r="M15" s="43" t="str">
        <f>IF('1'!M15=0,"",'1'!M15)</f>
        <v>8b</v>
      </c>
      <c r="N15" s="43" t="str">
        <f>IF('1'!N15=0,"",'1'!N15)</f>
        <v>9a</v>
      </c>
      <c r="O15" s="43" t="str">
        <f>IF('1'!O15=0,"",'1'!O15)</f>
        <v>9b</v>
      </c>
      <c r="P15" s="216">
        <f>IF('2'!D15=0,"",'2'!D15)</f>
        <v>1</v>
      </c>
      <c r="Q15" s="216">
        <f>IF('2'!E15=0,"",'2'!E15)</f>
        <v>2</v>
      </c>
      <c r="R15" s="216">
        <f>IF('2'!F15=0,"",'2'!F15)</f>
        <v>3</v>
      </c>
      <c r="S15" s="216">
        <f>IF('2'!G15=0,"",'2'!G15)</f>
        <v>4</v>
      </c>
      <c r="T15" s="216">
        <f>IF('2'!H15=0,"",'2'!H15)</f>
        <v>5</v>
      </c>
      <c r="U15" s="216">
        <f>IF('2'!I15=0,"",'2'!I15)</f>
        <v>6</v>
      </c>
      <c r="V15" s="216" t="str">
        <f>IF('2'!J15=0,"",'2'!J15)</f>
        <v>7a</v>
      </c>
      <c r="W15" s="216" t="str">
        <f>IF('2'!K15=0,"",'2'!K15)</f>
        <v>7b</v>
      </c>
      <c r="X15" s="216" t="str">
        <f>IF('2'!L15=0,"",'2'!L15)</f>
        <v>8a</v>
      </c>
      <c r="Y15" s="216" t="str">
        <f>IF('2'!M15=0,"",'2'!M15)</f>
        <v>8b</v>
      </c>
      <c r="Z15" s="216" t="str">
        <f>IF('2'!N15=0,"",'2'!N15)</f>
        <v>9a</v>
      </c>
      <c r="AA15" s="216" t="str">
        <f>IF('2'!O15=0,"",'2'!O15)</f>
        <v>9b</v>
      </c>
      <c r="AU15" s="24"/>
    </row>
    <row r="16" spans="2:47">
      <c r="B16" s="7"/>
      <c r="C16" s="1" t="s">
        <v>246</v>
      </c>
      <c r="D16" s="43" t="str">
        <f>IF('1'!D16=0,"",'1'!D16)</f>
        <v>CO 1</v>
      </c>
      <c r="E16" s="43" t="str">
        <f>IF('1'!E16=0,"",'1'!E16)</f>
        <v>CO 1</v>
      </c>
      <c r="F16" s="43" t="str">
        <f>IF('1'!F16=0,"",'1'!F16)</f>
        <v>CO 1</v>
      </c>
      <c r="G16" s="43" t="str">
        <f>IF('1'!G16=0,"",'1'!G16)</f>
        <v>CO 2</v>
      </c>
      <c r="H16" s="43" t="str">
        <f>IF('1'!H16=0,"",'1'!H16)</f>
        <v>CO 2</v>
      </c>
      <c r="I16" s="43" t="str">
        <f>IF('1'!I16=0,"",'1'!I16)</f>
        <v>CO 2</v>
      </c>
      <c r="J16" s="43" t="str">
        <f>IF('1'!J16=0,"",'1'!J16)</f>
        <v>CO 1</v>
      </c>
      <c r="K16" s="43" t="str">
        <f>IF('1'!K16=0,"",'1'!K16)</f>
        <v>CO 1</v>
      </c>
      <c r="L16" s="43" t="str">
        <f>IF('1'!L16=0,"",'1'!L16)</f>
        <v>CO 2</v>
      </c>
      <c r="M16" s="43" t="str">
        <f>IF('1'!M16=0,"",'1'!M16)</f>
        <v>CO 2</v>
      </c>
      <c r="N16" s="43" t="str">
        <f>IF('1'!N16=0,"",'1'!N16)</f>
        <v>CO 1</v>
      </c>
      <c r="O16" s="43" t="str">
        <f>IF('1'!O16=0,"",'1'!O16)</f>
        <v>CO 2</v>
      </c>
      <c r="P16" s="216" t="str">
        <f>IF('2'!D16=0,"",'2'!D16)</f>
        <v>CO 3</v>
      </c>
      <c r="Q16" s="216" t="str">
        <f>IF('2'!E16=0,"",'2'!E16)</f>
        <v>CO 3</v>
      </c>
      <c r="R16" s="216" t="str">
        <f>IF('2'!F16=0,"",'2'!F16)</f>
        <v>CO 4</v>
      </c>
      <c r="S16" s="216" t="str">
        <f>IF('2'!G16=0,"",'2'!G16)</f>
        <v>CO 4</v>
      </c>
      <c r="T16" s="216" t="str">
        <f>IF('2'!H16=0,"",'2'!H16)</f>
        <v>CO 5</v>
      </c>
      <c r="U16" s="216" t="str">
        <f>IF('2'!I16=0,"",'2'!I16)</f>
        <v>CO 5</v>
      </c>
      <c r="V16" s="216" t="str">
        <f>IF('2'!J16=0,"",'2'!J16)</f>
        <v>CO 3</v>
      </c>
      <c r="W16" s="216" t="str">
        <f>IF('2'!K16=0,"",'2'!K16)</f>
        <v>CO 3</v>
      </c>
      <c r="X16" s="216" t="str">
        <f>IF('2'!L16=0,"",'2'!L16)</f>
        <v>CO 4</v>
      </c>
      <c r="Y16" s="216" t="str">
        <f>IF('2'!M16=0,"",'2'!M16)</f>
        <v>CO 4</v>
      </c>
      <c r="Z16" s="216" t="str">
        <f>IF('2'!N16=0,"",'2'!N16)</f>
        <v>CO 5</v>
      </c>
      <c r="AA16" s="216" t="str">
        <f>IF('2'!O16=0,"",'2'!O16)</f>
        <v>CO 5</v>
      </c>
      <c r="AB16" s="7"/>
      <c r="AC16" s="7" t="s">
        <v>20</v>
      </c>
      <c r="AD16" s="7" t="s">
        <v>28</v>
      </c>
      <c r="AE16" s="7" t="s">
        <v>34</v>
      </c>
      <c r="AF16" s="7" t="s">
        <v>41</v>
      </c>
      <c r="AG16" s="7" t="s">
        <v>50</v>
      </c>
      <c r="AH16" s="7"/>
      <c r="AI16" s="7" t="s">
        <v>311</v>
      </c>
      <c r="AJ16" s="7" t="s">
        <v>312</v>
      </c>
      <c r="AK16" s="7" t="s">
        <v>313</v>
      </c>
      <c r="AL16" s="7" t="s">
        <v>314</v>
      </c>
      <c r="AM16" s="7" t="s">
        <v>315</v>
      </c>
      <c r="AN16" s="7"/>
      <c r="AO16" s="7" t="s">
        <v>316</v>
      </c>
      <c r="AP16" s="7" t="s">
        <v>317</v>
      </c>
      <c r="AQ16" s="7" t="s">
        <v>318</v>
      </c>
      <c r="AR16" s="7" t="s">
        <v>319</v>
      </c>
      <c r="AS16" s="7" t="s">
        <v>320</v>
      </c>
      <c r="AT16" s="7"/>
      <c r="AU16" s="24"/>
    </row>
    <row r="17" spans="1:54">
      <c r="B17" s="7"/>
      <c r="C17" s="5" t="s">
        <v>247</v>
      </c>
      <c r="D17" s="43">
        <f>IF('1'!D17=0,"",'1'!D17)</f>
        <v>1</v>
      </c>
      <c r="E17" s="43">
        <f>IF('1'!E17=0,"",'1'!E17)</f>
        <v>1</v>
      </c>
      <c r="F17" s="43">
        <f>IF('1'!F17=0,"",'1'!F17)</f>
        <v>1</v>
      </c>
      <c r="G17" s="43">
        <f>IF('1'!G17=0,"",'1'!G17)</f>
        <v>1</v>
      </c>
      <c r="H17" s="43">
        <f>IF('1'!H17=0,"",'1'!H17)</f>
        <v>1</v>
      </c>
      <c r="I17" s="43">
        <f>IF('1'!I17=0,"",'1'!I17)</f>
        <v>1</v>
      </c>
      <c r="J17" s="43">
        <f>IF('1'!J17=0,"",'1'!J17)</f>
        <v>4</v>
      </c>
      <c r="K17" s="43">
        <f>IF('1'!K17=0,"",'1'!K17)</f>
        <v>3</v>
      </c>
      <c r="L17" s="43">
        <f>IF('1'!L17=0,"",'1'!L17)</f>
        <v>4</v>
      </c>
      <c r="M17" s="43">
        <f>IF('1'!M17=0,"",'1'!M17)</f>
        <v>3</v>
      </c>
      <c r="N17" s="43">
        <f>IF('1'!N17=0,"",'1'!N17)</f>
        <v>4</v>
      </c>
      <c r="O17" s="43">
        <f>IF('1'!O17=0,"",'1'!O17)</f>
        <v>3</v>
      </c>
      <c r="P17" s="216">
        <f>IF('2'!D17=0,"",'2'!D17)</f>
        <v>1</v>
      </c>
      <c r="Q17" s="216">
        <f>IF('2'!E17=0,"",'2'!E17)</f>
        <v>1</v>
      </c>
      <c r="R17" s="216">
        <f>IF('2'!F17=0,"",'2'!F17)</f>
        <v>1</v>
      </c>
      <c r="S17" s="216">
        <f>IF('2'!G17=0,"",'2'!G17)</f>
        <v>1</v>
      </c>
      <c r="T17" s="216">
        <f>IF('2'!H17=0,"",'2'!H17)</f>
        <v>1</v>
      </c>
      <c r="U17" s="216">
        <f>IF('2'!I17=0,"",'2'!I17)</f>
        <v>1</v>
      </c>
      <c r="V17" s="216">
        <f>IF('2'!J17=0,"",'2'!J17)</f>
        <v>4</v>
      </c>
      <c r="W17" s="216">
        <f>IF('2'!K17=0,"",'2'!K17)</f>
        <v>3</v>
      </c>
      <c r="X17" s="216">
        <f>IF('2'!L17=0,"",'2'!L17)</f>
        <v>4</v>
      </c>
      <c r="Y17" s="216">
        <f>IF('2'!M17=0,"",'2'!M17)</f>
        <v>3</v>
      </c>
      <c r="Z17" s="216">
        <f>IF('2'!N17=0,"",'2'!N17)</f>
        <v>4</v>
      </c>
      <c r="AA17" s="216">
        <f>IF('2'!O17=0,"",'2'!O17)</f>
        <v>3</v>
      </c>
      <c r="AB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223"/>
    </row>
    <row r="18" spans="1:54">
      <c r="B18" s="7"/>
      <c r="C18" s="4" t="s">
        <v>248</v>
      </c>
      <c r="D18" s="43">
        <f>IF('1'!D18=0,"",'1'!D18)</f>
        <v>60</v>
      </c>
      <c r="E18" s="43">
        <f>IF('1'!E18=0,"",'1'!E18)</f>
        <v>60</v>
      </c>
      <c r="F18" s="43">
        <f>IF('1'!F18=0,"",'1'!F18)</f>
        <v>60</v>
      </c>
      <c r="G18" s="43">
        <f>IF('1'!G18=0,"",'1'!G18)</f>
        <v>60</v>
      </c>
      <c r="H18" s="43">
        <f>IF('1'!H18=0,"",'1'!H18)</f>
        <v>60</v>
      </c>
      <c r="I18" s="43">
        <f>IF('1'!I18=0,"",'1'!I18)</f>
        <v>60</v>
      </c>
      <c r="J18" s="43">
        <f>IF('1'!J18=0,"",'1'!J18)</f>
        <v>60</v>
      </c>
      <c r="K18" s="43">
        <f>IF('1'!K18=0,"",'1'!K18)</f>
        <v>60</v>
      </c>
      <c r="L18" s="43">
        <f>IF('1'!L18=0,"",'1'!L18)</f>
        <v>60</v>
      </c>
      <c r="M18" s="43">
        <f>IF('1'!M18=0,"",'1'!M18)</f>
        <v>60</v>
      </c>
      <c r="N18" s="43">
        <f>IF('1'!N18=0,"",'1'!N18)</f>
        <v>60</v>
      </c>
      <c r="O18" s="43">
        <f>IF('1'!O18=0,"",'1'!O18)</f>
        <v>60</v>
      </c>
      <c r="P18" s="216">
        <f>IF('2'!D18=0,"",'2'!D18)</f>
        <v>60</v>
      </c>
      <c r="Q18" s="216">
        <f>IF('2'!E18=0,"",'2'!E18)</f>
        <v>60</v>
      </c>
      <c r="R18" s="216">
        <f>IF('2'!F18=0,"",'2'!F18)</f>
        <v>60</v>
      </c>
      <c r="S18" s="216">
        <f>IF('2'!G18=0,"",'2'!G18)</f>
        <v>60</v>
      </c>
      <c r="T18" s="216">
        <f>IF('2'!H18=0,"",'2'!H18)</f>
        <v>60</v>
      </c>
      <c r="U18" s="216">
        <f>IF('2'!I18=0,"",'2'!I18)</f>
        <v>60</v>
      </c>
      <c r="V18" s="216">
        <f>IF('2'!J18=0,"",'2'!J18)</f>
        <v>60</v>
      </c>
      <c r="W18" s="216">
        <f>IF('2'!K18=0,"",'2'!K18)</f>
        <v>60</v>
      </c>
      <c r="X18" s="216">
        <f>IF('2'!L18=0,"",'2'!L18)</f>
        <v>60</v>
      </c>
      <c r="Y18" s="216">
        <f>IF('2'!M18=0,"",'2'!M18)</f>
        <v>60</v>
      </c>
      <c r="Z18" s="216">
        <f>IF('2'!N18=0,"",'2'!N18)</f>
        <v>60</v>
      </c>
      <c r="AA18" s="216">
        <f>IF('2'!O18=0,"",'2'!O18)</f>
        <v>60</v>
      </c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223"/>
    </row>
    <row r="19" spans="1:54" ht="21">
      <c r="B19" s="9" t="s">
        <v>249</v>
      </c>
      <c r="C19" s="9" t="s">
        <v>250</v>
      </c>
      <c r="D19" s="43">
        <f>IF('1'!D19=0,"",'1'!D19)</f>
        <v>0.6</v>
      </c>
      <c r="E19" s="43">
        <f>IF('1'!E19=0,"",'1'!E19)</f>
        <v>0.6</v>
      </c>
      <c r="F19" s="43">
        <f>IF('1'!F19=0,"",'1'!F19)</f>
        <v>0.6</v>
      </c>
      <c r="G19" s="43">
        <f>IF('1'!G19=0,"",'1'!G19)</f>
        <v>0.6</v>
      </c>
      <c r="H19" s="43">
        <f>IF('1'!H19=0,"",'1'!H19)</f>
        <v>0.6</v>
      </c>
      <c r="I19" s="43">
        <f>IF('1'!I19=0,"",'1'!I19)</f>
        <v>0.6</v>
      </c>
      <c r="J19" s="43">
        <f>IF('1'!J19=0,"",'1'!J19)</f>
        <v>2.4</v>
      </c>
      <c r="K19" s="43">
        <f>IF('1'!K19=0,"",'1'!K19)</f>
        <v>1.8</v>
      </c>
      <c r="L19" s="43">
        <f>IF('1'!L19=0,"",'1'!L19)</f>
        <v>2.4</v>
      </c>
      <c r="M19" s="43">
        <f>IF('1'!M19=0,"",'1'!M19)</f>
        <v>1.8</v>
      </c>
      <c r="N19" s="43">
        <f>IF('1'!N19=0,"",'1'!N19)</f>
        <v>2.4</v>
      </c>
      <c r="O19" s="43">
        <f>IF('1'!O19=0,"",'1'!O19)</f>
        <v>1.8</v>
      </c>
      <c r="P19" s="216">
        <f>IF('2'!D19=0,"",'2'!D19)</f>
        <v>0.6</v>
      </c>
      <c r="Q19" s="216">
        <f>IF('2'!E19=0,"",'2'!E19)</f>
        <v>0.6</v>
      </c>
      <c r="R19" s="216">
        <f>IF('2'!F19=0,"",'2'!F19)</f>
        <v>0.6</v>
      </c>
      <c r="S19" s="216">
        <f>IF('2'!G19=0,"",'2'!G19)</f>
        <v>0.6</v>
      </c>
      <c r="T19" s="216">
        <f>IF('2'!H19=0,"",'2'!H19)</f>
        <v>0.6</v>
      </c>
      <c r="U19" s="216">
        <f>IF('2'!I19=0,"",'2'!I19)</f>
        <v>0.6</v>
      </c>
      <c r="V19" s="216">
        <f>IF('2'!J19=0,"",'2'!J19)</f>
        <v>2.4</v>
      </c>
      <c r="W19" s="216">
        <f>IF('2'!K19=0,"",'2'!K19)</f>
        <v>1.8</v>
      </c>
      <c r="X19" s="216">
        <f>IF('2'!L19=0,"",'2'!L19)</f>
        <v>2.4</v>
      </c>
      <c r="Y19" s="216">
        <f>IF('2'!M19=0,"",'2'!M19)</f>
        <v>1.8</v>
      </c>
      <c r="Z19" s="216">
        <f>IF('2'!N19=0,"",'2'!N19)</f>
        <v>2.4</v>
      </c>
      <c r="AA19" s="216">
        <f>IF('2'!O19=0,"",'2'!O19)</f>
        <v>1.8</v>
      </c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27" t="s">
        <v>251</v>
      </c>
    </row>
    <row r="20" spans="1:54" ht="18" customHeight="1">
      <c r="A20" s="65">
        <v>1</v>
      </c>
      <c r="B20" s="43">
        <f>IF('1'!B20=0,"",'1'!B20)</f>
        <v>1</v>
      </c>
      <c r="C20" s="43" t="str">
        <f>IF('1'!C20=0,"",'1'!C20)</f>
        <v>1602-16-733-001</v>
      </c>
      <c r="D20" s="43">
        <f>'1'!D20</f>
        <v>1</v>
      </c>
      <c r="E20" s="43">
        <f>'1'!E20</f>
        <v>1</v>
      </c>
      <c r="F20" s="43">
        <f>'1'!F20</f>
        <v>1</v>
      </c>
      <c r="G20" s="43">
        <f>'1'!G20</f>
        <v>0</v>
      </c>
      <c r="H20" s="43">
        <f>'1'!H20</f>
        <v>1</v>
      </c>
      <c r="I20" s="43">
        <f>'1'!I20</f>
        <v>1</v>
      </c>
      <c r="J20" s="43">
        <f>'1'!J20</f>
        <v>4</v>
      </c>
      <c r="K20" s="43">
        <f>'1'!K20</f>
        <v>2</v>
      </c>
      <c r="L20" s="43">
        <f>'1'!L20</f>
        <v>4</v>
      </c>
      <c r="M20" s="43">
        <f>'1'!M20</f>
        <v>3</v>
      </c>
      <c r="N20" s="43" t="str">
        <f>'1'!N20</f>
        <v>NA</v>
      </c>
      <c r="O20" s="43" t="str">
        <f>'1'!O20</f>
        <v>NA</v>
      </c>
      <c r="P20" s="216">
        <f>'2'!D20</f>
        <v>1</v>
      </c>
      <c r="Q20" s="216">
        <f>'2'!E20</f>
        <v>1</v>
      </c>
      <c r="R20" s="216">
        <f>'2'!F20</f>
        <v>1</v>
      </c>
      <c r="S20" s="216">
        <f>'2'!G20</f>
        <v>1</v>
      </c>
      <c r="T20" s="216">
        <f>'2'!H20</f>
        <v>1</v>
      </c>
      <c r="U20" s="216">
        <f>'2'!I20</f>
        <v>1</v>
      </c>
      <c r="V20" s="216">
        <f>'2'!J20</f>
        <v>3</v>
      </c>
      <c r="W20" s="216">
        <f>'2'!K20</f>
        <v>3</v>
      </c>
      <c r="X20" s="216">
        <f>'2'!L20</f>
        <v>4</v>
      </c>
      <c r="Y20" s="216">
        <f>'2'!M20</f>
        <v>3</v>
      </c>
      <c r="Z20" s="216" t="str">
        <f>'2'!N20</f>
        <v>NA</v>
      </c>
      <c r="AA20" s="216" t="str">
        <f>'2'!O20</f>
        <v>NA</v>
      </c>
      <c r="AB20" s="87">
        <f>IF(A20=B20,SUM(D20:AA20),"")</f>
        <v>37</v>
      </c>
      <c r="AC20" s="87">
        <v>12</v>
      </c>
      <c r="AD20" s="87">
        <v>7</v>
      </c>
      <c r="AE20" s="87">
        <v>8.5</v>
      </c>
      <c r="AF20" s="87">
        <v>9</v>
      </c>
      <c r="AG20" s="92">
        <v>2</v>
      </c>
      <c r="AH20" s="87">
        <f>SUM(AC20:AG20)</f>
        <v>38.5</v>
      </c>
      <c r="AI20" s="87">
        <v>13</v>
      </c>
      <c r="AJ20" s="87">
        <v>7</v>
      </c>
      <c r="AK20" s="87">
        <v>9</v>
      </c>
      <c r="AL20" s="87">
        <v>9</v>
      </c>
      <c r="AM20" s="87">
        <v>2</v>
      </c>
      <c r="AN20" s="7"/>
      <c r="AO20" s="96">
        <f>AC20/AI20*100</f>
        <v>92.307692307692307</v>
      </c>
      <c r="AP20" s="96">
        <f t="shared" ref="AP20:AS35" si="0">AD20/AJ20*100</f>
        <v>100</v>
      </c>
      <c r="AQ20" s="96">
        <f t="shared" si="0"/>
        <v>94.444444444444443</v>
      </c>
      <c r="AR20" s="96">
        <f t="shared" si="0"/>
        <v>100</v>
      </c>
      <c r="AS20" s="96">
        <f t="shared" si="0"/>
        <v>100</v>
      </c>
      <c r="AT20" s="7"/>
      <c r="AU20" s="216" t="s">
        <v>20</v>
      </c>
      <c r="AV20" s="8" t="b">
        <f>IF(A20=B20,ISTEXT(J20),"")</f>
        <v>0</v>
      </c>
      <c r="AW20" s="8" t="b">
        <f>IF(A20=B20,ISTEXT(K20),"")</f>
        <v>0</v>
      </c>
      <c r="AX20" s="8" t="b">
        <f>IF(A20=B20,ISTEXT(L20),"")</f>
        <v>0</v>
      </c>
      <c r="AY20" s="8" t="b">
        <f>IF(A20=B20,ISTEXT(M20),"")</f>
        <v>0</v>
      </c>
      <c r="AZ20" s="8" t="b">
        <f>IF(A20=B20,ISTEXT(N20),"")</f>
        <v>1</v>
      </c>
      <c r="BA20" s="8" t="b">
        <f>IF(A20=B20,ISTEXT(O20),"")</f>
        <v>1</v>
      </c>
      <c r="BB20" s="8">
        <f>COUNTIF(AV20:BA20,"TRUE")</f>
        <v>2</v>
      </c>
    </row>
    <row r="21" spans="1:54" ht="18" customHeight="1">
      <c r="A21" s="65">
        <v>2</v>
      </c>
      <c r="B21" s="43">
        <f>IF('1'!B21=0,"",'1'!B21)</f>
        <v>2</v>
      </c>
      <c r="C21" s="43" t="str">
        <f>IF('1'!C21=0,"",'1'!C21)</f>
        <v>1602-16-733-002</v>
      </c>
      <c r="D21" s="43">
        <f>'1'!D21</f>
        <v>1</v>
      </c>
      <c r="E21" s="43">
        <f>'1'!E21</f>
        <v>1</v>
      </c>
      <c r="F21" s="43">
        <f>'1'!F21</f>
        <v>1</v>
      </c>
      <c r="G21" s="43">
        <f>'1'!G21</f>
        <v>0</v>
      </c>
      <c r="H21" s="43">
        <f>'1'!H21</f>
        <v>1</v>
      </c>
      <c r="I21" s="43">
        <f>'1'!I21</f>
        <v>1</v>
      </c>
      <c r="J21" s="43">
        <f>'1'!J21</f>
        <v>4</v>
      </c>
      <c r="K21" s="43">
        <f>'1'!K21</f>
        <v>3</v>
      </c>
      <c r="L21" s="43">
        <f>'1'!L21</f>
        <v>4</v>
      </c>
      <c r="M21" s="43">
        <f>'1'!M21</f>
        <v>3</v>
      </c>
      <c r="N21" s="43" t="str">
        <f>'1'!N21</f>
        <v>NA</v>
      </c>
      <c r="O21" s="43" t="str">
        <f>'1'!O21</f>
        <v>NA</v>
      </c>
      <c r="P21" s="216">
        <f>'2'!D21</f>
        <v>1</v>
      </c>
      <c r="Q21" s="216">
        <f>'2'!E21</f>
        <v>1</v>
      </c>
      <c r="R21" s="216">
        <f>'2'!F21</f>
        <v>0</v>
      </c>
      <c r="S21" s="216">
        <f>'2'!G21</f>
        <v>1</v>
      </c>
      <c r="T21" s="216">
        <f>'2'!H21</f>
        <v>1</v>
      </c>
      <c r="U21" s="216">
        <f>'2'!I21</f>
        <v>1</v>
      </c>
      <c r="V21" s="216">
        <f>'2'!J21</f>
        <v>4</v>
      </c>
      <c r="W21" s="216">
        <f>'2'!K21</f>
        <v>3</v>
      </c>
      <c r="X21" s="216">
        <f>'2'!L21</f>
        <v>4</v>
      </c>
      <c r="Y21" s="216">
        <f>'2'!M21</f>
        <v>3</v>
      </c>
      <c r="Z21" s="216" t="str">
        <f>'2'!N21</f>
        <v>NA</v>
      </c>
      <c r="AA21" s="216" t="str">
        <f>'2'!O21</f>
        <v>NA</v>
      </c>
      <c r="AB21" s="87">
        <f t="shared" ref="AB21:AB84" si="1">IF(A21=B21,SUM(D21:AA21),"")</f>
        <v>38</v>
      </c>
      <c r="AC21" s="93">
        <v>9</v>
      </c>
      <c r="AD21" s="93">
        <v>5.5</v>
      </c>
      <c r="AE21" s="93">
        <v>8</v>
      </c>
      <c r="AF21" s="93">
        <v>5</v>
      </c>
      <c r="AG21" s="93">
        <v>2</v>
      </c>
      <c r="AH21" s="87">
        <f t="shared" ref="AH21:AH84" si="2">SUM(AC21:AG21)</f>
        <v>29.5</v>
      </c>
      <c r="AI21" s="93">
        <v>10</v>
      </c>
      <c r="AJ21" s="93">
        <v>10</v>
      </c>
      <c r="AK21" s="93">
        <v>9</v>
      </c>
      <c r="AL21" s="93">
        <v>9</v>
      </c>
      <c r="AM21" s="93">
        <v>2</v>
      </c>
      <c r="AO21" s="96">
        <f t="shared" ref="AO21:AS84" si="3">AC21/AI21*100</f>
        <v>90</v>
      </c>
      <c r="AP21" s="96">
        <f t="shared" si="0"/>
        <v>55.000000000000007</v>
      </c>
      <c r="AQ21" s="96">
        <f t="shared" si="0"/>
        <v>88.888888888888886</v>
      </c>
      <c r="AR21" s="96">
        <f t="shared" si="0"/>
        <v>55.555555555555557</v>
      </c>
      <c r="AS21" s="96">
        <f t="shared" si="0"/>
        <v>100</v>
      </c>
      <c r="AU21" s="216" t="s">
        <v>28</v>
      </c>
      <c r="AV21" s="8" t="b">
        <f t="shared" ref="AV21:AV84" si="4">IF(A21=B21,ISTEXT(J21),"")</f>
        <v>0</v>
      </c>
      <c r="AW21" s="8" t="b">
        <f t="shared" ref="AW21:AW84" si="5">IF(A21=B21,ISTEXT(K21),"")</f>
        <v>0</v>
      </c>
      <c r="AX21" s="8" t="b">
        <f t="shared" ref="AX21:AX84" si="6">IF(A21=B21,ISTEXT(L21),"")</f>
        <v>0</v>
      </c>
      <c r="AY21" s="8" t="b">
        <f t="shared" ref="AY21:AY84" si="7">IF(A21=B21,ISTEXT(M21),"")</f>
        <v>0</v>
      </c>
      <c r="AZ21" s="8" t="b">
        <f t="shared" ref="AZ21:AZ84" si="8">IF(A21=B21,ISTEXT(N21),"")</f>
        <v>1</v>
      </c>
      <c r="BA21" s="8" t="b">
        <f t="shared" ref="BA21:BA84" si="9">IF(A21=B21,ISTEXT(O21),"")</f>
        <v>1</v>
      </c>
      <c r="BB21" s="8">
        <f t="shared" ref="BB21:BB84" si="10">COUNTIF(AV21:BA21,"TRUE")</f>
        <v>2</v>
      </c>
    </row>
    <row r="22" spans="1:54" ht="18" customHeight="1">
      <c r="A22" s="65">
        <v>3</v>
      </c>
      <c r="B22" s="43">
        <f>IF('1'!B22=0,"",'1'!B22)</f>
        <v>3</v>
      </c>
      <c r="C22" s="43" t="str">
        <f>IF('1'!C22=0,"",'1'!C22)</f>
        <v>1602-16-733-003</v>
      </c>
      <c r="D22" s="43">
        <f>'1'!D22</f>
        <v>1</v>
      </c>
      <c r="E22" s="43">
        <f>'1'!E22</f>
        <v>0</v>
      </c>
      <c r="F22" s="43">
        <f>'1'!F22</f>
        <v>1</v>
      </c>
      <c r="G22" s="43">
        <f>'1'!G22</f>
        <v>1</v>
      </c>
      <c r="H22" s="43">
        <f>'1'!H22</f>
        <v>1</v>
      </c>
      <c r="I22" s="43">
        <f>'1'!I22</f>
        <v>1</v>
      </c>
      <c r="J22" s="43">
        <f>'1'!J22</f>
        <v>3</v>
      </c>
      <c r="K22" s="43">
        <f>'1'!K22</f>
        <v>1</v>
      </c>
      <c r="L22" s="43" t="str">
        <f>'1'!L22</f>
        <v>NA</v>
      </c>
      <c r="M22" s="43" t="str">
        <f>'1'!M22</f>
        <v>NA</v>
      </c>
      <c r="N22" s="43">
        <f>'1'!N22</f>
        <v>4</v>
      </c>
      <c r="O22" s="43">
        <f>'1'!O22</f>
        <v>1</v>
      </c>
      <c r="P22" s="216">
        <f>'2'!D22</f>
        <v>0</v>
      </c>
      <c r="Q22" s="216">
        <f>'2'!E22</f>
        <v>1</v>
      </c>
      <c r="R22" s="216">
        <f>'2'!F22</f>
        <v>1</v>
      </c>
      <c r="S22" s="216">
        <f>'2'!G22</f>
        <v>1</v>
      </c>
      <c r="T22" s="216">
        <f>'2'!H22</f>
        <v>1</v>
      </c>
      <c r="U22" s="216">
        <f>'2'!I22</f>
        <v>0</v>
      </c>
      <c r="V22" s="216">
        <f>'2'!J22</f>
        <v>2</v>
      </c>
      <c r="W22" s="216">
        <f>'2'!K22</f>
        <v>3</v>
      </c>
      <c r="X22" s="216">
        <f>'2'!L22</f>
        <v>4</v>
      </c>
      <c r="Y22" s="216">
        <f>'2'!M22</f>
        <v>3</v>
      </c>
      <c r="Z22" s="216" t="str">
        <f>'2'!N22</f>
        <v>NA</v>
      </c>
      <c r="AA22" s="216" t="str">
        <f>'2'!O22</f>
        <v>NA</v>
      </c>
      <c r="AB22" s="87">
        <f t="shared" si="1"/>
        <v>30</v>
      </c>
      <c r="AC22" s="93">
        <v>10</v>
      </c>
      <c r="AD22" s="93">
        <v>4</v>
      </c>
      <c r="AE22" s="93">
        <v>7</v>
      </c>
      <c r="AF22" s="93">
        <v>7.5</v>
      </c>
      <c r="AG22" s="93">
        <v>2</v>
      </c>
      <c r="AH22" s="87">
        <f t="shared" si="2"/>
        <v>30.5</v>
      </c>
      <c r="AI22" s="93">
        <v>13</v>
      </c>
      <c r="AJ22" s="93">
        <v>7</v>
      </c>
      <c r="AK22" s="93">
        <v>9</v>
      </c>
      <c r="AL22" s="93">
        <v>9</v>
      </c>
      <c r="AM22" s="93">
        <v>2</v>
      </c>
      <c r="AO22" s="96">
        <f t="shared" si="3"/>
        <v>76.923076923076934</v>
      </c>
      <c r="AP22" s="96">
        <f t="shared" si="0"/>
        <v>57.142857142857139</v>
      </c>
      <c r="AQ22" s="96">
        <f t="shared" si="0"/>
        <v>77.777777777777786</v>
      </c>
      <c r="AR22" s="96">
        <f t="shared" si="0"/>
        <v>83.333333333333343</v>
      </c>
      <c r="AS22" s="96">
        <f t="shared" si="0"/>
        <v>100</v>
      </c>
      <c r="AU22" s="216" t="s">
        <v>34</v>
      </c>
      <c r="AV22" s="8" t="b">
        <f t="shared" si="4"/>
        <v>0</v>
      </c>
      <c r="AW22" s="8" t="b">
        <f t="shared" si="5"/>
        <v>0</v>
      </c>
      <c r="AX22" s="8" t="b">
        <f t="shared" si="6"/>
        <v>1</v>
      </c>
      <c r="AY22" s="8" t="b">
        <f t="shared" si="7"/>
        <v>1</v>
      </c>
      <c r="AZ22" s="8" t="b">
        <f t="shared" si="8"/>
        <v>0</v>
      </c>
      <c r="BA22" s="8" t="b">
        <f t="shared" si="9"/>
        <v>0</v>
      </c>
      <c r="BB22" s="8">
        <f t="shared" si="10"/>
        <v>2</v>
      </c>
    </row>
    <row r="23" spans="1:54" ht="18" customHeight="1">
      <c r="A23" s="65">
        <v>4</v>
      </c>
      <c r="B23" s="43">
        <f>IF('1'!B23=0,"",'1'!B23)</f>
        <v>4</v>
      </c>
      <c r="C23" s="43" t="str">
        <f>IF('1'!C23=0,"",'1'!C23)</f>
        <v>1602-16-733-004</v>
      </c>
      <c r="D23" s="43">
        <f>'1'!D23</f>
        <v>1</v>
      </c>
      <c r="E23" s="43">
        <f>'1'!E23</f>
        <v>1</v>
      </c>
      <c r="F23" s="43">
        <f>'1'!F23</f>
        <v>1</v>
      </c>
      <c r="G23" s="43">
        <f>'1'!G23</f>
        <v>1</v>
      </c>
      <c r="H23" s="43">
        <f>'1'!H23</f>
        <v>1</v>
      </c>
      <c r="I23" s="43">
        <f>'1'!I23</f>
        <v>1</v>
      </c>
      <c r="J23" s="43">
        <f>'1'!J23</f>
        <v>4</v>
      </c>
      <c r="K23" s="43">
        <f>'1'!K23</f>
        <v>3</v>
      </c>
      <c r="L23" s="43" t="str">
        <f>'1'!L23</f>
        <v>NA</v>
      </c>
      <c r="M23" s="43" t="str">
        <f>'1'!M23</f>
        <v>NA</v>
      </c>
      <c r="N23" s="43">
        <f>'1'!N23</f>
        <v>4</v>
      </c>
      <c r="O23" s="43">
        <f>'1'!O23</f>
        <v>0</v>
      </c>
      <c r="P23" s="216">
        <f>'2'!D23</f>
        <v>1</v>
      </c>
      <c r="Q23" s="216">
        <f>'2'!E23</f>
        <v>1</v>
      </c>
      <c r="R23" s="216">
        <f>'2'!F23</f>
        <v>1</v>
      </c>
      <c r="S23" s="216">
        <f>'2'!G23</f>
        <v>1</v>
      </c>
      <c r="T23" s="216">
        <f>'2'!H23</f>
        <v>1</v>
      </c>
      <c r="U23" s="216">
        <f>'2'!I23</f>
        <v>1</v>
      </c>
      <c r="V23" s="216">
        <f>'2'!J23</f>
        <v>4</v>
      </c>
      <c r="W23" s="216">
        <f>'2'!K23</f>
        <v>1</v>
      </c>
      <c r="X23" s="216">
        <f>'2'!L23</f>
        <v>4</v>
      </c>
      <c r="Y23" s="216">
        <f>'2'!M23</f>
        <v>3</v>
      </c>
      <c r="Z23" s="216" t="str">
        <f>'2'!N23</f>
        <v>NA</v>
      </c>
      <c r="AA23" s="216" t="str">
        <f>'2'!O23</f>
        <v>NA</v>
      </c>
      <c r="AB23" s="87">
        <f t="shared" si="1"/>
        <v>35</v>
      </c>
      <c r="AC23" s="93">
        <v>4.5</v>
      </c>
      <c r="AD23" s="93">
        <v>6.5</v>
      </c>
      <c r="AE23" s="93">
        <v>7</v>
      </c>
      <c r="AF23" s="93">
        <v>6.5</v>
      </c>
      <c r="AG23" s="93">
        <v>2</v>
      </c>
      <c r="AH23" s="87">
        <f t="shared" si="2"/>
        <v>26.5</v>
      </c>
      <c r="AI23" s="93">
        <v>6</v>
      </c>
      <c r="AJ23" s="93">
        <v>14</v>
      </c>
      <c r="AK23" s="93">
        <v>9</v>
      </c>
      <c r="AL23" s="93">
        <v>9</v>
      </c>
      <c r="AM23" s="93">
        <v>2</v>
      </c>
      <c r="AO23" s="96">
        <f t="shared" si="3"/>
        <v>75</v>
      </c>
      <c r="AP23" s="96">
        <f t="shared" si="0"/>
        <v>46.428571428571431</v>
      </c>
      <c r="AQ23" s="96">
        <f t="shared" si="0"/>
        <v>77.777777777777786</v>
      </c>
      <c r="AR23" s="96">
        <f t="shared" si="0"/>
        <v>72.222222222222214</v>
      </c>
      <c r="AS23" s="96">
        <f t="shared" si="0"/>
        <v>100</v>
      </c>
      <c r="AU23" s="216" t="s">
        <v>41</v>
      </c>
      <c r="AV23" s="8" t="b">
        <f t="shared" si="4"/>
        <v>0</v>
      </c>
      <c r="AW23" s="8" t="b">
        <f t="shared" si="5"/>
        <v>0</v>
      </c>
      <c r="AX23" s="8" t="b">
        <f t="shared" si="6"/>
        <v>1</v>
      </c>
      <c r="AY23" s="8" t="b">
        <f t="shared" si="7"/>
        <v>1</v>
      </c>
      <c r="AZ23" s="8" t="b">
        <f t="shared" si="8"/>
        <v>0</v>
      </c>
      <c r="BA23" s="8" t="b">
        <f t="shared" si="9"/>
        <v>0</v>
      </c>
      <c r="BB23" s="8">
        <f t="shared" si="10"/>
        <v>2</v>
      </c>
    </row>
    <row r="24" spans="1:54" ht="18" customHeight="1">
      <c r="A24" s="65">
        <v>5</v>
      </c>
      <c r="B24" s="43">
        <f>IF('1'!B24=0,"",'1'!B24)</f>
        <v>5</v>
      </c>
      <c r="C24" s="43" t="str">
        <f>IF('1'!C24=0,"",'1'!C24)</f>
        <v>1602-16-733-005</v>
      </c>
      <c r="D24" s="43">
        <f>'1'!D24</f>
        <v>1</v>
      </c>
      <c r="E24" s="43">
        <f>'1'!E24</f>
        <v>1</v>
      </c>
      <c r="F24" s="43">
        <f>'1'!F24</f>
        <v>1</v>
      </c>
      <c r="G24" s="43">
        <f>'1'!G24</f>
        <v>0</v>
      </c>
      <c r="H24" s="43">
        <f>'1'!H24</f>
        <v>0</v>
      </c>
      <c r="I24" s="43">
        <f>'1'!I24</f>
        <v>1</v>
      </c>
      <c r="J24" s="43">
        <f>'1'!J24</f>
        <v>4</v>
      </c>
      <c r="K24" s="43">
        <f>'1'!K24</f>
        <v>3</v>
      </c>
      <c r="L24" s="43">
        <f>'1'!L24</f>
        <v>4</v>
      </c>
      <c r="M24" s="43">
        <f>'1'!M24</f>
        <v>3</v>
      </c>
      <c r="N24" s="43" t="str">
        <f>'1'!N24</f>
        <v>NA</v>
      </c>
      <c r="O24" s="43" t="str">
        <f>'1'!O24</f>
        <v>NA</v>
      </c>
      <c r="P24" s="216">
        <f>'2'!D24</f>
        <v>1</v>
      </c>
      <c r="Q24" s="216">
        <f>'2'!E24</f>
        <v>1</v>
      </c>
      <c r="R24" s="216">
        <f>'2'!F24</f>
        <v>1</v>
      </c>
      <c r="S24" s="216">
        <f>'2'!G24</f>
        <v>1</v>
      </c>
      <c r="T24" s="216">
        <f>'2'!H24</f>
        <v>1</v>
      </c>
      <c r="U24" s="216">
        <f>'2'!I24</f>
        <v>1</v>
      </c>
      <c r="V24" s="216" t="str">
        <f>'2'!J24</f>
        <v>NA</v>
      </c>
      <c r="W24" s="216" t="str">
        <f>'2'!K24</f>
        <v>NA</v>
      </c>
      <c r="X24" s="216">
        <f>'2'!L24</f>
        <v>4</v>
      </c>
      <c r="Y24" s="216">
        <f>'2'!M24</f>
        <v>2</v>
      </c>
      <c r="Z24" s="216">
        <f>'2'!N24</f>
        <v>4</v>
      </c>
      <c r="AA24" s="216">
        <f>'2'!O24</f>
        <v>2</v>
      </c>
      <c r="AB24" s="87">
        <f t="shared" si="1"/>
        <v>36</v>
      </c>
      <c r="AC24" s="93">
        <v>7</v>
      </c>
      <c r="AD24" s="93">
        <v>2</v>
      </c>
      <c r="AE24" s="93">
        <v>4</v>
      </c>
      <c r="AF24" s="93">
        <v>7</v>
      </c>
      <c r="AG24" s="93">
        <v>1</v>
      </c>
      <c r="AH24" s="87">
        <f t="shared" si="2"/>
        <v>21</v>
      </c>
      <c r="AI24" s="93">
        <v>10</v>
      </c>
      <c r="AJ24" s="93">
        <v>10</v>
      </c>
      <c r="AK24" s="93">
        <v>9</v>
      </c>
      <c r="AL24" s="93">
        <v>9</v>
      </c>
      <c r="AM24" s="93">
        <v>2</v>
      </c>
      <c r="AO24" s="96">
        <f t="shared" si="3"/>
        <v>70</v>
      </c>
      <c r="AP24" s="96">
        <f t="shared" si="0"/>
        <v>20</v>
      </c>
      <c r="AQ24" s="96">
        <f t="shared" si="0"/>
        <v>44.444444444444443</v>
      </c>
      <c r="AR24" s="96">
        <f t="shared" si="0"/>
        <v>77.777777777777786</v>
      </c>
      <c r="AS24" s="96">
        <f t="shared" si="0"/>
        <v>50</v>
      </c>
      <c r="AU24" s="216" t="s">
        <v>50</v>
      </c>
      <c r="AV24" s="8" t="b">
        <f t="shared" si="4"/>
        <v>0</v>
      </c>
      <c r="AW24" s="8" t="b">
        <f t="shared" si="5"/>
        <v>0</v>
      </c>
      <c r="AX24" s="8" t="b">
        <f t="shared" si="6"/>
        <v>0</v>
      </c>
      <c r="AY24" s="8" t="b">
        <f t="shared" si="7"/>
        <v>0</v>
      </c>
      <c r="AZ24" s="8" t="b">
        <f t="shared" si="8"/>
        <v>1</v>
      </c>
      <c r="BA24" s="8" t="b">
        <f t="shared" si="9"/>
        <v>1</v>
      </c>
      <c r="BB24" s="8">
        <f t="shared" si="10"/>
        <v>2</v>
      </c>
    </row>
    <row r="25" spans="1:54" ht="18" customHeight="1">
      <c r="A25" s="65">
        <v>6</v>
      </c>
      <c r="B25" s="43">
        <f>IF('1'!B25=0,"",'1'!B25)</f>
        <v>6</v>
      </c>
      <c r="C25" s="43" t="str">
        <f>IF('1'!C25=0,"",'1'!C25)</f>
        <v>1602-16-733-006</v>
      </c>
      <c r="D25" s="43">
        <f>'1'!D25</f>
        <v>1</v>
      </c>
      <c r="E25" s="43">
        <f>'1'!E25</f>
        <v>1</v>
      </c>
      <c r="F25" s="43">
        <f>'1'!F25</f>
        <v>1</v>
      </c>
      <c r="G25" s="43">
        <f>'1'!G25</f>
        <v>0</v>
      </c>
      <c r="H25" s="43">
        <f>'1'!H25</f>
        <v>1</v>
      </c>
      <c r="I25" s="43">
        <f>'1'!I25</f>
        <v>1</v>
      </c>
      <c r="J25" s="43">
        <f>'1'!J25</f>
        <v>4</v>
      </c>
      <c r="K25" s="43">
        <f>'1'!K25</f>
        <v>3</v>
      </c>
      <c r="L25" s="43" t="str">
        <f>'1'!L25</f>
        <v>NA</v>
      </c>
      <c r="M25" s="43" t="str">
        <f>'1'!M25</f>
        <v>NA</v>
      </c>
      <c r="N25" s="43">
        <f>'1'!N25</f>
        <v>4</v>
      </c>
      <c r="O25" s="43">
        <f>'1'!O25</f>
        <v>1</v>
      </c>
      <c r="P25" s="216">
        <f>'2'!D25</f>
        <v>1</v>
      </c>
      <c r="Q25" s="216">
        <f>'2'!E25</f>
        <v>1</v>
      </c>
      <c r="R25" s="216">
        <f>'2'!F25</f>
        <v>1</v>
      </c>
      <c r="S25" s="216">
        <f>'2'!G25</f>
        <v>1</v>
      </c>
      <c r="T25" s="216">
        <f>'2'!H25</f>
        <v>1</v>
      </c>
      <c r="U25" s="216">
        <f>'2'!I25</f>
        <v>1</v>
      </c>
      <c r="V25" s="216">
        <f>'2'!J25</f>
        <v>3</v>
      </c>
      <c r="W25" s="216">
        <f>'2'!K25</f>
        <v>3</v>
      </c>
      <c r="X25" s="216">
        <f>'2'!L25</f>
        <v>4</v>
      </c>
      <c r="Y25" s="216">
        <f>'2'!M25</f>
        <v>3</v>
      </c>
      <c r="Z25" s="216" t="str">
        <f>'2'!N25</f>
        <v>NA</v>
      </c>
      <c r="AA25" s="216" t="str">
        <f>'2'!O25</f>
        <v>NA</v>
      </c>
      <c r="AB25" s="87">
        <f t="shared" si="1"/>
        <v>36</v>
      </c>
      <c r="AC25" s="87">
        <v>9</v>
      </c>
      <c r="AD25" s="87">
        <v>3</v>
      </c>
      <c r="AE25" s="87">
        <v>7</v>
      </c>
      <c r="AF25" s="87">
        <v>8.5</v>
      </c>
      <c r="AG25" s="87">
        <v>2</v>
      </c>
      <c r="AH25" s="87">
        <f t="shared" si="2"/>
        <v>29.5</v>
      </c>
      <c r="AI25" s="93">
        <v>13</v>
      </c>
      <c r="AJ25" s="87">
        <v>7</v>
      </c>
      <c r="AK25" s="87">
        <v>9</v>
      </c>
      <c r="AL25" s="87">
        <v>9</v>
      </c>
      <c r="AM25" s="87">
        <v>2</v>
      </c>
      <c r="AN25" s="7"/>
      <c r="AO25" s="96">
        <f t="shared" si="3"/>
        <v>69.230769230769226</v>
      </c>
      <c r="AP25" s="96">
        <f t="shared" si="0"/>
        <v>42.857142857142854</v>
      </c>
      <c r="AQ25" s="96">
        <f t="shared" si="0"/>
        <v>77.777777777777786</v>
      </c>
      <c r="AR25" s="96">
        <f t="shared" si="0"/>
        <v>94.444444444444443</v>
      </c>
      <c r="AS25" s="96">
        <f t="shared" si="0"/>
        <v>100</v>
      </c>
      <c r="AT25" s="7"/>
      <c r="AU25" s="7"/>
      <c r="AV25" s="8" t="b">
        <f t="shared" si="4"/>
        <v>0</v>
      </c>
      <c r="AW25" s="8" t="b">
        <f t="shared" si="5"/>
        <v>0</v>
      </c>
      <c r="AX25" s="8" t="b">
        <f t="shared" si="6"/>
        <v>1</v>
      </c>
      <c r="AY25" s="8" t="b">
        <f t="shared" si="7"/>
        <v>1</v>
      </c>
      <c r="AZ25" s="8" t="b">
        <f t="shared" si="8"/>
        <v>0</v>
      </c>
      <c r="BA25" s="8" t="b">
        <f t="shared" si="9"/>
        <v>0</v>
      </c>
      <c r="BB25" s="8">
        <f t="shared" si="10"/>
        <v>2</v>
      </c>
    </row>
    <row r="26" spans="1:54" ht="18" customHeight="1">
      <c r="A26" s="65">
        <v>7</v>
      </c>
      <c r="B26" s="43">
        <f>IF('1'!B26=0,"",'1'!B26)</f>
        <v>7</v>
      </c>
      <c r="C26" s="43" t="str">
        <f>IF('1'!C26=0,"",'1'!C26)</f>
        <v>1602-16-733-007</v>
      </c>
      <c r="D26" s="43">
        <f>'1'!D26</f>
        <v>0</v>
      </c>
      <c r="E26" s="43">
        <f>'1'!E26</f>
        <v>0</v>
      </c>
      <c r="F26" s="43">
        <f>'1'!F26</f>
        <v>0</v>
      </c>
      <c r="G26" s="43">
        <f>'1'!G26</f>
        <v>0</v>
      </c>
      <c r="H26" s="43">
        <f>'1'!H26</f>
        <v>1</v>
      </c>
      <c r="I26" s="43">
        <f>'1'!I26</f>
        <v>0</v>
      </c>
      <c r="J26" s="43">
        <f>'1'!J26</f>
        <v>1</v>
      </c>
      <c r="K26" s="43">
        <f>'1'!K26</f>
        <v>1</v>
      </c>
      <c r="L26" s="43" t="str">
        <f>'1'!L26</f>
        <v>NA</v>
      </c>
      <c r="M26" s="43" t="str">
        <f>'1'!M26</f>
        <v>NA</v>
      </c>
      <c r="N26" s="43">
        <f>'1'!N26</f>
        <v>2</v>
      </c>
      <c r="O26" s="43">
        <f>'1'!O26</f>
        <v>0</v>
      </c>
      <c r="P26" s="216">
        <f>'2'!D26</f>
        <v>1</v>
      </c>
      <c r="Q26" s="216">
        <f>'2'!E26</f>
        <v>0</v>
      </c>
      <c r="R26" s="216">
        <f>'2'!F26</f>
        <v>1</v>
      </c>
      <c r="S26" s="216">
        <f>'2'!G26</f>
        <v>0</v>
      </c>
      <c r="T26" s="216">
        <f>'2'!H26</f>
        <v>1</v>
      </c>
      <c r="U26" s="216">
        <f>'2'!I26</f>
        <v>1</v>
      </c>
      <c r="V26" s="216">
        <f>'2'!J26</f>
        <v>3</v>
      </c>
      <c r="W26" s="216">
        <f>'2'!K26</f>
        <v>3</v>
      </c>
      <c r="X26" s="216" t="str">
        <f>'2'!L26</f>
        <v>NA</v>
      </c>
      <c r="Y26" s="216" t="str">
        <f>'2'!M26</f>
        <v>NA</v>
      </c>
      <c r="Z26" s="216">
        <f>'2'!N26</f>
        <v>0</v>
      </c>
      <c r="AA26" s="216">
        <f>'2'!O26</f>
        <v>3</v>
      </c>
      <c r="AB26" s="87">
        <f t="shared" si="1"/>
        <v>18</v>
      </c>
      <c r="AC26" s="87">
        <v>2</v>
      </c>
      <c r="AD26" s="87">
        <v>8.5</v>
      </c>
      <c r="AE26" s="87">
        <v>3</v>
      </c>
      <c r="AF26" s="87">
        <v>6.5</v>
      </c>
      <c r="AG26" s="87">
        <v>1</v>
      </c>
      <c r="AH26" s="87">
        <f t="shared" si="2"/>
        <v>21</v>
      </c>
      <c r="AI26" s="93">
        <v>6</v>
      </c>
      <c r="AJ26" s="87">
        <v>14</v>
      </c>
      <c r="AK26" s="87">
        <v>9</v>
      </c>
      <c r="AL26" s="87">
        <v>9</v>
      </c>
      <c r="AM26" s="87">
        <v>2</v>
      </c>
      <c r="AN26" s="7"/>
      <c r="AO26" s="96">
        <f t="shared" si="3"/>
        <v>33.333333333333329</v>
      </c>
      <c r="AP26" s="96">
        <f t="shared" si="0"/>
        <v>60.714285714285708</v>
      </c>
      <c r="AQ26" s="96">
        <f t="shared" si="0"/>
        <v>33.333333333333329</v>
      </c>
      <c r="AR26" s="96">
        <f t="shared" si="0"/>
        <v>72.222222222222214</v>
      </c>
      <c r="AS26" s="96">
        <f t="shared" si="0"/>
        <v>50</v>
      </c>
      <c r="AT26" s="7"/>
      <c r="AU26" s="7"/>
      <c r="AV26" s="8" t="b">
        <f t="shared" si="4"/>
        <v>0</v>
      </c>
      <c r="AW26" s="8" t="b">
        <f t="shared" si="5"/>
        <v>0</v>
      </c>
      <c r="AX26" s="8" t="b">
        <f t="shared" si="6"/>
        <v>1</v>
      </c>
      <c r="AY26" s="8" t="b">
        <f t="shared" si="7"/>
        <v>1</v>
      </c>
      <c r="AZ26" s="8" t="b">
        <f t="shared" si="8"/>
        <v>0</v>
      </c>
      <c r="BA26" s="8" t="b">
        <f t="shared" si="9"/>
        <v>0</v>
      </c>
      <c r="BB26" s="8">
        <f t="shared" si="10"/>
        <v>2</v>
      </c>
    </row>
    <row r="27" spans="1:54" ht="18" customHeight="1">
      <c r="A27" s="65">
        <v>8</v>
      </c>
      <c r="B27" s="43">
        <f>IF('1'!B27=0,"",'1'!B27)</f>
        <v>8</v>
      </c>
      <c r="C27" s="43" t="str">
        <f>IF('1'!C27=0,"",'1'!C27)</f>
        <v>1602-16-733-008</v>
      </c>
      <c r="D27" s="43">
        <f>'1'!D27</f>
        <v>0</v>
      </c>
      <c r="E27" s="43">
        <f>'1'!E27</f>
        <v>1</v>
      </c>
      <c r="F27" s="43">
        <f>'1'!F27</f>
        <v>0</v>
      </c>
      <c r="G27" s="43">
        <f>'1'!G27</f>
        <v>0</v>
      </c>
      <c r="H27" s="43">
        <f>'1'!H27</f>
        <v>1</v>
      </c>
      <c r="I27" s="43">
        <f>'1'!I27</f>
        <v>1</v>
      </c>
      <c r="J27" s="43">
        <f>'1'!J27</f>
        <v>3</v>
      </c>
      <c r="K27" s="43">
        <f>'1'!K27</f>
        <v>2</v>
      </c>
      <c r="L27" s="43" t="str">
        <f>'1'!L27</f>
        <v>NA</v>
      </c>
      <c r="M27" s="43" t="str">
        <f>'1'!M27</f>
        <v>NA</v>
      </c>
      <c r="N27" s="43">
        <f>'1'!N27</f>
        <v>4</v>
      </c>
      <c r="O27" s="43">
        <f>'1'!O27</f>
        <v>1</v>
      </c>
      <c r="P27" s="216">
        <f>'2'!D27</f>
        <v>1</v>
      </c>
      <c r="Q27" s="216">
        <f>'2'!E27</f>
        <v>1</v>
      </c>
      <c r="R27" s="216">
        <f>'2'!F27</f>
        <v>0</v>
      </c>
      <c r="S27" s="216">
        <f>'2'!G27</f>
        <v>0</v>
      </c>
      <c r="T27" s="216">
        <f>'2'!H27</f>
        <v>1</v>
      </c>
      <c r="U27" s="216">
        <f>'2'!I27</f>
        <v>1</v>
      </c>
      <c r="V27" s="216">
        <f>'2'!J27</f>
        <v>4</v>
      </c>
      <c r="W27" s="216">
        <f>'2'!K27</f>
        <v>0</v>
      </c>
      <c r="X27" s="216">
        <f>'2'!L27</f>
        <v>2</v>
      </c>
      <c r="Y27" s="216">
        <f>'2'!M27</f>
        <v>2</v>
      </c>
      <c r="Z27" s="216" t="str">
        <f>'2'!N27</f>
        <v>NA</v>
      </c>
      <c r="AA27" s="216" t="str">
        <f>'2'!O27</f>
        <v>NA</v>
      </c>
      <c r="AB27" s="87">
        <f t="shared" si="1"/>
        <v>25</v>
      </c>
      <c r="AC27" s="87">
        <v>5</v>
      </c>
      <c r="AD27" s="87">
        <v>6.5</v>
      </c>
      <c r="AE27" s="87">
        <v>8</v>
      </c>
      <c r="AF27" s="87">
        <v>8.5</v>
      </c>
      <c r="AG27" s="87">
        <v>1</v>
      </c>
      <c r="AH27" s="87">
        <f t="shared" si="2"/>
        <v>29</v>
      </c>
      <c r="AI27" s="93">
        <v>6</v>
      </c>
      <c r="AJ27" s="87">
        <v>14</v>
      </c>
      <c r="AK27" s="87">
        <v>9</v>
      </c>
      <c r="AL27" s="87">
        <v>9</v>
      </c>
      <c r="AM27" s="87">
        <v>2</v>
      </c>
      <c r="AN27" s="7"/>
      <c r="AO27" s="96">
        <f t="shared" si="3"/>
        <v>83.333333333333343</v>
      </c>
      <c r="AP27" s="96">
        <f t="shared" si="0"/>
        <v>46.428571428571431</v>
      </c>
      <c r="AQ27" s="96">
        <f t="shared" si="0"/>
        <v>88.888888888888886</v>
      </c>
      <c r="AR27" s="96">
        <f t="shared" si="0"/>
        <v>94.444444444444443</v>
      </c>
      <c r="AS27" s="96">
        <f t="shared" si="0"/>
        <v>50</v>
      </c>
      <c r="AT27" s="7"/>
      <c r="AU27" s="7"/>
      <c r="AV27" s="8" t="b">
        <f t="shared" si="4"/>
        <v>0</v>
      </c>
      <c r="AW27" s="8" t="b">
        <f t="shared" si="5"/>
        <v>0</v>
      </c>
      <c r="AX27" s="8" t="b">
        <f t="shared" si="6"/>
        <v>1</v>
      </c>
      <c r="AY27" s="8" t="b">
        <f t="shared" si="7"/>
        <v>1</v>
      </c>
      <c r="AZ27" s="8" t="b">
        <f t="shared" si="8"/>
        <v>0</v>
      </c>
      <c r="BA27" s="8" t="b">
        <f t="shared" si="9"/>
        <v>0</v>
      </c>
      <c r="BB27" s="8">
        <f t="shared" si="10"/>
        <v>2</v>
      </c>
    </row>
    <row r="28" spans="1:54" ht="18" customHeight="1">
      <c r="A28" s="65">
        <v>9</v>
      </c>
      <c r="B28" s="43">
        <f>IF('1'!B28=0,"",'1'!B28)</f>
        <v>9</v>
      </c>
      <c r="C28" s="43" t="str">
        <f>IF('1'!C28=0,"",'1'!C28)</f>
        <v>1602-16-733-009</v>
      </c>
      <c r="D28" s="43">
        <f>'1'!D28</f>
        <v>1</v>
      </c>
      <c r="E28" s="43">
        <f>'1'!E28</f>
        <v>1</v>
      </c>
      <c r="F28" s="43">
        <f>'1'!F28</f>
        <v>1</v>
      </c>
      <c r="G28" s="43">
        <f>'1'!G28</f>
        <v>1</v>
      </c>
      <c r="H28" s="43">
        <f>'1'!H28</f>
        <v>0</v>
      </c>
      <c r="I28" s="43">
        <f>'1'!I28</f>
        <v>0</v>
      </c>
      <c r="J28" s="43">
        <f>'1'!J28</f>
        <v>3</v>
      </c>
      <c r="K28" s="43">
        <f>'1'!K28</f>
        <v>3</v>
      </c>
      <c r="L28" s="43" t="str">
        <f>'1'!L28</f>
        <v>NA</v>
      </c>
      <c r="M28" s="43" t="str">
        <f>'1'!M28</f>
        <v>NA</v>
      </c>
      <c r="N28" s="43">
        <f>'1'!N28</f>
        <v>4</v>
      </c>
      <c r="O28" s="43">
        <f>'1'!O28</f>
        <v>1</v>
      </c>
      <c r="P28" s="216">
        <f>'2'!D28</f>
        <v>1</v>
      </c>
      <c r="Q28" s="216">
        <f>'2'!E28</f>
        <v>1</v>
      </c>
      <c r="R28" s="216">
        <f>'2'!F28</f>
        <v>0</v>
      </c>
      <c r="S28" s="216">
        <f>'2'!G28</f>
        <v>1</v>
      </c>
      <c r="T28" s="216">
        <f>'2'!H28</f>
        <v>1</v>
      </c>
      <c r="U28" s="216">
        <f>'2'!I28</f>
        <v>0</v>
      </c>
      <c r="V28" s="216">
        <f>'2'!J28</f>
        <v>4</v>
      </c>
      <c r="W28" s="216">
        <f>'2'!K28</f>
        <v>1</v>
      </c>
      <c r="X28" s="216">
        <f>'2'!L28</f>
        <v>4</v>
      </c>
      <c r="Y28" s="216">
        <f>'2'!M28</f>
        <v>2</v>
      </c>
      <c r="Z28" s="216" t="str">
        <f>'2'!N28</f>
        <v>NA</v>
      </c>
      <c r="AA28" s="216" t="str">
        <f>'2'!O28</f>
        <v>NA</v>
      </c>
      <c r="AB28" s="87">
        <f t="shared" si="1"/>
        <v>30</v>
      </c>
      <c r="AC28" s="87">
        <v>6.5</v>
      </c>
      <c r="AD28" s="87">
        <v>4</v>
      </c>
      <c r="AE28" s="87">
        <v>4.5</v>
      </c>
      <c r="AF28" s="87">
        <v>4</v>
      </c>
      <c r="AG28" s="87">
        <v>1</v>
      </c>
      <c r="AH28" s="87">
        <f t="shared" si="2"/>
        <v>20</v>
      </c>
      <c r="AI28" s="93">
        <v>13</v>
      </c>
      <c r="AJ28" s="87">
        <v>7</v>
      </c>
      <c r="AK28" s="87">
        <v>9</v>
      </c>
      <c r="AL28" s="87">
        <v>9</v>
      </c>
      <c r="AM28" s="87">
        <v>2</v>
      </c>
      <c r="AN28" s="7"/>
      <c r="AO28" s="96">
        <f t="shared" si="3"/>
        <v>50</v>
      </c>
      <c r="AP28" s="96">
        <f t="shared" si="0"/>
        <v>57.142857142857139</v>
      </c>
      <c r="AQ28" s="96">
        <f t="shared" si="0"/>
        <v>50</v>
      </c>
      <c r="AR28" s="96">
        <f t="shared" si="0"/>
        <v>44.444444444444443</v>
      </c>
      <c r="AS28" s="96">
        <f t="shared" si="0"/>
        <v>50</v>
      </c>
      <c r="AT28" s="7"/>
      <c r="AU28" s="7"/>
      <c r="AV28" s="8" t="b">
        <f t="shared" si="4"/>
        <v>0</v>
      </c>
      <c r="AW28" s="8" t="b">
        <f t="shared" si="5"/>
        <v>0</v>
      </c>
      <c r="AX28" s="8" t="b">
        <f t="shared" si="6"/>
        <v>1</v>
      </c>
      <c r="AY28" s="8" t="b">
        <f t="shared" si="7"/>
        <v>1</v>
      </c>
      <c r="AZ28" s="8" t="b">
        <f t="shared" si="8"/>
        <v>0</v>
      </c>
      <c r="BA28" s="8" t="b">
        <f t="shared" si="9"/>
        <v>0</v>
      </c>
      <c r="BB28" s="8">
        <f t="shared" si="10"/>
        <v>2</v>
      </c>
    </row>
    <row r="29" spans="1:54" ht="18" customHeight="1">
      <c r="A29" s="65">
        <v>10</v>
      </c>
      <c r="B29" s="43">
        <f>IF('1'!B29=0,"",'1'!B29)</f>
        <v>10</v>
      </c>
      <c r="C29" s="43" t="str">
        <f>IF('1'!C29=0,"",'1'!C29)</f>
        <v>1602-16-733-010</v>
      </c>
      <c r="D29" s="43">
        <f>'1'!D29</f>
        <v>1</v>
      </c>
      <c r="E29" s="43">
        <f>'1'!E29</f>
        <v>1</v>
      </c>
      <c r="F29" s="43">
        <f>'1'!F29</f>
        <v>1</v>
      </c>
      <c r="G29" s="43">
        <f>'1'!G29</f>
        <v>1</v>
      </c>
      <c r="H29" s="43">
        <f>'1'!H29</f>
        <v>1</v>
      </c>
      <c r="I29" s="43">
        <f>'1'!I29</f>
        <v>0</v>
      </c>
      <c r="J29" s="43">
        <f>'1'!J29</f>
        <v>4</v>
      </c>
      <c r="K29" s="43">
        <f>'1'!K29</f>
        <v>3</v>
      </c>
      <c r="L29" s="43">
        <f>'1'!L29</f>
        <v>3</v>
      </c>
      <c r="M29" s="43">
        <f>'1'!M29</f>
        <v>3</v>
      </c>
      <c r="N29" s="43" t="str">
        <f>'1'!N29</f>
        <v>NA</v>
      </c>
      <c r="O29" s="43" t="str">
        <f>'1'!O29</f>
        <v>NA</v>
      </c>
      <c r="P29" s="216">
        <f>'2'!D29</f>
        <v>1</v>
      </c>
      <c r="Q29" s="216">
        <f>'2'!E29</f>
        <v>1</v>
      </c>
      <c r="R29" s="216">
        <f>'2'!F29</f>
        <v>1</v>
      </c>
      <c r="S29" s="216">
        <f>'2'!G29</f>
        <v>0</v>
      </c>
      <c r="T29" s="216">
        <f>'2'!H29</f>
        <v>1</v>
      </c>
      <c r="U29" s="216">
        <f>'2'!I29</f>
        <v>1</v>
      </c>
      <c r="V29" s="216">
        <f>'2'!J29</f>
        <v>3</v>
      </c>
      <c r="W29" s="216">
        <f>'2'!K29</f>
        <v>3</v>
      </c>
      <c r="X29" s="216">
        <f>'2'!L29</f>
        <v>4</v>
      </c>
      <c r="Y29" s="216">
        <f>'2'!M29</f>
        <v>3</v>
      </c>
      <c r="Z29" s="216" t="str">
        <f>'2'!N29</f>
        <v>NA</v>
      </c>
      <c r="AA29" s="216" t="str">
        <f>'2'!O29</f>
        <v>NA</v>
      </c>
      <c r="AB29" s="87">
        <f t="shared" si="1"/>
        <v>36</v>
      </c>
      <c r="AC29" s="87">
        <v>12</v>
      </c>
      <c r="AD29" s="87">
        <v>3.5</v>
      </c>
      <c r="AE29" s="87">
        <v>5.5</v>
      </c>
      <c r="AF29" s="87">
        <v>6</v>
      </c>
      <c r="AG29" s="87">
        <v>2</v>
      </c>
      <c r="AH29" s="87">
        <f t="shared" si="2"/>
        <v>29</v>
      </c>
      <c r="AI29" s="93">
        <v>13</v>
      </c>
      <c r="AJ29" s="87">
        <v>7</v>
      </c>
      <c r="AK29" s="87">
        <v>9</v>
      </c>
      <c r="AL29" s="87">
        <v>9</v>
      </c>
      <c r="AM29" s="87">
        <v>2</v>
      </c>
      <c r="AN29" s="7"/>
      <c r="AO29" s="96">
        <f t="shared" si="3"/>
        <v>92.307692307692307</v>
      </c>
      <c r="AP29" s="96">
        <f t="shared" si="0"/>
        <v>50</v>
      </c>
      <c r="AQ29" s="96">
        <f t="shared" si="0"/>
        <v>61.111111111111114</v>
      </c>
      <c r="AR29" s="96">
        <f t="shared" si="0"/>
        <v>66.666666666666657</v>
      </c>
      <c r="AS29" s="96">
        <f t="shared" si="0"/>
        <v>100</v>
      </c>
      <c r="AT29" s="7"/>
      <c r="AU29" s="7"/>
      <c r="AV29" s="8" t="b">
        <f t="shared" si="4"/>
        <v>0</v>
      </c>
      <c r="AW29" s="8" t="b">
        <f t="shared" si="5"/>
        <v>0</v>
      </c>
      <c r="AX29" s="8" t="b">
        <f t="shared" si="6"/>
        <v>0</v>
      </c>
      <c r="AY29" s="8" t="b">
        <f t="shared" si="7"/>
        <v>0</v>
      </c>
      <c r="AZ29" s="8" t="b">
        <f t="shared" si="8"/>
        <v>1</v>
      </c>
      <c r="BA29" s="8" t="b">
        <f t="shared" si="9"/>
        <v>1</v>
      </c>
      <c r="BB29" s="8">
        <f t="shared" si="10"/>
        <v>2</v>
      </c>
    </row>
    <row r="30" spans="1:54" ht="18" customHeight="1">
      <c r="A30" s="65">
        <v>11</v>
      </c>
      <c r="B30" s="43">
        <f>IF('1'!B30=0,"",'1'!B30)</f>
        <v>11</v>
      </c>
      <c r="C30" s="43" t="str">
        <f>IF('1'!C30=0,"",'1'!C30)</f>
        <v>1602-16-733-011</v>
      </c>
      <c r="D30" s="43">
        <f>'1'!D30</f>
        <v>1</v>
      </c>
      <c r="E30" s="43">
        <f>'1'!E30</f>
        <v>1</v>
      </c>
      <c r="F30" s="43">
        <f>'1'!F30</f>
        <v>1</v>
      </c>
      <c r="G30" s="43">
        <f>'1'!G30</f>
        <v>1</v>
      </c>
      <c r="H30" s="43">
        <f>'1'!H30</f>
        <v>1</v>
      </c>
      <c r="I30" s="43">
        <f>'1'!I30</f>
        <v>1</v>
      </c>
      <c r="J30" s="43">
        <f>'1'!J30</f>
        <v>4</v>
      </c>
      <c r="K30" s="43">
        <f>'1'!K30</f>
        <v>3</v>
      </c>
      <c r="L30" s="43">
        <f>'1'!L30</f>
        <v>3</v>
      </c>
      <c r="M30" s="43">
        <f>'1'!M30</f>
        <v>3</v>
      </c>
      <c r="N30" s="43" t="str">
        <f>'1'!N30</f>
        <v>NA</v>
      </c>
      <c r="O30" s="43" t="str">
        <f>'1'!O30</f>
        <v>NA</v>
      </c>
      <c r="P30" s="216">
        <f>'2'!D30</f>
        <v>1</v>
      </c>
      <c r="Q30" s="216">
        <f>'2'!E30</f>
        <v>1</v>
      </c>
      <c r="R30" s="216">
        <f>'2'!F30</f>
        <v>1</v>
      </c>
      <c r="S30" s="216">
        <f>'2'!G30</f>
        <v>1</v>
      </c>
      <c r="T30" s="216">
        <f>'2'!H30</f>
        <v>1</v>
      </c>
      <c r="U30" s="216">
        <f>'2'!I30</f>
        <v>1</v>
      </c>
      <c r="V30" s="216">
        <f>'2'!J30</f>
        <v>3</v>
      </c>
      <c r="W30" s="216">
        <f>'2'!K30</f>
        <v>3</v>
      </c>
      <c r="X30" s="216">
        <f>'2'!L30</f>
        <v>4</v>
      </c>
      <c r="Y30" s="216">
        <f>'2'!M30</f>
        <v>3</v>
      </c>
      <c r="Z30" s="216" t="str">
        <f>'2'!N30</f>
        <v>NA</v>
      </c>
      <c r="AA30" s="216" t="str">
        <f>'2'!O30</f>
        <v>NA</v>
      </c>
      <c r="AB30" s="87">
        <f t="shared" si="1"/>
        <v>38</v>
      </c>
      <c r="AC30" s="87">
        <v>6</v>
      </c>
      <c r="AD30" s="87">
        <v>9.5</v>
      </c>
      <c r="AE30" s="87">
        <v>7.5</v>
      </c>
      <c r="AF30" s="87">
        <v>9</v>
      </c>
      <c r="AG30" s="87">
        <v>2</v>
      </c>
      <c r="AH30" s="87">
        <f t="shared" si="2"/>
        <v>34</v>
      </c>
      <c r="AI30" s="93">
        <v>10</v>
      </c>
      <c r="AJ30" s="87">
        <v>10</v>
      </c>
      <c r="AK30" s="87">
        <v>9</v>
      </c>
      <c r="AL30" s="87">
        <v>9</v>
      </c>
      <c r="AM30" s="87">
        <v>2</v>
      </c>
      <c r="AN30" s="7"/>
      <c r="AO30" s="96">
        <f t="shared" si="3"/>
        <v>60</v>
      </c>
      <c r="AP30" s="96">
        <f t="shared" si="0"/>
        <v>95</v>
      </c>
      <c r="AQ30" s="96">
        <f t="shared" si="0"/>
        <v>83.333333333333343</v>
      </c>
      <c r="AR30" s="96">
        <f t="shared" si="0"/>
        <v>100</v>
      </c>
      <c r="AS30" s="96">
        <f t="shared" si="0"/>
        <v>100</v>
      </c>
      <c r="AT30" s="7"/>
      <c r="AU30" s="7"/>
      <c r="AV30" s="8" t="b">
        <f t="shared" si="4"/>
        <v>0</v>
      </c>
      <c r="AW30" s="8" t="b">
        <f t="shared" si="5"/>
        <v>0</v>
      </c>
      <c r="AX30" s="8" t="b">
        <f t="shared" si="6"/>
        <v>0</v>
      </c>
      <c r="AY30" s="8" t="b">
        <f t="shared" si="7"/>
        <v>0</v>
      </c>
      <c r="AZ30" s="8" t="b">
        <f t="shared" si="8"/>
        <v>1</v>
      </c>
      <c r="BA30" s="8" t="b">
        <f t="shared" si="9"/>
        <v>1</v>
      </c>
      <c r="BB30" s="8">
        <f t="shared" si="10"/>
        <v>2</v>
      </c>
    </row>
    <row r="31" spans="1:54" ht="18" customHeight="1">
      <c r="A31" s="65">
        <v>12</v>
      </c>
      <c r="B31" s="43">
        <f>IF('1'!B31=0,"",'1'!B31)</f>
        <v>12</v>
      </c>
      <c r="C31" s="43" t="str">
        <f>IF('1'!C31=0,"",'1'!C31)</f>
        <v>1602-16-733-012</v>
      </c>
      <c r="D31" s="43">
        <f>'1'!D31</f>
        <v>0</v>
      </c>
      <c r="E31" s="43">
        <f>'1'!E31</f>
        <v>1</v>
      </c>
      <c r="F31" s="43">
        <f>'1'!F31</f>
        <v>1</v>
      </c>
      <c r="G31" s="43">
        <f>'1'!G31</f>
        <v>0</v>
      </c>
      <c r="H31" s="43">
        <f>'1'!H31</f>
        <v>0</v>
      </c>
      <c r="I31" s="43">
        <f>'1'!I31</f>
        <v>1</v>
      </c>
      <c r="J31" s="43">
        <f>'1'!J31</f>
        <v>4</v>
      </c>
      <c r="K31" s="43">
        <f>'1'!K31</f>
        <v>2</v>
      </c>
      <c r="L31" s="43" t="str">
        <f>'1'!L31</f>
        <v>NA</v>
      </c>
      <c r="M31" s="43" t="str">
        <f>'1'!M31</f>
        <v>NA</v>
      </c>
      <c r="N31" s="43">
        <f>'1'!N31</f>
        <v>4</v>
      </c>
      <c r="O31" s="43">
        <f>'1'!O31</f>
        <v>1</v>
      </c>
      <c r="P31" s="216">
        <f>'2'!D31</f>
        <v>0</v>
      </c>
      <c r="Q31" s="216">
        <f>'2'!E31</f>
        <v>1</v>
      </c>
      <c r="R31" s="216">
        <f>'2'!F31</f>
        <v>1</v>
      </c>
      <c r="S31" s="216">
        <f>'2'!G31</f>
        <v>1</v>
      </c>
      <c r="T31" s="216">
        <f>'2'!H31</f>
        <v>1</v>
      </c>
      <c r="U31" s="216">
        <f>'2'!I31</f>
        <v>0</v>
      </c>
      <c r="V31" s="216">
        <f>'2'!J31</f>
        <v>3</v>
      </c>
      <c r="W31" s="216">
        <f>'2'!K31</f>
        <v>3</v>
      </c>
      <c r="X31" s="216">
        <f>'2'!L31</f>
        <v>4</v>
      </c>
      <c r="Y31" s="216">
        <f>'2'!M31</f>
        <v>3</v>
      </c>
      <c r="Z31" s="216" t="str">
        <f>'2'!N31</f>
        <v>NA</v>
      </c>
      <c r="AA31" s="216" t="str">
        <f>'2'!O31</f>
        <v>NA</v>
      </c>
      <c r="AB31" s="87">
        <f t="shared" si="1"/>
        <v>31</v>
      </c>
      <c r="AC31" s="87">
        <v>5</v>
      </c>
      <c r="AD31" s="87">
        <v>6</v>
      </c>
      <c r="AE31" s="87">
        <v>7.5</v>
      </c>
      <c r="AF31" s="87">
        <v>8.5</v>
      </c>
      <c r="AG31" s="87">
        <v>1.5</v>
      </c>
      <c r="AH31" s="87">
        <f t="shared" si="2"/>
        <v>28.5</v>
      </c>
      <c r="AI31" s="87">
        <v>6</v>
      </c>
      <c r="AJ31" s="87">
        <v>14</v>
      </c>
      <c r="AK31" s="87">
        <v>9</v>
      </c>
      <c r="AL31" s="87">
        <v>9</v>
      </c>
      <c r="AM31" s="87">
        <v>2</v>
      </c>
      <c r="AN31" s="7"/>
      <c r="AO31" s="96">
        <f t="shared" si="3"/>
        <v>83.333333333333343</v>
      </c>
      <c r="AP31" s="96">
        <f t="shared" si="0"/>
        <v>42.857142857142854</v>
      </c>
      <c r="AQ31" s="96">
        <f t="shared" si="0"/>
        <v>83.333333333333343</v>
      </c>
      <c r="AR31" s="96">
        <f t="shared" si="0"/>
        <v>94.444444444444443</v>
      </c>
      <c r="AS31" s="96">
        <f t="shared" si="0"/>
        <v>75</v>
      </c>
      <c r="AT31" s="7"/>
      <c r="AU31" s="7"/>
      <c r="AV31" s="8" t="b">
        <f t="shared" si="4"/>
        <v>0</v>
      </c>
      <c r="AW31" s="8" t="b">
        <f t="shared" si="5"/>
        <v>0</v>
      </c>
      <c r="AX31" s="8" t="b">
        <f t="shared" si="6"/>
        <v>1</v>
      </c>
      <c r="AY31" s="8" t="b">
        <f t="shared" si="7"/>
        <v>1</v>
      </c>
      <c r="AZ31" s="8" t="b">
        <f t="shared" si="8"/>
        <v>0</v>
      </c>
      <c r="BA31" s="8" t="b">
        <f t="shared" si="9"/>
        <v>0</v>
      </c>
      <c r="BB31" s="8">
        <f t="shared" si="10"/>
        <v>2</v>
      </c>
    </row>
    <row r="32" spans="1:54" ht="18" customHeight="1">
      <c r="A32" s="65">
        <v>13</v>
      </c>
      <c r="B32" s="43">
        <f>IF('1'!B32=0,"",'1'!B32)</f>
        <v>13</v>
      </c>
      <c r="C32" s="43" t="str">
        <f>IF('1'!C32=0,"",'1'!C32)</f>
        <v>1602-16-733-013</v>
      </c>
      <c r="D32" s="43">
        <f>'1'!D32</f>
        <v>1</v>
      </c>
      <c r="E32" s="43">
        <f>'1'!E32</f>
        <v>1</v>
      </c>
      <c r="F32" s="43">
        <f>'1'!F32</f>
        <v>1</v>
      </c>
      <c r="G32" s="43">
        <f>'1'!G32</f>
        <v>1</v>
      </c>
      <c r="H32" s="43">
        <f>'1'!H32</f>
        <v>0</v>
      </c>
      <c r="I32" s="43">
        <f>'1'!I32</f>
        <v>0</v>
      </c>
      <c r="J32" s="43">
        <f>'1'!J32</f>
        <v>4</v>
      </c>
      <c r="K32" s="43">
        <f>'1'!K32</f>
        <v>3</v>
      </c>
      <c r="L32" s="43">
        <f>'1'!L32</f>
        <v>3</v>
      </c>
      <c r="M32" s="43">
        <f>'1'!M32</f>
        <v>3</v>
      </c>
      <c r="N32" s="43" t="str">
        <f>'1'!N32</f>
        <v>NA</v>
      </c>
      <c r="O32" s="43" t="str">
        <f>'1'!O32</f>
        <v>NA</v>
      </c>
      <c r="P32" s="216">
        <f>'2'!D32</f>
        <v>1</v>
      </c>
      <c r="Q32" s="216">
        <f>'2'!E32</f>
        <v>1</v>
      </c>
      <c r="R32" s="216">
        <f>'2'!F32</f>
        <v>1</v>
      </c>
      <c r="S32" s="216">
        <f>'2'!G32</f>
        <v>0</v>
      </c>
      <c r="T32" s="216">
        <f>'2'!H32</f>
        <v>1</v>
      </c>
      <c r="U32" s="216">
        <f>'2'!I32</f>
        <v>0</v>
      </c>
      <c r="V32" s="216">
        <f>'2'!J32</f>
        <v>3</v>
      </c>
      <c r="W32" s="216">
        <f>'2'!K32</f>
        <v>3</v>
      </c>
      <c r="X32" s="216">
        <f>'2'!L32</f>
        <v>4</v>
      </c>
      <c r="Y32" s="216">
        <f>'2'!M32</f>
        <v>3</v>
      </c>
      <c r="Z32" s="216" t="str">
        <f>'2'!N32</f>
        <v>NA</v>
      </c>
      <c r="AA32" s="216" t="str">
        <f>'2'!O32</f>
        <v>NA</v>
      </c>
      <c r="AB32" s="87">
        <f t="shared" si="1"/>
        <v>34</v>
      </c>
      <c r="AC32" s="87">
        <v>5.5</v>
      </c>
      <c r="AD32" s="87">
        <v>2</v>
      </c>
      <c r="AE32" s="87">
        <v>4.5</v>
      </c>
      <c r="AF32" s="87">
        <v>8</v>
      </c>
      <c r="AG32" s="87">
        <v>1</v>
      </c>
      <c r="AH32" s="87">
        <f t="shared" si="2"/>
        <v>21</v>
      </c>
      <c r="AI32" s="87">
        <v>13</v>
      </c>
      <c r="AJ32" s="87">
        <v>7</v>
      </c>
      <c r="AK32" s="87">
        <v>9</v>
      </c>
      <c r="AL32" s="87">
        <v>9</v>
      </c>
      <c r="AM32" s="87">
        <v>2</v>
      </c>
      <c r="AN32" s="7"/>
      <c r="AO32" s="96">
        <f t="shared" si="3"/>
        <v>42.307692307692307</v>
      </c>
      <c r="AP32" s="96">
        <f t="shared" si="0"/>
        <v>28.571428571428569</v>
      </c>
      <c r="AQ32" s="96">
        <f t="shared" si="0"/>
        <v>50</v>
      </c>
      <c r="AR32" s="96">
        <f t="shared" si="0"/>
        <v>88.888888888888886</v>
      </c>
      <c r="AS32" s="96">
        <f t="shared" si="0"/>
        <v>50</v>
      </c>
      <c r="AT32" s="7"/>
      <c r="AU32" s="7"/>
      <c r="AV32" s="8" t="b">
        <f t="shared" si="4"/>
        <v>0</v>
      </c>
      <c r="AW32" s="8" t="b">
        <f t="shared" si="5"/>
        <v>0</v>
      </c>
      <c r="AX32" s="8" t="b">
        <f t="shared" si="6"/>
        <v>0</v>
      </c>
      <c r="AY32" s="8" t="b">
        <f t="shared" si="7"/>
        <v>0</v>
      </c>
      <c r="AZ32" s="8" t="b">
        <f t="shared" si="8"/>
        <v>1</v>
      </c>
      <c r="BA32" s="8" t="b">
        <f t="shared" si="9"/>
        <v>1</v>
      </c>
      <c r="BB32" s="8">
        <f t="shared" si="10"/>
        <v>2</v>
      </c>
    </row>
    <row r="33" spans="1:54" ht="18" customHeight="1">
      <c r="A33" s="65">
        <v>14</v>
      </c>
      <c r="B33" s="43">
        <f>IF('1'!B33=0,"",'1'!B33)</f>
        <v>14</v>
      </c>
      <c r="C33" s="43" t="str">
        <f>IF('1'!C33=0,"",'1'!C33)</f>
        <v>1602-16-733-014</v>
      </c>
      <c r="D33" s="43">
        <f>'1'!D33</f>
        <v>1</v>
      </c>
      <c r="E33" s="43">
        <f>'1'!E33</f>
        <v>1</v>
      </c>
      <c r="F33" s="43">
        <f>'1'!F33</f>
        <v>1</v>
      </c>
      <c r="G33" s="43">
        <f>'1'!G33</f>
        <v>1</v>
      </c>
      <c r="H33" s="43">
        <f>'1'!H33</f>
        <v>1</v>
      </c>
      <c r="I33" s="43">
        <f>'1'!I33</f>
        <v>0</v>
      </c>
      <c r="J33" s="43">
        <f>'1'!J33</f>
        <v>4</v>
      </c>
      <c r="K33" s="43">
        <f>'1'!K33</f>
        <v>3</v>
      </c>
      <c r="L33" s="43">
        <f>'1'!L33</f>
        <v>4</v>
      </c>
      <c r="M33" s="43">
        <f>'1'!M33</f>
        <v>3</v>
      </c>
      <c r="N33" s="43" t="str">
        <f>'1'!N33</f>
        <v>NA</v>
      </c>
      <c r="O33" s="43" t="str">
        <f>'1'!O33</f>
        <v>NA</v>
      </c>
      <c r="P33" s="216">
        <f>'2'!D33</f>
        <v>1</v>
      </c>
      <c r="Q33" s="216">
        <f>'2'!E33</f>
        <v>1</v>
      </c>
      <c r="R33" s="216">
        <f>'2'!F33</f>
        <v>0</v>
      </c>
      <c r="S33" s="216">
        <f>'2'!G33</f>
        <v>1</v>
      </c>
      <c r="T33" s="216">
        <f>'2'!H33</f>
        <v>1</v>
      </c>
      <c r="U33" s="216">
        <f>'2'!I33</f>
        <v>1</v>
      </c>
      <c r="V33" s="216">
        <f>'2'!J33</f>
        <v>4</v>
      </c>
      <c r="W33" s="216">
        <f>'2'!K33</f>
        <v>3</v>
      </c>
      <c r="X33" s="216">
        <f>'2'!L33</f>
        <v>4</v>
      </c>
      <c r="Y33" s="216">
        <f>'2'!M33</f>
        <v>3</v>
      </c>
      <c r="Z33" s="216" t="str">
        <f>'2'!N33</f>
        <v>NA</v>
      </c>
      <c r="AA33" s="216" t="str">
        <f>'2'!O33</f>
        <v>NA</v>
      </c>
      <c r="AB33" s="87">
        <f t="shared" si="1"/>
        <v>38</v>
      </c>
      <c r="AC33" s="87">
        <v>2.5</v>
      </c>
      <c r="AD33" s="87">
        <v>1</v>
      </c>
      <c r="AE33" s="87">
        <v>3.5</v>
      </c>
      <c r="AF33" s="87">
        <v>5.5</v>
      </c>
      <c r="AG33" s="87">
        <v>0</v>
      </c>
      <c r="AH33" s="87">
        <f t="shared" si="2"/>
        <v>12.5</v>
      </c>
      <c r="AI33" s="87">
        <v>10</v>
      </c>
      <c r="AJ33" s="87">
        <v>10</v>
      </c>
      <c r="AK33" s="87">
        <v>9</v>
      </c>
      <c r="AL33" s="87">
        <v>9</v>
      </c>
      <c r="AM33" s="87">
        <v>2</v>
      </c>
      <c r="AN33" s="7"/>
      <c r="AO33" s="96">
        <f t="shared" si="3"/>
        <v>25</v>
      </c>
      <c r="AP33" s="96">
        <f t="shared" si="0"/>
        <v>10</v>
      </c>
      <c r="AQ33" s="96">
        <f t="shared" si="0"/>
        <v>38.888888888888893</v>
      </c>
      <c r="AR33" s="96">
        <f t="shared" si="0"/>
        <v>61.111111111111114</v>
      </c>
      <c r="AS33" s="96">
        <f t="shared" si="0"/>
        <v>0</v>
      </c>
      <c r="AT33" s="7"/>
      <c r="AU33" s="7"/>
      <c r="AV33" s="8" t="b">
        <f t="shared" si="4"/>
        <v>0</v>
      </c>
      <c r="AW33" s="8" t="b">
        <f t="shared" si="5"/>
        <v>0</v>
      </c>
      <c r="AX33" s="8" t="b">
        <f t="shared" si="6"/>
        <v>0</v>
      </c>
      <c r="AY33" s="8" t="b">
        <f t="shared" si="7"/>
        <v>0</v>
      </c>
      <c r="AZ33" s="8" t="b">
        <f t="shared" si="8"/>
        <v>1</v>
      </c>
      <c r="BA33" s="8" t="b">
        <f t="shared" si="9"/>
        <v>1</v>
      </c>
      <c r="BB33" s="8">
        <f t="shared" si="10"/>
        <v>2</v>
      </c>
    </row>
    <row r="34" spans="1:54" ht="18" customHeight="1">
      <c r="A34" s="65">
        <v>15</v>
      </c>
      <c r="B34" s="43">
        <f>IF('1'!B34=0,"",'1'!B34)</f>
        <v>15</v>
      </c>
      <c r="C34" s="43" t="str">
        <f>IF('1'!C34=0,"",'1'!C34)</f>
        <v>1602-16-733-015</v>
      </c>
      <c r="D34" s="43">
        <f>'1'!D34</f>
        <v>1</v>
      </c>
      <c r="E34" s="43">
        <f>'1'!E34</f>
        <v>1</v>
      </c>
      <c r="F34" s="43">
        <f>'1'!F34</f>
        <v>1</v>
      </c>
      <c r="G34" s="43">
        <f>'1'!G34</f>
        <v>1</v>
      </c>
      <c r="H34" s="43">
        <f>'1'!H34</f>
        <v>1</v>
      </c>
      <c r="I34" s="43">
        <f>'1'!I34</f>
        <v>1</v>
      </c>
      <c r="J34" s="43">
        <f>'1'!J34</f>
        <v>4</v>
      </c>
      <c r="K34" s="43">
        <f>'1'!K34</f>
        <v>2</v>
      </c>
      <c r="L34" s="43">
        <f>'1'!L34</f>
        <v>4</v>
      </c>
      <c r="M34" s="43">
        <f>'1'!M34</f>
        <v>3</v>
      </c>
      <c r="N34" s="43" t="str">
        <f>'1'!N34</f>
        <v>NA</v>
      </c>
      <c r="O34" s="43" t="str">
        <f>'1'!O34</f>
        <v>NA</v>
      </c>
      <c r="P34" s="216">
        <f>'2'!D34</f>
        <v>1</v>
      </c>
      <c r="Q34" s="216">
        <f>'2'!E34</f>
        <v>1</v>
      </c>
      <c r="R34" s="216">
        <f>'2'!F34</f>
        <v>0</v>
      </c>
      <c r="S34" s="216">
        <f>'2'!G34</f>
        <v>1</v>
      </c>
      <c r="T34" s="216">
        <f>'2'!H34</f>
        <v>0</v>
      </c>
      <c r="U34" s="216">
        <f>'2'!I34</f>
        <v>1</v>
      </c>
      <c r="V34" s="216">
        <f>'2'!J34</f>
        <v>3</v>
      </c>
      <c r="W34" s="216">
        <f>'2'!K34</f>
        <v>3</v>
      </c>
      <c r="X34" s="216">
        <f>'2'!L34</f>
        <v>4</v>
      </c>
      <c r="Y34" s="216">
        <f>'2'!M34</f>
        <v>3</v>
      </c>
      <c r="Z34" s="216" t="str">
        <f>'2'!N34</f>
        <v>NA</v>
      </c>
      <c r="AA34" s="216" t="str">
        <f>'2'!O34</f>
        <v>NA</v>
      </c>
      <c r="AB34" s="87">
        <f t="shared" si="1"/>
        <v>36</v>
      </c>
      <c r="AC34" s="87">
        <v>12.5</v>
      </c>
      <c r="AD34" s="87">
        <v>2</v>
      </c>
      <c r="AE34" s="87">
        <v>2.5</v>
      </c>
      <c r="AF34" s="87">
        <v>5.5</v>
      </c>
      <c r="AG34" s="87">
        <v>1</v>
      </c>
      <c r="AH34" s="87">
        <f t="shared" si="2"/>
        <v>23.5</v>
      </c>
      <c r="AI34" s="87">
        <v>13</v>
      </c>
      <c r="AJ34" s="87">
        <v>7</v>
      </c>
      <c r="AK34" s="87">
        <v>9</v>
      </c>
      <c r="AL34" s="87">
        <v>9</v>
      </c>
      <c r="AM34" s="87">
        <v>2</v>
      </c>
      <c r="AN34" s="7"/>
      <c r="AO34" s="96">
        <f t="shared" si="3"/>
        <v>96.15384615384616</v>
      </c>
      <c r="AP34" s="96">
        <f t="shared" si="0"/>
        <v>28.571428571428569</v>
      </c>
      <c r="AQ34" s="96">
        <f t="shared" si="0"/>
        <v>27.777777777777779</v>
      </c>
      <c r="AR34" s="96">
        <f t="shared" si="0"/>
        <v>61.111111111111114</v>
      </c>
      <c r="AS34" s="96">
        <f t="shared" si="0"/>
        <v>50</v>
      </c>
      <c r="AT34" s="7"/>
      <c r="AU34" s="7"/>
      <c r="AV34" s="8" t="b">
        <f t="shared" si="4"/>
        <v>0</v>
      </c>
      <c r="AW34" s="8" t="b">
        <f t="shared" si="5"/>
        <v>0</v>
      </c>
      <c r="AX34" s="8" t="b">
        <f t="shared" si="6"/>
        <v>0</v>
      </c>
      <c r="AY34" s="8" t="b">
        <f t="shared" si="7"/>
        <v>0</v>
      </c>
      <c r="AZ34" s="8" t="b">
        <f t="shared" si="8"/>
        <v>1</v>
      </c>
      <c r="BA34" s="8" t="b">
        <f t="shared" si="9"/>
        <v>1</v>
      </c>
      <c r="BB34" s="8">
        <f t="shared" si="10"/>
        <v>2</v>
      </c>
    </row>
    <row r="35" spans="1:54" ht="18" customHeight="1">
      <c r="A35" s="65">
        <v>16</v>
      </c>
      <c r="B35" s="43">
        <f>IF('1'!B35=0,"",'1'!B35)</f>
        <v>16</v>
      </c>
      <c r="C35" s="43" t="str">
        <f>IF('1'!C35=0,"",'1'!C35)</f>
        <v>1602-16-733-016</v>
      </c>
      <c r="D35" s="43">
        <f>'1'!D35</f>
        <v>0</v>
      </c>
      <c r="E35" s="43">
        <f>'1'!E35</f>
        <v>1</v>
      </c>
      <c r="F35" s="43">
        <f>'1'!F35</f>
        <v>1</v>
      </c>
      <c r="G35" s="43">
        <f>'1'!G35</f>
        <v>1</v>
      </c>
      <c r="H35" s="43">
        <f>'1'!H35</f>
        <v>0</v>
      </c>
      <c r="I35" s="43">
        <f>'1'!I35</f>
        <v>1</v>
      </c>
      <c r="J35" s="43">
        <f>'1'!J35</f>
        <v>3</v>
      </c>
      <c r="K35" s="43">
        <f>'1'!K35</f>
        <v>2</v>
      </c>
      <c r="L35" s="43" t="str">
        <f>'1'!L35</f>
        <v>NA</v>
      </c>
      <c r="M35" s="43" t="str">
        <f>'1'!M35</f>
        <v>NA</v>
      </c>
      <c r="N35" s="43">
        <f>'1'!N35</f>
        <v>4</v>
      </c>
      <c r="O35" s="43">
        <f>'1'!O35</f>
        <v>2</v>
      </c>
      <c r="P35" s="216">
        <f>'2'!D35</f>
        <v>1</v>
      </c>
      <c r="Q35" s="216">
        <f>'2'!E35</f>
        <v>1</v>
      </c>
      <c r="R35" s="216">
        <f>'2'!F35</f>
        <v>1</v>
      </c>
      <c r="S35" s="216">
        <f>'2'!G35</f>
        <v>0</v>
      </c>
      <c r="T35" s="216">
        <f>'2'!H35</f>
        <v>1</v>
      </c>
      <c r="U35" s="216">
        <f>'2'!I35</f>
        <v>1</v>
      </c>
      <c r="V35" s="216">
        <f>'2'!J35</f>
        <v>3</v>
      </c>
      <c r="W35" s="216">
        <f>'2'!K35</f>
        <v>3</v>
      </c>
      <c r="X35" s="216">
        <f>'2'!L35</f>
        <v>3</v>
      </c>
      <c r="Y35" s="216">
        <f>'2'!M35</f>
        <v>3</v>
      </c>
      <c r="Z35" s="216" t="str">
        <f>'2'!N35</f>
        <v>NA</v>
      </c>
      <c r="AA35" s="216" t="str">
        <f>'2'!O35</f>
        <v>NA</v>
      </c>
      <c r="AB35" s="87">
        <f t="shared" si="1"/>
        <v>32</v>
      </c>
      <c r="AC35" s="87">
        <v>11.5</v>
      </c>
      <c r="AD35" s="87">
        <v>2</v>
      </c>
      <c r="AE35" s="87">
        <v>7.5</v>
      </c>
      <c r="AF35" s="87">
        <v>8.5</v>
      </c>
      <c r="AG35" s="87">
        <v>2</v>
      </c>
      <c r="AH35" s="87">
        <f t="shared" si="2"/>
        <v>31.5</v>
      </c>
      <c r="AI35" s="87">
        <v>13</v>
      </c>
      <c r="AJ35" s="87">
        <v>7</v>
      </c>
      <c r="AK35" s="87">
        <v>9</v>
      </c>
      <c r="AL35" s="87">
        <v>9</v>
      </c>
      <c r="AM35" s="87">
        <v>2</v>
      </c>
      <c r="AN35" s="7"/>
      <c r="AO35" s="96">
        <f t="shared" si="3"/>
        <v>88.461538461538453</v>
      </c>
      <c r="AP35" s="96">
        <f t="shared" si="0"/>
        <v>28.571428571428569</v>
      </c>
      <c r="AQ35" s="96">
        <f t="shared" si="0"/>
        <v>83.333333333333343</v>
      </c>
      <c r="AR35" s="96">
        <f t="shared" si="0"/>
        <v>94.444444444444443</v>
      </c>
      <c r="AS35" s="96">
        <f t="shared" si="0"/>
        <v>100</v>
      </c>
      <c r="AT35" s="7"/>
      <c r="AU35" s="7"/>
      <c r="AV35" s="8" t="b">
        <f t="shared" si="4"/>
        <v>0</v>
      </c>
      <c r="AW35" s="8" t="b">
        <f t="shared" si="5"/>
        <v>0</v>
      </c>
      <c r="AX35" s="8" t="b">
        <f t="shared" si="6"/>
        <v>1</v>
      </c>
      <c r="AY35" s="8" t="b">
        <f t="shared" si="7"/>
        <v>1</v>
      </c>
      <c r="AZ35" s="8" t="b">
        <f t="shared" si="8"/>
        <v>0</v>
      </c>
      <c r="BA35" s="8" t="b">
        <f t="shared" si="9"/>
        <v>0</v>
      </c>
      <c r="BB35" s="8">
        <f t="shared" si="10"/>
        <v>2</v>
      </c>
    </row>
    <row r="36" spans="1:54" ht="18" customHeight="1">
      <c r="A36" s="65">
        <v>17</v>
      </c>
      <c r="B36" s="43">
        <f>IF('1'!B36=0,"",'1'!B36)</f>
        <v>17</v>
      </c>
      <c r="C36" s="43" t="str">
        <f>IF('1'!C36=0,"",'1'!C36)</f>
        <v>1602-16-733-017</v>
      </c>
      <c r="D36" s="43">
        <f>'1'!D36</f>
        <v>0</v>
      </c>
      <c r="E36" s="43">
        <f>'1'!E36</f>
        <v>1</v>
      </c>
      <c r="F36" s="43">
        <f>'1'!F36</f>
        <v>1</v>
      </c>
      <c r="G36" s="43">
        <f>'1'!G36</f>
        <v>0</v>
      </c>
      <c r="H36" s="43">
        <f>'1'!H36</f>
        <v>1</v>
      </c>
      <c r="I36" s="43">
        <f>'1'!I36</f>
        <v>1</v>
      </c>
      <c r="J36" s="43">
        <f>'1'!J36</f>
        <v>3</v>
      </c>
      <c r="K36" s="43">
        <f>'1'!K36</f>
        <v>1</v>
      </c>
      <c r="L36" s="43" t="str">
        <f>'1'!L36</f>
        <v>NA</v>
      </c>
      <c r="M36" s="43" t="str">
        <f>'1'!M36</f>
        <v>NA</v>
      </c>
      <c r="N36" s="43">
        <f>'1'!N36</f>
        <v>2</v>
      </c>
      <c r="O36" s="43">
        <f>'1'!O36</f>
        <v>2</v>
      </c>
      <c r="P36" s="216">
        <f>'2'!D36</f>
        <v>0</v>
      </c>
      <c r="Q36" s="216">
        <f>'2'!E36</f>
        <v>1</v>
      </c>
      <c r="R36" s="216">
        <f>'2'!F36</f>
        <v>0</v>
      </c>
      <c r="S36" s="216">
        <f>'2'!G36</f>
        <v>1</v>
      </c>
      <c r="T36" s="216">
        <f>'2'!H36</f>
        <v>1</v>
      </c>
      <c r="U36" s="216">
        <f>'2'!I36</f>
        <v>1</v>
      </c>
      <c r="V36" s="216">
        <f>'2'!J36</f>
        <v>3</v>
      </c>
      <c r="W36" s="216">
        <f>'2'!K36</f>
        <v>3</v>
      </c>
      <c r="X36" s="216">
        <f>'2'!L36</f>
        <v>3</v>
      </c>
      <c r="Y36" s="216">
        <f>'2'!M36</f>
        <v>3</v>
      </c>
      <c r="Z36" s="216" t="str">
        <f>'2'!N36</f>
        <v>NA</v>
      </c>
      <c r="AA36" s="216" t="str">
        <f>'2'!O36</f>
        <v>NA</v>
      </c>
      <c r="AB36" s="87">
        <f t="shared" si="1"/>
        <v>28</v>
      </c>
      <c r="AC36" s="87">
        <v>11.5</v>
      </c>
      <c r="AD36" s="87">
        <v>3</v>
      </c>
      <c r="AE36" s="87">
        <v>6.5</v>
      </c>
      <c r="AF36" s="87">
        <v>8</v>
      </c>
      <c r="AG36" s="87">
        <v>1</v>
      </c>
      <c r="AH36" s="87">
        <f t="shared" si="2"/>
        <v>30</v>
      </c>
      <c r="AI36" s="87">
        <v>13</v>
      </c>
      <c r="AJ36" s="87">
        <v>7</v>
      </c>
      <c r="AK36" s="87">
        <v>9</v>
      </c>
      <c r="AL36" s="87">
        <v>9</v>
      </c>
      <c r="AM36" s="87">
        <v>2</v>
      </c>
      <c r="AN36" s="7"/>
      <c r="AO36" s="96">
        <f t="shared" si="3"/>
        <v>88.461538461538453</v>
      </c>
      <c r="AP36" s="96">
        <f t="shared" si="3"/>
        <v>42.857142857142854</v>
      </c>
      <c r="AQ36" s="96">
        <f t="shared" si="3"/>
        <v>72.222222222222214</v>
      </c>
      <c r="AR36" s="96">
        <f t="shared" si="3"/>
        <v>88.888888888888886</v>
      </c>
      <c r="AS36" s="96">
        <f t="shared" si="3"/>
        <v>50</v>
      </c>
      <c r="AT36" s="7"/>
      <c r="AU36" s="7"/>
      <c r="AV36" s="8" t="b">
        <f t="shared" si="4"/>
        <v>0</v>
      </c>
      <c r="AW36" s="8" t="b">
        <f t="shared" si="5"/>
        <v>0</v>
      </c>
      <c r="AX36" s="8" t="b">
        <f t="shared" si="6"/>
        <v>1</v>
      </c>
      <c r="AY36" s="8" t="b">
        <f t="shared" si="7"/>
        <v>1</v>
      </c>
      <c r="AZ36" s="8" t="b">
        <f t="shared" si="8"/>
        <v>0</v>
      </c>
      <c r="BA36" s="8" t="b">
        <f t="shared" si="9"/>
        <v>0</v>
      </c>
      <c r="BB36" s="8">
        <f t="shared" si="10"/>
        <v>2</v>
      </c>
    </row>
    <row r="37" spans="1:54" ht="18" customHeight="1">
      <c r="A37" s="65">
        <v>18</v>
      </c>
      <c r="B37" s="43">
        <f>IF('1'!B37=0,"",'1'!B37)</f>
        <v>18</v>
      </c>
      <c r="C37" s="43" t="str">
        <f>IF('1'!C37=0,"",'1'!C37)</f>
        <v>1602-16-733-018</v>
      </c>
      <c r="D37" s="43">
        <f>'1'!D37</f>
        <v>1</v>
      </c>
      <c r="E37" s="43">
        <f>'1'!E37</f>
        <v>1</v>
      </c>
      <c r="F37" s="43">
        <f>'1'!F37</f>
        <v>1</v>
      </c>
      <c r="G37" s="43">
        <f>'1'!G37</f>
        <v>1</v>
      </c>
      <c r="H37" s="43">
        <f>'1'!H37</f>
        <v>0</v>
      </c>
      <c r="I37" s="43">
        <f>'1'!I37</f>
        <v>1</v>
      </c>
      <c r="J37" s="43">
        <f>'1'!J37</f>
        <v>3</v>
      </c>
      <c r="K37" s="43">
        <f>'1'!K37</f>
        <v>3</v>
      </c>
      <c r="L37" s="43" t="str">
        <f>'1'!L37</f>
        <v>NA</v>
      </c>
      <c r="M37" s="43" t="str">
        <f>'1'!M37</f>
        <v>NA</v>
      </c>
      <c r="N37" s="43">
        <f>'1'!N37</f>
        <v>4</v>
      </c>
      <c r="O37" s="43">
        <f>'1'!O37</f>
        <v>3</v>
      </c>
      <c r="P37" s="216">
        <f>'2'!D37</f>
        <v>1</v>
      </c>
      <c r="Q37" s="216">
        <f>'2'!E37</f>
        <v>1</v>
      </c>
      <c r="R37" s="216">
        <f>'2'!F37</f>
        <v>1</v>
      </c>
      <c r="S37" s="216">
        <f>'2'!G37</f>
        <v>1</v>
      </c>
      <c r="T37" s="216">
        <f>'2'!H37</f>
        <v>1</v>
      </c>
      <c r="U37" s="216">
        <f>'2'!I37</f>
        <v>1</v>
      </c>
      <c r="V37" s="216">
        <f>'2'!J37</f>
        <v>4</v>
      </c>
      <c r="W37" s="216">
        <f>'2'!K37</f>
        <v>3</v>
      </c>
      <c r="X37" s="216">
        <f>'2'!L37</f>
        <v>4</v>
      </c>
      <c r="Y37" s="216">
        <f>'2'!M37</f>
        <v>3</v>
      </c>
      <c r="Z37" s="216" t="str">
        <f>'2'!N37</f>
        <v>NA</v>
      </c>
      <c r="AA37" s="216" t="str">
        <f>'2'!O37</f>
        <v>NA</v>
      </c>
      <c r="AB37" s="87">
        <f t="shared" si="1"/>
        <v>38</v>
      </c>
      <c r="AC37" s="87">
        <v>11</v>
      </c>
      <c r="AD37" s="87">
        <v>2.5</v>
      </c>
      <c r="AE37" s="87">
        <v>0.5</v>
      </c>
      <c r="AF37" s="87">
        <v>8</v>
      </c>
      <c r="AG37" s="87">
        <v>8</v>
      </c>
      <c r="AH37" s="87">
        <f t="shared" si="2"/>
        <v>30</v>
      </c>
      <c r="AI37" s="87">
        <v>13</v>
      </c>
      <c r="AJ37" s="87">
        <v>7</v>
      </c>
      <c r="AK37" s="87">
        <v>2</v>
      </c>
      <c r="AL37" s="87">
        <v>9</v>
      </c>
      <c r="AM37" s="87">
        <v>9</v>
      </c>
      <c r="AN37" s="7"/>
      <c r="AO37" s="96">
        <f t="shared" si="3"/>
        <v>84.615384615384613</v>
      </c>
      <c r="AP37" s="96">
        <f t="shared" si="3"/>
        <v>35.714285714285715</v>
      </c>
      <c r="AQ37" s="96">
        <f t="shared" si="3"/>
        <v>25</v>
      </c>
      <c r="AR37" s="96">
        <f t="shared" si="3"/>
        <v>88.888888888888886</v>
      </c>
      <c r="AS37" s="96">
        <f t="shared" si="3"/>
        <v>88.888888888888886</v>
      </c>
      <c r="AT37" s="7"/>
      <c r="AU37" s="7"/>
      <c r="AV37" s="8" t="b">
        <f t="shared" si="4"/>
        <v>0</v>
      </c>
      <c r="AW37" s="8" t="b">
        <f t="shared" si="5"/>
        <v>0</v>
      </c>
      <c r="AX37" s="8" t="b">
        <f t="shared" si="6"/>
        <v>1</v>
      </c>
      <c r="AY37" s="8" t="b">
        <f t="shared" si="7"/>
        <v>1</v>
      </c>
      <c r="AZ37" s="8" t="b">
        <f t="shared" si="8"/>
        <v>0</v>
      </c>
      <c r="BA37" s="8" t="b">
        <f t="shared" si="9"/>
        <v>0</v>
      </c>
      <c r="BB37" s="8">
        <f t="shared" si="10"/>
        <v>2</v>
      </c>
    </row>
    <row r="38" spans="1:54" ht="18" customHeight="1">
      <c r="A38" s="65">
        <v>19</v>
      </c>
      <c r="B38" s="43">
        <f>IF('1'!B38=0,"",'1'!B38)</f>
        <v>19</v>
      </c>
      <c r="C38" s="43" t="str">
        <f>IF('1'!C38=0,"",'1'!C38)</f>
        <v>1602-16-733-019</v>
      </c>
      <c r="D38" s="43">
        <f>'1'!D38</f>
        <v>1</v>
      </c>
      <c r="E38" s="43">
        <f>'1'!E38</f>
        <v>1</v>
      </c>
      <c r="F38" s="43">
        <f>'1'!F38</f>
        <v>1</v>
      </c>
      <c r="G38" s="43">
        <f>'1'!G38</f>
        <v>0</v>
      </c>
      <c r="H38" s="43">
        <f>'1'!H38</f>
        <v>0</v>
      </c>
      <c r="I38" s="43">
        <f>'1'!I38</f>
        <v>1</v>
      </c>
      <c r="J38" s="43">
        <f>'1'!J38</f>
        <v>3</v>
      </c>
      <c r="K38" s="43">
        <f>'1'!K38</f>
        <v>3</v>
      </c>
      <c r="L38" s="43">
        <f>'1'!L38</f>
        <v>1</v>
      </c>
      <c r="M38" s="43">
        <f>'1'!M38</f>
        <v>2</v>
      </c>
      <c r="N38" s="43" t="str">
        <f>'1'!N38</f>
        <v>NA</v>
      </c>
      <c r="O38" s="43" t="str">
        <f>'1'!O38</f>
        <v>NA</v>
      </c>
      <c r="P38" s="216">
        <f>'2'!D38</f>
        <v>1</v>
      </c>
      <c r="Q38" s="216">
        <f>'2'!E38</f>
        <v>1</v>
      </c>
      <c r="R38" s="216">
        <f>'2'!F38</f>
        <v>1</v>
      </c>
      <c r="S38" s="216">
        <f>'2'!G38</f>
        <v>1</v>
      </c>
      <c r="T38" s="216">
        <f>'2'!H38</f>
        <v>1</v>
      </c>
      <c r="U38" s="216">
        <f>'2'!I38</f>
        <v>0</v>
      </c>
      <c r="V38" s="216">
        <f>'2'!J38</f>
        <v>4</v>
      </c>
      <c r="W38" s="216">
        <f>'2'!K38</f>
        <v>2</v>
      </c>
      <c r="X38" s="216">
        <f>'2'!L38</f>
        <v>2</v>
      </c>
      <c r="Y38" s="216">
        <f>'2'!M38</f>
        <v>1</v>
      </c>
      <c r="Z38" s="216" t="str">
        <f>'2'!N38</f>
        <v>NA</v>
      </c>
      <c r="AA38" s="216" t="str">
        <f>'2'!O38</f>
        <v>NA</v>
      </c>
      <c r="AB38" s="87">
        <f t="shared" si="1"/>
        <v>27</v>
      </c>
      <c r="AC38" s="87">
        <v>4</v>
      </c>
      <c r="AD38" s="87">
        <v>3.5</v>
      </c>
      <c r="AE38" s="87">
        <v>3.5</v>
      </c>
      <c r="AF38" s="87">
        <v>7</v>
      </c>
      <c r="AG38" s="87">
        <v>1</v>
      </c>
      <c r="AH38" s="87">
        <f t="shared" si="2"/>
        <v>19</v>
      </c>
      <c r="AI38" s="87">
        <v>6</v>
      </c>
      <c r="AJ38" s="87">
        <v>14</v>
      </c>
      <c r="AK38" s="87">
        <v>9</v>
      </c>
      <c r="AL38" s="87">
        <v>9</v>
      </c>
      <c r="AM38" s="87">
        <v>2</v>
      </c>
      <c r="AN38" s="7"/>
      <c r="AO38" s="96">
        <f t="shared" si="3"/>
        <v>66.666666666666657</v>
      </c>
      <c r="AP38" s="96">
        <f t="shared" si="3"/>
        <v>25</v>
      </c>
      <c r="AQ38" s="96">
        <f t="shared" si="3"/>
        <v>38.888888888888893</v>
      </c>
      <c r="AR38" s="96">
        <f t="shared" si="3"/>
        <v>77.777777777777786</v>
      </c>
      <c r="AS38" s="96">
        <f t="shared" si="3"/>
        <v>50</v>
      </c>
      <c r="AT38" s="7"/>
      <c r="AU38" s="7"/>
      <c r="AV38" s="8" t="b">
        <f t="shared" si="4"/>
        <v>0</v>
      </c>
      <c r="AW38" s="8" t="b">
        <f t="shared" si="5"/>
        <v>0</v>
      </c>
      <c r="AX38" s="8" t="b">
        <f t="shared" si="6"/>
        <v>0</v>
      </c>
      <c r="AY38" s="8" t="b">
        <f t="shared" si="7"/>
        <v>0</v>
      </c>
      <c r="AZ38" s="8" t="b">
        <f t="shared" si="8"/>
        <v>1</v>
      </c>
      <c r="BA38" s="8" t="b">
        <f t="shared" si="9"/>
        <v>1</v>
      </c>
      <c r="BB38" s="8">
        <f t="shared" si="10"/>
        <v>2</v>
      </c>
    </row>
    <row r="39" spans="1:54" ht="18" customHeight="1">
      <c r="A39" s="65">
        <v>20</v>
      </c>
      <c r="B39" s="43">
        <f>IF('1'!B39=0,"",'1'!B39)</f>
        <v>20</v>
      </c>
      <c r="C39" s="43" t="str">
        <f>IF('1'!C39=0,"",'1'!C39)</f>
        <v>1602-16-733-020</v>
      </c>
      <c r="D39" s="43">
        <f>'1'!D39</f>
        <v>1</v>
      </c>
      <c r="E39" s="43">
        <f>'1'!E39</f>
        <v>1</v>
      </c>
      <c r="F39" s="43">
        <f>'1'!F39</f>
        <v>1</v>
      </c>
      <c r="G39" s="43">
        <f>'1'!G39</f>
        <v>1</v>
      </c>
      <c r="H39" s="43">
        <f>'1'!H39</f>
        <v>0</v>
      </c>
      <c r="I39" s="43">
        <f>'1'!I39</f>
        <v>1</v>
      </c>
      <c r="J39" s="43">
        <f>'1'!J39</f>
        <v>4</v>
      </c>
      <c r="K39" s="43">
        <f>'1'!K39</f>
        <v>3</v>
      </c>
      <c r="L39" s="43">
        <f>'1'!L39</f>
        <v>0</v>
      </c>
      <c r="M39" s="43">
        <f>'1'!M39</f>
        <v>3</v>
      </c>
      <c r="N39" s="43" t="str">
        <f>'1'!N39</f>
        <v>NA</v>
      </c>
      <c r="O39" s="43" t="str">
        <f>'1'!O39</f>
        <v>NA</v>
      </c>
      <c r="P39" s="216">
        <f>'2'!D39</f>
        <v>1</v>
      </c>
      <c r="Q39" s="216">
        <f>'2'!E39</f>
        <v>1</v>
      </c>
      <c r="R39" s="216">
        <f>'2'!F39</f>
        <v>1</v>
      </c>
      <c r="S39" s="216">
        <f>'2'!G39</f>
        <v>1</v>
      </c>
      <c r="T39" s="216">
        <f>'2'!H39</f>
        <v>1</v>
      </c>
      <c r="U39" s="216">
        <f>'2'!I39</f>
        <v>1</v>
      </c>
      <c r="V39" s="216">
        <f>'2'!J39</f>
        <v>4</v>
      </c>
      <c r="W39" s="216">
        <f>'2'!K39</f>
        <v>3</v>
      </c>
      <c r="X39" s="216">
        <f>'2'!L39</f>
        <v>3</v>
      </c>
      <c r="Y39" s="216">
        <f>'2'!M39</f>
        <v>3</v>
      </c>
      <c r="Z39" s="216" t="str">
        <f>'2'!N39</f>
        <v>NA</v>
      </c>
      <c r="AA39" s="216" t="str">
        <f>'2'!O39</f>
        <v>NA</v>
      </c>
      <c r="AB39" s="87">
        <f t="shared" si="1"/>
        <v>34</v>
      </c>
      <c r="AC39" s="87">
        <v>5</v>
      </c>
      <c r="AD39" s="87">
        <v>3</v>
      </c>
      <c r="AE39" s="87">
        <v>2.5</v>
      </c>
      <c r="AF39" s="87">
        <v>4</v>
      </c>
      <c r="AG39" s="87">
        <v>0</v>
      </c>
      <c r="AH39" s="87">
        <f t="shared" si="2"/>
        <v>14.5</v>
      </c>
      <c r="AI39" s="87">
        <v>10</v>
      </c>
      <c r="AJ39" s="87">
        <v>10</v>
      </c>
      <c r="AK39" s="87">
        <v>9</v>
      </c>
      <c r="AL39" s="87">
        <v>9</v>
      </c>
      <c r="AM39" s="87">
        <v>2</v>
      </c>
      <c r="AN39" s="7"/>
      <c r="AO39" s="96">
        <f t="shared" si="3"/>
        <v>50</v>
      </c>
      <c r="AP39" s="96">
        <f t="shared" si="3"/>
        <v>30</v>
      </c>
      <c r="AQ39" s="96">
        <f t="shared" si="3"/>
        <v>27.777777777777779</v>
      </c>
      <c r="AR39" s="96">
        <f t="shared" si="3"/>
        <v>44.444444444444443</v>
      </c>
      <c r="AS39" s="96">
        <f t="shared" si="3"/>
        <v>0</v>
      </c>
      <c r="AT39" s="7"/>
      <c r="AU39" s="7"/>
      <c r="AV39" s="8" t="b">
        <f t="shared" si="4"/>
        <v>0</v>
      </c>
      <c r="AW39" s="8" t="b">
        <f t="shared" si="5"/>
        <v>0</v>
      </c>
      <c r="AX39" s="8" t="b">
        <f t="shared" si="6"/>
        <v>0</v>
      </c>
      <c r="AY39" s="8" t="b">
        <f t="shared" si="7"/>
        <v>0</v>
      </c>
      <c r="AZ39" s="8" t="b">
        <f t="shared" si="8"/>
        <v>1</v>
      </c>
      <c r="BA39" s="8" t="b">
        <f t="shared" si="9"/>
        <v>1</v>
      </c>
      <c r="BB39" s="8">
        <f t="shared" si="10"/>
        <v>2</v>
      </c>
    </row>
    <row r="40" spans="1:54" ht="18" customHeight="1">
      <c r="A40" s="65">
        <v>21</v>
      </c>
      <c r="B40" s="43">
        <f>IF('1'!B40=0,"",'1'!B40)</f>
        <v>21</v>
      </c>
      <c r="C40" s="43" t="str">
        <f>IF('1'!C40=0,"",'1'!C40)</f>
        <v>1602-16-733-021</v>
      </c>
      <c r="D40" s="43">
        <f>'1'!D40</f>
        <v>1</v>
      </c>
      <c r="E40" s="43">
        <f>'1'!E40</f>
        <v>1</v>
      </c>
      <c r="F40" s="43">
        <f>'1'!F40</f>
        <v>1</v>
      </c>
      <c r="G40" s="43">
        <f>'1'!G40</f>
        <v>0</v>
      </c>
      <c r="H40" s="43">
        <f>'1'!H40</f>
        <v>1</v>
      </c>
      <c r="I40" s="43">
        <f>'1'!I40</f>
        <v>0</v>
      </c>
      <c r="J40" s="43">
        <f>'1'!J40</f>
        <v>3</v>
      </c>
      <c r="K40" s="43">
        <f>'1'!K40</f>
        <v>3</v>
      </c>
      <c r="L40" s="43" t="str">
        <f>'1'!L40</f>
        <v>NA</v>
      </c>
      <c r="M40" s="43" t="str">
        <f>'1'!M40</f>
        <v>NA</v>
      </c>
      <c r="N40" s="43">
        <f>'1'!N40</f>
        <v>4</v>
      </c>
      <c r="O40" s="43">
        <f>'1'!O40</f>
        <v>1</v>
      </c>
      <c r="P40" s="216">
        <f>'2'!D40</f>
        <v>1</v>
      </c>
      <c r="Q40" s="216">
        <f>'2'!E40</f>
        <v>1</v>
      </c>
      <c r="R40" s="216">
        <f>'2'!F40</f>
        <v>0</v>
      </c>
      <c r="S40" s="216">
        <f>'2'!G40</f>
        <v>1</v>
      </c>
      <c r="T40" s="216">
        <f>'2'!H40</f>
        <v>1</v>
      </c>
      <c r="U40" s="216">
        <f>'2'!I40</f>
        <v>1</v>
      </c>
      <c r="V40" s="216">
        <f>'2'!J40</f>
        <v>4</v>
      </c>
      <c r="W40" s="216">
        <f>'2'!K40</f>
        <v>3</v>
      </c>
      <c r="X40" s="216">
        <f>'2'!L40</f>
        <v>3</v>
      </c>
      <c r="Y40" s="216">
        <f>'2'!M40</f>
        <v>0</v>
      </c>
      <c r="Z40" s="216" t="str">
        <f>'2'!N40</f>
        <v>NA</v>
      </c>
      <c r="AA40" s="216" t="str">
        <f>'2'!O40</f>
        <v>NA</v>
      </c>
      <c r="AB40" s="87">
        <f t="shared" si="1"/>
        <v>30</v>
      </c>
      <c r="AC40" s="87">
        <v>7.5</v>
      </c>
      <c r="AD40" s="87">
        <v>5.5</v>
      </c>
      <c r="AE40" s="87">
        <v>7.5</v>
      </c>
      <c r="AF40" s="87">
        <v>9</v>
      </c>
      <c r="AG40" s="87">
        <v>1.5</v>
      </c>
      <c r="AH40" s="87">
        <f t="shared" si="2"/>
        <v>31</v>
      </c>
      <c r="AI40" s="87">
        <v>10</v>
      </c>
      <c r="AJ40" s="87">
        <v>10</v>
      </c>
      <c r="AK40" s="87">
        <v>9</v>
      </c>
      <c r="AL40" s="87">
        <v>9</v>
      </c>
      <c r="AM40" s="87">
        <v>2</v>
      </c>
      <c r="AN40" s="7"/>
      <c r="AO40" s="96">
        <f t="shared" si="3"/>
        <v>75</v>
      </c>
      <c r="AP40" s="96">
        <f t="shared" si="3"/>
        <v>55.000000000000007</v>
      </c>
      <c r="AQ40" s="96">
        <f t="shared" si="3"/>
        <v>83.333333333333343</v>
      </c>
      <c r="AR40" s="96">
        <f t="shared" si="3"/>
        <v>100</v>
      </c>
      <c r="AS40" s="96">
        <f t="shared" si="3"/>
        <v>75</v>
      </c>
      <c r="AT40" s="7"/>
      <c r="AU40" s="7"/>
      <c r="AV40" s="8" t="b">
        <f t="shared" si="4"/>
        <v>0</v>
      </c>
      <c r="AW40" s="8" t="b">
        <f t="shared" si="5"/>
        <v>0</v>
      </c>
      <c r="AX40" s="8" t="b">
        <f t="shared" si="6"/>
        <v>1</v>
      </c>
      <c r="AY40" s="8" t="b">
        <f t="shared" si="7"/>
        <v>1</v>
      </c>
      <c r="AZ40" s="8" t="b">
        <f t="shared" si="8"/>
        <v>0</v>
      </c>
      <c r="BA40" s="8" t="b">
        <f t="shared" si="9"/>
        <v>0</v>
      </c>
      <c r="BB40" s="8">
        <f t="shared" si="10"/>
        <v>2</v>
      </c>
    </row>
    <row r="41" spans="1:54" ht="18" customHeight="1">
      <c r="A41" s="65">
        <v>22</v>
      </c>
      <c r="B41" s="43">
        <f>IF('1'!B41=0,"",'1'!B41)</f>
        <v>22</v>
      </c>
      <c r="C41" s="43" t="str">
        <f>IF('1'!C41=0,"",'1'!C41)</f>
        <v>1602-16-733-022</v>
      </c>
      <c r="D41" s="43">
        <f>'1'!D41</f>
        <v>0</v>
      </c>
      <c r="E41" s="43">
        <f>'1'!E41</f>
        <v>1</v>
      </c>
      <c r="F41" s="43">
        <f>'1'!F41</f>
        <v>1</v>
      </c>
      <c r="G41" s="43">
        <f>'1'!G41</f>
        <v>0</v>
      </c>
      <c r="H41" s="43">
        <f>'1'!H41</f>
        <v>1</v>
      </c>
      <c r="I41" s="43">
        <f>'1'!I41</f>
        <v>0</v>
      </c>
      <c r="J41" s="43">
        <f>'1'!J41</f>
        <v>4</v>
      </c>
      <c r="K41" s="43">
        <f>'1'!K41</f>
        <v>1</v>
      </c>
      <c r="L41" s="43" t="str">
        <f>'1'!L41</f>
        <v>NA</v>
      </c>
      <c r="M41" s="43" t="str">
        <f>'1'!M41</f>
        <v>NA</v>
      </c>
      <c r="N41" s="43">
        <f>'1'!N41</f>
        <v>4</v>
      </c>
      <c r="O41" s="43">
        <f>'1'!O41</f>
        <v>0</v>
      </c>
      <c r="P41" s="216">
        <f>'2'!D41</f>
        <v>0</v>
      </c>
      <c r="Q41" s="216">
        <f>'2'!E41</f>
        <v>0</v>
      </c>
      <c r="R41" s="216">
        <f>'2'!F41</f>
        <v>0</v>
      </c>
      <c r="S41" s="216">
        <f>'2'!G41</f>
        <v>1</v>
      </c>
      <c r="T41" s="216">
        <f>'2'!H41</f>
        <v>1</v>
      </c>
      <c r="U41" s="216">
        <f>'2'!I41</f>
        <v>0</v>
      </c>
      <c r="V41" s="216">
        <f>'2'!J41</f>
        <v>3</v>
      </c>
      <c r="W41" s="216">
        <f>'2'!K41</f>
        <v>2</v>
      </c>
      <c r="X41" s="216">
        <f>'2'!L41</f>
        <v>4</v>
      </c>
      <c r="Y41" s="216">
        <f>'2'!M41</f>
        <v>3</v>
      </c>
      <c r="Z41" s="216" t="str">
        <f>'2'!N41</f>
        <v>NA</v>
      </c>
      <c r="AA41" s="216" t="str">
        <f>'2'!O41</f>
        <v>NA</v>
      </c>
      <c r="AB41" s="87">
        <f t="shared" si="1"/>
        <v>26</v>
      </c>
      <c r="AC41" s="87">
        <v>10</v>
      </c>
      <c r="AD41" s="87">
        <v>5.5</v>
      </c>
      <c r="AE41" s="87">
        <v>7.5</v>
      </c>
      <c r="AF41" s="87">
        <v>8.5</v>
      </c>
      <c r="AG41" s="87">
        <v>1</v>
      </c>
      <c r="AH41" s="87">
        <f t="shared" si="2"/>
        <v>32.5</v>
      </c>
      <c r="AI41" s="87">
        <v>13</v>
      </c>
      <c r="AJ41" s="87">
        <v>7</v>
      </c>
      <c r="AK41" s="87">
        <v>9</v>
      </c>
      <c r="AL41" s="87">
        <v>9</v>
      </c>
      <c r="AM41" s="87">
        <v>2</v>
      </c>
      <c r="AN41" s="7"/>
      <c r="AO41" s="96">
        <f t="shared" si="3"/>
        <v>76.923076923076934</v>
      </c>
      <c r="AP41" s="96">
        <f t="shared" si="3"/>
        <v>78.571428571428569</v>
      </c>
      <c r="AQ41" s="96">
        <f t="shared" si="3"/>
        <v>83.333333333333343</v>
      </c>
      <c r="AR41" s="96">
        <f t="shared" si="3"/>
        <v>94.444444444444443</v>
      </c>
      <c r="AS41" s="96">
        <f t="shared" si="3"/>
        <v>50</v>
      </c>
      <c r="AT41" s="7"/>
      <c r="AU41" s="7"/>
      <c r="AV41" s="8" t="b">
        <f t="shared" si="4"/>
        <v>0</v>
      </c>
      <c r="AW41" s="8" t="b">
        <f t="shared" si="5"/>
        <v>0</v>
      </c>
      <c r="AX41" s="8" t="b">
        <f t="shared" si="6"/>
        <v>1</v>
      </c>
      <c r="AY41" s="8" t="b">
        <f t="shared" si="7"/>
        <v>1</v>
      </c>
      <c r="AZ41" s="8" t="b">
        <f t="shared" si="8"/>
        <v>0</v>
      </c>
      <c r="BA41" s="8" t="b">
        <f t="shared" si="9"/>
        <v>0</v>
      </c>
      <c r="BB41" s="8">
        <f t="shared" si="10"/>
        <v>2</v>
      </c>
    </row>
    <row r="42" spans="1:54" ht="18" customHeight="1">
      <c r="A42" s="65">
        <v>23</v>
      </c>
      <c r="B42" s="43">
        <f>IF('1'!B42=0,"",'1'!B42)</f>
        <v>23</v>
      </c>
      <c r="C42" s="43" t="str">
        <f>IF('1'!C42=0,"",'1'!C42)</f>
        <v>1602-16-733-023</v>
      </c>
      <c r="D42" s="43">
        <f>'1'!D42</f>
        <v>0</v>
      </c>
      <c r="E42" s="43">
        <f>'1'!E42</f>
        <v>0</v>
      </c>
      <c r="F42" s="43">
        <f>'1'!F42</f>
        <v>1</v>
      </c>
      <c r="G42" s="43">
        <f>'1'!G42</f>
        <v>0</v>
      </c>
      <c r="H42" s="43">
        <f>'1'!H42</f>
        <v>0</v>
      </c>
      <c r="I42" s="43">
        <f>'1'!I42</f>
        <v>1</v>
      </c>
      <c r="J42" s="43">
        <f>'1'!J42</f>
        <v>4</v>
      </c>
      <c r="K42" s="43">
        <f>'1'!K42</f>
        <v>3</v>
      </c>
      <c r="L42" s="43" t="str">
        <f>'1'!L42</f>
        <v>NA</v>
      </c>
      <c r="M42" s="43" t="str">
        <f>'1'!M42</f>
        <v>NA</v>
      </c>
      <c r="N42" s="43">
        <f>'1'!N42</f>
        <v>4</v>
      </c>
      <c r="O42" s="43">
        <f>'1'!O42</f>
        <v>2</v>
      </c>
      <c r="P42" s="216">
        <f>'2'!D42</f>
        <v>1</v>
      </c>
      <c r="Q42" s="216">
        <f>'2'!E42</f>
        <v>1</v>
      </c>
      <c r="R42" s="216">
        <f>'2'!F42</f>
        <v>0</v>
      </c>
      <c r="S42" s="216">
        <f>'2'!G42</f>
        <v>1</v>
      </c>
      <c r="T42" s="216">
        <f>'2'!H42</f>
        <v>1</v>
      </c>
      <c r="U42" s="216">
        <f>'2'!I42</f>
        <v>0</v>
      </c>
      <c r="V42" s="216">
        <f>'2'!J42</f>
        <v>4</v>
      </c>
      <c r="W42" s="216">
        <f>'2'!K42</f>
        <v>1</v>
      </c>
      <c r="X42" s="216">
        <f>'2'!L42</f>
        <v>4</v>
      </c>
      <c r="Y42" s="216">
        <f>'2'!M42</f>
        <v>3</v>
      </c>
      <c r="Z42" s="216" t="str">
        <f>'2'!N42</f>
        <v>NA</v>
      </c>
      <c r="AA42" s="216" t="str">
        <f>'2'!O42</f>
        <v>NA</v>
      </c>
      <c r="AB42" s="87">
        <f t="shared" si="1"/>
        <v>31</v>
      </c>
      <c r="AC42" s="87">
        <v>8.5</v>
      </c>
      <c r="AD42" s="87">
        <v>4</v>
      </c>
      <c r="AE42" s="87">
        <v>7.5</v>
      </c>
      <c r="AF42" s="87">
        <v>8.5</v>
      </c>
      <c r="AG42" s="87">
        <v>1</v>
      </c>
      <c r="AH42" s="87">
        <f t="shared" si="2"/>
        <v>29.5</v>
      </c>
      <c r="AI42" s="87">
        <v>10</v>
      </c>
      <c r="AJ42" s="87">
        <v>10</v>
      </c>
      <c r="AK42" s="87">
        <v>9</v>
      </c>
      <c r="AL42" s="87">
        <v>9</v>
      </c>
      <c r="AM42" s="87">
        <v>2</v>
      </c>
      <c r="AN42" s="7"/>
      <c r="AO42" s="96">
        <f t="shared" si="3"/>
        <v>85</v>
      </c>
      <c r="AP42" s="96">
        <f t="shared" si="3"/>
        <v>40</v>
      </c>
      <c r="AQ42" s="96">
        <f t="shared" si="3"/>
        <v>83.333333333333343</v>
      </c>
      <c r="AR42" s="96">
        <f t="shared" si="3"/>
        <v>94.444444444444443</v>
      </c>
      <c r="AS42" s="96">
        <f t="shared" si="3"/>
        <v>50</v>
      </c>
      <c r="AT42" s="7"/>
      <c r="AU42" s="7"/>
      <c r="AV42" s="8" t="b">
        <f t="shared" si="4"/>
        <v>0</v>
      </c>
      <c r="AW42" s="8" t="b">
        <f t="shared" si="5"/>
        <v>0</v>
      </c>
      <c r="AX42" s="8" t="b">
        <f t="shared" si="6"/>
        <v>1</v>
      </c>
      <c r="AY42" s="8" t="b">
        <f t="shared" si="7"/>
        <v>1</v>
      </c>
      <c r="AZ42" s="8" t="b">
        <f t="shared" si="8"/>
        <v>0</v>
      </c>
      <c r="BA42" s="8" t="b">
        <f t="shared" si="9"/>
        <v>0</v>
      </c>
      <c r="BB42" s="8">
        <f t="shared" si="10"/>
        <v>2</v>
      </c>
    </row>
    <row r="43" spans="1:54" ht="18" customHeight="1">
      <c r="A43" s="65">
        <v>24</v>
      </c>
      <c r="B43" s="43">
        <f>IF('1'!B43=0,"",'1'!B43)</f>
        <v>24</v>
      </c>
      <c r="C43" s="43" t="str">
        <f>IF('1'!C43=0,"",'1'!C43)</f>
        <v>1602-16-733-024</v>
      </c>
      <c r="D43" s="43">
        <f>'1'!D43</f>
        <v>0</v>
      </c>
      <c r="E43" s="43">
        <f>'1'!E43</f>
        <v>1</v>
      </c>
      <c r="F43" s="43">
        <f>'1'!F43</f>
        <v>1</v>
      </c>
      <c r="G43" s="43">
        <f>'1'!G43</f>
        <v>0</v>
      </c>
      <c r="H43" s="43">
        <f>'1'!H43</f>
        <v>1</v>
      </c>
      <c r="I43" s="43">
        <f>'1'!I43</f>
        <v>0</v>
      </c>
      <c r="J43" s="43">
        <f>'1'!J43</f>
        <v>4</v>
      </c>
      <c r="K43" s="43">
        <f>'1'!K43</f>
        <v>0</v>
      </c>
      <c r="L43" s="43" t="str">
        <f>'1'!L43</f>
        <v>NA</v>
      </c>
      <c r="M43" s="43" t="str">
        <f>'1'!M43</f>
        <v>NA</v>
      </c>
      <c r="N43" s="43">
        <f>'1'!N43</f>
        <v>4</v>
      </c>
      <c r="O43" s="43">
        <f>'1'!O43</f>
        <v>1</v>
      </c>
      <c r="P43" s="216">
        <f>'2'!D43</f>
        <v>0</v>
      </c>
      <c r="Q43" s="216">
        <f>'2'!E43</f>
        <v>0</v>
      </c>
      <c r="R43" s="216">
        <f>'2'!F43</f>
        <v>1</v>
      </c>
      <c r="S43" s="216">
        <f>'2'!G43</f>
        <v>1</v>
      </c>
      <c r="T43" s="216">
        <f>'2'!H43</f>
        <v>1</v>
      </c>
      <c r="U43" s="216">
        <f>'2'!I43</f>
        <v>1</v>
      </c>
      <c r="V43" s="216">
        <f>'2'!J43</f>
        <v>3</v>
      </c>
      <c r="W43" s="216">
        <f>'2'!K43</f>
        <v>1</v>
      </c>
      <c r="X43" s="216">
        <f>'2'!L43</f>
        <v>4</v>
      </c>
      <c r="Y43" s="216">
        <f>'2'!M43</f>
        <v>0</v>
      </c>
      <c r="Z43" s="216" t="str">
        <f>'2'!N43</f>
        <v>NA</v>
      </c>
      <c r="AA43" s="216" t="str">
        <f>'2'!O43</f>
        <v>NA</v>
      </c>
      <c r="AB43" s="87">
        <f t="shared" si="1"/>
        <v>24</v>
      </c>
      <c r="AC43" s="87">
        <v>12</v>
      </c>
      <c r="AD43" s="87">
        <v>1</v>
      </c>
      <c r="AE43" s="87">
        <v>8</v>
      </c>
      <c r="AF43" s="87">
        <v>3</v>
      </c>
      <c r="AG43" s="87">
        <v>0.5</v>
      </c>
      <c r="AH43" s="87">
        <f t="shared" si="2"/>
        <v>24.5</v>
      </c>
      <c r="AI43" s="87">
        <v>13</v>
      </c>
      <c r="AJ43" s="87">
        <v>7</v>
      </c>
      <c r="AK43" s="87">
        <v>9</v>
      </c>
      <c r="AL43" s="87">
        <v>9</v>
      </c>
      <c r="AM43" s="87">
        <v>2</v>
      </c>
      <c r="AN43" s="7"/>
      <c r="AO43" s="96">
        <f t="shared" si="3"/>
        <v>92.307692307692307</v>
      </c>
      <c r="AP43" s="96">
        <f t="shared" si="3"/>
        <v>14.285714285714285</v>
      </c>
      <c r="AQ43" s="96">
        <f t="shared" si="3"/>
        <v>88.888888888888886</v>
      </c>
      <c r="AR43" s="96">
        <f t="shared" si="3"/>
        <v>33.333333333333329</v>
      </c>
      <c r="AS43" s="96">
        <f t="shared" si="3"/>
        <v>25</v>
      </c>
      <c r="AT43" s="7"/>
      <c r="AU43" s="7"/>
      <c r="AV43" s="8" t="b">
        <f t="shared" si="4"/>
        <v>0</v>
      </c>
      <c r="AW43" s="8" t="b">
        <f t="shared" si="5"/>
        <v>0</v>
      </c>
      <c r="AX43" s="8" t="b">
        <f t="shared" si="6"/>
        <v>1</v>
      </c>
      <c r="AY43" s="8" t="b">
        <f t="shared" si="7"/>
        <v>1</v>
      </c>
      <c r="AZ43" s="8" t="b">
        <f t="shared" si="8"/>
        <v>0</v>
      </c>
      <c r="BA43" s="8" t="b">
        <f t="shared" si="9"/>
        <v>0</v>
      </c>
      <c r="BB43" s="8">
        <f t="shared" si="10"/>
        <v>2</v>
      </c>
    </row>
    <row r="44" spans="1:54" ht="18" customHeight="1">
      <c r="A44" s="65">
        <v>25</v>
      </c>
      <c r="B44" s="43">
        <f>IF('1'!B44=0,"",'1'!B44)</f>
        <v>25</v>
      </c>
      <c r="C44" s="43" t="str">
        <f>IF('1'!C44=0,"",'1'!C44)</f>
        <v>1602-16-733-025</v>
      </c>
      <c r="D44" s="43">
        <f>'1'!D44</f>
        <v>1</v>
      </c>
      <c r="E44" s="43">
        <f>'1'!E44</f>
        <v>1</v>
      </c>
      <c r="F44" s="43">
        <f>'1'!F44</f>
        <v>1</v>
      </c>
      <c r="G44" s="43">
        <f>'1'!G44</f>
        <v>1</v>
      </c>
      <c r="H44" s="43">
        <f>'1'!H44</f>
        <v>1</v>
      </c>
      <c r="I44" s="43">
        <f>'1'!I44</f>
        <v>1</v>
      </c>
      <c r="J44" s="43">
        <f>'1'!J44</f>
        <v>4</v>
      </c>
      <c r="K44" s="43">
        <f>'1'!K44</f>
        <v>3</v>
      </c>
      <c r="L44" s="43">
        <f>'1'!L44</f>
        <v>3</v>
      </c>
      <c r="M44" s="43">
        <f>'1'!M44</f>
        <v>3</v>
      </c>
      <c r="N44" s="43" t="str">
        <f>'1'!N44</f>
        <v>NA</v>
      </c>
      <c r="O44" s="43" t="str">
        <f>'1'!O44</f>
        <v>NA</v>
      </c>
      <c r="P44" s="216">
        <f>'2'!D44</f>
        <v>1</v>
      </c>
      <c r="Q44" s="216">
        <f>'2'!E44</f>
        <v>1</v>
      </c>
      <c r="R44" s="216">
        <f>'2'!F44</f>
        <v>1</v>
      </c>
      <c r="S44" s="216">
        <f>'2'!G44</f>
        <v>1</v>
      </c>
      <c r="T44" s="216">
        <f>'2'!H44</f>
        <v>1</v>
      </c>
      <c r="U44" s="216">
        <f>'2'!I44</f>
        <v>1</v>
      </c>
      <c r="V44" s="216">
        <f>'2'!J44</f>
        <v>4</v>
      </c>
      <c r="W44" s="216">
        <f>'2'!K44</f>
        <v>3</v>
      </c>
      <c r="X44" s="216">
        <f>'2'!L44</f>
        <v>3</v>
      </c>
      <c r="Y44" s="216">
        <f>'2'!M44</f>
        <v>3</v>
      </c>
      <c r="Z44" s="216" t="str">
        <f>'2'!N44</f>
        <v>NA</v>
      </c>
      <c r="AA44" s="216" t="str">
        <f>'2'!O44</f>
        <v>NA</v>
      </c>
      <c r="AB44" s="87">
        <f t="shared" si="1"/>
        <v>38</v>
      </c>
      <c r="AC44" s="87">
        <v>7.5</v>
      </c>
      <c r="AD44" s="87">
        <v>5.5</v>
      </c>
      <c r="AE44" s="87">
        <v>8</v>
      </c>
      <c r="AF44" s="87">
        <v>9</v>
      </c>
      <c r="AG44" s="87">
        <v>1.5</v>
      </c>
      <c r="AH44" s="87">
        <f t="shared" si="2"/>
        <v>31.5</v>
      </c>
      <c r="AI44" s="87">
        <v>10</v>
      </c>
      <c r="AJ44" s="87">
        <v>10</v>
      </c>
      <c r="AK44" s="87">
        <v>9</v>
      </c>
      <c r="AL44" s="87">
        <v>9</v>
      </c>
      <c r="AM44" s="87">
        <v>2</v>
      </c>
      <c r="AN44" s="7"/>
      <c r="AO44" s="96">
        <f t="shared" si="3"/>
        <v>75</v>
      </c>
      <c r="AP44" s="96">
        <f t="shared" si="3"/>
        <v>55.000000000000007</v>
      </c>
      <c r="AQ44" s="96">
        <f t="shared" si="3"/>
        <v>88.888888888888886</v>
      </c>
      <c r="AR44" s="96">
        <f t="shared" si="3"/>
        <v>100</v>
      </c>
      <c r="AS44" s="96">
        <f t="shared" si="3"/>
        <v>75</v>
      </c>
      <c r="AT44" s="7"/>
      <c r="AU44" s="7"/>
      <c r="AV44" s="8" t="b">
        <f t="shared" si="4"/>
        <v>0</v>
      </c>
      <c r="AW44" s="8" t="b">
        <f t="shared" si="5"/>
        <v>0</v>
      </c>
      <c r="AX44" s="8" t="b">
        <f t="shared" si="6"/>
        <v>0</v>
      </c>
      <c r="AY44" s="8" t="b">
        <f t="shared" si="7"/>
        <v>0</v>
      </c>
      <c r="AZ44" s="8" t="b">
        <f t="shared" si="8"/>
        <v>1</v>
      </c>
      <c r="BA44" s="8" t="b">
        <f t="shared" si="9"/>
        <v>1</v>
      </c>
      <c r="BB44" s="8">
        <f t="shared" si="10"/>
        <v>2</v>
      </c>
    </row>
    <row r="45" spans="1:54" ht="18" customHeight="1">
      <c r="A45" s="65">
        <v>26</v>
      </c>
      <c r="B45" s="43">
        <f>IF('1'!B45=0,"",'1'!B45)</f>
        <v>26</v>
      </c>
      <c r="C45" s="43" t="str">
        <f>IF('1'!C45=0,"",'1'!C45)</f>
        <v>1602-16-733-026</v>
      </c>
      <c r="D45" s="43">
        <f>'1'!D45</f>
        <v>0</v>
      </c>
      <c r="E45" s="43">
        <f>'1'!E45</f>
        <v>1</v>
      </c>
      <c r="F45" s="43">
        <f>'1'!F45</f>
        <v>1</v>
      </c>
      <c r="G45" s="43">
        <f>'1'!G45</f>
        <v>0</v>
      </c>
      <c r="H45" s="43">
        <f>'1'!H45</f>
        <v>1</v>
      </c>
      <c r="I45" s="43">
        <f>'1'!I45</f>
        <v>1</v>
      </c>
      <c r="J45" s="43">
        <f>'1'!J45</f>
        <v>4</v>
      </c>
      <c r="K45" s="43">
        <f>'1'!K45</f>
        <v>2</v>
      </c>
      <c r="L45" s="43">
        <f>'1'!L45</f>
        <v>4</v>
      </c>
      <c r="M45" s="43">
        <f>'1'!M45</f>
        <v>3</v>
      </c>
      <c r="N45" s="43" t="str">
        <f>'1'!N45</f>
        <v>NA</v>
      </c>
      <c r="O45" s="43" t="str">
        <f>'1'!O45</f>
        <v>NA</v>
      </c>
      <c r="P45" s="216">
        <f>'2'!D45</f>
        <v>1</v>
      </c>
      <c r="Q45" s="216">
        <f>'2'!E45</f>
        <v>1</v>
      </c>
      <c r="R45" s="216">
        <f>'2'!F45</f>
        <v>0</v>
      </c>
      <c r="S45" s="216">
        <f>'2'!G45</f>
        <v>1</v>
      </c>
      <c r="T45" s="216">
        <f>'2'!H45</f>
        <v>1</v>
      </c>
      <c r="U45" s="216">
        <f>'2'!I45</f>
        <v>1</v>
      </c>
      <c r="V45" s="216">
        <f>'2'!J45</f>
        <v>4</v>
      </c>
      <c r="W45" s="216">
        <f>'2'!K45</f>
        <v>3</v>
      </c>
      <c r="X45" s="216">
        <f>'2'!L45</f>
        <v>4</v>
      </c>
      <c r="Y45" s="216">
        <f>'2'!M45</f>
        <v>3</v>
      </c>
      <c r="Z45" s="216" t="str">
        <f>'2'!N45</f>
        <v>NA</v>
      </c>
      <c r="AA45" s="216" t="str">
        <f>'2'!O45</f>
        <v>NA</v>
      </c>
      <c r="AB45" s="87">
        <f t="shared" si="1"/>
        <v>36</v>
      </c>
      <c r="AC45" s="87">
        <v>4.5</v>
      </c>
      <c r="AD45" s="87">
        <v>6</v>
      </c>
      <c r="AE45" s="87">
        <v>4.5</v>
      </c>
      <c r="AF45" s="87">
        <v>7</v>
      </c>
      <c r="AG45" s="87">
        <v>2</v>
      </c>
      <c r="AH45" s="87">
        <f t="shared" si="2"/>
        <v>24</v>
      </c>
      <c r="AI45" s="87">
        <v>6</v>
      </c>
      <c r="AJ45" s="87">
        <v>14</v>
      </c>
      <c r="AK45" s="87">
        <v>9</v>
      </c>
      <c r="AL45" s="87">
        <v>9</v>
      </c>
      <c r="AM45" s="87">
        <v>2</v>
      </c>
      <c r="AN45" s="7"/>
      <c r="AO45" s="96">
        <f t="shared" si="3"/>
        <v>75</v>
      </c>
      <c r="AP45" s="96">
        <f t="shared" si="3"/>
        <v>42.857142857142854</v>
      </c>
      <c r="AQ45" s="96">
        <f t="shared" si="3"/>
        <v>50</v>
      </c>
      <c r="AR45" s="96">
        <f t="shared" si="3"/>
        <v>77.777777777777786</v>
      </c>
      <c r="AS45" s="96">
        <f t="shared" si="3"/>
        <v>100</v>
      </c>
      <c r="AT45" s="7"/>
      <c r="AU45" s="7"/>
      <c r="AV45" s="8" t="b">
        <f t="shared" si="4"/>
        <v>0</v>
      </c>
      <c r="AW45" s="8" t="b">
        <f t="shared" si="5"/>
        <v>0</v>
      </c>
      <c r="AX45" s="8" t="b">
        <f t="shared" si="6"/>
        <v>0</v>
      </c>
      <c r="AY45" s="8" t="b">
        <f t="shared" si="7"/>
        <v>0</v>
      </c>
      <c r="AZ45" s="8" t="b">
        <f t="shared" si="8"/>
        <v>1</v>
      </c>
      <c r="BA45" s="8" t="b">
        <f t="shared" si="9"/>
        <v>1</v>
      </c>
      <c r="BB45" s="8">
        <f t="shared" si="10"/>
        <v>2</v>
      </c>
    </row>
    <row r="46" spans="1:54" ht="18" customHeight="1">
      <c r="A46" s="65">
        <v>27</v>
      </c>
      <c r="B46" s="43">
        <f>IF('1'!B46=0,"",'1'!B46)</f>
        <v>27</v>
      </c>
      <c r="C46" s="43" t="str">
        <f>IF('1'!C46=0,"",'1'!C46)</f>
        <v>1602-16-733-027</v>
      </c>
      <c r="D46" s="43">
        <f>'1'!D46</f>
        <v>0</v>
      </c>
      <c r="E46" s="43">
        <f>'1'!E46</f>
        <v>1</v>
      </c>
      <c r="F46" s="43">
        <f>'1'!F46</f>
        <v>1</v>
      </c>
      <c r="G46" s="43">
        <f>'1'!G46</f>
        <v>1</v>
      </c>
      <c r="H46" s="43">
        <f>'1'!H46</f>
        <v>0</v>
      </c>
      <c r="I46" s="43">
        <f>'1'!I46</f>
        <v>1</v>
      </c>
      <c r="J46" s="43">
        <f>'1'!J46</f>
        <v>4</v>
      </c>
      <c r="K46" s="43">
        <f>'1'!K46</f>
        <v>3</v>
      </c>
      <c r="L46" s="43" t="str">
        <f>'1'!L46</f>
        <v>NA</v>
      </c>
      <c r="M46" s="43" t="str">
        <f>'1'!M46</f>
        <v>NA</v>
      </c>
      <c r="N46" s="43">
        <f>'1'!N46</f>
        <v>4</v>
      </c>
      <c r="O46" s="43">
        <f>'1'!O46</f>
        <v>1</v>
      </c>
      <c r="P46" s="216">
        <f>'2'!D46</f>
        <v>1</v>
      </c>
      <c r="Q46" s="216">
        <f>'2'!E46</f>
        <v>1</v>
      </c>
      <c r="R46" s="216">
        <f>'2'!F46</f>
        <v>1</v>
      </c>
      <c r="S46" s="216">
        <f>'2'!G46</f>
        <v>1</v>
      </c>
      <c r="T46" s="216">
        <f>'2'!H46</f>
        <v>1</v>
      </c>
      <c r="U46" s="216">
        <f>'2'!I46</f>
        <v>1</v>
      </c>
      <c r="V46" s="216">
        <f>'2'!J46</f>
        <v>3</v>
      </c>
      <c r="W46" s="216">
        <f>'2'!K46</f>
        <v>3</v>
      </c>
      <c r="X46" s="216">
        <f>'2'!L46</f>
        <v>4</v>
      </c>
      <c r="Y46" s="216">
        <f>'2'!M46</f>
        <v>3</v>
      </c>
      <c r="Z46" s="216" t="str">
        <f>'2'!N46</f>
        <v>NA</v>
      </c>
      <c r="AA46" s="216" t="str">
        <f>'2'!O46</f>
        <v>NA</v>
      </c>
      <c r="AB46" s="87">
        <f t="shared" si="1"/>
        <v>35</v>
      </c>
      <c r="AC46" s="87">
        <v>2.5</v>
      </c>
      <c r="AD46" s="87">
        <v>2</v>
      </c>
      <c r="AE46" s="87">
        <v>3.5</v>
      </c>
      <c r="AF46" s="87">
        <v>5.5</v>
      </c>
      <c r="AG46" s="87">
        <v>0</v>
      </c>
      <c r="AH46" s="87">
        <f t="shared" si="2"/>
        <v>13.5</v>
      </c>
      <c r="AI46" s="87">
        <v>13</v>
      </c>
      <c r="AJ46" s="87">
        <v>7</v>
      </c>
      <c r="AK46" s="87">
        <v>9</v>
      </c>
      <c r="AL46" s="87">
        <v>9</v>
      </c>
      <c r="AM46" s="87">
        <v>2</v>
      </c>
      <c r="AN46" s="7"/>
      <c r="AO46" s="96">
        <f t="shared" si="3"/>
        <v>19.230769230769234</v>
      </c>
      <c r="AP46" s="96">
        <f t="shared" si="3"/>
        <v>28.571428571428569</v>
      </c>
      <c r="AQ46" s="96">
        <f t="shared" si="3"/>
        <v>38.888888888888893</v>
      </c>
      <c r="AR46" s="96">
        <f t="shared" si="3"/>
        <v>61.111111111111114</v>
      </c>
      <c r="AS46" s="96">
        <f t="shared" si="3"/>
        <v>0</v>
      </c>
      <c r="AT46" s="7"/>
      <c r="AU46" s="7"/>
      <c r="AV46" s="8" t="b">
        <f t="shared" si="4"/>
        <v>0</v>
      </c>
      <c r="AW46" s="8" t="b">
        <f t="shared" si="5"/>
        <v>0</v>
      </c>
      <c r="AX46" s="8" t="b">
        <f t="shared" si="6"/>
        <v>1</v>
      </c>
      <c r="AY46" s="8" t="b">
        <f t="shared" si="7"/>
        <v>1</v>
      </c>
      <c r="AZ46" s="8" t="b">
        <f t="shared" si="8"/>
        <v>0</v>
      </c>
      <c r="BA46" s="8" t="b">
        <f t="shared" si="9"/>
        <v>0</v>
      </c>
      <c r="BB46" s="8">
        <f t="shared" si="10"/>
        <v>2</v>
      </c>
    </row>
    <row r="47" spans="1:54" ht="18" customHeight="1">
      <c r="A47" s="65">
        <v>28</v>
      </c>
      <c r="B47" s="43">
        <f>IF('1'!B47=0,"",'1'!B47)</f>
        <v>28</v>
      </c>
      <c r="C47" s="43" t="str">
        <f>IF('1'!C47=0,"",'1'!C47)</f>
        <v>1602-16-733-028</v>
      </c>
      <c r="D47" s="43">
        <f>'1'!D47</f>
        <v>0</v>
      </c>
      <c r="E47" s="43">
        <f>'1'!E47</f>
        <v>1</v>
      </c>
      <c r="F47" s="43">
        <f>'1'!F47</f>
        <v>0</v>
      </c>
      <c r="G47" s="43">
        <f>'1'!G47</f>
        <v>0</v>
      </c>
      <c r="H47" s="43">
        <f>'1'!H47</f>
        <v>0</v>
      </c>
      <c r="I47" s="43">
        <f>'1'!I47</f>
        <v>1</v>
      </c>
      <c r="J47" s="43">
        <f>'1'!J47</f>
        <v>3</v>
      </c>
      <c r="K47" s="43">
        <f>'1'!K47</f>
        <v>3</v>
      </c>
      <c r="L47" s="43" t="str">
        <f>'1'!L47</f>
        <v>NA</v>
      </c>
      <c r="M47" s="43" t="str">
        <f>'1'!M47</f>
        <v>NA</v>
      </c>
      <c r="N47" s="43">
        <f>'1'!N47</f>
        <v>4</v>
      </c>
      <c r="O47" s="43">
        <f>'1'!O47</f>
        <v>2</v>
      </c>
      <c r="P47" s="216">
        <f>'2'!D47</f>
        <v>0</v>
      </c>
      <c r="Q47" s="216">
        <f>'2'!E47</f>
        <v>1</v>
      </c>
      <c r="R47" s="216">
        <f>'2'!F47</f>
        <v>0</v>
      </c>
      <c r="S47" s="216">
        <f>'2'!G47</f>
        <v>1</v>
      </c>
      <c r="T47" s="216">
        <f>'2'!H47</f>
        <v>1</v>
      </c>
      <c r="U47" s="216">
        <f>'2'!I47</f>
        <v>0</v>
      </c>
      <c r="V47" s="216">
        <f>'2'!J47</f>
        <v>3</v>
      </c>
      <c r="W47" s="216">
        <f>'2'!K47</f>
        <v>1</v>
      </c>
      <c r="X47" s="216">
        <f>'2'!L47</f>
        <v>3</v>
      </c>
      <c r="Y47" s="216">
        <f>'2'!M47</f>
        <v>2</v>
      </c>
      <c r="Z47" s="216" t="str">
        <f>'2'!N47</f>
        <v>NA</v>
      </c>
      <c r="AA47" s="216" t="str">
        <f>'2'!O47</f>
        <v>NA</v>
      </c>
      <c r="AB47" s="87">
        <f t="shared" si="1"/>
        <v>26</v>
      </c>
      <c r="AC47" s="87">
        <v>5</v>
      </c>
      <c r="AD47" s="87">
        <v>3</v>
      </c>
      <c r="AE47" s="87">
        <v>5.5</v>
      </c>
      <c r="AF47" s="87">
        <v>4</v>
      </c>
      <c r="AG47" s="87">
        <v>1.5</v>
      </c>
      <c r="AH47" s="87">
        <f t="shared" si="2"/>
        <v>19</v>
      </c>
      <c r="AI47" s="87">
        <v>13</v>
      </c>
      <c r="AJ47" s="87">
        <v>7</v>
      </c>
      <c r="AK47" s="87">
        <v>9</v>
      </c>
      <c r="AL47" s="87">
        <v>9</v>
      </c>
      <c r="AM47" s="87">
        <v>2</v>
      </c>
      <c r="AN47" s="7"/>
      <c r="AO47" s="96">
        <f t="shared" si="3"/>
        <v>38.461538461538467</v>
      </c>
      <c r="AP47" s="96">
        <f t="shared" si="3"/>
        <v>42.857142857142854</v>
      </c>
      <c r="AQ47" s="96">
        <f t="shared" si="3"/>
        <v>61.111111111111114</v>
      </c>
      <c r="AR47" s="96">
        <f t="shared" si="3"/>
        <v>44.444444444444443</v>
      </c>
      <c r="AS47" s="96">
        <f t="shared" si="3"/>
        <v>75</v>
      </c>
      <c r="AT47" s="7"/>
      <c r="AU47" s="7"/>
      <c r="AV47" s="8" t="b">
        <f t="shared" si="4"/>
        <v>0</v>
      </c>
      <c r="AW47" s="8" t="b">
        <f t="shared" si="5"/>
        <v>0</v>
      </c>
      <c r="AX47" s="8" t="b">
        <f t="shared" si="6"/>
        <v>1</v>
      </c>
      <c r="AY47" s="8" t="b">
        <f t="shared" si="7"/>
        <v>1</v>
      </c>
      <c r="AZ47" s="8" t="b">
        <f t="shared" si="8"/>
        <v>0</v>
      </c>
      <c r="BA47" s="8" t="b">
        <f t="shared" si="9"/>
        <v>0</v>
      </c>
      <c r="BB47" s="8">
        <f t="shared" si="10"/>
        <v>2</v>
      </c>
    </row>
    <row r="48" spans="1:54" ht="18" customHeight="1">
      <c r="A48" s="65">
        <v>29</v>
      </c>
      <c r="B48" s="43">
        <f>IF('1'!B48=0,"",'1'!B48)</f>
        <v>29</v>
      </c>
      <c r="C48" s="43" t="str">
        <f>IF('1'!C48=0,"",'1'!C48)</f>
        <v>1602-16-733-029</v>
      </c>
      <c r="D48" s="43">
        <f>'1'!D48</f>
        <v>1</v>
      </c>
      <c r="E48" s="43">
        <f>'1'!E48</f>
        <v>1</v>
      </c>
      <c r="F48" s="43">
        <f>'1'!F48</f>
        <v>1</v>
      </c>
      <c r="G48" s="43">
        <f>'1'!G48</f>
        <v>1</v>
      </c>
      <c r="H48" s="43">
        <f>'1'!H48</f>
        <v>1</v>
      </c>
      <c r="I48" s="43">
        <f>'1'!I48</f>
        <v>1</v>
      </c>
      <c r="J48" s="43">
        <f>'1'!J48</f>
        <v>4</v>
      </c>
      <c r="K48" s="43">
        <f>'1'!K48</f>
        <v>2</v>
      </c>
      <c r="L48" s="43" t="str">
        <f>'1'!L48</f>
        <v>NA</v>
      </c>
      <c r="M48" s="43" t="str">
        <f>'1'!M48</f>
        <v>NA</v>
      </c>
      <c r="N48" s="43">
        <f>'1'!N48</f>
        <v>4</v>
      </c>
      <c r="O48" s="43">
        <f>'1'!O48</f>
        <v>3</v>
      </c>
      <c r="P48" s="216">
        <f>'2'!D48</f>
        <v>1</v>
      </c>
      <c r="Q48" s="216">
        <f>'2'!E48</f>
        <v>1</v>
      </c>
      <c r="R48" s="216">
        <f>'2'!F48</f>
        <v>1</v>
      </c>
      <c r="S48" s="216">
        <f>'2'!G48</f>
        <v>1</v>
      </c>
      <c r="T48" s="216">
        <f>'2'!H48</f>
        <v>1</v>
      </c>
      <c r="U48" s="216">
        <f>'2'!I48</f>
        <v>1</v>
      </c>
      <c r="V48" s="216">
        <f>'2'!J48</f>
        <v>4</v>
      </c>
      <c r="W48" s="216">
        <f>'2'!K48</f>
        <v>3</v>
      </c>
      <c r="X48" s="216" t="str">
        <f>'2'!L48</f>
        <v>NA</v>
      </c>
      <c r="Y48" s="216" t="str">
        <f>'2'!M48</f>
        <v>NA</v>
      </c>
      <c r="Z48" s="216">
        <f>'2'!N48</f>
        <v>3</v>
      </c>
      <c r="AA48" s="216">
        <f>'2'!O48</f>
        <v>3</v>
      </c>
      <c r="AB48" s="87">
        <f t="shared" si="1"/>
        <v>38</v>
      </c>
      <c r="AC48" s="87">
        <v>6</v>
      </c>
      <c r="AD48" s="87">
        <v>3.5</v>
      </c>
      <c r="AE48" s="87">
        <v>5</v>
      </c>
      <c r="AF48" s="87">
        <v>9</v>
      </c>
      <c r="AG48" s="87">
        <v>2</v>
      </c>
      <c r="AH48" s="87">
        <f t="shared" si="2"/>
        <v>25.5</v>
      </c>
      <c r="AI48" s="87">
        <v>13</v>
      </c>
      <c r="AJ48" s="87">
        <v>7</v>
      </c>
      <c r="AK48" s="87">
        <v>9</v>
      </c>
      <c r="AL48" s="87">
        <v>9</v>
      </c>
      <c r="AM48" s="87">
        <v>2</v>
      </c>
      <c r="AN48" s="7"/>
      <c r="AO48" s="96">
        <f t="shared" si="3"/>
        <v>46.153846153846153</v>
      </c>
      <c r="AP48" s="96">
        <f t="shared" si="3"/>
        <v>50</v>
      </c>
      <c r="AQ48" s="96">
        <f t="shared" si="3"/>
        <v>55.555555555555557</v>
      </c>
      <c r="AR48" s="96">
        <f t="shared" si="3"/>
        <v>100</v>
      </c>
      <c r="AS48" s="96">
        <f t="shared" si="3"/>
        <v>100</v>
      </c>
      <c r="AT48" s="7"/>
      <c r="AU48" s="7"/>
      <c r="AV48" s="8" t="b">
        <f t="shared" si="4"/>
        <v>0</v>
      </c>
      <c r="AW48" s="8" t="b">
        <f t="shared" si="5"/>
        <v>0</v>
      </c>
      <c r="AX48" s="8" t="b">
        <f t="shared" si="6"/>
        <v>1</v>
      </c>
      <c r="AY48" s="8" t="b">
        <f t="shared" si="7"/>
        <v>1</v>
      </c>
      <c r="AZ48" s="8" t="b">
        <f t="shared" si="8"/>
        <v>0</v>
      </c>
      <c r="BA48" s="8" t="b">
        <f t="shared" si="9"/>
        <v>0</v>
      </c>
      <c r="BB48" s="8">
        <f t="shared" si="10"/>
        <v>2</v>
      </c>
    </row>
    <row r="49" spans="1:54" ht="18" customHeight="1">
      <c r="A49" s="65">
        <v>30</v>
      </c>
      <c r="B49" s="43">
        <f>IF('1'!B49=0,"",'1'!B49)</f>
        <v>30</v>
      </c>
      <c r="C49" s="43" t="str">
        <f>IF('1'!C49=0,"",'1'!C49)</f>
        <v>1602-16-733-030</v>
      </c>
      <c r="D49" s="43">
        <f>'1'!D49</f>
        <v>1</v>
      </c>
      <c r="E49" s="43">
        <f>'1'!E49</f>
        <v>1</v>
      </c>
      <c r="F49" s="43">
        <f>'1'!F49</f>
        <v>1</v>
      </c>
      <c r="G49" s="43">
        <f>'1'!G49</f>
        <v>1</v>
      </c>
      <c r="H49" s="43">
        <f>'1'!H49</f>
        <v>1</v>
      </c>
      <c r="I49" s="43">
        <f>'1'!I49</f>
        <v>1</v>
      </c>
      <c r="J49" s="43">
        <f>'1'!J49</f>
        <v>4</v>
      </c>
      <c r="K49" s="43">
        <f>'1'!K49</f>
        <v>3</v>
      </c>
      <c r="L49" s="43">
        <f>'1'!L49</f>
        <v>4</v>
      </c>
      <c r="M49" s="43">
        <f>'1'!M49</f>
        <v>3</v>
      </c>
      <c r="N49" s="43" t="str">
        <f>'1'!N49</f>
        <v>NA</v>
      </c>
      <c r="O49" s="43" t="str">
        <f>'1'!O49</f>
        <v>NA</v>
      </c>
      <c r="P49" s="216">
        <f>'2'!D49</f>
        <v>1</v>
      </c>
      <c r="Q49" s="216">
        <f>'2'!E49</f>
        <v>1</v>
      </c>
      <c r="R49" s="216">
        <f>'2'!F49</f>
        <v>1</v>
      </c>
      <c r="S49" s="216">
        <f>'2'!G49</f>
        <v>1</v>
      </c>
      <c r="T49" s="216">
        <f>'2'!H49</f>
        <v>1</v>
      </c>
      <c r="U49" s="216">
        <f>'2'!I49</f>
        <v>1</v>
      </c>
      <c r="V49" s="216">
        <f>'2'!J49</f>
        <v>4</v>
      </c>
      <c r="W49" s="216">
        <f>'2'!K49</f>
        <v>3</v>
      </c>
      <c r="X49" s="216">
        <f>'2'!L49</f>
        <v>4</v>
      </c>
      <c r="Y49" s="216">
        <f>'2'!M49</f>
        <v>3</v>
      </c>
      <c r="Z49" s="216" t="str">
        <f>'2'!N49</f>
        <v>NA</v>
      </c>
      <c r="AA49" s="216" t="str">
        <f>'2'!O49</f>
        <v>NA</v>
      </c>
      <c r="AB49" s="87">
        <f t="shared" si="1"/>
        <v>40</v>
      </c>
      <c r="AC49" s="87">
        <v>9</v>
      </c>
      <c r="AD49" s="87">
        <v>7.5</v>
      </c>
      <c r="AE49" s="87">
        <v>0.5</v>
      </c>
      <c r="AF49" s="87">
        <v>8</v>
      </c>
      <c r="AG49" s="87">
        <v>7.5</v>
      </c>
      <c r="AH49" s="87">
        <f t="shared" si="2"/>
        <v>32.5</v>
      </c>
      <c r="AI49" s="87">
        <v>10</v>
      </c>
      <c r="AJ49" s="87">
        <v>10</v>
      </c>
      <c r="AK49" s="87">
        <v>2</v>
      </c>
      <c r="AL49" s="87">
        <v>9</v>
      </c>
      <c r="AM49" s="87">
        <v>9</v>
      </c>
      <c r="AN49" s="7"/>
      <c r="AO49" s="96">
        <f t="shared" si="3"/>
        <v>90</v>
      </c>
      <c r="AP49" s="96">
        <f t="shared" si="3"/>
        <v>75</v>
      </c>
      <c r="AQ49" s="96">
        <f t="shared" si="3"/>
        <v>25</v>
      </c>
      <c r="AR49" s="96">
        <f t="shared" si="3"/>
        <v>88.888888888888886</v>
      </c>
      <c r="AS49" s="96">
        <f t="shared" si="3"/>
        <v>83.333333333333343</v>
      </c>
      <c r="AT49" s="7"/>
      <c r="AU49" s="7"/>
      <c r="AV49" s="8" t="b">
        <f t="shared" si="4"/>
        <v>0</v>
      </c>
      <c r="AW49" s="8" t="b">
        <f t="shared" si="5"/>
        <v>0</v>
      </c>
      <c r="AX49" s="8" t="b">
        <f t="shared" si="6"/>
        <v>0</v>
      </c>
      <c r="AY49" s="8" t="b">
        <f t="shared" si="7"/>
        <v>0</v>
      </c>
      <c r="AZ49" s="8" t="b">
        <f t="shared" si="8"/>
        <v>1</v>
      </c>
      <c r="BA49" s="8" t="b">
        <f t="shared" si="9"/>
        <v>1</v>
      </c>
      <c r="BB49" s="8">
        <f t="shared" si="10"/>
        <v>2</v>
      </c>
    </row>
    <row r="50" spans="1:54" ht="18" customHeight="1">
      <c r="A50" s="65">
        <v>31</v>
      </c>
      <c r="B50" s="43">
        <f>IF('1'!B50=0,"",'1'!B50)</f>
        <v>31</v>
      </c>
      <c r="C50" s="43" t="str">
        <f>IF('1'!C50=0,"",'1'!C50)</f>
        <v>1602-16-733-031</v>
      </c>
      <c r="D50" s="43">
        <f>'1'!D50</f>
        <v>0</v>
      </c>
      <c r="E50" s="43">
        <f>'1'!E50</f>
        <v>1</v>
      </c>
      <c r="F50" s="43">
        <f>'1'!F50</f>
        <v>0</v>
      </c>
      <c r="G50" s="43">
        <f>'1'!G50</f>
        <v>0</v>
      </c>
      <c r="H50" s="43">
        <f>'1'!H50</f>
        <v>0</v>
      </c>
      <c r="I50" s="43">
        <f>'1'!I50</f>
        <v>1</v>
      </c>
      <c r="J50" s="43">
        <f>'1'!J50</f>
        <v>4</v>
      </c>
      <c r="K50" s="43">
        <f>'1'!K50</f>
        <v>0</v>
      </c>
      <c r="L50" s="43">
        <f>'1'!L50</f>
        <v>3</v>
      </c>
      <c r="M50" s="43">
        <f>'1'!M50</f>
        <v>3</v>
      </c>
      <c r="N50" s="43" t="str">
        <f>'1'!N50</f>
        <v>NA</v>
      </c>
      <c r="O50" s="43" t="str">
        <f>'1'!O50</f>
        <v>NA</v>
      </c>
      <c r="P50" s="216">
        <f>'2'!D50</f>
        <v>1</v>
      </c>
      <c r="Q50" s="216">
        <f>'2'!E50</f>
        <v>1</v>
      </c>
      <c r="R50" s="216">
        <f>'2'!F50</f>
        <v>1</v>
      </c>
      <c r="S50" s="216">
        <f>'2'!G50</f>
        <v>1</v>
      </c>
      <c r="T50" s="216">
        <f>'2'!H50</f>
        <v>0</v>
      </c>
      <c r="U50" s="216">
        <f>'2'!I50</f>
        <v>1</v>
      </c>
      <c r="V50" s="216">
        <f>'2'!J50</f>
        <v>4</v>
      </c>
      <c r="W50" s="216">
        <f>'2'!K50</f>
        <v>3</v>
      </c>
      <c r="X50" s="216">
        <f>'2'!L50</f>
        <v>3</v>
      </c>
      <c r="Y50" s="216">
        <f>'2'!M50</f>
        <v>2</v>
      </c>
      <c r="Z50" s="216" t="str">
        <f>'2'!N50</f>
        <v>NA</v>
      </c>
      <c r="AA50" s="216" t="str">
        <f>'2'!O50</f>
        <v>NA</v>
      </c>
      <c r="AB50" s="87">
        <f t="shared" si="1"/>
        <v>29</v>
      </c>
      <c r="AC50" s="87">
        <v>5.5</v>
      </c>
      <c r="AD50" s="87">
        <v>11</v>
      </c>
      <c r="AE50" s="87">
        <v>8</v>
      </c>
      <c r="AF50" s="87">
        <v>8.5</v>
      </c>
      <c r="AG50" s="87">
        <v>2</v>
      </c>
      <c r="AH50" s="87">
        <f t="shared" si="2"/>
        <v>35</v>
      </c>
      <c r="AI50" s="87">
        <v>6</v>
      </c>
      <c r="AJ50" s="87">
        <v>14</v>
      </c>
      <c r="AK50" s="87">
        <v>9</v>
      </c>
      <c r="AL50" s="87">
        <v>9</v>
      </c>
      <c r="AM50" s="87">
        <v>2</v>
      </c>
      <c r="AN50" s="7"/>
      <c r="AO50" s="96">
        <f t="shared" si="3"/>
        <v>91.666666666666657</v>
      </c>
      <c r="AP50" s="96">
        <f t="shared" si="3"/>
        <v>78.571428571428569</v>
      </c>
      <c r="AQ50" s="96">
        <f t="shared" si="3"/>
        <v>88.888888888888886</v>
      </c>
      <c r="AR50" s="96">
        <f t="shared" si="3"/>
        <v>94.444444444444443</v>
      </c>
      <c r="AS50" s="96">
        <f t="shared" si="3"/>
        <v>100</v>
      </c>
      <c r="AT50" s="7"/>
      <c r="AU50" s="7"/>
      <c r="AV50" s="8" t="b">
        <f t="shared" si="4"/>
        <v>0</v>
      </c>
      <c r="AW50" s="8" t="b">
        <f t="shared" si="5"/>
        <v>0</v>
      </c>
      <c r="AX50" s="8" t="b">
        <f t="shared" si="6"/>
        <v>0</v>
      </c>
      <c r="AY50" s="8" t="b">
        <f t="shared" si="7"/>
        <v>0</v>
      </c>
      <c r="AZ50" s="8" t="b">
        <f t="shared" si="8"/>
        <v>1</v>
      </c>
      <c r="BA50" s="8" t="b">
        <f t="shared" si="9"/>
        <v>1</v>
      </c>
      <c r="BB50" s="8">
        <f t="shared" si="10"/>
        <v>2</v>
      </c>
    </row>
    <row r="51" spans="1:54" ht="18" customHeight="1">
      <c r="A51" s="65">
        <v>32</v>
      </c>
      <c r="B51" s="43">
        <f>IF('1'!B51=0,"",'1'!B51)</f>
        <v>32</v>
      </c>
      <c r="C51" s="43" t="str">
        <f>IF('1'!C51=0,"",'1'!C51)</f>
        <v>1602-16-733-032</v>
      </c>
      <c r="D51" s="43">
        <f>'1'!D51</f>
        <v>1</v>
      </c>
      <c r="E51" s="43">
        <f>'1'!E51</f>
        <v>1</v>
      </c>
      <c r="F51" s="43">
        <f>'1'!F51</f>
        <v>1</v>
      </c>
      <c r="G51" s="43">
        <f>'1'!G51</f>
        <v>1</v>
      </c>
      <c r="H51" s="43">
        <f>'1'!H51</f>
        <v>0</v>
      </c>
      <c r="I51" s="43">
        <f>'1'!I51</f>
        <v>1</v>
      </c>
      <c r="J51" s="43">
        <f>'1'!J51</f>
        <v>4</v>
      </c>
      <c r="K51" s="43">
        <f>'1'!K51</f>
        <v>3</v>
      </c>
      <c r="L51" s="43">
        <f>'1'!L51</f>
        <v>4</v>
      </c>
      <c r="M51" s="43">
        <f>'1'!M51</f>
        <v>3</v>
      </c>
      <c r="N51" s="43" t="str">
        <f>'1'!N51</f>
        <v>NA</v>
      </c>
      <c r="O51" s="43" t="str">
        <f>'1'!O51</f>
        <v>NA</v>
      </c>
      <c r="P51" s="216">
        <f>'2'!D51</f>
        <v>1</v>
      </c>
      <c r="Q51" s="216">
        <f>'2'!E51</f>
        <v>1</v>
      </c>
      <c r="R51" s="216">
        <f>'2'!F51</f>
        <v>1</v>
      </c>
      <c r="S51" s="216">
        <f>'2'!G51</f>
        <v>1</v>
      </c>
      <c r="T51" s="216">
        <f>'2'!H51</f>
        <v>1</v>
      </c>
      <c r="U51" s="216">
        <f>'2'!I51</f>
        <v>1</v>
      </c>
      <c r="V51" s="216">
        <f>'2'!J51</f>
        <v>4</v>
      </c>
      <c r="W51" s="216">
        <f>'2'!K51</f>
        <v>3</v>
      </c>
      <c r="X51" s="216">
        <f>'2'!L51</f>
        <v>4</v>
      </c>
      <c r="Y51" s="216">
        <f>'2'!M51</f>
        <v>2</v>
      </c>
      <c r="Z51" s="216" t="str">
        <f>'2'!N51</f>
        <v>NA</v>
      </c>
      <c r="AA51" s="216" t="str">
        <f>'2'!O51</f>
        <v>NA</v>
      </c>
      <c r="AB51" s="87">
        <f t="shared" si="1"/>
        <v>38</v>
      </c>
      <c r="AC51" s="87">
        <v>12</v>
      </c>
      <c r="AD51" s="87">
        <v>4</v>
      </c>
      <c r="AE51" s="87">
        <v>8</v>
      </c>
      <c r="AF51" s="87">
        <v>8.5</v>
      </c>
      <c r="AG51" s="87">
        <v>1.5</v>
      </c>
      <c r="AH51" s="87">
        <f t="shared" si="2"/>
        <v>34</v>
      </c>
      <c r="AI51" s="87">
        <v>13</v>
      </c>
      <c r="AJ51" s="87">
        <v>7</v>
      </c>
      <c r="AK51" s="87">
        <v>9</v>
      </c>
      <c r="AL51" s="87">
        <v>9</v>
      </c>
      <c r="AM51" s="87">
        <v>2</v>
      </c>
      <c r="AN51" s="7"/>
      <c r="AO51" s="96">
        <f t="shared" si="3"/>
        <v>92.307692307692307</v>
      </c>
      <c r="AP51" s="96">
        <f t="shared" si="3"/>
        <v>57.142857142857139</v>
      </c>
      <c r="AQ51" s="96">
        <f t="shared" si="3"/>
        <v>88.888888888888886</v>
      </c>
      <c r="AR51" s="96">
        <f t="shared" si="3"/>
        <v>94.444444444444443</v>
      </c>
      <c r="AS51" s="96">
        <f t="shared" si="3"/>
        <v>75</v>
      </c>
      <c r="AT51" s="7"/>
      <c r="AU51" s="7"/>
      <c r="AV51" s="8" t="b">
        <f t="shared" si="4"/>
        <v>0</v>
      </c>
      <c r="AW51" s="8" t="b">
        <f t="shared" si="5"/>
        <v>0</v>
      </c>
      <c r="AX51" s="8" t="b">
        <f t="shared" si="6"/>
        <v>0</v>
      </c>
      <c r="AY51" s="8" t="b">
        <f t="shared" si="7"/>
        <v>0</v>
      </c>
      <c r="AZ51" s="8" t="b">
        <f t="shared" si="8"/>
        <v>1</v>
      </c>
      <c r="BA51" s="8" t="b">
        <f t="shared" si="9"/>
        <v>1</v>
      </c>
      <c r="BB51" s="8">
        <f t="shared" si="10"/>
        <v>2</v>
      </c>
    </row>
    <row r="52" spans="1:54" ht="18" customHeight="1">
      <c r="A52" s="65">
        <v>33</v>
      </c>
      <c r="B52" s="43">
        <f>IF('1'!B52=0,"",'1'!B52)</f>
        <v>33</v>
      </c>
      <c r="C52" s="43" t="str">
        <f>IF('1'!C52=0,"",'1'!C52)</f>
        <v>1602-16-733-033</v>
      </c>
      <c r="D52" s="43">
        <f>'1'!D52</f>
        <v>1</v>
      </c>
      <c r="E52" s="43">
        <f>'1'!E52</f>
        <v>1</v>
      </c>
      <c r="F52" s="43">
        <f>'1'!F52</f>
        <v>1</v>
      </c>
      <c r="G52" s="43">
        <f>'1'!G52</f>
        <v>0</v>
      </c>
      <c r="H52" s="43">
        <f>'1'!H52</f>
        <v>1</v>
      </c>
      <c r="I52" s="43">
        <f>'1'!I52</f>
        <v>1</v>
      </c>
      <c r="J52" s="43">
        <f>'1'!J52</f>
        <v>4</v>
      </c>
      <c r="K52" s="43">
        <f>'1'!K52</f>
        <v>1</v>
      </c>
      <c r="L52" s="43">
        <f>'1'!L52</f>
        <v>4</v>
      </c>
      <c r="M52" s="43">
        <f>'1'!M52</f>
        <v>1</v>
      </c>
      <c r="N52" s="43" t="str">
        <f>'1'!N52</f>
        <v>NA</v>
      </c>
      <c r="O52" s="43" t="str">
        <f>'1'!O52</f>
        <v>NA</v>
      </c>
      <c r="P52" s="216">
        <f>'2'!D52</f>
        <v>1</v>
      </c>
      <c r="Q52" s="216">
        <f>'2'!E52</f>
        <v>1</v>
      </c>
      <c r="R52" s="216">
        <f>'2'!F52</f>
        <v>0</v>
      </c>
      <c r="S52" s="216">
        <f>'2'!G52</f>
        <v>1</v>
      </c>
      <c r="T52" s="216">
        <f>'2'!H52</f>
        <v>1</v>
      </c>
      <c r="U52" s="216">
        <f>'2'!I52</f>
        <v>1</v>
      </c>
      <c r="V52" s="216">
        <f>'2'!J52</f>
        <v>4</v>
      </c>
      <c r="W52" s="216">
        <f>'2'!K52</f>
        <v>3</v>
      </c>
      <c r="X52" s="216">
        <f>'2'!L52</f>
        <v>3</v>
      </c>
      <c r="Y52" s="216">
        <f>'2'!M52</f>
        <v>1</v>
      </c>
      <c r="Z52" s="216" t="str">
        <f>'2'!N52</f>
        <v>NA</v>
      </c>
      <c r="AA52" s="216" t="str">
        <f>'2'!O52</f>
        <v>NA</v>
      </c>
      <c r="AB52" s="87">
        <f t="shared" si="1"/>
        <v>31</v>
      </c>
      <c r="AC52" s="87">
        <v>9.5</v>
      </c>
      <c r="AD52" s="87">
        <v>1</v>
      </c>
      <c r="AE52" s="87">
        <v>8</v>
      </c>
      <c r="AF52" s="87">
        <v>8.5</v>
      </c>
      <c r="AG52" s="87">
        <v>2</v>
      </c>
      <c r="AH52" s="87">
        <f t="shared" si="2"/>
        <v>29</v>
      </c>
      <c r="AI52" s="87">
        <v>13</v>
      </c>
      <c r="AJ52" s="87">
        <v>7</v>
      </c>
      <c r="AK52" s="87">
        <v>9</v>
      </c>
      <c r="AL52" s="87">
        <v>9</v>
      </c>
      <c r="AM52" s="87">
        <v>2</v>
      </c>
      <c r="AN52" s="7"/>
      <c r="AO52" s="96">
        <f t="shared" si="3"/>
        <v>73.076923076923066</v>
      </c>
      <c r="AP52" s="96">
        <f t="shared" si="3"/>
        <v>14.285714285714285</v>
      </c>
      <c r="AQ52" s="96">
        <f t="shared" si="3"/>
        <v>88.888888888888886</v>
      </c>
      <c r="AR52" s="96">
        <f t="shared" si="3"/>
        <v>94.444444444444443</v>
      </c>
      <c r="AS52" s="96">
        <f t="shared" si="3"/>
        <v>100</v>
      </c>
      <c r="AT52" s="7"/>
      <c r="AU52" s="7"/>
      <c r="AV52" s="8" t="b">
        <f t="shared" si="4"/>
        <v>0</v>
      </c>
      <c r="AW52" s="8" t="b">
        <f t="shared" si="5"/>
        <v>0</v>
      </c>
      <c r="AX52" s="8" t="b">
        <f t="shared" si="6"/>
        <v>0</v>
      </c>
      <c r="AY52" s="8" t="b">
        <f t="shared" si="7"/>
        <v>0</v>
      </c>
      <c r="AZ52" s="8" t="b">
        <f t="shared" si="8"/>
        <v>1</v>
      </c>
      <c r="BA52" s="8" t="b">
        <f t="shared" si="9"/>
        <v>1</v>
      </c>
      <c r="BB52" s="8">
        <f t="shared" si="10"/>
        <v>2</v>
      </c>
    </row>
    <row r="53" spans="1:54" ht="18" customHeight="1">
      <c r="A53" s="65">
        <v>34</v>
      </c>
      <c r="B53" s="43">
        <f>IF('1'!B53=0,"",'1'!B53)</f>
        <v>34</v>
      </c>
      <c r="C53" s="43" t="str">
        <f>IF('1'!C53=0,"",'1'!C53)</f>
        <v>1602-16-733-034</v>
      </c>
      <c r="D53" s="43">
        <f>'1'!D53</f>
        <v>0</v>
      </c>
      <c r="E53" s="43">
        <f>'1'!E53</f>
        <v>1</v>
      </c>
      <c r="F53" s="43">
        <f>'1'!F53</f>
        <v>0</v>
      </c>
      <c r="G53" s="43">
        <f>'1'!G53</f>
        <v>1</v>
      </c>
      <c r="H53" s="43">
        <f>'1'!H53</f>
        <v>0</v>
      </c>
      <c r="I53" s="43">
        <f>'1'!I53</f>
        <v>1</v>
      </c>
      <c r="J53" s="43">
        <f>'1'!J53</f>
        <v>3</v>
      </c>
      <c r="K53" s="43">
        <f>'1'!K53</f>
        <v>3</v>
      </c>
      <c r="L53" s="43" t="str">
        <f>'1'!L53</f>
        <v>NA</v>
      </c>
      <c r="M53" s="43" t="str">
        <f>'1'!M53</f>
        <v>NA</v>
      </c>
      <c r="N53" s="43">
        <f>'1'!N53</f>
        <v>3</v>
      </c>
      <c r="O53" s="43">
        <f>'1'!O53</f>
        <v>0</v>
      </c>
      <c r="P53" s="216">
        <f>'2'!D53</f>
        <v>1</v>
      </c>
      <c r="Q53" s="216">
        <f>'2'!E53</f>
        <v>1</v>
      </c>
      <c r="R53" s="216">
        <f>'2'!F53</f>
        <v>1</v>
      </c>
      <c r="S53" s="216">
        <f>'2'!G53</f>
        <v>1</v>
      </c>
      <c r="T53" s="216">
        <f>'2'!H53</f>
        <v>1</v>
      </c>
      <c r="U53" s="216">
        <f>'2'!I53</f>
        <v>0</v>
      </c>
      <c r="V53" s="216">
        <f>'2'!J53</f>
        <v>3</v>
      </c>
      <c r="W53" s="216">
        <f>'2'!K53</f>
        <v>1</v>
      </c>
      <c r="X53" s="216">
        <f>'2'!L53</f>
        <v>3</v>
      </c>
      <c r="Y53" s="216">
        <f>'2'!M53</f>
        <v>2</v>
      </c>
      <c r="Z53" s="216" t="str">
        <f>'2'!N53</f>
        <v>NA</v>
      </c>
      <c r="AA53" s="216" t="str">
        <f>'2'!O53</f>
        <v>NA</v>
      </c>
      <c r="AB53" s="87">
        <f t="shared" si="1"/>
        <v>26</v>
      </c>
      <c r="AC53" s="87">
        <v>4</v>
      </c>
      <c r="AD53" s="87">
        <v>6.5</v>
      </c>
      <c r="AE53" s="87">
        <v>5</v>
      </c>
      <c r="AF53" s="87">
        <v>6</v>
      </c>
      <c r="AG53" s="87">
        <v>2</v>
      </c>
      <c r="AH53" s="87">
        <f t="shared" si="2"/>
        <v>23.5</v>
      </c>
      <c r="AI53" s="87">
        <v>6</v>
      </c>
      <c r="AJ53" s="87">
        <v>14</v>
      </c>
      <c r="AK53" s="87">
        <v>9</v>
      </c>
      <c r="AL53" s="87">
        <v>9</v>
      </c>
      <c r="AM53" s="87">
        <v>2</v>
      </c>
      <c r="AN53" s="7"/>
      <c r="AO53" s="96">
        <f t="shared" si="3"/>
        <v>66.666666666666657</v>
      </c>
      <c r="AP53" s="96">
        <f t="shared" si="3"/>
        <v>46.428571428571431</v>
      </c>
      <c r="AQ53" s="96">
        <f t="shared" si="3"/>
        <v>55.555555555555557</v>
      </c>
      <c r="AR53" s="96">
        <f t="shared" si="3"/>
        <v>66.666666666666657</v>
      </c>
      <c r="AS53" s="96">
        <f t="shared" si="3"/>
        <v>100</v>
      </c>
      <c r="AT53" s="7"/>
      <c r="AU53" s="7"/>
      <c r="AV53" s="8" t="b">
        <f t="shared" si="4"/>
        <v>0</v>
      </c>
      <c r="AW53" s="8" t="b">
        <f t="shared" si="5"/>
        <v>0</v>
      </c>
      <c r="AX53" s="8" t="b">
        <f t="shared" si="6"/>
        <v>1</v>
      </c>
      <c r="AY53" s="8" t="b">
        <f t="shared" si="7"/>
        <v>1</v>
      </c>
      <c r="AZ53" s="8" t="b">
        <f t="shared" si="8"/>
        <v>0</v>
      </c>
      <c r="BA53" s="8" t="b">
        <f t="shared" si="9"/>
        <v>0</v>
      </c>
      <c r="BB53" s="8">
        <f t="shared" si="10"/>
        <v>2</v>
      </c>
    </row>
    <row r="54" spans="1:54" ht="18" customHeight="1">
      <c r="A54" s="65">
        <v>35</v>
      </c>
      <c r="B54" s="43">
        <f>IF('1'!B54=0,"",'1'!B54)</f>
        <v>35</v>
      </c>
      <c r="C54" s="43" t="str">
        <f>IF('1'!C54=0,"",'1'!C54)</f>
        <v>1602-16-733-035</v>
      </c>
      <c r="D54" s="43">
        <f>'1'!D54</f>
        <v>1</v>
      </c>
      <c r="E54" s="43">
        <f>'1'!E54</f>
        <v>1</v>
      </c>
      <c r="F54" s="43">
        <f>'1'!F54</f>
        <v>1</v>
      </c>
      <c r="G54" s="43">
        <f>'1'!G54</f>
        <v>1</v>
      </c>
      <c r="H54" s="43">
        <f>'1'!H54</f>
        <v>1</v>
      </c>
      <c r="I54" s="43">
        <f>'1'!I54</f>
        <v>0</v>
      </c>
      <c r="J54" s="43">
        <f>'1'!J54</f>
        <v>4</v>
      </c>
      <c r="K54" s="43">
        <f>'1'!K54</f>
        <v>1</v>
      </c>
      <c r="L54" s="43" t="str">
        <f>'1'!L54</f>
        <v>NA</v>
      </c>
      <c r="M54" s="43" t="str">
        <f>'1'!M54</f>
        <v>NA</v>
      </c>
      <c r="N54" s="43">
        <f>'1'!N54</f>
        <v>4</v>
      </c>
      <c r="O54" s="43">
        <f>'1'!O54</f>
        <v>2</v>
      </c>
      <c r="P54" s="216">
        <f>'2'!D54</f>
        <v>1</v>
      </c>
      <c r="Q54" s="216">
        <f>'2'!E54</f>
        <v>1</v>
      </c>
      <c r="R54" s="216">
        <f>'2'!F54</f>
        <v>0</v>
      </c>
      <c r="S54" s="216">
        <f>'2'!G54</f>
        <v>1</v>
      </c>
      <c r="T54" s="216">
        <f>'2'!H54</f>
        <v>1</v>
      </c>
      <c r="U54" s="216">
        <f>'2'!I54</f>
        <v>1</v>
      </c>
      <c r="V54" s="216">
        <f>'2'!J54</f>
        <v>4</v>
      </c>
      <c r="W54" s="216">
        <f>'2'!K54</f>
        <v>3</v>
      </c>
      <c r="X54" s="216">
        <f>'2'!L54</f>
        <v>3</v>
      </c>
      <c r="Y54" s="216">
        <f>'2'!M54</f>
        <v>3</v>
      </c>
      <c r="Z54" s="216" t="str">
        <f>'2'!N54</f>
        <v>NA</v>
      </c>
      <c r="AA54" s="216" t="str">
        <f>'2'!O54</f>
        <v>NA</v>
      </c>
      <c r="AB54" s="87">
        <f t="shared" si="1"/>
        <v>34</v>
      </c>
      <c r="AC54" s="87">
        <v>4</v>
      </c>
      <c r="AD54" s="87">
        <v>1</v>
      </c>
      <c r="AE54" s="87">
        <v>4</v>
      </c>
      <c r="AF54" s="87">
        <v>5.5</v>
      </c>
      <c r="AG54" s="87">
        <v>2</v>
      </c>
      <c r="AH54" s="87">
        <f t="shared" si="2"/>
        <v>16.5</v>
      </c>
      <c r="AI54" s="87">
        <v>10</v>
      </c>
      <c r="AJ54" s="87">
        <v>10</v>
      </c>
      <c r="AK54" s="87">
        <v>9</v>
      </c>
      <c r="AL54" s="87">
        <v>9</v>
      </c>
      <c r="AM54" s="87">
        <v>2</v>
      </c>
      <c r="AN54" s="7"/>
      <c r="AO54" s="96">
        <f t="shared" si="3"/>
        <v>40</v>
      </c>
      <c r="AP54" s="96">
        <f t="shared" si="3"/>
        <v>10</v>
      </c>
      <c r="AQ54" s="96">
        <f t="shared" si="3"/>
        <v>44.444444444444443</v>
      </c>
      <c r="AR54" s="96">
        <f t="shared" si="3"/>
        <v>61.111111111111114</v>
      </c>
      <c r="AS54" s="96">
        <f t="shared" si="3"/>
        <v>100</v>
      </c>
      <c r="AT54" s="7"/>
      <c r="AU54" s="7"/>
      <c r="AV54" s="8" t="b">
        <f t="shared" si="4"/>
        <v>0</v>
      </c>
      <c r="AW54" s="8" t="b">
        <f t="shared" si="5"/>
        <v>0</v>
      </c>
      <c r="AX54" s="8" t="b">
        <f t="shared" si="6"/>
        <v>1</v>
      </c>
      <c r="AY54" s="8" t="b">
        <f t="shared" si="7"/>
        <v>1</v>
      </c>
      <c r="AZ54" s="8" t="b">
        <f t="shared" si="8"/>
        <v>0</v>
      </c>
      <c r="BA54" s="8" t="b">
        <f t="shared" si="9"/>
        <v>0</v>
      </c>
      <c r="BB54" s="8">
        <f t="shared" si="10"/>
        <v>2</v>
      </c>
    </row>
    <row r="55" spans="1:54" ht="18" customHeight="1">
      <c r="A55" s="65">
        <v>36</v>
      </c>
      <c r="B55" s="43">
        <f>IF('1'!B55=0,"",'1'!B55)</f>
        <v>36</v>
      </c>
      <c r="C55" s="43" t="str">
        <f>IF('1'!C55=0,"",'1'!C55)</f>
        <v>1602-16-733-036</v>
      </c>
      <c r="D55" s="43">
        <f>'1'!D55</f>
        <v>0</v>
      </c>
      <c r="E55" s="43">
        <f>'1'!E55</f>
        <v>1</v>
      </c>
      <c r="F55" s="43">
        <f>'1'!F55</f>
        <v>1</v>
      </c>
      <c r="G55" s="43">
        <f>'1'!G55</f>
        <v>1</v>
      </c>
      <c r="H55" s="43">
        <f>'1'!H55</f>
        <v>0</v>
      </c>
      <c r="I55" s="43">
        <f>'1'!I55</f>
        <v>1</v>
      </c>
      <c r="J55" s="43">
        <f>'1'!J55</f>
        <v>4</v>
      </c>
      <c r="K55" s="43">
        <f>'1'!K55</f>
        <v>2</v>
      </c>
      <c r="L55" s="43" t="str">
        <f>'1'!L55</f>
        <v>NA</v>
      </c>
      <c r="M55" s="43" t="str">
        <f>'1'!M55</f>
        <v>NA</v>
      </c>
      <c r="N55" s="43">
        <f>'1'!N55</f>
        <v>4</v>
      </c>
      <c r="O55" s="43">
        <f>'1'!O55</f>
        <v>1</v>
      </c>
      <c r="P55" s="216">
        <f>'2'!D55</f>
        <v>1</v>
      </c>
      <c r="Q55" s="216">
        <f>'2'!E55</f>
        <v>1</v>
      </c>
      <c r="R55" s="216">
        <f>'2'!F55</f>
        <v>0</v>
      </c>
      <c r="S55" s="216">
        <f>'2'!G55</f>
        <v>0</v>
      </c>
      <c r="T55" s="216">
        <f>'2'!H55</f>
        <v>1</v>
      </c>
      <c r="U55" s="216">
        <f>'2'!I55</f>
        <v>1</v>
      </c>
      <c r="V55" s="216">
        <f>'2'!J55</f>
        <v>4</v>
      </c>
      <c r="W55" s="216">
        <f>'2'!K55</f>
        <v>3</v>
      </c>
      <c r="X55" s="216">
        <f>'2'!L55</f>
        <v>3</v>
      </c>
      <c r="Y55" s="216">
        <f>'2'!M55</f>
        <v>1</v>
      </c>
      <c r="Z55" s="216" t="str">
        <f>'2'!N55</f>
        <v>NA</v>
      </c>
      <c r="AA55" s="216" t="str">
        <f>'2'!O55</f>
        <v>NA</v>
      </c>
      <c r="AB55" s="87">
        <f t="shared" si="1"/>
        <v>30</v>
      </c>
      <c r="AC55" s="87">
        <v>5</v>
      </c>
      <c r="AD55" s="87">
        <v>2.5</v>
      </c>
      <c r="AE55" s="87">
        <v>5</v>
      </c>
      <c r="AF55" s="87">
        <v>5.5</v>
      </c>
      <c r="AG55" s="87">
        <v>2</v>
      </c>
      <c r="AH55" s="87">
        <f t="shared" si="2"/>
        <v>20</v>
      </c>
      <c r="AI55" s="87">
        <v>13</v>
      </c>
      <c r="AJ55" s="87">
        <v>7</v>
      </c>
      <c r="AK55" s="87">
        <v>9</v>
      </c>
      <c r="AL55" s="87">
        <v>9</v>
      </c>
      <c r="AM55" s="87">
        <v>2</v>
      </c>
      <c r="AN55" s="7"/>
      <c r="AO55" s="96">
        <f t="shared" si="3"/>
        <v>38.461538461538467</v>
      </c>
      <c r="AP55" s="96">
        <f t="shared" si="3"/>
        <v>35.714285714285715</v>
      </c>
      <c r="AQ55" s="96">
        <f t="shared" si="3"/>
        <v>55.555555555555557</v>
      </c>
      <c r="AR55" s="96">
        <f t="shared" si="3"/>
        <v>61.111111111111114</v>
      </c>
      <c r="AS55" s="96">
        <f t="shared" si="3"/>
        <v>100</v>
      </c>
      <c r="AT55" s="7"/>
      <c r="AU55" s="7"/>
      <c r="AV55" s="8" t="b">
        <f t="shared" si="4"/>
        <v>0</v>
      </c>
      <c r="AW55" s="8" t="b">
        <f t="shared" si="5"/>
        <v>0</v>
      </c>
      <c r="AX55" s="8" t="b">
        <f t="shared" si="6"/>
        <v>1</v>
      </c>
      <c r="AY55" s="8" t="b">
        <f t="shared" si="7"/>
        <v>1</v>
      </c>
      <c r="AZ55" s="8" t="b">
        <f t="shared" si="8"/>
        <v>0</v>
      </c>
      <c r="BA55" s="8" t="b">
        <f t="shared" si="9"/>
        <v>0</v>
      </c>
      <c r="BB55" s="8">
        <f t="shared" si="10"/>
        <v>2</v>
      </c>
    </row>
    <row r="56" spans="1:54" ht="18" customHeight="1">
      <c r="A56" s="65">
        <v>37</v>
      </c>
      <c r="B56" s="43">
        <f>IF('1'!B56=0,"",'1'!B56)</f>
        <v>37</v>
      </c>
      <c r="C56" s="43" t="str">
        <f>IF('1'!C56=0,"",'1'!C56)</f>
        <v>1602-16-733-037</v>
      </c>
      <c r="D56" s="43">
        <f>'1'!D56</f>
        <v>0</v>
      </c>
      <c r="E56" s="43">
        <f>'1'!E56</f>
        <v>1</v>
      </c>
      <c r="F56" s="43">
        <f>'1'!F56</f>
        <v>0</v>
      </c>
      <c r="G56" s="43">
        <f>'1'!G56</f>
        <v>1</v>
      </c>
      <c r="H56" s="43">
        <f>'1'!H56</f>
        <v>1</v>
      </c>
      <c r="I56" s="43">
        <f>'1'!I56</f>
        <v>1</v>
      </c>
      <c r="J56" s="43">
        <f>'1'!J56</f>
        <v>3</v>
      </c>
      <c r="K56" s="43">
        <f>'1'!K56</f>
        <v>0</v>
      </c>
      <c r="L56" s="43" t="str">
        <f>'1'!L56</f>
        <v>NA</v>
      </c>
      <c r="M56" s="43" t="str">
        <f>'1'!M56</f>
        <v>NA</v>
      </c>
      <c r="N56" s="43">
        <f>'1'!N56</f>
        <v>4</v>
      </c>
      <c r="O56" s="43">
        <f>'1'!O56</f>
        <v>1</v>
      </c>
      <c r="P56" s="216">
        <f>'2'!D56</f>
        <v>0</v>
      </c>
      <c r="Q56" s="216">
        <f>'2'!E56</f>
        <v>0</v>
      </c>
      <c r="R56" s="216">
        <f>'2'!F56</f>
        <v>1</v>
      </c>
      <c r="S56" s="216">
        <f>'2'!G56</f>
        <v>0</v>
      </c>
      <c r="T56" s="216">
        <f>'2'!H56</f>
        <v>1</v>
      </c>
      <c r="U56" s="216">
        <f>'2'!I56</f>
        <v>1</v>
      </c>
      <c r="V56" s="216">
        <f>'2'!J56</f>
        <v>3</v>
      </c>
      <c r="W56" s="216">
        <f>'2'!K56</f>
        <v>3</v>
      </c>
      <c r="X56" s="216">
        <f>'2'!L56</f>
        <v>4</v>
      </c>
      <c r="Y56" s="216">
        <f>'2'!M56</f>
        <v>1</v>
      </c>
      <c r="Z56" s="216" t="str">
        <f>'2'!N56</f>
        <v>NA</v>
      </c>
      <c r="AA56" s="216" t="str">
        <f>'2'!O56</f>
        <v>NA</v>
      </c>
      <c r="AB56" s="87">
        <f t="shared" si="1"/>
        <v>26</v>
      </c>
      <c r="AC56" s="87">
        <v>4</v>
      </c>
      <c r="AD56" s="87">
        <v>5.5</v>
      </c>
      <c r="AE56" s="87">
        <v>7.5</v>
      </c>
      <c r="AF56" s="87">
        <v>9</v>
      </c>
      <c r="AG56" s="87">
        <v>2</v>
      </c>
      <c r="AH56" s="87">
        <f t="shared" si="2"/>
        <v>28</v>
      </c>
      <c r="AI56" s="87">
        <v>6</v>
      </c>
      <c r="AJ56" s="87">
        <v>14</v>
      </c>
      <c r="AK56" s="87">
        <v>9</v>
      </c>
      <c r="AL56" s="87">
        <v>9</v>
      </c>
      <c r="AM56" s="87">
        <v>2</v>
      </c>
      <c r="AN56" s="7"/>
      <c r="AO56" s="96">
        <f t="shared" si="3"/>
        <v>66.666666666666657</v>
      </c>
      <c r="AP56" s="96">
        <f t="shared" si="3"/>
        <v>39.285714285714285</v>
      </c>
      <c r="AQ56" s="96">
        <f t="shared" si="3"/>
        <v>83.333333333333343</v>
      </c>
      <c r="AR56" s="96">
        <f t="shared" si="3"/>
        <v>100</v>
      </c>
      <c r="AS56" s="96">
        <f t="shared" si="3"/>
        <v>100</v>
      </c>
      <c r="AT56" s="7"/>
      <c r="AU56" s="7"/>
      <c r="AV56" s="8" t="b">
        <f t="shared" si="4"/>
        <v>0</v>
      </c>
      <c r="AW56" s="8" t="b">
        <f t="shared" si="5"/>
        <v>0</v>
      </c>
      <c r="AX56" s="8" t="b">
        <f t="shared" si="6"/>
        <v>1</v>
      </c>
      <c r="AY56" s="8" t="b">
        <f t="shared" si="7"/>
        <v>1</v>
      </c>
      <c r="AZ56" s="8" t="b">
        <f t="shared" si="8"/>
        <v>0</v>
      </c>
      <c r="BA56" s="8" t="b">
        <f t="shared" si="9"/>
        <v>0</v>
      </c>
      <c r="BB56" s="8">
        <f t="shared" si="10"/>
        <v>2</v>
      </c>
    </row>
    <row r="57" spans="1:54" ht="18" customHeight="1">
      <c r="A57" s="65">
        <v>38</v>
      </c>
      <c r="B57" s="43">
        <f>IF('1'!B57=0,"",'1'!B57)</f>
        <v>38</v>
      </c>
      <c r="C57" s="43" t="str">
        <f>IF('1'!C57=0,"",'1'!C57)</f>
        <v>1602-16-733-038</v>
      </c>
      <c r="D57" s="43">
        <f>'1'!D57</f>
        <v>0</v>
      </c>
      <c r="E57" s="43">
        <f>'1'!E57</f>
        <v>1</v>
      </c>
      <c r="F57" s="43">
        <f>'1'!F57</f>
        <v>1</v>
      </c>
      <c r="G57" s="43">
        <f>'1'!G57</f>
        <v>0</v>
      </c>
      <c r="H57" s="43">
        <f>'1'!H57</f>
        <v>0</v>
      </c>
      <c r="I57" s="43">
        <f>'1'!I57</f>
        <v>1</v>
      </c>
      <c r="J57" s="43">
        <f>'1'!J57</f>
        <v>4</v>
      </c>
      <c r="K57" s="43">
        <f>'1'!K57</f>
        <v>2</v>
      </c>
      <c r="L57" s="43" t="str">
        <f>'1'!L57</f>
        <v>NA</v>
      </c>
      <c r="M57" s="43" t="str">
        <f>'1'!M57</f>
        <v>NA</v>
      </c>
      <c r="N57" s="43">
        <f>'1'!N57</f>
        <v>4</v>
      </c>
      <c r="O57" s="43">
        <f>'1'!O57</f>
        <v>0</v>
      </c>
      <c r="P57" s="216">
        <f>'2'!D57</f>
        <v>0</v>
      </c>
      <c r="Q57" s="216">
        <f>'2'!E57</f>
        <v>1</v>
      </c>
      <c r="R57" s="216">
        <f>'2'!F57</f>
        <v>1</v>
      </c>
      <c r="S57" s="216">
        <f>'2'!G57</f>
        <v>1</v>
      </c>
      <c r="T57" s="216">
        <f>'2'!H57</f>
        <v>0</v>
      </c>
      <c r="U57" s="216">
        <f>'2'!I57</f>
        <v>1</v>
      </c>
      <c r="V57" s="216">
        <f>'2'!J57</f>
        <v>3</v>
      </c>
      <c r="W57" s="216">
        <f>'2'!K57</f>
        <v>2</v>
      </c>
      <c r="X57" s="216">
        <f>'2'!L57</f>
        <v>3</v>
      </c>
      <c r="Y57" s="216">
        <f>'2'!M57</f>
        <v>3</v>
      </c>
      <c r="Z57" s="216" t="str">
        <f>'2'!N57</f>
        <v>NA</v>
      </c>
      <c r="AA57" s="216" t="str">
        <f>'2'!O57</f>
        <v>NA</v>
      </c>
      <c r="AB57" s="87">
        <f t="shared" si="1"/>
        <v>28</v>
      </c>
      <c r="AC57" s="87">
        <v>6.5</v>
      </c>
      <c r="AD57" s="87">
        <v>2</v>
      </c>
      <c r="AE57" s="87">
        <v>3.5</v>
      </c>
      <c r="AF57" s="87">
        <v>8</v>
      </c>
      <c r="AG57" s="87">
        <v>1.5</v>
      </c>
      <c r="AH57" s="87">
        <f t="shared" si="2"/>
        <v>21.5</v>
      </c>
      <c r="AI57" s="87">
        <v>10</v>
      </c>
      <c r="AJ57" s="87">
        <v>10</v>
      </c>
      <c r="AK57" s="87">
        <v>9</v>
      </c>
      <c r="AL57" s="87">
        <v>9</v>
      </c>
      <c r="AM57" s="87">
        <v>2</v>
      </c>
      <c r="AN57" s="7"/>
      <c r="AO57" s="96">
        <f t="shared" si="3"/>
        <v>65</v>
      </c>
      <c r="AP57" s="96">
        <f t="shared" si="3"/>
        <v>20</v>
      </c>
      <c r="AQ57" s="96">
        <f t="shared" si="3"/>
        <v>38.888888888888893</v>
      </c>
      <c r="AR57" s="96">
        <f t="shared" si="3"/>
        <v>88.888888888888886</v>
      </c>
      <c r="AS57" s="96">
        <f t="shared" si="3"/>
        <v>75</v>
      </c>
      <c r="AT57" s="7"/>
      <c r="AU57" s="7"/>
      <c r="AV57" s="8" t="b">
        <f t="shared" si="4"/>
        <v>0</v>
      </c>
      <c r="AW57" s="8" t="b">
        <f t="shared" si="5"/>
        <v>0</v>
      </c>
      <c r="AX57" s="8" t="b">
        <f t="shared" si="6"/>
        <v>1</v>
      </c>
      <c r="AY57" s="8" t="b">
        <f t="shared" si="7"/>
        <v>1</v>
      </c>
      <c r="AZ57" s="8" t="b">
        <f t="shared" si="8"/>
        <v>0</v>
      </c>
      <c r="BA57" s="8" t="b">
        <f t="shared" si="9"/>
        <v>0</v>
      </c>
      <c r="BB57" s="8">
        <f t="shared" si="10"/>
        <v>2</v>
      </c>
    </row>
    <row r="58" spans="1:54" ht="18" customHeight="1">
      <c r="A58" s="65">
        <v>39</v>
      </c>
      <c r="B58" s="43">
        <f>IF('1'!B58=0,"",'1'!B58)</f>
        <v>39</v>
      </c>
      <c r="C58" s="43" t="str">
        <f>IF('1'!C58=0,"",'1'!C58)</f>
        <v>1602-16-733-039</v>
      </c>
      <c r="D58" s="43">
        <f>'1'!D58</f>
        <v>0</v>
      </c>
      <c r="E58" s="43">
        <f>'1'!E58</f>
        <v>1</v>
      </c>
      <c r="F58" s="43">
        <f>'1'!F58</f>
        <v>1</v>
      </c>
      <c r="G58" s="43">
        <f>'1'!G58</f>
        <v>0</v>
      </c>
      <c r="H58" s="43">
        <f>'1'!H58</f>
        <v>1</v>
      </c>
      <c r="I58" s="43">
        <f>'1'!I58</f>
        <v>1</v>
      </c>
      <c r="J58" s="43">
        <f>'1'!J58</f>
        <v>4</v>
      </c>
      <c r="K58" s="43">
        <f>'1'!K58</f>
        <v>2</v>
      </c>
      <c r="L58" s="43" t="str">
        <f>'1'!L58</f>
        <v>NA</v>
      </c>
      <c r="M58" s="43" t="str">
        <f>'1'!M58</f>
        <v>NA</v>
      </c>
      <c r="N58" s="43">
        <f>'1'!N58</f>
        <v>4</v>
      </c>
      <c r="O58" s="43">
        <f>'1'!O58</f>
        <v>1</v>
      </c>
      <c r="P58" s="216">
        <f>'2'!D58</f>
        <v>1</v>
      </c>
      <c r="Q58" s="216">
        <f>'2'!E58</f>
        <v>1</v>
      </c>
      <c r="R58" s="216">
        <f>'2'!F58</f>
        <v>1</v>
      </c>
      <c r="S58" s="216">
        <f>'2'!G58</f>
        <v>0</v>
      </c>
      <c r="T58" s="216">
        <f>'2'!H58</f>
        <v>1</v>
      </c>
      <c r="U58" s="216">
        <f>'2'!I58</f>
        <v>1</v>
      </c>
      <c r="V58" s="216">
        <f>'2'!J58</f>
        <v>4</v>
      </c>
      <c r="W58" s="216">
        <f>'2'!K58</f>
        <v>3</v>
      </c>
      <c r="X58" s="216">
        <f>'2'!L58</f>
        <v>4</v>
      </c>
      <c r="Y58" s="216">
        <f>'2'!M58</f>
        <v>3</v>
      </c>
      <c r="Z58" s="216" t="str">
        <f>'2'!N58</f>
        <v>NA</v>
      </c>
      <c r="AA58" s="216" t="str">
        <f>'2'!O58</f>
        <v>NA</v>
      </c>
      <c r="AB58" s="87">
        <f t="shared" si="1"/>
        <v>34</v>
      </c>
      <c r="AC58" s="87">
        <v>5.5</v>
      </c>
      <c r="AD58" s="87">
        <v>8</v>
      </c>
      <c r="AE58" s="87">
        <v>8</v>
      </c>
      <c r="AF58" s="87">
        <v>7.5</v>
      </c>
      <c r="AG58" s="87">
        <v>2</v>
      </c>
      <c r="AH58" s="87">
        <f t="shared" si="2"/>
        <v>31</v>
      </c>
      <c r="AI58" s="87">
        <v>6</v>
      </c>
      <c r="AJ58" s="87">
        <v>14</v>
      </c>
      <c r="AK58" s="87">
        <v>9</v>
      </c>
      <c r="AL58" s="87">
        <v>9</v>
      </c>
      <c r="AM58" s="87">
        <v>2</v>
      </c>
      <c r="AN58" s="7"/>
      <c r="AO58" s="96">
        <f t="shared" si="3"/>
        <v>91.666666666666657</v>
      </c>
      <c r="AP58" s="96">
        <f t="shared" si="3"/>
        <v>57.142857142857139</v>
      </c>
      <c r="AQ58" s="96">
        <f t="shared" si="3"/>
        <v>88.888888888888886</v>
      </c>
      <c r="AR58" s="96">
        <f t="shared" si="3"/>
        <v>83.333333333333343</v>
      </c>
      <c r="AS58" s="96">
        <f t="shared" si="3"/>
        <v>100</v>
      </c>
      <c r="AT58" s="7"/>
      <c r="AU58" s="7"/>
      <c r="AV58" s="8" t="b">
        <f t="shared" si="4"/>
        <v>0</v>
      </c>
      <c r="AW58" s="8" t="b">
        <f t="shared" si="5"/>
        <v>0</v>
      </c>
      <c r="AX58" s="8" t="b">
        <f t="shared" si="6"/>
        <v>1</v>
      </c>
      <c r="AY58" s="8" t="b">
        <f t="shared" si="7"/>
        <v>1</v>
      </c>
      <c r="AZ58" s="8" t="b">
        <f t="shared" si="8"/>
        <v>0</v>
      </c>
      <c r="BA58" s="8" t="b">
        <f t="shared" si="9"/>
        <v>0</v>
      </c>
      <c r="BB58" s="8">
        <f t="shared" si="10"/>
        <v>2</v>
      </c>
    </row>
    <row r="59" spans="1:54" ht="18" customHeight="1">
      <c r="A59" s="65">
        <v>40</v>
      </c>
      <c r="B59" s="43">
        <f>IF('1'!B59=0,"",'1'!B59)</f>
        <v>40</v>
      </c>
      <c r="C59" s="43" t="str">
        <f>IF('1'!C59=0,"",'1'!C59)</f>
        <v>1602-16-733-040</v>
      </c>
      <c r="D59" s="43">
        <f>'1'!D59</f>
        <v>1</v>
      </c>
      <c r="E59" s="43">
        <f>'1'!E59</f>
        <v>1</v>
      </c>
      <c r="F59" s="43">
        <f>'1'!F59</f>
        <v>0</v>
      </c>
      <c r="G59" s="43">
        <f>'1'!G59</f>
        <v>1</v>
      </c>
      <c r="H59" s="43">
        <f>'1'!H59</f>
        <v>1</v>
      </c>
      <c r="I59" s="43">
        <f>'1'!I59</f>
        <v>0</v>
      </c>
      <c r="J59" s="43" t="str">
        <f>'1'!J59</f>
        <v>NA</v>
      </c>
      <c r="K59" s="43" t="str">
        <f>'1'!K59</f>
        <v>NA</v>
      </c>
      <c r="L59" s="43">
        <f>'1'!L59</f>
        <v>2</v>
      </c>
      <c r="M59" s="43">
        <f>'1'!M59</f>
        <v>3</v>
      </c>
      <c r="N59" s="43">
        <f>'1'!N59</f>
        <v>4</v>
      </c>
      <c r="O59" s="43">
        <f>'1'!O59</f>
        <v>3</v>
      </c>
      <c r="P59" s="216">
        <f>'2'!D59</f>
        <v>0</v>
      </c>
      <c r="Q59" s="216">
        <f>'2'!E59</f>
        <v>1</v>
      </c>
      <c r="R59" s="216">
        <f>'2'!F59</f>
        <v>0</v>
      </c>
      <c r="S59" s="216">
        <f>'2'!G59</f>
        <v>1</v>
      </c>
      <c r="T59" s="216">
        <f>'2'!H59</f>
        <v>1</v>
      </c>
      <c r="U59" s="216">
        <f>'2'!I59</f>
        <v>1</v>
      </c>
      <c r="V59" s="216">
        <f>'2'!J59</f>
        <v>4</v>
      </c>
      <c r="W59" s="216">
        <f>'2'!K59</f>
        <v>3</v>
      </c>
      <c r="X59" s="216">
        <f>'2'!L59</f>
        <v>3</v>
      </c>
      <c r="Y59" s="216">
        <f>'2'!M59</f>
        <v>3</v>
      </c>
      <c r="Z59" s="216" t="str">
        <f>'2'!N59</f>
        <v>NA</v>
      </c>
      <c r="AA59" s="216" t="str">
        <f>'2'!O59</f>
        <v>NA</v>
      </c>
      <c r="AB59" s="87">
        <f t="shared" si="1"/>
        <v>33</v>
      </c>
      <c r="AC59" s="87">
        <v>11</v>
      </c>
      <c r="AD59" s="87">
        <v>4.5</v>
      </c>
      <c r="AE59" s="87">
        <v>5.5</v>
      </c>
      <c r="AF59" s="87">
        <v>8.5</v>
      </c>
      <c r="AG59" s="87">
        <v>2</v>
      </c>
      <c r="AH59" s="87">
        <f t="shared" si="2"/>
        <v>31.5</v>
      </c>
      <c r="AI59" s="87">
        <v>13</v>
      </c>
      <c r="AJ59" s="87">
        <v>7</v>
      </c>
      <c r="AK59" s="87">
        <v>9</v>
      </c>
      <c r="AL59" s="87">
        <v>9</v>
      </c>
      <c r="AM59" s="87">
        <v>2</v>
      </c>
      <c r="AN59" s="7"/>
      <c r="AO59" s="96">
        <f t="shared" si="3"/>
        <v>84.615384615384613</v>
      </c>
      <c r="AP59" s="96">
        <f t="shared" si="3"/>
        <v>64.285714285714292</v>
      </c>
      <c r="AQ59" s="96">
        <f t="shared" si="3"/>
        <v>61.111111111111114</v>
      </c>
      <c r="AR59" s="96">
        <f t="shared" si="3"/>
        <v>94.444444444444443</v>
      </c>
      <c r="AS59" s="96">
        <f t="shared" si="3"/>
        <v>100</v>
      </c>
      <c r="AT59" s="7"/>
      <c r="AU59" s="7"/>
      <c r="AV59" s="8" t="b">
        <f t="shared" si="4"/>
        <v>1</v>
      </c>
      <c r="AW59" s="8" t="b">
        <f t="shared" si="5"/>
        <v>1</v>
      </c>
      <c r="AX59" s="8" t="b">
        <f t="shared" si="6"/>
        <v>0</v>
      </c>
      <c r="AY59" s="8" t="b">
        <f t="shared" si="7"/>
        <v>0</v>
      </c>
      <c r="AZ59" s="8" t="b">
        <f t="shared" si="8"/>
        <v>0</v>
      </c>
      <c r="BA59" s="8" t="b">
        <f t="shared" si="9"/>
        <v>0</v>
      </c>
      <c r="BB59" s="8">
        <f t="shared" si="10"/>
        <v>2</v>
      </c>
    </row>
    <row r="60" spans="1:54" ht="18" customHeight="1">
      <c r="A60" s="65">
        <v>41</v>
      </c>
      <c r="B60" s="43">
        <f>IF('1'!B60=0,"",'1'!B60)</f>
        <v>41</v>
      </c>
      <c r="C60" s="43" t="str">
        <f>IF('1'!C60=0,"",'1'!C60)</f>
        <v>1602-16-733-041</v>
      </c>
      <c r="D60" s="43">
        <f>'1'!D60</f>
        <v>1</v>
      </c>
      <c r="E60" s="43">
        <f>'1'!E60</f>
        <v>0</v>
      </c>
      <c r="F60" s="43">
        <f>'1'!F60</f>
        <v>1</v>
      </c>
      <c r="G60" s="43">
        <f>'1'!G60</f>
        <v>1</v>
      </c>
      <c r="H60" s="43">
        <f>'1'!H60</f>
        <v>1</v>
      </c>
      <c r="I60" s="43">
        <f>'1'!I60</f>
        <v>1</v>
      </c>
      <c r="J60" s="43" t="str">
        <f>'1'!J60</f>
        <v>NA</v>
      </c>
      <c r="K60" s="43" t="str">
        <f>'1'!K60</f>
        <v>NA</v>
      </c>
      <c r="L60" s="43">
        <f>'1'!L60</f>
        <v>2</v>
      </c>
      <c r="M60" s="43">
        <f>'1'!M60</f>
        <v>3</v>
      </c>
      <c r="N60" s="43">
        <f>'1'!N60</f>
        <v>4</v>
      </c>
      <c r="O60" s="43">
        <f>'1'!O60</f>
        <v>2</v>
      </c>
      <c r="P60" s="216">
        <f>'2'!D60</f>
        <v>1</v>
      </c>
      <c r="Q60" s="216">
        <f>'2'!E60</f>
        <v>1</v>
      </c>
      <c r="R60" s="216">
        <f>'2'!F60</f>
        <v>1</v>
      </c>
      <c r="S60" s="216">
        <f>'2'!G60</f>
        <v>1</v>
      </c>
      <c r="T60" s="216">
        <f>'2'!H60</f>
        <v>1</v>
      </c>
      <c r="U60" s="216">
        <f>'2'!I60</f>
        <v>1</v>
      </c>
      <c r="V60" s="216">
        <f>'2'!J60</f>
        <v>3</v>
      </c>
      <c r="W60" s="216">
        <f>'2'!K60</f>
        <v>3</v>
      </c>
      <c r="X60" s="216">
        <f>'2'!L60</f>
        <v>0</v>
      </c>
      <c r="Y60" s="216">
        <f>'2'!M60</f>
        <v>3</v>
      </c>
      <c r="Z60" s="216" t="str">
        <f>'2'!N60</f>
        <v>NA</v>
      </c>
      <c r="AA60" s="216" t="str">
        <f>'2'!O60</f>
        <v>NA</v>
      </c>
      <c r="AB60" s="87">
        <f t="shared" si="1"/>
        <v>31</v>
      </c>
      <c r="AC60" s="87">
        <v>10</v>
      </c>
      <c r="AD60" s="87">
        <v>5.5</v>
      </c>
      <c r="AE60" s="87">
        <v>8</v>
      </c>
      <c r="AF60" s="87">
        <v>8.5</v>
      </c>
      <c r="AG60" s="87">
        <v>2</v>
      </c>
      <c r="AH60" s="87">
        <f t="shared" si="2"/>
        <v>34</v>
      </c>
      <c r="AI60" s="87">
        <v>13</v>
      </c>
      <c r="AJ60" s="87">
        <v>7</v>
      </c>
      <c r="AK60" s="87">
        <v>9</v>
      </c>
      <c r="AL60" s="87">
        <v>9</v>
      </c>
      <c r="AM60" s="87">
        <v>2</v>
      </c>
      <c r="AN60" s="7"/>
      <c r="AO60" s="96">
        <f t="shared" si="3"/>
        <v>76.923076923076934</v>
      </c>
      <c r="AP60" s="96">
        <f t="shared" si="3"/>
        <v>78.571428571428569</v>
      </c>
      <c r="AQ60" s="96">
        <f t="shared" si="3"/>
        <v>88.888888888888886</v>
      </c>
      <c r="AR60" s="96">
        <f t="shared" si="3"/>
        <v>94.444444444444443</v>
      </c>
      <c r="AS60" s="96">
        <f t="shared" si="3"/>
        <v>100</v>
      </c>
      <c r="AT60" s="7"/>
      <c r="AU60" s="7"/>
      <c r="AV60" s="8" t="b">
        <f t="shared" si="4"/>
        <v>1</v>
      </c>
      <c r="AW60" s="8" t="b">
        <f t="shared" si="5"/>
        <v>1</v>
      </c>
      <c r="AX60" s="8" t="b">
        <f t="shared" si="6"/>
        <v>0</v>
      </c>
      <c r="AY60" s="8" t="b">
        <f t="shared" si="7"/>
        <v>0</v>
      </c>
      <c r="AZ60" s="8" t="b">
        <f t="shared" si="8"/>
        <v>0</v>
      </c>
      <c r="BA60" s="8" t="b">
        <f t="shared" si="9"/>
        <v>0</v>
      </c>
      <c r="BB60" s="8">
        <f t="shared" si="10"/>
        <v>2</v>
      </c>
    </row>
    <row r="61" spans="1:54" ht="18" customHeight="1">
      <c r="A61" s="65">
        <v>42</v>
      </c>
      <c r="B61" s="43">
        <f>IF('1'!B61=0,"",'1'!B61)</f>
        <v>42</v>
      </c>
      <c r="C61" s="43" t="str">
        <f>IF('1'!C61=0,"",'1'!C61)</f>
        <v>1602-16-733-042</v>
      </c>
      <c r="D61" s="43">
        <f>'1'!D61</f>
        <v>1</v>
      </c>
      <c r="E61" s="43">
        <f>'1'!E61</f>
        <v>1</v>
      </c>
      <c r="F61" s="43">
        <f>'1'!F61</f>
        <v>1</v>
      </c>
      <c r="G61" s="43">
        <f>'1'!G61</f>
        <v>1</v>
      </c>
      <c r="H61" s="43">
        <f>'1'!H61</f>
        <v>1</v>
      </c>
      <c r="I61" s="43">
        <f>'1'!I61</f>
        <v>1</v>
      </c>
      <c r="J61" s="43">
        <f>'1'!J61</f>
        <v>4</v>
      </c>
      <c r="K61" s="43">
        <f>'1'!K61</f>
        <v>2</v>
      </c>
      <c r="L61" s="43" t="str">
        <f>'1'!L61</f>
        <v>NA</v>
      </c>
      <c r="M61" s="43" t="str">
        <f>'1'!M61</f>
        <v>NA</v>
      </c>
      <c r="N61" s="43">
        <f>'1'!N61</f>
        <v>4</v>
      </c>
      <c r="O61" s="43">
        <f>'1'!O61</f>
        <v>3</v>
      </c>
      <c r="P61" s="216">
        <f>'2'!D61</f>
        <v>1</v>
      </c>
      <c r="Q61" s="216">
        <f>'2'!E61</f>
        <v>1</v>
      </c>
      <c r="R61" s="216">
        <f>'2'!F61</f>
        <v>1</v>
      </c>
      <c r="S61" s="216">
        <f>'2'!G61</f>
        <v>1</v>
      </c>
      <c r="T61" s="216">
        <f>'2'!H61</f>
        <v>1</v>
      </c>
      <c r="U61" s="216">
        <f>'2'!I61</f>
        <v>1</v>
      </c>
      <c r="V61" s="216">
        <f>'2'!J61</f>
        <v>4</v>
      </c>
      <c r="W61" s="216">
        <f>'2'!K61</f>
        <v>3</v>
      </c>
      <c r="X61" s="216">
        <f>'2'!L61</f>
        <v>3</v>
      </c>
      <c r="Y61" s="216">
        <f>'2'!M61</f>
        <v>3</v>
      </c>
      <c r="Z61" s="216" t="str">
        <f>'2'!N61</f>
        <v>NA</v>
      </c>
      <c r="AA61" s="216" t="str">
        <f>'2'!O61</f>
        <v>NA</v>
      </c>
      <c r="AB61" s="87">
        <f t="shared" si="1"/>
        <v>38</v>
      </c>
      <c r="AC61" s="87">
        <v>7</v>
      </c>
      <c r="AD61" s="87">
        <v>3</v>
      </c>
      <c r="AE61" s="87">
        <v>4.5</v>
      </c>
      <c r="AF61" s="87">
        <v>4</v>
      </c>
      <c r="AG61" s="87">
        <v>0</v>
      </c>
      <c r="AH61" s="87">
        <f t="shared" si="2"/>
        <v>18.5</v>
      </c>
      <c r="AI61" s="87">
        <v>13</v>
      </c>
      <c r="AJ61" s="87">
        <v>7</v>
      </c>
      <c r="AK61" s="87">
        <v>9</v>
      </c>
      <c r="AL61" s="87">
        <v>9</v>
      </c>
      <c r="AM61" s="87">
        <v>2</v>
      </c>
      <c r="AN61" s="7"/>
      <c r="AO61" s="96">
        <f t="shared" si="3"/>
        <v>53.846153846153847</v>
      </c>
      <c r="AP61" s="96">
        <f t="shared" si="3"/>
        <v>42.857142857142854</v>
      </c>
      <c r="AQ61" s="96">
        <f t="shared" si="3"/>
        <v>50</v>
      </c>
      <c r="AR61" s="96">
        <f t="shared" si="3"/>
        <v>44.444444444444443</v>
      </c>
      <c r="AS61" s="96">
        <f t="shared" si="3"/>
        <v>0</v>
      </c>
      <c r="AT61" s="7"/>
      <c r="AU61" s="7"/>
      <c r="AV61" s="8" t="b">
        <f t="shared" si="4"/>
        <v>0</v>
      </c>
      <c r="AW61" s="8" t="b">
        <f t="shared" si="5"/>
        <v>0</v>
      </c>
      <c r="AX61" s="8" t="b">
        <f t="shared" si="6"/>
        <v>1</v>
      </c>
      <c r="AY61" s="8" t="b">
        <f t="shared" si="7"/>
        <v>1</v>
      </c>
      <c r="AZ61" s="8" t="b">
        <f t="shared" si="8"/>
        <v>0</v>
      </c>
      <c r="BA61" s="8" t="b">
        <f t="shared" si="9"/>
        <v>0</v>
      </c>
      <c r="BB61" s="8">
        <f t="shared" si="10"/>
        <v>2</v>
      </c>
    </row>
    <row r="62" spans="1:54" ht="18" customHeight="1">
      <c r="A62" s="65">
        <v>43</v>
      </c>
      <c r="B62" s="43">
        <f>IF('1'!B62=0,"",'1'!B62)</f>
        <v>43</v>
      </c>
      <c r="C62" s="43" t="str">
        <f>IF('1'!C62=0,"",'1'!C62)</f>
        <v>1602-16-733-043</v>
      </c>
      <c r="D62" s="43">
        <f>'1'!D62</f>
        <v>0</v>
      </c>
      <c r="E62" s="43">
        <f>'1'!E62</f>
        <v>0</v>
      </c>
      <c r="F62" s="43">
        <f>'1'!F62</f>
        <v>1</v>
      </c>
      <c r="G62" s="43">
        <f>'1'!G62</f>
        <v>0</v>
      </c>
      <c r="H62" s="43">
        <f>'1'!H62</f>
        <v>0</v>
      </c>
      <c r="I62" s="43">
        <f>'1'!I62</f>
        <v>1</v>
      </c>
      <c r="J62" s="43">
        <f>'1'!J62</f>
        <v>4</v>
      </c>
      <c r="K62" s="43">
        <f>'1'!K62</f>
        <v>2</v>
      </c>
      <c r="L62" s="43" t="str">
        <f>'1'!L62</f>
        <v>NA</v>
      </c>
      <c r="M62" s="43" t="str">
        <f>'1'!M62</f>
        <v>NA</v>
      </c>
      <c r="N62" s="43">
        <f>'1'!N62</f>
        <v>4</v>
      </c>
      <c r="O62" s="43">
        <f>'1'!O62</f>
        <v>1</v>
      </c>
      <c r="P62" s="216">
        <f>'2'!D62</f>
        <v>0</v>
      </c>
      <c r="Q62" s="216">
        <f>'2'!E62</f>
        <v>1</v>
      </c>
      <c r="R62" s="216">
        <f>'2'!F62</f>
        <v>1</v>
      </c>
      <c r="S62" s="216">
        <f>'2'!G62</f>
        <v>0</v>
      </c>
      <c r="T62" s="216">
        <f>'2'!H62</f>
        <v>0</v>
      </c>
      <c r="U62" s="216">
        <f>'2'!I62</f>
        <v>0</v>
      </c>
      <c r="V62" s="216">
        <f>'2'!J62</f>
        <v>3</v>
      </c>
      <c r="W62" s="216">
        <f>'2'!K62</f>
        <v>3</v>
      </c>
      <c r="X62" s="216">
        <f>'2'!L62</f>
        <v>3</v>
      </c>
      <c r="Y62" s="216">
        <f>'2'!M62</f>
        <v>1</v>
      </c>
      <c r="Z62" s="216" t="str">
        <f>'2'!N62</f>
        <v>NA</v>
      </c>
      <c r="AA62" s="216" t="str">
        <f>'2'!O62</f>
        <v>NA</v>
      </c>
      <c r="AB62" s="87">
        <f t="shared" si="1"/>
        <v>25</v>
      </c>
      <c r="AC62" s="87">
        <v>5.5</v>
      </c>
      <c r="AD62" s="87">
        <v>5.5</v>
      </c>
      <c r="AE62" s="87">
        <v>8.5</v>
      </c>
      <c r="AF62" s="87">
        <v>9</v>
      </c>
      <c r="AG62" s="87">
        <v>2</v>
      </c>
      <c r="AH62" s="87">
        <f t="shared" si="2"/>
        <v>30.5</v>
      </c>
      <c r="AI62" s="87">
        <v>13</v>
      </c>
      <c r="AJ62" s="87">
        <v>7</v>
      </c>
      <c r="AK62" s="87">
        <v>9</v>
      </c>
      <c r="AL62" s="87">
        <v>9</v>
      </c>
      <c r="AM62" s="87">
        <v>2</v>
      </c>
      <c r="AN62" s="7"/>
      <c r="AO62" s="96">
        <f t="shared" si="3"/>
        <v>42.307692307692307</v>
      </c>
      <c r="AP62" s="96">
        <f t="shared" si="3"/>
        <v>78.571428571428569</v>
      </c>
      <c r="AQ62" s="96">
        <f t="shared" si="3"/>
        <v>94.444444444444443</v>
      </c>
      <c r="AR62" s="96">
        <f t="shared" si="3"/>
        <v>100</v>
      </c>
      <c r="AS62" s="96">
        <f t="shared" si="3"/>
        <v>100</v>
      </c>
      <c r="AT62" s="7"/>
      <c r="AU62" s="7"/>
      <c r="AV62" s="8" t="b">
        <f t="shared" si="4"/>
        <v>0</v>
      </c>
      <c r="AW62" s="8" t="b">
        <f t="shared" si="5"/>
        <v>0</v>
      </c>
      <c r="AX62" s="8" t="b">
        <f t="shared" si="6"/>
        <v>1</v>
      </c>
      <c r="AY62" s="8" t="b">
        <f t="shared" si="7"/>
        <v>1</v>
      </c>
      <c r="AZ62" s="8" t="b">
        <f t="shared" si="8"/>
        <v>0</v>
      </c>
      <c r="BA62" s="8" t="b">
        <f t="shared" si="9"/>
        <v>0</v>
      </c>
      <c r="BB62" s="8">
        <f t="shared" si="10"/>
        <v>2</v>
      </c>
    </row>
    <row r="63" spans="1:54" ht="18" customHeight="1">
      <c r="A63" s="65">
        <v>44</v>
      </c>
      <c r="B63" s="43">
        <f>IF('1'!B63=0,"",'1'!B63)</f>
        <v>44</v>
      </c>
      <c r="C63" s="43" t="str">
        <f>IF('1'!C63=0,"",'1'!C63)</f>
        <v>1602-16-733-044</v>
      </c>
      <c r="D63" s="43">
        <f>'1'!D63</f>
        <v>0</v>
      </c>
      <c r="E63" s="43">
        <f>'1'!E63</f>
        <v>0</v>
      </c>
      <c r="F63" s="43">
        <f>'1'!F63</f>
        <v>1</v>
      </c>
      <c r="G63" s="43">
        <f>'1'!G63</f>
        <v>0</v>
      </c>
      <c r="H63" s="43">
        <f>'1'!H63</f>
        <v>1</v>
      </c>
      <c r="I63" s="43">
        <f>'1'!I63</f>
        <v>1</v>
      </c>
      <c r="J63" s="43">
        <f>'1'!J63</f>
        <v>3</v>
      </c>
      <c r="K63" s="43">
        <f>'1'!K63</f>
        <v>2</v>
      </c>
      <c r="L63" s="43" t="str">
        <f>'1'!L63</f>
        <v>NA</v>
      </c>
      <c r="M63" s="43" t="str">
        <f>'1'!M63</f>
        <v>NA</v>
      </c>
      <c r="N63" s="43">
        <f>'1'!N63</f>
        <v>4</v>
      </c>
      <c r="O63" s="43">
        <f>'1'!O63</f>
        <v>2</v>
      </c>
      <c r="P63" s="216">
        <f>'2'!D63</f>
        <v>0</v>
      </c>
      <c r="Q63" s="216">
        <f>'2'!E63</f>
        <v>0</v>
      </c>
      <c r="R63" s="216">
        <f>'2'!F63</f>
        <v>0</v>
      </c>
      <c r="S63" s="216">
        <f>'2'!G63</f>
        <v>0</v>
      </c>
      <c r="T63" s="216">
        <f>'2'!H63</f>
        <v>0</v>
      </c>
      <c r="U63" s="216">
        <f>'2'!I63</f>
        <v>0</v>
      </c>
      <c r="V63" s="216">
        <f>'2'!J63</f>
        <v>3</v>
      </c>
      <c r="W63" s="216">
        <f>'2'!K63</f>
        <v>1</v>
      </c>
      <c r="X63" s="216">
        <f>'2'!L63</f>
        <v>2</v>
      </c>
      <c r="Y63" s="216">
        <f>'2'!M63</f>
        <v>2</v>
      </c>
      <c r="Z63" s="216" t="str">
        <f>'2'!N63</f>
        <v>NA</v>
      </c>
      <c r="AA63" s="216" t="str">
        <f>'2'!O63</f>
        <v>NA</v>
      </c>
      <c r="AB63" s="87">
        <f t="shared" si="1"/>
        <v>22</v>
      </c>
      <c r="AC63" s="87">
        <v>9</v>
      </c>
      <c r="AD63" s="87">
        <v>4.5</v>
      </c>
      <c r="AE63" s="87">
        <v>8.5</v>
      </c>
      <c r="AF63" s="87">
        <v>1.5</v>
      </c>
      <c r="AG63" s="87">
        <v>8</v>
      </c>
      <c r="AH63" s="87">
        <f t="shared" si="2"/>
        <v>31.5</v>
      </c>
      <c r="AI63" s="87">
        <v>13</v>
      </c>
      <c r="AJ63" s="87">
        <v>7</v>
      </c>
      <c r="AK63" s="87">
        <v>9</v>
      </c>
      <c r="AL63" s="87">
        <v>2</v>
      </c>
      <c r="AM63" s="87">
        <v>9</v>
      </c>
      <c r="AN63" s="7"/>
      <c r="AO63" s="96">
        <f t="shared" si="3"/>
        <v>69.230769230769226</v>
      </c>
      <c r="AP63" s="96">
        <f t="shared" si="3"/>
        <v>64.285714285714292</v>
      </c>
      <c r="AQ63" s="96">
        <f t="shared" si="3"/>
        <v>94.444444444444443</v>
      </c>
      <c r="AR63" s="96">
        <f t="shared" si="3"/>
        <v>75</v>
      </c>
      <c r="AS63" s="96">
        <f t="shared" si="3"/>
        <v>88.888888888888886</v>
      </c>
      <c r="AT63" s="7"/>
      <c r="AU63" s="7"/>
      <c r="AV63" s="8" t="b">
        <f t="shared" si="4"/>
        <v>0</v>
      </c>
      <c r="AW63" s="8" t="b">
        <f t="shared" si="5"/>
        <v>0</v>
      </c>
      <c r="AX63" s="8" t="b">
        <f t="shared" si="6"/>
        <v>1</v>
      </c>
      <c r="AY63" s="8" t="b">
        <f t="shared" si="7"/>
        <v>1</v>
      </c>
      <c r="AZ63" s="8" t="b">
        <f t="shared" si="8"/>
        <v>0</v>
      </c>
      <c r="BA63" s="8" t="b">
        <f t="shared" si="9"/>
        <v>0</v>
      </c>
      <c r="BB63" s="8">
        <f t="shared" si="10"/>
        <v>2</v>
      </c>
    </row>
    <row r="64" spans="1:54" ht="18" customHeight="1">
      <c r="A64" s="65">
        <v>45</v>
      </c>
      <c r="B64" s="43">
        <f>IF('1'!B64=0,"",'1'!B64)</f>
        <v>45</v>
      </c>
      <c r="C64" s="43" t="str">
        <f>IF('1'!C64=0,"",'1'!C64)</f>
        <v>1602-16-733-045</v>
      </c>
      <c r="D64" s="43">
        <f>'1'!D64</f>
        <v>1</v>
      </c>
      <c r="E64" s="43">
        <f>'1'!E64</f>
        <v>1</v>
      </c>
      <c r="F64" s="43">
        <f>'1'!F64</f>
        <v>1</v>
      </c>
      <c r="G64" s="43">
        <f>'1'!G64</f>
        <v>1</v>
      </c>
      <c r="H64" s="43">
        <f>'1'!H64</f>
        <v>1</v>
      </c>
      <c r="I64" s="43">
        <f>'1'!I64</f>
        <v>1</v>
      </c>
      <c r="J64" s="43">
        <f>'1'!J64</f>
        <v>3</v>
      </c>
      <c r="K64" s="43">
        <f>'1'!K64</f>
        <v>2</v>
      </c>
      <c r="L64" s="43" t="str">
        <f>'1'!L64</f>
        <v>NA</v>
      </c>
      <c r="M64" s="43" t="str">
        <f>'1'!M64</f>
        <v>NA</v>
      </c>
      <c r="N64" s="43">
        <f>'1'!N64</f>
        <v>4</v>
      </c>
      <c r="O64" s="43">
        <f>'1'!O64</f>
        <v>3</v>
      </c>
      <c r="P64" s="216">
        <f>'2'!D64</f>
        <v>1</v>
      </c>
      <c r="Q64" s="216">
        <f>'2'!E64</f>
        <v>1</v>
      </c>
      <c r="R64" s="216">
        <f>'2'!F64</f>
        <v>1</v>
      </c>
      <c r="S64" s="216">
        <f>'2'!G64</f>
        <v>1</v>
      </c>
      <c r="T64" s="216">
        <f>'2'!H64</f>
        <v>1</v>
      </c>
      <c r="U64" s="216">
        <f>'2'!I64</f>
        <v>1</v>
      </c>
      <c r="V64" s="216">
        <f>'2'!J64</f>
        <v>3</v>
      </c>
      <c r="W64" s="216">
        <f>'2'!K64</f>
        <v>3</v>
      </c>
      <c r="X64" s="216">
        <f>'2'!L64</f>
        <v>4</v>
      </c>
      <c r="Y64" s="216">
        <f>'2'!M64</f>
        <v>3</v>
      </c>
      <c r="Z64" s="216" t="str">
        <f>'2'!N64</f>
        <v>NA</v>
      </c>
      <c r="AA64" s="216" t="str">
        <f>'2'!O64</f>
        <v>NA</v>
      </c>
      <c r="AB64" s="87">
        <f t="shared" si="1"/>
        <v>37</v>
      </c>
      <c r="AC64" s="87">
        <v>6</v>
      </c>
      <c r="AD64" s="87">
        <v>2.5</v>
      </c>
      <c r="AE64" s="87">
        <v>2</v>
      </c>
      <c r="AF64" s="87">
        <v>6.5</v>
      </c>
      <c r="AG64" s="87">
        <v>1.5</v>
      </c>
      <c r="AH64" s="87">
        <f t="shared" si="2"/>
        <v>18.5</v>
      </c>
      <c r="AI64" s="87">
        <v>10</v>
      </c>
      <c r="AJ64" s="87">
        <v>10</v>
      </c>
      <c r="AK64" s="87">
        <v>2</v>
      </c>
      <c r="AL64" s="87">
        <v>9</v>
      </c>
      <c r="AM64" s="87">
        <v>9</v>
      </c>
      <c r="AN64" s="7"/>
      <c r="AO64" s="96">
        <f t="shared" si="3"/>
        <v>60</v>
      </c>
      <c r="AP64" s="96">
        <f t="shared" si="3"/>
        <v>25</v>
      </c>
      <c r="AQ64" s="96">
        <f t="shared" si="3"/>
        <v>100</v>
      </c>
      <c r="AR64" s="96">
        <f t="shared" si="3"/>
        <v>72.222222222222214</v>
      </c>
      <c r="AS64" s="96">
        <f t="shared" si="3"/>
        <v>16.666666666666664</v>
      </c>
      <c r="AT64" s="7"/>
      <c r="AU64" s="7"/>
      <c r="AV64" s="8" t="b">
        <f t="shared" si="4"/>
        <v>0</v>
      </c>
      <c r="AW64" s="8" t="b">
        <f t="shared" si="5"/>
        <v>0</v>
      </c>
      <c r="AX64" s="8" t="b">
        <f t="shared" si="6"/>
        <v>1</v>
      </c>
      <c r="AY64" s="8" t="b">
        <f t="shared" si="7"/>
        <v>1</v>
      </c>
      <c r="AZ64" s="8" t="b">
        <f t="shared" si="8"/>
        <v>0</v>
      </c>
      <c r="BA64" s="8" t="b">
        <f t="shared" si="9"/>
        <v>0</v>
      </c>
      <c r="BB64" s="8">
        <f t="shared" si="10"/>
        <v>2</v>
      </c>
    </row>
    <row r="65" spans="1:54" ht="18" customHeight="1">
      <c r="A65" s="65">
        <v>46</v>
      </c>
      <c r="B65" s="43">
        <f>IF('1'!B65=0,"",'1'!B65)</f>
        <v>46</v>
      </c>
      <c r="C65" s="43" t="str">
        <f>IF('1'!C65=0,"",'1'!C65)</f>
        <v>1602-16-733-046</v>
      </c>
      <c r="D65" s="43">
        <f>'1'!D65</f>
        <v>1</v>
      </c>
      <c r="E65" s="43">
        <f>'1'!E65</f>
        <v>1</v>
      </c>
      <c r="F65" s="43">
        <f>'1'!F65</f>
        <v>1</v>
      </c>
      <c r="G65" s="43">
        <f>'1'!G65</f>
        <v>1</v>
      </c>
      <c r="H65" s="43">
        <f>'1'!H65</f>
        <v>1</v>
      </c>
      <c r="I65" s="43">
        <f>'1'!I65</f>
        <v>1</v>
      </c>
      <c r="J65" s="43">
        <f>'1'!J65</f>
        <v>3</v>
      </c>
      <c r="K65" s="43">
        <f>'1'!K65</f>
        <v>3</v>
      </c>
      <c r="L65" s="43">
        <f>'1'!L65</f>
        <v>4</v>
      </c>
      <c r="M65" s="43">
        <f>'1'!M65</f>
        <v>3</v>
      </c>
      <c r="N65" s="43" t="str">
        <f>'1'!N65</f>
        <v>NA</v>
      </c>
      <c r="O65" s="43" t="str">
        <f>'1'!O65</f>
        <v>NA</v>
      </c>
      <c r="P65" s="216">
        <f>'2'!D65</f>
        <v>1</v>
      </c>
      <c r="Q65" s="216">
        <f>'2'!E65</f>
        <v>1</v>
      </c>
      <c r="R65" s="216">
        <f>'2'!F65</f>
        <v>0</v>
      </c>
      <c r="S65" s="216">
        <f>'2'!G65</f>
        <v>1</v>
      </c>
      <c r="T65" s="216">
        <f>'2'!H65</f>
        <v>1</v>
      </c>
      <c r="U65" s="216">
        <f>'2'!I65</f>
        <v>1</v>
      </c>
      <c r="V65" s="216">
        <f>'2'!J65</f>
        <v>4</v>
      </c>
      <c r="W65" s="216">
        <f>'2'!K65</f>
        <v>3</v>
      </c>
      <c r="X65" s="216">
        <f>'2'!L65</f>
        <v>3</v>
      </c>
      <c r="Y65" s="216">
        <f>'2'!M65</f>
        <v>3</v>
      </c>
      <c r="Z65" s="216" t="str">
        <f>'2'!N65</f>
        <v>NA</v>
      </c>
      <c r="AA65" s="216" t="str">
        <f>'2'!O65</f>
        <v>NA</v>
      </c>
      <c r="AB65" s="87">
        <f t="shared" si="1"/>
        <v>37</v>
      </c>
      <c r="AC65" s="87">
        <v>8.5</v>
      </c>
      <c r="AD65" s="87">
        <v>3.5</v>
      </c>
      <c r="AE65" s="87">
        <v>1</v>
      </c>
      <c r="AF65" s="87">
        <v>5</v>
      </c>
      <c r="AG65" s="87">
        <v>4</v>
      </c>
      <c r="AH65" s="87">
        <f t="shared" si="2"/>
        <v>22</v>
      </c>
      <c r="AI65" s="87">
        <v>13</v>
      </c>
      <c r="AJ65" s="87">
        <v>7</v>
      </c>
      <c r="AK65" s="87">
        <v>2</v>
      </c>
      <c r="AL65" s="87">
        <v>9</v>
      </c>
      <c r="AM65" s="87">
        <v>9</v>
      </c>
      <c r="AN65" s="7"/>
      <c r="AO65" s="96">
        <f t="shared" si="3"/>
        <v>65.384615384615387</v>
      </c>
      <c r="AP65" s="96">
        <f t="shared" si="3"/>
        <v>50</v>
      </c>
      <c r="AQ65" s="96">
        <f t="shared" si="3"/>
        <v>50</v>
      </c>
      <c r="AR65" s="96">
        <f t="shared" si="3"/>
        <v>55.555555555555557</v>
      </c>
      <c r="AS65" s="96">
        <f t="shared" si="3"/>
        <v>44.444444444444443</v>
      </c>
      <c r="AT65" s="7"/>
      <c r="AU65" s="7"/>
      <c r="AV65" s="8" t="b">
        <f t="shared" si="4"/>
        <v>0</v>
      </c>
      <c r="AW65" s="8" t="b">
        <f t="shared" si="5"/>
        <v>0</v>
      </c>
      <c r="AX65" s="8" t="b">
        <f t="shared" si="6"/>
        <v>0</v>
      </c>
      <c r="AY65" s="8" t="b">
        <f t="shared" si="7"/>
        <v>0</v>
      </c>
      <c r="AZ65" s="8" t="b">
        <f t="shared" si="8"/>
        <v>1</v>
      </c>
      <c r="BA65" s="8" t="b">
        <f t="shared" si="9"/>
        <v>1</v>
      </c>
      <c r="BB65" s="8">
        <f t="shared" si="10"/>
        <v>2</v>
      </c>
    </row>
    <row r="66" spans="1:54" ht="18" customHeight="1">
      <c r="A66" s="65">
        <v>47</v>
      </c>
      <c r="B66" s="43">
        <f>IF('1'!B66=0,"",'1'!B66)</f>
        <v>47</v>
      </c>
      <c r="C66" s="43" t="str">
        <f>IF('1'!C66=0,"",'1'!C66)</f>
        <v>1602-16-733-047</v>
      </c>
      <c r="D66" s="43">
        <f>'1'!D66</f>
        <v>1</v>
      </c>
      <c r="E66" s="43">
        <f>'1'!E66</f>
        <v>1</v>
      </c>
      <c r="F66" s="43">
        <f>'1'!F66</f>
        <v>1</v>
      </c>
      <c r="G66" s="43">
        <f>'1'!G66</f>
        <v>1</v>
      </c>
      <c r="H66" s="43">
        <f>'1'!H66</f>
        <v>1</v>
      </c>
      <c r="I66" s="43">
        <f>'1'!I66</f>
        <v>1</v>
      </c>
      <c r="J66" s="43">
        <f>'1'!J66</f>
        <v>4</v>
      </c>
      <c r="K66" s="43">
        <f>'1'!K66</f>
        <v>3</v>
      </c>
      <c r="L66" s="43" t="str">
        <f>'1'!L66</f>
        <v>NA</v>
      </c>
      <c r="M66" s="43" t="str">
        <f>'1'!M66</f>
        <v>NA</v>
      </c>
      <c r="N66" s="43">
        <f>'1'!N66</f>
        <v>3</v>
      </c>
      <c r="O66" s="43">
        <f>'1'!O66</f>
        <v>3</v>
      </c>
      <c r="P66" s="216">
        <f>'2'!D66</f>
        <v>0</v>
      </c>
      <c r="Q66" s="216">
        <f>'2'!E66</f>
        <v>1</v>
      </c>
      <c r="R66" s="216">
        <f>'2'!F66</f>
        <v>0</v>
      </c>
      <c r="S66" s="216">
        <f>'2'!G66</f>
        <v>1</v>
      </c>
      <c r="T66" s="216">
        <f>'2'!H66</f>
        <v>1</v>
      </c>
      <c r="U66" s="216">
        <f>'2'!I66</f>
        <v>1</v>
      </c>
      <c r="V66" s="216">
        <f>'2'!J66</f>
        <v>4</v>
      </c>
      <c r="W66" s="216">
        <f>'2'!K66</f>
        <v>3</v>
      </c>
      <c r="X66" s="216">
        <f>'2'!L66</f>
        <v>4</v>
      </c>
      <c r="Y66" s="216">
        <f>'2'!M66</f>
        <v>3</v>
      </c>
      <c r="Z66" s="216" t="str">
        <f>'2'!N66</f>
        <v>NA</v>
      </c>
      <c r="AA66" s="216" t="str">
        <f>'2'!O66</f>
        <v>NA</v>
      </c>
      <c r="AB66" s="87">
        <f t="shared" si="1"/>
        <v>37</v>
      </c>
      <c r="AC66" s="87">
        <v>2</v>
      </c>
      <c r="AD66" s="87">
        <v>0.5</v>
      </c>
      <c r="AE66" s="87">
        <v>3.5</v>
      </c>
      <c r="AF66" s="87">
        <v>3</v>
      </c>
      <c r="AG66" s="87">
        <v>1</v>
      </c>
      <c r="AH66" s="87">
        <f t="shared" si="2"/>
        <v>10</v>
      </c>
      <c r="AI66" s="87">
        <v>6</v>
      </c>
      <c r="AJ66" s="87">
        <v>14</v>
      </c>
      <c r="AK66" s="87">
        <v>9</v>
      </c>
      <c r="AL66" s="87">
        <v>9</v>
      </c>
      <c r="AM66" s="87">
        <v>2</v>
      </c>
      <c r="AN66" s="7"/>
      <c r="AO66" s="96">
        <f t="shared" si="3"/>
        <v>33.333333333333329</v>
      </c>
      <c r="AP66" s="96">
        <f t="shared" si="3"/>
        <v>3.5714285714285712</v>
      </c>
      <c r="AQ66" s="96">
        <f t="shared" si="3"/>
        <v>38.888888888888893</v>
      </c>
      <c r="AR66" s="96">
        <f t="shared" si="3"/>
        <v>33.333333333333329</v>
      </c>
      <c r="AS66" s="96">
        <f t="shared" si="3"/>
        <v>50</v>
      </c>
      <c r="AT66" s="7"/>
      <c r="AU66" s="7"/>
      <c r="AV66" s="8" t="b">
        <f t="shared" si="4"/>
        <v>0</v>
      </c>
      <c r="AW66" s="8" t="b">
        <f t="shared" si="5"/>
        <v>0</v>
      </c>
      <c r="AX66" s="8" t="b">
        <f t="shared" si="6"/>
        <v>1</v>
      </c>
      <c r="AY66" s="8" t="b">
        <f t="shared" si="7"/>
        <v>1</v>
      </c>
      <c r="AZ66" s="8" t="b">
        <f t="shared" si="8"/>
        <v>0</v>
      </c>
      <c r="BA66" s="8" t="b">
        <f t="shared" si="9"/>
        <v>0</v>
      </c>
      <c r="BB66" s="8">
        <f t="shared" si="10"/>
        <v>2</v>
      </c>
    </row>
    <row r="67" spans="1:54" ht="18" customHeight="1">
      <c r="A67" s="65">
        <v>48</v>
      </c>
      <c r="B67" s="43">
        <f>IF('1'!B67=0,"",'1'!B67)</f>
        <v>48</v>
      </c>
      <c r="C67" s="43" t="str">
        <f>IF('1'!C67=0,"",'1'!C67)</f>
        <v>1602-16-733-048</v>
      </c>
      <c r="D67" s="43">
        <f>'1'!D67</f>
        <v>1</v>
      </c>
      <c r="E67" s="43">
        <f>'1'!E67</f>
        <v>1</v>
      </c>
      <c r="F67" s="43">
        <f>'1'!F67</f>
        <v>1</v>
      </c>
      <c r="G67" s="43">
        <f>'1'!G67</f>
        <v>1</v>
      </c>
      <c r="H67" s="43">
        <f>'1'!H67</f>
        <v>1</v>
      </c>
      <c r="I67" s="43">
        <f>'1'!I67</f>
        <v>0</v>
      </c>
      <c r="J67" s="43">
        <f>'1'!J67</f>
        <v>4</v>
      </c>
      <c r="K67" s="43">
        <f>'1'!K67</f>
        <v>2</v>
      </c>
      <c r="L67" s="43" t="str">
        <f>'1'!L67</f>
        <v>NA</v>
      </c>
      <c r="M67" s="43" t="str">
        <f>'1'!M67</f>
        <v>NA</v>
      </c>
      <c r="N67" s="43">
        <f>'1'!N67</f>
        <v>4</v>
      </c>
      <c r="O67" s="43">
        <f>'1'!O67</f>
        <v>0</v>
      </c>
      <c r="P67" s="216">
        <f>'2'!D67</f>
        <v>1</v>
      </c>
      <c r="Q67" s="216">
        <f>'2'!E67</f>
        <v>1</v>
      </c>
      <c r="R67" s="216">
        <f>'2'!F67</f>
        <v>1</v>
      </c>
      <c r="S67" s="216">
        <f>'2'!G67</f>
        <v>1</v>
      </c>
      <c r="T67" s="216">
        <f>'2'!H67</f>
        <v>1</v>
      </c>
      <c r="U67" s="216">
        <f>'2'!I67</f>
        <v>1</v>
      </c>
      <c r="V67" s="216">
        <f>'2'!J67</f>
        <v>4</v>
      </c>
      <c r="W67" s="216">
        <f>'2'!K67</f>
        <v>3</v>
      </c>
      <c r="X67" s="216">
        <f>'2'!L67</f>
        <v>1</v>
      </c>
      <c r="Y67" s="216">
        <f>'2'!M67</f>
        <v>3</v>
      </c>
      <c r="Z67" s="216" t="str">
        <f>'2'!N67</f>
        <v>NA</v>
      </c>
      <c r="AA67" s="216" t="str">
        <f>'2'!O67</f>
        <v>NA</v>
      </c>
      <c r="AB67" s="87">
        <f t="shared" si="1"/>
        <v>32</v>
      </c>
      <c r="AC67" s="87">
        <v>7</v>
      </c>
      <c r="AD67" s="87">
        <v>6.5</v>
      </c>
      <c r="AE67" s="87">
        <v>6.5</v>
      </c>
      <c r="AF67" s="87">
        <v>8</v>
      </c>
      <c r="AG67" s="87">
        <v>2</v>
      </c>
      <c r="AH67" s="87">
        <f t="shared" si="2"/>
        <v>30</v>
      </c>
      <c r="AI67" s="87">
        <v>10</v>
      </c>
      <c r="AJ67" s="87">
        <v>10</v>
      </c>
      <c r="AK67" s="87">
        <v>9</v>
      </c>
      <c r="AL67" s="87">
        <v>9</v>
      </c>
      <c r="AM67" s="87">
        <v>2</v>
      </c>
      <c r="AN67" s="7"/>
      <c r="AO67" s="96">
        <f t="shared" si="3"/>
        <v>70</v>
      </c>
      <c r="AP67" s="96">
        <f t="shared" si="3"/>
        <v>65</v>
      </c>
      <c r="AQ67" s="96">
        <f t="shared" si="3"/>
        <v>72.222222222222214</v>
      </c>
      <c r="AR67" s="96">
        <f t="shared" si="3"/>
        <v>88.888888888888886</v>
      </c>
      <c r="AS67" s="96">
        <f t="shared" si="3"/>
        <v>100</v>
      </c>
      <c r="AT67" s="7"/>
      <c r="AU67" s="7"/>
      <c r="AV67" s="8" t="b">
        <f t="shared" si="4"/>
        <v>0</v>
      </c>
      <c r="AW67" s="8" t="b">
        <f t="shared" si="5"/>
        <v>0</v>
      </c>
      <c r="AX67" s="8" t="b">
        <f t="shared" si="6"/>
        <v>1</v>
      </c>
      <c r="AY67" s="8" t="b">
        <f t="shared" si="7"/>
        <v>1</v>
      </c>
      <c r="AZ67" s="8" t="b">
        <f t="shared" si="8"/>
        <v>0</v>
      </c>
      <c r="BA67" s="8" t="b">
        <f t="shared" si="9"/>
        <v>0</v>
      </c>
      <c r="BB67" s="8">
        <f t="shared" si="10"/>
        <v>2</v>
      </c>
    </row>
    <row r="68" spans="1:54" ht="18" customHeight="1">
      <c r="A68" s="65">
        <v>49</v>
      </c>
      <c r="B68" s="43">
        <f>IF('1'!B68=0,"",'1'!B68)</f>
        <v>49</v>
      </c>
      <c r="C68" s="43" t="str">
        <f>IF('1'!C68=0,"",'1'!C68)</f>
        <v>1602-16-733-049</v>
      </c>
      <c r="D68" s="43">
        <f>'1'!D68</f>
        <v>0</v>
      </c>
      <c r="E68" s="43">
        <f>'1'!E68</f>
        <v>1</v>
      </c>
      <c r="F68" s="43">
        <f>'1'!F68</f>
        <v>1</v>
      </c>
      <c r="G68" s="43">
        <f>'1'!G68</f>
        <v>0</v>
      </c>
      <c r="H68" s="43">
        <f>'1'!H68</f>
        <v>1</v>
      </c>
      <c r="I68" s="43">
        <f>'1'!I68</f>
        <v>1</v>
      </c>
      <c r="J68" s="43" t="str">
        <f>'1'!J68</f>
        <v>NA</v>
      </c>
      <c r="K68" s="43" t="str">
        <f>'1'!K68</f>
        <v>NA</v>
      </c>
      <c r="L68" s="43">
        <f>'1'!L68</f>
        <v>1</v>
      </c>
      <c r="M68" s="43">
        <f>'1'!M68</f>
        <v>3</v>
      </c>
      <c r="N68" s="43">
        <f>'1'!N68</f>
        <v>4</v>
      </c>
      <c r="O68" s="43">
        <f>'1'!O68</f>
        <v>1</v>
      </c>
      <c r="P68" s="216">
        <f>'2'!D68</f>
        <v>1</v>
      </c>
      <c r="Q68" s="216">
        <f>'2'!E68</f>
        <v>1</v>
      </c>
      <c r="R68" s="216">
        <f>'2'!F68</f>
        <v>1</v>
      </c>
      <c r="S68" s="216">
        <f>'2'!G68</f>
        <v>1</v>
      </c>
      <c r="T68" s="216">
        <f>'2'!H68</f>
        <v>1</v>
      </c>
      <c r="U68" s="216">
        <f>'2'!I68</f>
        <v>0</v>
      </c>
      <c r="V68" s="216">
        <f>'2'!J68</f>
        <v>4</v>
      </c>
      <c r="W68" s="216">
        <f>'2'!K68</f>
        <v>1</v>
      </c>
      <c r="X68" s="216">
        <f>'2'!L68</f>
        <v>2</v>
      </c>
      <c r="Y68" s="216">
        <f>'2'!M68</f>
        <v>2</v>
      </c>
      <c r="Z68" s="216" t="str">
        <f>'2'!N68</f>
        <v>NA</v>
      </c>
      <c r="AA68" s="216" t="str">
        <f>'2'!O68</f>
        <v>NA</v>
      </c>
      <c r="AB68" s="87">
        <f t="shared" si="1"/>
        <v>27</v>
      </c>
      <c r="AC68" s="87">
        <v>10</v>
      </c>
      <c r="AD68" s="87">
        <v>6</v>
      </c>
      <c r="AE68" s="87">
        <v>9</v>
      </c>
      <c r="AF68" s="87">
        <v>8.5</v>
      </c>
      <c r="AG68" s="87">
        <v>2</v>
      </c>
      <c r="AH68" s="87">
        <f t="shared" si="2"/>
        <v>35.5</v>
      </c>
      <c r="AI68" s="87">
        <v>13</v>
      </c>
      <c r="AJ68" s="87">
        <v>7</v>
      </c>
      <c r="AK68" s="87">
        <v>9</v>
      </c>
      <c r="AL68" s="87">
        <v>9</v>
      </c>
      <c r="AM68" s="87">
        <v>2</v>
      </c>
      <c r="AN68" s="7"/>
      <c r="AO68" s="96">
        <f t="shared" si="3"/>
        <v>76.923076923076934</v>
      </c>
      <c r="AP68" s="96">
        <f t="shared" si="3"/>
        <v>85.714285714285708</v>
      </c>
      <c r="AQ68" s="96">
        <f t="shared" si="3"/>
        <v>100</v>
      </c>
      <c r="AR68" s="96">
        <f t="shared" si="3"/>
        <v>94.444444444444443</v>
      </c>
      <c r="AS68" s="96">
        <f t="shared" si="3"/>
        <v>100</v>
      </c>
      <c r="AT68" s="7"/>
      <c r="AU68" s="7"/>
      <c r="AV68" s="8" t="b">
        <f t="shared" si="4"/>
        <v>1</v>
      </c>
      <c r="AW68" s="8" t="b">
        <f t="shared" si="5"/>
        <v>1</v>
      </c>
      <c r="AX68" s="8" t="b">
        <f t="shared" si="6"/>
        <v>0</v>
      </c>
      <c r="AY68" s="8" t="b">
        <f t="shared" si="7"/>
        <v>0</v>
      </c>
      <c r="AZ68" s="8" t="b">
        <f t="shared" si="8"/>
        <v>0</v>
      </c>
      <c r="BA68" s="8" t="b">
        <f t="shared" si="9"/>
        <v>0</v>
      </c>
      <c r="BB68" s="8">
        <f t="shared" si="10"/>
        <v>2</v>
      </c>
    </row>
    <row r="69" spans="1:54" ht="18" customHeight="1">
      <c r="A69" s="65">
        <v>50</v>
      </c>
      <c r="B69" s="43">
        <f>IF('1'!B69=0,"",'1'!B69)</f>
        <v>50</v>
      </c>
      <c r="C69" s="43" t="str">
        <f>IF('1'!C69=0,"",'1'!C69)</f>
        <v>1602-16-733-050</v>
      </c>
      <c r="D69" s="43">
        <f>'1'!D69</f>
        <v>1</v>
      </c>
      <c r="E69" s="43">
        <f>'1'!E69</f>
        <v>1</v>
      </c>
      <c r="F69" s="43">
        <f>'1'!F69</f>
        <v>1</v>
      </c>
      <c r="G69" s="43">
        <f>'1'!G69</f>
        <v>1</v>
      </c>
      <c r="H69" s="43">
        <f>'1'!H69</f>
        <v>1</v>
      </c>
      <c r="I69" s="43">
        <f>'1'!I69</f>
        <v>1</v>
      </c>
      <c r="J69" s="43">
        <f>'1'!J69</f>
        <v>4</v>
      </c>
      <c r="K69" s="43">
        <f>'1'!K69</f>
        <v>3</v>
      </c>
      <c r="L69" s="43">
        <f>'1'!L69</f>
        <v>3</v>
      </c>
      <c r="M69" s="43">
        <f>'1'!M69</f>
        <v>3</v>
      </c>
      <c r="N69" s="43" t="str">
        <f>'1'!N69</f>
        <v>NA</v>
      </c>
      <c r="O69" s="43" t="str">
        <f>'1'!O69</f>
        <v>NA</v>
      </c>
      <c r="P69" s="216">
        <f>'2'!D69</f>
        <v>1</v>
      </c>
      <c r="Q69" s="216">
        <f>'2'!E69</f>
        <v>1</v>
      </c>
      <c r="R69" s="216">
        <f>'2'!F69</f>
        <v>1</v>
      </c>
      <c r="S69" s="216">
        <f>'2'!G69</f>
        <v>1</v>
      </c>
      <c r="T69" s="216">
        <f>'2'!H69</f>
        <v>1</v>
      </c>
      <c r="U69" s="216">
        <f>'2'!I69</f>
        <v>1</v>
      </c>
      <c r="V69" s="216">
        <f>'2'!J69</f>
        <v>4</v>
      </c>
      <c r="W69" s="216">
        <f>'2'!K69</f>
        <v>3</v>
      </c>
      <c r="X69" s="216">
        <f>'2'!L69</f>
        <v>0</v>
      </c>
      <c r="Y69" s="216">
        <f>'2'!M69</f>
        <v>3</v>
      </c>
      <c r="Z69" s="216" t="str">
        <f>'2'!N69</f>
        <v>NA</v>
      </c>
      <c r="AA69" s="216" t="str">
        <f>'2'!O69</f>
        <v>NA</v>
      </c>
      <c r="AB69" s="87">
        <f t="shared" si="1"/>
        <v>35</v>
      </c>
      <c r="AC69" s="87">
        <v>7.5</v>
      </c>
      <c r="AD69" s="87">
        <v>5</v>
      </c>
      <c r="AE69" s="87">
        <v>8.5</v>
      </c>
      <c r="AF69" s="87">
        <v>9</v>
      </c>
      <c r="AG69" s="87">
        <v>2</v>
      </c>
      <c r="AH69" s="87">
        <f t="shared" si="2"/>
        <v>32</v>
      </c>
      <c r="AI69" s="87">
        <v>13</v>
      </c>
      <c r="AJ69" s="87">
        <v>7</v>
      </c>
      <c r="AK69" s="87">
        <v>9</v>
      </c>
      <c r="AL69" s="87">
        <v>9</v>
      </c>
      <c r="AM69" s="87">
        <v>2</v>
      </c>
      <c r="AN69" s="7"/>
      <c r="AO69" s="96">
        <f t="shared" si="3"/>
        <v>57.692307692307686</v>
      </c>
      <c r="AP69" s="96">
        <f t="shared" si="3"/>
        <v>71.428571428571431</v>
      </c>
      <c r="AQ69" s="96">
        <f t="shared" si="3"/>
        <v>94.444444444444443</v>
      </c>
      <c r="AR69" s="96">
        <f t="shared" si="3"/>
        <v>100</v>
      </c>
      <c r="AS69" s="96">
        <f t="shared" si="3"/>
        <v>100</v>
      </c>
      <c r="AT69" s="7"/>
      <c r="AU69" s="7"/>
      <c r="AV69" s="8" t="b">
        <f t="shared" si="4"/>
        <v>0</v>
      </c>
      <c r="AW69" s="8" t="b">
        <f t="shared" si="5"/>
        <v>0</v>
      </c>
      <c r="AX69" s="8" t="b">
        <f t="shared" si="6"/>
        <v>0</v>
      </c>
      <c r="AY69" s="8" t="b">
        <f t="shared" si="7"/>
        <v>0</v>
      </c>
      <c r="AZ69" s="8" t="b">
        <f t="shared" si="8"/>
        <v>1</v>
      </c>
      <c r="BA69" s="8" t="b">
        <f t="shared" si="9"/>
        <v>1</v>
      </c>
      <c r="BB69" s="8">
        <f t="shared" si="10"/>
        <v>2</v>
      </c>
    </row>
    <row r="70" spans="1:54" ht="18" customHeight="1">
      <c r="A70" s="65">
        <v>51</v>
      </c>
      <c r="B70" s="43">
        <f>IF('1'!B70=0,"",'1'!B70)</f>
        <v>51</v>
      </c>
      <c r="C70" s="43" t="str">
        <f>IF('1'!C70=0,"",'1'!C70)</f>
        <v>1602-16-733-051</v>
      </c>
      <c r="D70" s="43">
        <f>'1'!D70</f>
        <v>1</v>
      </c>
      <c r="E70" s="43">
        <f>'1'!E70</f>
        <v>1</v>
      </c>
      <c r="F70" s="43">
        <f>'1'!F70</f>
        <v>1</v>
      </c>
      <c r="G70" s="43">
        <f>'1'!G70</f>
        <v>0</v>
      </c>
      <c r="H70" s="43">
        <f>'1'!H70</f>
        <v>1</v>
      </c>
      <c r="I70" s="43">
        <f>'1'!I70</f>
        <v>1</v>
      </c>
      <c r="J70" s="43">
        <f>'1'!J70</f>
        <v>4</v>
      </c>
      <c r="K70" s="43">
        <f>'1'!K70</f>
        <v>3</v>
      </c>
      <c r="L70" s="43" t="str">
        <f>'1'!L70</f>
        <v>NA</v>
      </c>
      <c r="M70" s="43" t="str">
        <f>'1'!M70</f>
        <v>NA</v>
      </c>
      <c r="N70" s="43">
        <f>'1'!N70</f>
        <v>4</v>
      </c>
      <c r="O70" s="43">
        <f>'1'!O70</f>
        <v>3</v>
      </c>
      <c r="P70" s="216">
        <f>'2'!D70</f>
        <v>1</v>
      </c>
      <c r="Q70" s="216">
        <f>'2'!E70</f>
        <v>1</v>
      </c>
      <c r="R70" s="216">
        <f>'2'!F70</f>
        <v>1</v>
      </c>
      <c r="S70" s="216">
        <f>'2'!G70</f>
        <v>1</v>
      </c>
      <c r="T70" s="216">
        <f>'2'!H70</f>
        <v>1</v>
      </c>
      <c r="U70" s="216">
        <f>'2'!I70</f>
        <v>1</v>
      </c>
      <c r="V70" s="216">
        <f>'2'!J70</f>
        <v>4</v>
      </c>
      <c r="W70" s="216">
        <f>'2'!K70</f>
        <v>3</v>
      </c>
      <c r="X70" s="216" t="str">
        <f>'2'!L70</f>
        <v>NA</v>
      </c>
      <c r="Y70" s="216" t="str">
        <f>'2'!M70</f>
        <v>NA</v>
      </c>
      <c r="Z70" s="216">
        <f>'2'!N70</f>
        <v>4</v>
      </c>
      <c r="AA70" s="216">
        <f>'2'!O70</f>
        <v>0</v>
      </c>
      <c r="AB70" s="87">
        <f t="shared" si="1"/>
        <v>36</v>
      </c>
      <c r="AC70" s="87">
        <v>5.5</v>
      </c>
      <c r="AD70" s="87">
        <v>7.5</v>
      </c>
      <c r="AE70" s="87">
        <v>8</v>
      </c>
      <c r="AF70" s="87">
        <v>4</v>
      </c>
      <c r="AG70" s="87">
        <v>1</v>
      </c>
      <c r="AH70" s="87">
        <f t="shared" si="2"/>
        <v>26</v>
      </c>
      <c r="AI70" s="87">
        <v>6</v>
      </c>
      <c r="AJ70" s="87">
        <v>14</v>
      </c>
      <c r="AK70" s="87">
        <v>9</v>
      </c>
      <c r="AL70" s="87">
        <v>9</v>
      </c>
      <c r="AM70" s="87">
        <v>2</v>
      </c>
      <c r="AN70" s="7"/>
      <c r="AO70" s="96">
        <f t="shared" si="3"/>
        <v>91.666666666666657</v>
      </c>
      <c r="AP70" s="96">
        <f t="shared" si="3"/>
        <v>53.571428571428569</v>
      </c>
      <c r="AQ70" s="96">
        <f t="shared" si="3"/>
        <v>88.888888888888886</v>
      </c>
      <c r="AR70" s="96">
        <f t="shared" si="3"/>
        <v>44.444444444444443</v>
      </c>
      <c r="AS70" s="96">
        <f t="shared" si="3"/>
        <v>50</v>
      </c>
      <c r="AT70" s="7"/>
      <c r="AU70" s="7"/>
      <c r="AV70" s="8" t="b">
        <f t="shared" si="4"/>
        <v>0</v>
      </c>
      <c r="AW70" s="8" t="b">
        <f t="shared" si="5"/>
        <v>0</v>
      </c>
      <c r="AX70" s="8" t="b">
        <f t="shared" si="6"/>
        <v>1</v>
      </c>
      <c r="AY70" s="8" t="b">
        <f t="shared" si="7"/>
        <v>1</v>
      </c>
      <c r="AZ70" s="8" t="b">
        <f t="shared" si="8"/>
        <v>0</v>
      </c>
      <c r="BA70" s="8" t="b">
        <f t="shared" si="9"/>
        <v>0</v>
      </c>
      <c r="BB70" s="8">
        <f t="shared" si="10"/>
        <v>2</v>
      </c>
    </row>
    <row r="71" spans="1:54" ht="18" customHeight="1">
      <c r="A71" s="65">
        <v>52</v>
      </c>
      <c r="B71" s="43">
        <f>IF('1'!B71=0,"",'1'!B71)</f>
        <v>52</v>
      </c>
      <c r="C71" s="43" t="str">
        <f>IF('1'!C71=0,"",'1'!C71)</f>
        <v>1602-16-733-052</v>
      </c>
      <c r="D71" s="43">
        <f>'1'!D71</f>
        <v>0</v>
      </c>
      <c r="E71" s="43">
        <f>'1'!E71</f>
        <v>1</v>
      </c>
      <c r="F71" s="43">
        <f>'1'!F71</f>
        <v>1</v>
      </c>
      <c r="G71" s="43">
        <f>'1'!G71</f>
        <v>0</v>
      </c>
      <c r="H71" s="43">
        <f>'1'!H71</f>
        <v>1</v>
      </c>
      <c r="I71" s="43">
        <f>'1'!I71</f>
        <v>1</v>
      </c>
      <c r="J71" s="43">
        <f>'1'!J71</f>
        <v>2</v>
      </c>
      <c r="K71" s="43">
        <f>'1'!K71</f>
        <v>0</v>
      </c>
      <c r="L71" s="43" t="str">
        <f>'1'!L71</f>
        <v>NA</v>
      </c>
      <c r="M71" s="43" t="str">
        <f>'1'!M71</f>
        <v>NA</v>
      </c>
      <c r="N71" s="43">
        <f>'1'!N71</f>
        <v>4</v>
      </c>
      <c r="O71" s="43">
        <f>'1'!O71</f>
        <v>2</v>
      </c>
      <c r="P71" s="216">
        <f>'2'!D71</f>
        <v>1</v>
      </c>
      <c r="Q71" s="216">
        <f>'2'!E71</f>
        <v>0</v>
      </c>
      <c r="R71" s="216">
        <f>'2'!F71</f>
        <v>1</v>
      </c>
      <c r="S71" s="216">
        <f>'2'!G71</f>
        <v>1</v>
      </c>
      <c r="T71" s="216">
        <f>'2'!H71</f>
        <v>0</v>
      </c>
      <c r="U71" s="216">
        <f>'2'!I71</f>
        <v>0</v>
      </c>
      <c r="V71" s="216">
        <f>'2'!J71</f>
        <v>4</v>
      </c>
      <c r="W71" s="216">
        <f>'2'!K71</f>
        <v>1</v>
      </c>
      <c r="X71" s="216">
        <f>'2'!L71</f>
        <v>2</v>
      </c>
      <c r="Y71" s="216">
        <f>'2'!M71</f>
        <v>1</v>
      </c>
      <c r="Z71" s="216" t="str">
        <f>'2'!N71</f>
        <v>NA</v>
      </c>
      <c r="AA71" s="216" t="str">
        <f>'2'!O71</f>
        <v>NA</v>
      </c>
      <c r="AB71" s="87">
        <f t="shared" si="1"/>
        <v>23</v>
      </c>
      <c r="AC71" s="87">
        <v>9</v>
      </c>
      <c r="AD71" s="87">
        <v>4</v>
      </c>
      <c r="AE71" s="87">
        <v>5.5</v>
      </c>
      <c r="AF71" s="87">
        <v>6.5</v>
      </c>
      <c r="AG71" s="87">
        <v>1</v>
      </c>
      <c r="AH71" s="87">
        <f t="shared" si="2"/>
        <v>26</v>
      </c>
      <c r="AI71" s="87">
        <v>13</v>
      </c>
      <c r="AJ71" s="87">
        <v>7</v>
      </c>
      <c r="AK71" s="87">
        <v>9</v>
      </c>
      <c r="AL71" s="87">
        <v>9</v>
      </c>
      <c r="AM71" s="87">
        <v>2</v>
      </c>
      <c r="AN71" s="7"/>
      <c r="AO71" s="96">
        <f t="shared" si="3"/>
        <v>69.230769230769226</v>
      </c>
      <c r="AP71" s="96">
        <f t="shared" si="3"/>
        <v>57.142857142857139</v>
      </c>
      <c r="AQ71" s="96">
        <f t="shared" si="3"/>
        <v>61.111111111111114</v>
      </c>
      <c r="AR71" s="96">
        <f t="shared" si="3"/>
        <v>72.222222222222214</v>
      </c>
      <c r="AS71" s="96">
        <f t="shared" si="3"/>
        <v>50</v>
      </c>
      <c r="AT71" s="7"/>
      <c r="AU71" s="7"/>
      <c r="AV71" s="8" t="b">
        <f t="shared" si="4"/>
        <v>0</v>
      </c>
      <c r="AW71" s="8" t="b">
        <f t="shared" si="5"/>
        <v>0</v>
      </c>
      <c r="AX71" s="8" t="b">
        <f t="shared" si="6"/>
        <v>1</v>
      </c>
      <c r="AY71" s="8" t="b">
        <f t="shared" si="7"/>
        <v>1</v>
      </c>
      <c r="AZ71" s="8" t="b">
        <f t="shared" si="8"/>
        <v>0</v>
      </c>
      <c r="BA71" s="8" t="b">
        <f t="shared" si="9"/>
        <v>0</v>
      </c>
      <c r="BB71" s="8">
        <f t="shared" si="10"/>
        <v>2</v>
      </c>
    </row>
    <row r="72" spans="1:54" ht="18" customHeight="1">
      <c r="A72" s="65">
        <v>53</v>
      </c>
      <c r="B72" s="43">
        <f>IF('1'!B72=0,"",'1'!B72)</f>
        <v>53</v>
      </c>
      <c r="C72" s="43" t="str">
        <f>IF('1'!C72=0,"",'1'!C72)</f>
        <v>1602-16-733-053</v>
      </c>
      <c r="D72" s="43">
        <f>'1'!D72</f>
        <v>1</v>
      </c>
      <c r="E72" s="43">
        <f>'1'!E72</f>
        <v>1</v>
      </c>
      <c r="F72" s="43">
        <f>'1'!F72</f>
        <v>1</v>
      </c>
      <c r="G72" s="43">
        <f>'1'!G72</f>
        <v>0</v>
      </c>
      <c r="H72" s="43">
        <f>'1'!H72</f>
        <v>1</v>
      </c>
      <c r="I72" s="43">
        <f>'1'!I72</f>
        <v>1</v>
      </c>
      <c r="J72" s="43">
        <f>'1'!J72</f>
        <v>4</v>
      </c>
      <c r="K72" s="43">
        <f>'1'!K72</f>
        <v>3</v>
      </c>
      <c r="L72" s="43" t="str">
        <f>'1'!L72</f>
        <v>NA</v>
      </c>
      <c r="M72" s="43" t="str">
        <f>'1'!M72</f>
        <v>NA</v>
      </c>
      <c r="N72" s="43">
        <f>'1'!N72</f>
        <v>4</v>
      </c>
      <c r="O72" s="43">
        <f>'1'!O72</f>
        <v>1</v>
      </c>
      <c r="P72" s="216">
        <f>'2'!D72</f>
        <v>1</v>
      </c>
      <c r="Q72" s="216">
        <f>'2'!E72</f>
        <v>1</v>
      </c>
      <c r="R72" s="216">
        <f>'2'!F72</f>
        <v>1</v>
      </c>
      <c r="S72" s="216">
        <f>'2'!G72</f>
        <v>1</v>
      </c>
      <c r="T72" s="216">
        <f>'2'!H72</f>
        <v>1</v>
      </c>
      <c r="U72" s="216">
        <f>'2'!I72</f>
        <v>0</v>
      </c>
      <c r="V72" s="216">
        <f>'2'!J72</f>
        <v>4</v>
      </c>
      <c r="W72" s="216">
        <f>'2'!K72</f>
        <v>3</v>
      </c>
      <c r="X72" s="216">
        <f>'2'!L72</f>
        <v>2</v>
      </c>
      <c r="Y72" s="216">
        <f>'2'!M72</f>
        <v>2</v>
      </c>
      <c r="Z72" s="216" t="str">
        <f>'2'!N72</f>
        <v>NA</v>
      </c>
      <c r="AA72" s="216" t="str">
        <f>'2'!O72</f>
        <v>NA</v>
      </c>
      <c r="AB72" s="87">
        <f t="shared" si="1"/>
        <v>33</v>
      </c>
      <c r="AC72" s="87">
        <v>4</v>
      </c>
      <c r="AD72" s="87">
        <v>0</v>
      </c>
      <c r="AE72" s="87">
        <v>4.5</v>
      </c>
      <c r="AF72" s="87">
        <v>6</v>
      </c>
      <c r="AG72" s="87">
        <v>0</v>
      </c>
      <c r="AH72" s="87">
        <f t="shared" si="2"/>
        <v>14.5</v>
      </c>
      <c r="AI72" s="87">
        <v>13</v>
      </c>
      <c r="AJ72" s="87">
        <v>7</v>
      </c>
      <c r="AK72" s="87">
        <v>9</v>
      </c>
      <c r="AL72" s="87">
        <v>9</v>
      </c>
      <c r="AM72" s="87">
        <v>2</v>
      </c>
      <c r="AN72" s="7"/>
      <c r="AO72" s="96">
        <f t="shared" si="3"/>
        <v>30.76923076923077</v>
      </c>
      <c r="AP72" s="96">
        <f t="shared" si="3"/>
        <v>0</v>
      </c>
      <c r="AQ72" s="96">
        <f t="shared" si="3"/>
        <v>50</v>
      </c>
      <c r="AR72" s="96">
        <f t="shared" si="3"/>
        <v>66.666666666666657</v>
      </c>
      <c r="AS72" s="96">
        <f t="shared" si="3"/>
        <v>0</v>
      </c>
      <c r="AT72" s="7"/>
      <c r="AU72" s="7"/>
      <c r="AV72" s="8" t="b">
        <f t="shared" si="4"/>
        <v>0</v>
      </c>
      <c r="AW72" s="8" t="b">
        <f t="shared" si="5"/>
        <v>0</v>
      </c>
      <c r="AX72" s="8" t="b">
        <f t="shared" si="6"/>
        <v>1</v>
      </c>
      <c r="AY72" s="8" t="b">
        <f t="shared" si="7"/>
        <v>1</v>
      </c>
      <c r="AZ72" s="8" t="b">
        <f t="shared" si="8"/>
        <v>0</v>
      </c>
      <c r="BA72" s="8" t="b">
        <f t="shared" si="9"/>
        <v>0</v>
      </c>
      <c r="BB72" s="8">
        <f t="shared" si="10"/>
        <v>2</v>
      </c>
    </row>
    <row r="73" spans="1:54" ht="18" customHeight="1">
      <c r="A73" s="65">
        <v>54</v>
      </c>
      <c r="B73" s="43">
        <f>IF('1'!B73=0,"",'1'!B73)</f>
        <v>54</v>
      </c>
      <c r="C73" s="43" t="str">
        <f>IF('1'!C73=0,"",'1'!C73)</f>
        <v>1602-16-733-054</v>
      </c>
      <c r="D73" s="43">
        <f>'1'!D73</f>
        <v>0</v>
      </c>
      <c r="E73" s="43">
        <f>'1'!E73</f>
        <v>0</v>
      </c>
      <c r="F73" s="43">
        <f>'1'!F73</f>
        <v>0</v>
      </c>
      <c r="G73" s="43">
        <f>'1'!G73</f>
        <v>0</v>
      </c>
      <c r="H73" s="43">
        <f>'1'!H73</f>
        <v>0</v>
      </c>
      <c r="I73" s="43">
        <f>'1'!I73</f>
        <v>1</v>
      </c>
      <c r="J73" s="43">
        <f>'1'!J73</f>
        <v>3</v>
      </c>
      <c r="K73" s="43">
        <f>'1'!K73</f>
        <v>2</v>
      </c>
      <c r="L73" s="43" t="str">
        <f>'1'!L73</f>
        <v>NA</v>
      </c>
      <c r="M73" s="43" t="str">
        <f>'1'!M73</f>
        <v>NA</v>
      </c>
      <c r="N73" s="43">
        <f>'1'!N73</f>
        <v>4</v>
      </c>
      <c r="O73" s="43">
        <f>'1'!O73</f>
        <v>2</v>
      </c>
      <c r="P73" s="216">
        <f>'2'!D73</f>
        <v>0</v>
      </c>
      <c r="Q73" s="216">
        <f>'2'!E73</f>
        <v>1</v>
      </c>
      <c r="R73" s="216">
        <f>'2'!F73</f>
        <v>0</v>
      </c>
      <c r="S73" s="216">
        <f>'2'!G73</f>
        <v>1</v>
      </c>
      <c r="T73" s="216">
        <f>'2'!H73</f>
        <v>1</v>
      </c>
      <c r="U73" s="216">
        <f>'2'!I73</f>
        <v>0</v>
      </c>
      <c r="V73" s="216">
        <f>'2'!J73</f>
        <v>3</v>
      </c>
      <c r="W73" s="216">
        <f>'2'!K73</f>
        <v>2</v>
      </c>
      <c r="X73" s="216">
        <f>'2'!L73</f>
        <v>2</v>
      </c>
      <c r="Y73" s="216">
        <f>'2'!M73</f>
        <v>2</v>
      </c>
      <c r="Z73" s="216" t="str">
        <f>'2'!N73</f>
        <v>NA</v>
      </c>
      <c r="AA73" s="216" t="str">
        <f>'2'!O73</f>
        <v>NA</v>
      </c>
      <c r="AB73" s="87">
        <f t="shared" si="1"/>
        <v>24</v>
      </c>
      <c r="AC73" s="87">
        <v>7.55</v>
      </c>
      <c r="AD73" s="87">
        <v>1.5</v>
      </c>
      <c r="AE73" s="87">
        <v>5.5</v>
      </c>
      <c r="AF73" s="87">
        <v>8.5</v>
      </c>
      <c r="AG73" s="87">
        <v>2</v>
      </c>
      <c r="AH73" s="87">
        <f t="shared" si="2"/>
        <v>25.05</v>
      </c>
      <c r="AI73" s="87">
        <v>13</v>
      </c>
      <c r="AJ73" s="87">
        <v>7</v>
      </c>
      <c r="AK73" s="87">
        <v>9</v>
      </c>
      <c r="AL73" s="87">
        <v>9</v>
      </c>
      <c r="AM73" s="87">
        <v>2</v>
      </c>
      <c r="AN73" s="7"/>
      <c r="AO73" s="96">
        <f t="shared" si="3"/>
        <v>58.076923076923073</v>
      </c>
      <c r="AP73" s="96">
        <f t="shared" si="3"/>
        <v>21.428571428571427</v>
      </c>
      <c r="AQ73" s="96">
        <f t="shared" si="3"/>
        <v>61.111111111111114</v>
      </c>
      <c r="AR73" s="96">
        <f t="shared" si="3"/>
        <v>94.444444444444443</v>
      </c>
      <c r="AS73" s="96">
        <f t="shared" si="3"/>
        <v>100</v>
      </c>
      <c r="AT73" s="7"/>
      <c r="AU73" s="7"/>
      <c r="AV73" s="8" t="b">
        <f t="shared" si="4"/>
        <v>0</v>
      </c>
      <c r="AW73" s="8" t="b">
        <f t="shared" si="5"/>
        <v>0</v>
      </c>
      <c r="AX73" s="8" t="b">
        <f t="shared" si="6"/>
        <v>1</v>
      </c>
      <c r="AY73" s="8" t="b">
        <f t="shared" si="7"/>
        <v>1</v>
      </c>
      <c r="AZ73" s="8" t="b">
        <f t="shared" si="8"/>
        <v>0</v>
      </c>
      <c r="BA73" s="8" t="b">
        <f t="shared" si="9"/>
        <v>0</v>
      </c>
      <c r="BB73" s="8">
        <f t="shared" si="10"/>
        <v>2</v>
      </c>
    </row>
    <row r="74" spans="1:54" ht="18" customHeight="1">
      <c r="A74" s="65">
        <v>55</v>
      </c>
      <c r="B74" s="43">
        <f>IF('1'!B74=0,"",'1'!B74)</f>
        <v>55</v>
      </c>
      <c r="C74" s="43" t="str">
        <f>IF('1'!C74=0,"",'1'!C74)</f>
        <v>1602-16-733-055</v>
      </c>
      <c r="D74" s="43">
        <f>'1'!D74</f>
        <v>0</v>
      </c>
      <c r="E74" s="43">
        <f>'1'!E74</f>
        <v>1</v>
      </c>
      <c r="F74" s="43">
        <f>'1'!F74</f>
        <v>1</v>
      </c>
      <c r="G74" s="43">
        <f>'1'!G74</f>
        <v>1</v>
      </c>
      <c r="H74" s="43">
        <f>'1'!H74</f>
        <v>1</v>
      </c>
      <c r="I74" s="43">
        <f>'1'!I74</f>
        <v>1</v>
      </c>
      <c r="J74" s="43">
        <f>'1'!J74</f>
        <v>4</v>
      </c>
      <c r="K74" s="43">
        <f>'1'!K74</f>
        <v>3</v>
      </c>
      <c r="L74" s="43" t="str">
        <f>'1'!L74</f>
        <v>NA</v>
      </c>
      <c r="M74" s="43" t="str">
        <f>'1'!M74</f>
        <v>NA</v>
      </c>
      <c r="N74" s="43">
        <f>'1'!N74</f>
        <v>4</v>
      </c>
      <c r="O74" s="43">
        <f>'1'!O74</f>
        <v>3</v>
      </c>
      <c r="P74" s="216">
        <f>'2'!D74</f>
        <v>0</v>
      </c>
      <c r="Q74" s="216">
        <f>'2'!E74</f>
        <v>1</v>
      </c>
      <c r="R74" s="216">
        <f>'2'!F74</f>
        <v>1</v>
      </c>
      <c r="S74" s="216">
        <f>'2'!G74</f>
        <v>1</v>
      </c>
      <c r="T74" s="216">
        <f>'2'!H74</f>
        <v>1</v>
      </c>
      <c r="U74" s="216">
        <f>'2'!I74</f>
        <v>0</v>
      </c>
      <c r="V74" s="216">
        <f>'2'!J74</f>
        <v>4</v>
      </c>
      <c r="W74" s="216">
        <f>'2'!K74</f>
        <v>3</v>
      </c>
      <c r="X74" s="216">
        <f>'2'!L74</f>
        <v>3</v>
      </c>
      <c r="Y74" s="216">
        <f>'2'!M74</f>
        <v>3</v>
      </c>
      <c r="Z74" s="216" t="str">
        <f>'2'!N74</f>
        <v>NA</v>
      </c>
      <c r="AA74" s="216" t="str">
        <f>'2'!O74</f>
        <v>NA</v>
      </c>
      <c r="AB74" s="87">
        <f t="shared" si="1"/>
        <v>36</v>
      </c>
      <c r="AC74" s="87">
        <v>7.5</v>
      </c>
      <c r="AD74" s="87">
        <v>4</v>
      </c>
      <c r="AE74" s="87">
        <v>3.5</v>
      </c>
      <c r="AF74" s="87">
        <v>2</v>
      </c>
      <c r="AG74" s="87">
        <v>6</v>
      </c>
      <c r="AH74" s="87">
        <f t="shared" si="2"/>
        <v>23</v>
      </c>
      <c r="AI74" s="87">
        <v>13</v>
      </c>
      <c r="AJ74" s="87">
        <v>7</v>
      </c>
      <c r="AK74" s="87">
        <v>9</v>
      </c>
      <c r="AL74" s="87">
        <v>2</v>
      </c>
      <c r="AM74" s="87">
        <v>9</v>
      </c>
      <c r="AN74" s="7"/>
      <c r="AO74" s="96">
        <f t="shared" si="3"/>
        <v>57.692307692307686</v>
      </c>
      <c r="AP74" s="96">
        <f t="shared" si="3"/>
        <v>57.142857142857139</v>
      </c>
      <c r="AQ74" s="96">
        <f t="shared" si="3"/>
        <v>38.888888888888893</v>
      </c>
      <c r="AR74" s="96">
        <f t="shared" si="3"/>
        <v>100</v>
      </c>
      <c r="AS74" s="96">
        <f t="shared" si="3"/>
        <v>66.666666666666657</v>
      </c>
      <c r="AT74" s="7"/>
      <c r="AU74" s="7"/>
      <c r="AV74" s="8" t="b">
        <f t="shared" si="4"/>
        <v>0</v>
      </c>
      <c r="AW74" s="8" t="b">
        <f t="shared" si="5"/>
        <v>0</v>
      </c>
      <c r="AX74" s="8" t="b">
        <f t="shared" si="6"/>
        <v>1</v>
      </c>
      <c r="AY74" s="8" t="b">
        <f t="shared" si="7"/>
        <v>1</v>
      </c>
      <c r="AZ74" s="8" t="b">
        <f t="shared" si="8"/>
        <v>0</v>
      </c>
      <c r="BA74" s="8" t="b">
        <f t="shared" si="9"/>
        <v>0</v>
      </c>
      <c r="BB74" s="8">
        <f t="shared" si="10"/>
        <v>2</v>
      </c>
    </row>
    <row r="75" spans="1:54" ht="18" customHeight="1">
      <c r="A75" s="65">
        <v>56</v>
      </c>
      <c r="B75" s="43">
        <f>IF('1'!B75=0,"",'1'!B75)</f>
        <v>56</v>
      </c>
      <c r="C75" s="43" t="str">
        <f>IF('1'!C75=0,"",'1'!C75)</f>
        <v>1602-16-733-056</v>
      </c>
      <c r="D75" s="43">
        <f>'1'!D75</f>
        <v>1</v>
      </c>
      <c r="E75" s="43">
        <f>'1'!E75</f>
        <v>1</v>
      </c>
      <c r="F75" s="43">
        <f>'1'!F75</f>
        <v>1</v>
      </c>
      <c r="G75" s="43">
        <f>'1'!G75</f>
        <v>1</v>
      </c>
      <c r="H75" s="43">
        <f>'1'!H75</f>
        <v>1</v>
      </c>
      <c r="I75" s="43">
        <f>'1'!I75</f>
        <v>1</v>
      </c>
      <c r="J75" s="43">
        <f>'1'!J75</f>
        <v>4</v>
      </c>
      <c r="K75" s="43">
        <f>'1'!K75</f>
        <v>2</v>
      </c>
      <c r="L75" s="43">
        <f>'1'!L75</f>
        <v>4</v>
      </c>
      <c r="M75" s="43">
        <f>'1'!M75</f>
        <v>3</v>
      </c>
      <c r="N75" s="43" t="str">
        <f>'1'!N75</f>
        <v>NA</v>
      </c>
      <c r="O75" s="43" t="str">
        <f>'1'!O75</f>
        <v>NA</v>
      </c>
      <c r="P75" s="216">
        <f>'2'!D75</f>
        <v>1</v>
      </c>
      <c r="Q75" s="216">
        <f>'2'!E75</f>
        <v>1</v>
      </c>
      <c r="R75" s="216">
        <f>'2'!F75</f>
        <v>1</v>
      </c>
      <c r="S75" s="216">
        <f>'2'!G75</f>
        <v>1</v>
      </c>
      <c r="T75" s="216">
        <f>'2'!H75</f>
        <v>1</v>
      </c>
      <c r="U75" s="216">
        <f>'2'!I75</f>
        <v>1</v>
      </c>
      <c r="V75" s="216">
        <f>'2'!J75</f>
        <v>3</v>
      </c>
      <c r="W75" s="216">
        <f>'2'!K75</f>
        <v>3</v>
      </c>
      <c r="X75" s="216">
        <f>'2'!L75</f>
        <v>4</v>
      </c>
      <c r="Y75" s="216">
        <f>'2'!M75</f>
        <v>3</v>
      </c>
      <c r="Z75" s="216" t="str">
        <f>'2'!N75</f>
        <v>NA</v>
      </c>
      <c r="AA75" s="216" t="str">
        <f>'2'!O75</f>
        <v>NA</v>
      </c>
      <c r="AB75" s="87">
        <f t="shared" si="1"/>
        <v>38</v>
      </c>
      <c r="AC75" s="87">
        <v>9.5</v>
      </c>
      <c r="AD75" s="87">
        <v>6</v>
      </c>
      <c r="AE75" s="87">
        <v>5</v>
      </c>
      <c r="AF75" s="87">
        <v>9</v>
      </c>
      <c r="AG75" s="87">
        <v>1</v>
      </c>
      <c r="AH75" s="87">
        <f t="shared" si="2"/>
        <v>30.5</v>
      </c>
      <c r="AI75" s="87">
        <v>10</v>
      </c>
      <c r="AJ75" s="87">
        <v>10</v>
      </c>
      <c r="AK75" s="87">
        <v>9</v>
      </c>
      <c r="AL75" s="87">
        <v>9</v>
      </c>
      <c r="AM75" s="87">
        <v>2</v>
      </c>
      <c r="AN75" s="7"/>
      <c r="AO75" s="96">
        <f t="shared" si="3"/>
        <v>95</v>
      </c>
      <c r="AP75" s="96">
        <f t="shared" si="3"/>
        <v>60</v>
      </c>
      <c r="AQ75" s="96">
        <f t="shared" si="3"/>
        <v>55.555555555555557</v>
      </c>
      <c r="AR75" s="96">
        <f t="shared" si="3"/>
        <v>100</v>
      </c>
      <c r="AS75" s="96">
        <f t="shared" si="3"/>
        <v>50</v>
      </c>
      <c r="AT75" s="7"/>
      <c r="AU75" s="7"/>
      <c r="AV75" s="8" t="b">
        <f t="shared" si="4"/>
        <v>0</v>
      </c>
      <c r="AW75" s="8" t="b">
        <f t="shared" si="5"/>
        <v>0</v>
      </c>
      <c r="AX75" s="8" t="b">
        <f t="shared" si="6"/>
        <v>0</v>
      </c>
      <c r="AY75" s="8" t="b">
        <f t="shared" si="7"/>
        <v>0</v>
      </c>
      <c r="AZ75" s="8" t="b">
        <f t="shared" si="8"/>
        <v>1</v>
      </c>
      <c r="BA75" s="8" t="b">
        <f t="shared" si="9"/>
        <v>1</v>
      </c>
      <c r="BB75" s="8">
        <f t="shared" si="10"/>
        <v>2</v>
      </c>
    </row>
    <row r="76" spans="1:54" ht="18" customHeight="1">
      <c r="A76" s="65">
        <v>57</v>
      </c>
      <c r="B76" s="43">
        <f>IF('1'!B76=0,"",'1'!B76)</f>
        <v>57</v>
      </c>
      <c r="C76" s="43" t="str">
        <f>IF('1'!C76=0,"",'1'!C76)</f>
        <v>1602-16-733-057</v>
      </c>
      <c r="D76" s="43">
        <f>'1'!D76</f>
        <v>1</v>
      </c>
      <c r="E76" s="43">
        <f>'1'!E76</f>
        <v>1</v>
      </c>
      <c r="F76" s="43">
        <f>'1'!F76</f>
        <v>1</v>
      </c>
      <c r="G76" s="43">
        <f>'1'!G76</f>
        <v>1</v>
      </c>
      <c r="H76" s="43">
        <f>'1'!H76</f>
        <v>1</v>
      </c>
      <c r="I76" s="43">
        <f>'1'!I76</f>
        <v>1</v>
      </c>
      <c r="J76" s="43">
        <f>'1'!J76</f>
        <v>4</v>
      </c>
      <c r="K76" s="43">
        <f>'1'!K76</f>
        <v>3</v>
      </c>
      <c r="L76" s="43">
        <f>'1'!L76</f>
        <v>4</v>
      </c>
      <c r="M76" s="43">
        <f>'1'!M76</f>
        <v>3</v>
      </c>
      <c r="N76" s="43" t="str">
        <f>'1'!N76</f>
        <v>NA</v>
      </c>
      <c r="O76" s="43" t="str">
        <f>'1'!O76</f>
        <v>NA</v>
      </c>
      <c r="P76" s="216">
        <f>'2'!D76</f>
        <v>1</v>
      </c>
      <c r="Q76" s="216">
        <f>'2'!E76</f>
        <v>1</v>
      </c>
      <c r="R76" s="216">
        <f>'2'!F76</f>
        <v>1</v>
      </c>
      <c r="S76" s="216">
        <f>'2'!G76</f>
        <v>1</v>
      </c>
      <c r="T76" s="216">
        <f>'2'!H76</f>
        <v>1</v>
      </c>
      <c r="U76" s="216">
        <f>'2'!I76</f>
        <v>1</v>
      </c>
      <c r="V76" s="216">
        <f>'2'!J76</f>
        <v>4</v>
      </c>
      <c r="W76" s="216">
        <f>'2'!K76</f>
        <v>3</v>
      </c>
      <c r="X76" s="216">
        <f>'2'!L76</f>
        <v>4</v>
      </c>
      <c r="Y76" s="216">
        <f>'2'!M76</f>
        <v>3</v>
      </c>
      <c r="Z76" s="216" t="str">
        <f>'2'!N76</f>
        <v>NA</v>
      </c>
      <c r="AA76" s="216" t="str">
        <f>'2'!O76</f>
        <v>NA</v>
      </c>
      <c r="AB76" s="87">
        <f t="shared" si="1"/>
        <v>40</v>
      </c>
      <c r="AC76" s="87">
        <v>10.5</v>
      </c>
      <c r="AD76" s="87">
        <v>3.5</v>
      </c>
      <c r="AE76" s="87">
        <v>7</v>
      </c>
      <c r="AF76" s="87">
        <v>8.5</v>
      </c>
      <c r="AG76" s="87">
        <v>2</v>
      </c>
      <c r="AH76" s="87">
        <f t="shared" si="2"/>
        <v>31.5</v>
      </c>
      <c r="AI76" s="87">
        <v>13</v>
      </c>
      <c r="AJ76" s="87">
        <v>7</v>
      </c>
      <c r="AK76" s="87">
        <v>9</v>
      </c>
      <c r="AL76" s="87">
        <v>9</v>
      </c>
      <c r="AM76" s="87">
        <v>2</v>
      </c>
      <c r="AN76" s="7"/>
      <c r="AO76" s="96">
        <f t="shared" si="3"/>
        <v>80.769230769230774</v>
      </c>
      <c r="AP76" s="96">
        <f t="shared" si="3"/>
        <v>50</v>
      </c>
      <c r="AQ76" s="96">
        <f t="shared" si="3"/>
        <v>77.777777777777786</v>
      </c>
      <c r="AR76" s="96">
        <f t="shared" si="3"/>
        <v>94.444444444444443</v>
      </c>
      <c r="AS76" s="96">
        <f t="shared" si="3"/>
        <v>100</v>
      </c>
      <c r="AT76" s="7"/>
      <c r="AU76" s="7"/>
      <c r="AV76" s="8" t="b">
        <f t="shared" si="4"/>
        <v>0</v>
      </c>
      <c r="AW76" s="8" t="b">
        <f t="shared" si="5"/>
        <v>0</v>
      </c>
      <c r="AX76" s="8" t="b">
        <f t="shared" si="6"/>
        <v>0</v>
      </c>
      <c r="AY76" s="8" t="b">
        <f t="shared" si="7"/>
        <v>0</v>
      </c>
      <c r="AZ76" s="8" t="b">
        <f t="shared" si="8"/>
        <v>1</v>
      </c>
      <c r="BA76" s="8" t="b">
        <f t="shared" si="9"/>
        <v>1</v>
      </c>
      <c r="BB76" s="8">
        <f t="shared" si="10"/>
        <v>2</v>
      </c>
    </row>
    <row r="77" spans="1:54" ht="18" customHeight="1">
      <c r="A77" s="65">
        <v>58</v>
      </c>
      <c r="B77" s="43">
        <f>IF('1'!B77=0,"",'1'!B77)</f>
        <v>58</v>
      </c>
      <c r="C77" s="43" t="str">
        <f>IF('1'!C77=0,"",'1'!C77)</f>
        <v>1602-16-733-058</v>
      </c>
      <c r="D77" s="43">
        <f>'1'!D77</f>
        <v>0</v>
      </c>
      <c r="E77" s="43">
        <f>'1'!E77</f>
        <v>1</v>
      </c>
      <c r="F77" s="43">
        <f>'1'!F77</f>
        <v>0</v>
      </c>
      <c r="G77" s="43">
        <f>'1'!G77</f>
        <v>0</v>
      </c>
      <c r="H77" s="43">
        <f>'1'!H77</f>
        <v>1</v>
      </c>
      <c r="I77" s="43">
        <f>'1'!I77</f>
        <v>1</v>
      </c>
      <c r="J77" s="43">
        <f>'1'!J77</f>
        <v>4</v>
      </c>
      <c r="K77" s="43">
        <f>'1'!K77</f>
        <v>2</v>
      </c>
      <c r="L77" s="43">
        <f>'1'!L77</f>
        <v>4</v>
      </c>
      <c r="M77" s="43">
        <f>'1'!M77</f>
        <v>0</v>
      </c>
      <c r="N77" s="43" t="str">
        <f>'1'!N77</f>
        <v>NA</v>
      </c>
      <c r="O77" s="43" t="str">
        <f>'1'!O77</f>
        <v>NA</v>
      </c>
      <c r="P77" s="216">
        <f>'2'!D77</f>
        <v>0</v>
      </c>
      <c r="Q77" s="216">
        <f>'2'!E77</f>
        <v>1</v>
      </c>
      <c r="R77" s="216">
        <f>'2'!F77</f>
        <v>1</v>
      </c>
      <c r="S77" s="216">
        <f>'2'!G77</f>
        <v>1</v>
      </c>
      <c r="T77" s="216">
        <f>'2'!H77</f>
        <v>1</v>
      </c>
      <c r="U77" s="216">
        <f>'2'!I77</f>
        <v>1</v>
      </c>
      <c r="V77" s="216">
        <f>'2'!J77</f>
        <v>4</v>
      </c>
      <c r="W77" s="216">
        <f>'2'!K77</f>
        <v>3</v>
      </c>
      <c r="X77" s="216">
        <f>'2'!L77</f>
        <v>3</v>
      </c>
      <c r="Y77" s="216">
        <f>'2'!M77</f>
        <v>3</v>
      </c>
      <c r="Z77" s="216" t="str">
        <f>'2'!N77</f>
        <v>NA</v>
      </c>
      <c r="AA77" s="216" t="str">
        <f>'2'!O77</f>
        <v>NA</v>
      </c>
      <c r="AB77" s="87">
        <f t="shared" si="1"/>
        <v>31</v>
      </c>
      <c r="AC77" s="87">
        <v>8.5</v>
      </c>
      <c r="AD77" s="87">
        <v>3.5</v>
      </c>
      <c r="AE77" s="87">
        <v>0.5</v>
      </c>
      <c r="AF77" s="87">
        <v>5</v>
      </c>
      <c r="AG77" s="87">
        <v>5</v>
      </c>
      <c r="AH77" s="87">
        <f t="shared" si="2"/>
        <v>22.5</v>
      </c>
      <c r="AI77" s="87">
        <v>13</v>
      </c>
      <c r="AJ77" s="87">
        <v>7</v>
      </c>
      <c r="AK77" s="87">
        <v>2</v>
      </c>
      <c r="AL77" s="87">
        <v>9</v>
      </c>
      <c r="AM77" s="87">
        <v>9</v>
      </c>
      <c r="AN77" s="7"/>
      <c r="AO77" s="96">
        <f t="shared" si="3"/>
        <v>65.384615384615387</v>
      </c>
      <c r="AP77" s="96">
        <f t="shared" si="3"/>
        <v>50</v>
      </c>
      <c r="AQ77" s="96">
        <f t="shared" si="3"/>
        <v>25</v>
      </c>
      <c r="AR77" s="96">
        <f t="shared" si="3"/>
        <v>55.555555555555557</v>
      </c>
      <c r="AS77" s="96">
        <f t="shared" si="3"/>
        <v>55.555555555555557</v>
      </c>
      <c r="AT77" s="7"/>
      <c r="AU77" s="7"/>
      <c r="AV77" s="8" t="b">
        <f t="shared" si="4"/>
        <v>0</v>
      </c>
      <c r="AW77" s="8" t="b">
        <f t="shared" si="5"/>
        <v>0</v>
      </c>
      <c r="AX77" s="8" t="b">
        <f t="shared" si="6"/>
        <v>0</v>
      </c>
      <c r="AY77" s="8" t="b">
        <f t="shared" si="7"/>
        <v>0</v>
      </c>
      <c r="AZ77" s="8" t="b">
        <f t="shared" si="8"/>
        <v>1</v>
      </c>
      <c r="BA77" s="8" t="b">
        <f t="shared" si="9"/>
        <v>1</v>
      </c>
      <c r="BB77" s="8">
        <f t="shared" si="10"/>
        <v>2</v>
      </c>
    </row>
    <row r="78" spans="1:54" ht="18" customHeight="1">
      <c r="A78" s="65">
        <v>59</v>
      </c>
      <c r="B78" s="43">
        <f>IF('1'!B78=0,"",'1'!B78)</f>
        <v>59</v>
      </c>
      <c r="C78" s="43" t="str">
        <f>IF('1'!C78=0,"",'1'!C78)</f>
        <v>1602-16-733-059</v>
      </c>
      <c r="D78" s="43">
        <f>'1'!D78</f>
        <v>1</v>
      </c>
      <c r="E78" s="43">
        <f>'1'!E78</f>
        <v>1</v>
      </c>
      <c r="F78" s="43">
        <f>'1'!F78</f>
        <v>1</v>
      </c>
      <c r="G78" s="43">
        <f>'1'!G78</f>
        <v>0</v>
      </c>
      <c r="H78" s="43">
        <f>'1'!H78</f>
        <v>0</v>
      </c>
      <c r="I78" s="43">
        <f>'1'!I78</f>
        <v>1</v>
      </c>
      <c r="J78" s="43">
        <f>'1'!J78</f>
        <v>4</v>
      </c>
      <c r="K78" s="43">
        <f>'1'!K78</f>
        <v>3</v>
      </c>
      <c r="L78" s="43">
        <f>'1'!L78</f>
        <v>2</v>
      </c>
      <c r="M78" s="43">
        <f>'1'!M78</f>
        <v>3</v>
      </c>
      <c r="N78" s="43" t="str">
        <f>'1'!N78</f>
        <v>NA</v>
      </c>
      <c r="O78" s="43" t="str">
        <f>'1'!O78</f>
        <v>NA</v>
      </c>
      <c r="P78" s="216">
        <f>'2'!D78</f>
        <v>1</v>
      </c>
      <c r="Q78" s="216">
        <f>'2'!E78</f>
        <v>1</v>
      </c>
      <c r="R78" s="216">
        <f>'2'!F78</f>
        <v>1</v>
      </c>
      <c r="S78" s="216">
        <f>'2'!G78</f>
        <v>1</v>
      </c>
      <c r="T78" s="216">
        <f>'2'!H78</f>
        <v>1</v>
      </c>
      <c r="U78" s="216">
        <f>'2'!I78</f>
        <v>0</v>
      </c>
      <c r="V78" s="216">
        <f>'2'!J78</f>
        <v>4</v>
      </c>
      <c r="W78" s="216">
        <f>'2'!K78</f>
        <v>3</v>
      </c>
      <c r="X78" s="216">
        <f>'2'!L78</f>
        <v>2</v>
      </c>
      <c r="Y78" s="216">
        <f>'2'!M78</f>
        <v>2</v>
      </c>
      <c r="Z78" s="216" t="str">
        <f>'2'!N78</f>
        <v>NA</v>
      </c>
      <c r="AA78" s="216" t="str">
        <f>'2'!O78</f>
        <v>NA</v>
      </c>
      <c r="AB78" s="87">
        <f t="shared" si="1"/>
        <v>32</v>
      </c>
      <c r="AC78" s="87">
        <v>4</v>
      </c>
      <c r="AD78" s="87">
        <v>3.5</v>
      </c>
      <c r="AE78" s="87">
        <v>3</v>
      </c>
      <c r="AF78" s="87">
        <v>3.5</v>
      </c>
      <c r="AG78" s="87">
        <v>1</v>
      </c>
      <c r="AH78" s="87">
        <f t="shared" si="2"/>
        <v>15</v>
      </c>
      <c r="AI78" s="87">
        <v>6</v>
      </c>
      <c r="AJ78" s="87">
        <v>14</v>
      </c>
      <c r="AK78" s="87">
        <v>9</v>
      </c>
      <c r="AL78" s="87">
        <v>9</v>
      </c>
      <c r="AM78" s="87">
        <v>2</v>
      </c>
      <c r="AN78" s="7"/>
      <c r="AO78" s="96">
        <f t="shared" si="3"/>
        <v>66.666666666666657</v>
      </c>
      <c r="AP78" s="96">
        <f t="shared" si="3"/>
        <v>25</v>
      </c>
      <c r="AQ78" s="96">
        <f t="shared" si="3"/>
        <v>33.333333333333329</v>
      </c>
      <c r="AR78" s="96">
        <f t="shared" si="3"/>
        <v>38.888888888888893</v>
      </c>
      <c r="AS78" s="96">
        <f t="shared" si="3"/>
        <v>50</v>
      </c>
      <c r="AT78" s="7"/>
      <c r="AU78" s="7"/>
      <c r="AV78" s="8" t="b">
        <f t="shared" si="4"/>
        <v>0</v>
      </c>
      <c r="AW78" s="8" t="b">
        <f t="shared" si="5"/>
        <v>0</v>
      </c>
      <c r="AX78" s="8" t="b">
        <f t="shared" si="6"/>
        <v>0</v>
      </c>
      <c r="AY78" s="8" t="b">
        <f t="shared" si="7"/>
        <v>0</v>
      </c>
      <c r="AZ78" s="8" t="b">
        <f t="shared" si="8"/>
        <v>1</v>
      </c>
      <c r="BA78" s="8" t="b">
        <f t="shared" si="9"/>
        <v>1</v>
      </c>
      <c r="BB78" s="8">
        <f t="shared" si="10"/>
        <v>2</v>
      </c>
    </row>
    <row r="79" spans="1:54" ht="18" customHeight="1">
      <c r="A79" s="65">
        <v>60</v>
      </c>
      <c r="B79" s="43">
        <f>IF('1'!B79=0,"",'1'!B79)</f>
        <v>60</v>
      </c>
      <c r="C79" s="43" t="str">
        <f>IF('1'!C79=0,"",'1'!C79)</f>
        <v>1602-16-733-060</v>
      </c>
      <c r="D79" s="43">
        <f>'1'!D79</f>
        <v>0</v>
      </c>
      <c r="E79" s="43">
        <f>'1'!E79</f>
        <v>1</v>
      </c>
      <c r="F79" s="43">
        <f>'1'!F79</f>
        <v>1</v>
      </c>
      <c r="G79" s="43">
        <f>'1'!G79</f>
        <v>0</v>
      </c>
      <c r="H79" s="43">
        <f>'1'!H79</f>
        <v>1</v>
      </c>
      <c r="I79" s="43">
        <f>'1'!I79</f>
        <v>1</v>
      </c>
      <c r="J79" s="43">
        <f>'1'!J79</f>
        <v>3</v>
      </c>
      <c r="K79" s="43">
        <f>'1'!K79</f>
        <v>3</v>
      </c>
      <c r="L79" s="43" t="str">
        <f>'1'!L79</f>
        <v>NA</v>
      </c>
      <c r="M79" s="43" t="str">
        <f>'1'!M79</f>
        <v>NA</v>
      </c>
      <c r="N79" s="43">
        <f>'1'!N79</f>
        <v>4</v>
      </c>
      <c r="O79" s="43">
        <f>'1'!O79</f>
        <v>2</v>
      </c>
      <c r="P79" s="216">
        <f>'2'!D79</f>
        <v>0</v>
      </c>
      <c r="Q79" s="216">
        <f>'2'!E79</f>
        <v>1</v>
      </c>
      <c r="R79" s="216">
        <f>'2'!F79</f>
        <v>1</v>
      </c>
      <c r="S79" s="216">
        <f>'2'!G79</f>
        <v>0</v>
      </c>
      <c r="T79" s="216">
        <f>'2'!H79</f>
        <v>1</v>
      </c>
      <c r="U79" s="216">
        <f>'2'!I79</f>
        <v>1</v>
      </c>
      <c r="V79" s="216">
        <f>'2'!J79</f>
        <v>3</v>
      </c>
      <c r="W79" s="216">
        <f>'2'!K79</f>
        <v>1</v>
      </c>
      <c r="X79" s="216">
        <f>'2'!L79</f>
        <v>3</v>
      </c>
      <c r="Y79" s="216">
        <f>'2'!M79</f>
        <v>3</v>
      </c>
      <c r="Z79" s="216" t="str">
        <f>'2'!N79</f>
        <v>NA</v>
      </c>
      <c r="AA79" s="216" t="str">
        <f>'2'!O79</f>
        <v>NA</v>
      </c>
      <c r="AB79" s="87">
        <f t="shared" si="1"/>
        <v>30</v>
      </c>
      <c r="AC79" s="87">
        <v>5.5</v>
      </c>
      <c r="AD79" s="87">
        <v>5</v>
      </c>
      <c r="AE79" s="87">
        <v>8</v>
      </c>
      <c r="AF79" s="87">
        <v>9</v>
      </c>
      <c r="AG79" s="87">
        <v>2</v>
      </c>
      <c r="AH79" s="87">
        <f t="shared" si="2"/>
        <v>29.5</v>
      </c>
      <c r="AI79" s="87">
        <v>6</v>
      </c>
      <c r="AJ79" s="87">
        <v>14</v>
      </c>
      <c r="AK79" s="87">
        <v>9</v>
      </c>
      <c r="AL79" s="87">
        <v>9</v>
      </c>
      <c r="AM79" s="87">
        <v>2</v>
      </c>
      <c r="AN79" s="7"/>
      <c r="AO79" s="96">
        <f t="shared" si="3"/>
        <v>91.666666666666657</v>
      </c>
      <c r="AP79" s="96">
        <f t="shared" si="3"/>
        <v>35.714285714285715</v>
      </c>
      <c r="AQ79" s="96">
        <f t="shared" si="3"/>
        <v>88.888888888888886</v>
      </c>
      <c r="AR79" s="96">
        <f t="shared" si="3"/>
        <v>100</v>
      </c>
      <c r="AS79" s="96">
        <f t="shared" si="3"/>
        <v>100</v>
      </c>
      <c r="AT79" s="7"/>
      <c r="AU79" s="7"/>
      <c r="AV79" s="8" t="b">
        <f t="shared" si="4"/>
        <v>0</v>
      </c>
      <c r="AW79" s="8" t="b">
        <f t="shared" si="5"/>
        <v>0</v>
      </c>
      <c r="AX79" s="8" t="b">
        <f t="shared" si="6"/>
        <v>1</v>
      </c>
      <c r="AY79" s="8" t="b">
        <f t="shared" si="7"/>
        <v>1</v>
      </c>
      <c r="AZ79" s="8" t="b">
        <f t="shared" si="8"/>
        <v>0</v>
      </c>
      <c r="BA79" s="8" t="b">
        <f t="shared" si="9"/>
        <v>0</v>
      </c>
      <c r="BB79" s="8">
        <f t="shared" si="10"/>
        <v>2</v>
      </c>
    </row>
    <row r="80" spans="1:54" ht="18" customHeight="1">
      <c r="A80" s="65">
        <v>61</v>
      </c>
      <c r="B80" s="43">
        <f>IF('1'!B80=0,"",'1'!B80)</f>
        <v>61</v>
      </c>
      <c r="C80" s="43" t="str">
        <f>IF('1'!C80=0,"",'1'!C80)</f>
        <v>1602-16-733-301</v>
      </c>
      <c r="D80" s="43">
        <f>'1'!D80</f>
        <v>1</v>
      </c>
      <c r="E80" s="43">
        <f>'1'!E80</f>
        <v>0</v>
      </c>
      <c r="F80" s="43">
        <f>'1'!F80</f>
        <v>0</v>
      </c>
      <c r="G80" s="43">
        <f>'1'!G80</f>
        <v>1</v>
      </c>
      <c r="H80" s="43">
        <f>'1'!H80</f>
        <v>0</v>
      </c>
      <c r="I80" s="43">
        <f>'1'!I80</f>
        <v>1</v>
      </c>
      <c r="J80" s="43" t="str">
        <f>'1'!J80</f>
        <v>NA</v>
      </c>
      <c r="K80" s="43" t="str">
        <f>'1'!K80</f>
        <v>NA</v>
      </c>
      <c r="L80" s="43">
        <f>'1'!L80</f>
        <v>2</v>
      </c>
      <c r="M80" s="43">
        <f>'1'!M80</f>
        <v>2</v>
      </c>
      <c r="N80" s="43">
        <f>'1'!N80</f>
        <v>4</v>
      </c>
      <c r="O80" s="43">
        <f>'1'!O80</f>
        <v>1</v>
      </c>
      <c r="P80" s="216">
        <f>'2'!D80</f>
        <v>0</v>
      </c>
      <c r="Q80" s="216">
        <f>'2'!E80</f>
        <v>1</v>
      </c>
      <c r="R80" s="216">
        <f>'2'!F80</f>
        <v>0</v>
      </c>
      <c r="S80" s="216">
        <f>'2'!G80</f>
        <v>0</v>
      </c>
      <c r="T80" s="216">
        <f>'2'!H80</f>
        <v>1</v>
      </c>
      <c r="U80" s="216">
        <f>'2'!I80</f>
        <v>0</v>
      </c>
      <c r="V80" s="216">
        <f>'2'!J80</f>
        <v>4</v>
      </c>
      <c r="W80" s="216">
        <f>'2'!K80</f>
        <v>3</v>
      </c>
      <c r="X80" s="216">
        <f>'2'!L80</f>
        <v>4</v>
      </c>
      <c r="Y80" s="216">
        <f>'2'!M80</f>
        <v>1</v>
      </c>
      <c r="Z80" s="216" t="str">
        <f>'2'!N80</f>
        <v>NA</v>
      </c>
      <c r="AA80" s="216" t="str">
        <f>'2'!O80</f>
        <v>NA</v>
      </c>
      <c r="AB80" s="87">
        <f t="shared" si="1"/>
        <v>26</v>
      </c>
      <c r="AC80" s="87">
        <v>5.5</v>
      </c>
      <c r="AD80" s="87">
        <v>8.5</v>
      </c>
      <c r="AE80" s="87">
        <v>5</v>
      </c>
      <c r="AF80" s="87">
        <v>6.5</v>
      </c>
      <c r="AG80" s="87">
        <v>2</v>
      </c>
      <c r="AH80" s="87">
        <f t="shared" si="2"/>
        <v>27.5</v>
      </c>
      <c r="AI80" s="87">
        <v>6</v>
      </c>
      <c r="AJ80" s="87">
        <v>14</v>
      </c>
      <c r="AK80" s="87">
        <v>9</v>
      </c>
      <c r="AL80" s="87">
        <v>9</v>
      </c>
      <c r="AM80" s="87">
        <v>2</v>
      </c>
      <c r="AN80" s="7"/>
      <c r="AO80" s="96">
        <f t="shared" si="3"/>
        <v>91.666666666666657</v>
      </c>
      <c r="AP80" s="96">
        <f t="shared" si="3"/>
        <v>60.714285714285708</v>
      </c>
      <c r="AQ80" s="96">
        <f t="shared" si="3"/>
        <v>55.555555555555557</v>
      </c>
      <c r="AR80" s="96">
        <f t="shared" si="3"/>
        <v>72.222222222222214</v>
      </c>
      <c r="AS80" s="96">
        <f t="shared" ref="AS80:AS139" si="11">AG80/AM80*100</f>
        <v>100</v>
      </c>
      <c r="AT80" s="7"/>
      <c r="AU80" s="7"/>
      <c r="AV80" s="8" t="b">
        <f t="shared" si="4"/>
        <v>1</v>
      </c>
      <c r="AW80" s="8" t="b">
        <f t="shared" si="5"/>
        <v>1</v>
      </c>
      <c r="AX80" s="8" t="b">
        <f t="shared" si="6"/>
        <v>0</v>
      </c>
      <c r="AY80" s="8" t="b">
        <f t="shared" si="7"/>
        <v>0</v>
      </c>
      <c r="AZ80" s="8" t="b">
        <f t="shared" si="8"/>
        <v>0</v>
      </c>
      <c r="BA80" s="8" t="b">
        <f t="shared" si="9"/>
        <v>0</v>
      </c>
      <c r="BB80" s="8">
        <f t="shared" si="10"/>
        <v>2</v>
      </c>
    </row>
    <row r="81" spans="1:54" ht="18" customHeight="1">
      <c r="A81" s="65">
        <v>62</v>
      </c>
      <c r="B81" s="43">
        <f>IF('1'!B81=0,"",'1'!B81)</f>
        <v>62</v>
      </c>
      <c r="C81" s="43" t="str">
        <f>IF('1'!C81=0,"",'1'!C81)</f>
        <v>1602-16-733-302</v>
      </c>
      <c r="D81" s="43">
        <f>'1'!D81</f>
        <v>1</v>
      </c>
      <c r="E81" s="43">
        <f>'1'!E81</f>
        <v>0</v>
      </c>
      <c r="F81" s="43">
        <f>'1'!F81</f>
        <v>0</v>
      </c>
      <c r="G81" s="43">
        <f>'1'!G81</f>
        <v>0</v>
      </c>
      <c r="H81" s="43">
        <f>'1'!H81</f>
        <v>0</v>
      </c>
      <c r="I81" s="43">
        <f>'1'!I81</f>
        <v>1</v>
      </c>
      <c r="J81" s="43">
        <f>'1'!J81</f>
        <v>3</v>
      </c>
      <c r="K81" s="43">
        <f>'1'!K81</f>
        <v>1</v>
      </c>
      <c r="L81" s="43">
        <f>'1'!L81</f>
        <v>2</v>
      </c>
      <c r="M81" s="43">
        <f>'1'!M81</f>
        <v>0</v>
      </c>
      <c r="N81" s="43" t="str">
        <f>'1'!N81</f>
        <v>NA</v>
      </c>
      <c r="O81" s="43" t="str">
        <f>'1'!O81</f>
        <v>NA</v>
      </c>
      <c r="P81" s="216">
        <f>'2'!D81</f>
        <v>0</v>
      </c>
      <c r="Q81" s="216">
        <f>'2'!E81</f>
        <v>1</v>
      </c>
      <c r="R81" s="216">
        <f>'2'!F81</f>
        <v>1</v>
      </c>
      <c r="S81" s="216">
        <f>'2'!G81</f>
        <v>1</v>
      </c>
      <c r="T81" s="216">
        <f>'2'!H81</f>
        <v>1</v>
      </c>
      <c r="U81" s="216">
        <f>'2'!I81</f>
        <v>1</v>
      </c>
      <c r="V81" s="216">
        <f>'2'!J81</f>
        <v>4</v>
      </c>
      <c r="W81" s="216">
        <f>'2'!K81</f>
        <v>3</v>
      </c>
      <c r="X81" s="216">
        <f>'2'!L81</f>
        <v>2</v>
      </c>
      <c r="Y81" s="216">
        <f>'2'!M81</f>
        <v>0</v>
      </c>
      <c r="Z81" s="216" t="str">
        <f>'2'!N81</f>
        <v>NA</v>
      </c>
      <c r="AA81" s="216" t="str">
        <f>'2'!O81</f>
        <v>NA</v>
      </c>
      <c r="AB81" s="87">
        <f t="shared" si="1"/>
        <v>22</v>
      </c>
      <c r="AC81" s="87">
        <v>7</v>
      </c>
      <c r="AD81" s="87">
        <v>1.5</v>
      </c>
      <c r="AE81" s="87">
        <v>4</v>
      </c>
      <c r="AF81" s="87">
        <v>7.5</v>
      </c>
      <c r="AG81" s="87">
        <v>2</v>
      </c>
      <c r="AH81" s="87">
        <f t="shared" si="2"/>
        <v>22</v>
      </c>
      <c r="AI81" s="87">
        <v>13</v>
      </c>
      <c r="AJ81" s="87">
        <v>7</v>
      </c>
      <c r="AK81" s="87">
        <v>9</v>
      </c>
      <c r="AL81" s="87">
        <v>9</v>
      </c>
      <c r="AM81" s="87">
        <v>2</v>
      </c>
      <c r="AN81" s="7"/>
      <c r="AO81" s="96">
        <f t="shared" si="3"/>
        <v>53.846153846153847</v>
      </c>
      <c r="AP81" s="96">
        <f t="shared" si="3"/>
        <v>21.428571428571427</v>
      </c>
      <c r="AQ81" s="96">
        <f t="shared" si="3"/>
        <v>44.444444444444443</v>
      </c>
      <c r="AR81" s="96">
        <f t="shared" si="3"/>
        <v>83.333333333333343</v>
      </c>
      <c r="AS81" s="96">
        <f t="shared" si="11"/>
        <v>100</v>
      </c>
      <c r="AT81" s="7"/>
      <c r="AU81" s="7"/>
      <c r="AV81" s="8" t="b">
        <f t="shared" si="4"/>
        <v>0</v>
      </c>
      <c r="AW81" s="8" t="b">
        <f t="shared" si="5"/>
        <v>0</v>
      </c>
      <c r="AX81" s="8" t="b">
        <f t="shared" si="6"/>
        <v>0</v>
      </c>
      <c r="AY81" s="8" t="b">
        <f t="shared" si="7"/>
        <v>0</v>
      </c>
      <c r="AZ81" s="8" t="b">
        <f t="shared" si="8"/>
        <v>1</v>
      </c>
      <c r="BA81" s="8" t="b">
        <f t="shared" si="9"/>
        <v>1</v>
      </c>
      <c r="BB81" s="8">
        <f t="shared" si="10"/>
        <v>2</v>
      </c>
    </row>
    <row r="82" spans="1:54" ht="18" customHeight="1">
      <c r="A82" s="65">
        <v>63</v>
      </c>
      <c r="B82" s="43">
        <f>IF('1'!B82=0,"",'1'!B82)</f>
        <v>63</v>
      </c>
      <c r="C82" s="43" t="str">
        <f>IF('1'!C82=0,"",'1'!C82)</f>
        <v>1602-16-733-303</v>
      </c>
      <c r="D82" s="43">
        <f>'1'!D82</f>
        <v>1</v>
      </c>
      <c r="E82" s="43">
        <f>'1'!E82</f>
        <v>0</v>
      </c>
      <c r="F82" s="43">
        <f>'1'!F82</f>
        <v>1</v>
      </c>
      <c r="G82" s="43">
        <f>'1'!G82</f>
        <v>0</v>
      </c>
      <c r="H82" s="43">
        <f>'1'!H82</f>
        <v>1</v>
      </c>
      <c r="I82" s="43">
        <f>'1'!I82</f>
        <v>1</v>
      </c>
      <c r="J82" s="43">
        <f>'1'!J82</f>
        <v>3</v>
      </c>
      <c r="K82" s="43">
        <f>'1'!K82</f>
        <v>2</v>
      </c>
      <c r="L82" s="43" t="str">
        <f>'1'!L82</f>
        <v>NA</v>
      </c>
      <c r="M82" s="43" t="str">
        <f>'1'!M82</f>
        <v>NA</v>
      </c>
      <c r="N82" s="43">
        <f>'1'!N82</f>
        <v>4</v>
      </c>
      <c r="O82" s="43">
        <f>'1'!O82</f>
        <v>0</v>
      </c>
      <c r="P82" s="216">
        <f>'2'!D82</f>
        <v>1</v>
      </c>
      <c r="Q82" s="216">
        <f>'2'!E82</f>
        <v>0</v>
      </c>
      <c r="R82" s="216">
        <f>'2'!F82</f>
        <v>0</v>
      </c>
      <c r="S82" s="216">
        <f>'2'!G82</f>
        <v>1</v>
      </c>
      <c r="T82" s="216">
        <f>'2'!H82</f>
        <v>1</v>
      </c>
      <c r="U82" s="216">
        <f>'2'!I82</f>
        <v>1</v>
      </c>
      <c r="V82" s="216">
        <f>'2'!J82</f>
        <v>4</v>
      </c>
      <c r="W82" s="216">
        <f>'2'!K82</f>
        <v>1</v>
      </c>
      <c r="X82" s="216">
        <f>'2'!L82</f>
        <v>1</v>
      </c>
      <c r="Y82" s="216">
        <f>'2'!M82</f>
        <v>2</v>
      </c>
      <c r="Z82" s="216" t="str">
        <f>'2'!N82</f>
        <v>NA</v>
      </c>
      <c r="AA82" s="216" t="str">
        <f>'2'!O82</f>
        <v>NA</v>
      </c>
      <c r="AB82" s="87">
        <f t="shared" si="1"/>
        <v>25</v>
      </c>
      <c r="AC82" s="87">
        <v>5.5</v>
      </c>
      <c r="AD82" s="87">
        <v>2</v>
      </c>
      <c r="AE82" s="87">
        <v>4</v>
      </c>
      <c r="AF82" s="87">
        <v>6</v>
      </c>
      <c r="AG82" s="87">
        <v>1</v>
      </c>
      <c r="AH82" s="87">
        <f t="shared" si="2"/>
        <v>18.5</v>
      </c>
      <c r="AI82" s="87">
        <v>13</v>
      </c>
      <c r="AJ82" s="87">
        <v>7</v>
      </c>
      <c r="AK82" s="87">
        <v>9</v>
      </c>
      <c r="AL82" s="87">
        <v>9</v>
      </c>
      <c r="AM82" s="87">
        <v>2</v>
      </c>
      <c r="AN82" s="7"/>
      <c r="AO82" s="96">
        <f t="shared" si="3"/>
        <v>42.307692307692307</v>
      </c>
      <c r="AP82" s="96">
        <f t="shared" si="3"/>
        <v>28.571428571428569</v>
      </c>
      <c r="AQ82" s="96">
        <f t="shared" si="3"/>
        <v>44.444444444444443</v>
      </c>
      <c r="AR82" s="96">
        <f t="shared" si="3"/>
        <v>66.666666666666657</v>
      </c>
      <c r="AS82" s="96">
        <f t="shared" si="11"/>
        <v>50</v>
      </c>
      <c r="AT82" s="7"/>
      <c r="AU82" s="7"/>
      <c r="AV82" s="8" t="b">
        <f t="shared" si="4"/>
        <v>0</v>
      </c>
      <c r="AW82" s="8" t="b">
        <f t="shared" si="5"/>
        <v>0</v>
      </c>
      <c r="AX82" s="8" t="b">
        <f t="shared" si="6"/>
        <v>1</v>
      </c>
      <c r="AY82" s="8" t="b">
        <f t="shared" si="7"/>
        <v>1</v>
      </c>
      <c r="AZ82" s="8" t="b">
        <f t="shared" si="8"/>
        <v>0</v>
      </c>
      <c r="BA82" s="8" t="b">
        <f t="shared" si="9"/>
        <v>0</v>
      </c>
      <c r="BB82" s="8">
        <f t="shared" si="10"/>
        <v>2</v>
      </c>
    </row>
    <row r="83" spans="1:54" ht="18" customHeight="1">
      <c r="A83" s="65">
        <v>64</v>
      </c>
      <c r="B83" s="43">
        <f>IF('1'!B83=0,"",'1'!B83)</f>
        <v>64</v>
      </c>
      <c r="C83" s="43" t="str">
        <f>IF('1'!C83=0,"",'1'!C83)</f>
        <v>1602-16-733-304</v>
      </c>
      <c r="D83" s="43">
        <f>'1'!D83</f>
        <v>1</v>
      </c>
      <c r="E83" s="43">
        <f>'1'!E83</f>
        <v>1</v>
      </c>
      <c r="F83" s="43">
        <f>'1'!F83</f>
        <v>1</v>
      </c>
      <c r="G83" s="43">
        <f>'1'!G83</f>
        <v>0</v>
      </c>
      <c r="H83" s="43">
        <f>'1'!H83</f>
        <v>1</v>
      </c>
      <c r="I83" s="43">
        <f>'1'!I83</f>
        <v>1</v>
      </c>
      <c r="J83" s="43">
        <f>'1'!J83</f>
        <v>4</v>
      </c>
      <c r="K83" s="43">
        <f>'1'!K83</f>
        <v>2</v>
      </c>
      <c r="L83" s="43" t="str">
        <f>'1'!L83</f>
        <v>NA</v>
      </c>
      <c r="M83" s="43" t="str">
        <f>'1'!M83</f>
        <v>NA</v>
      </c>
      <c r="N83" s="43">
        <f>'1'!N83</f>
        <v>4</v>
      </c>
      <c r="O83" s="43">
        <f>'1'!O83</f>
        <v>1</v>
      </c>
      <c r="P83" s="216">
        <f>'2'!D83</f>
        <v>0</v>
      </c>
      <c r="Q83" s="216">
        <f>'2'!E83</f>
        <v>1</v>
      </c>
      <c r="R83" s="216">
        <f>'2'!F83</f>
        <v>1</v>
      </c>
      <c r="S83" s="216">
        <f>'2'!G83</f>
        <v>1</v>
      </c>
      <c r="T83" s="216">
        <f>'2'!H83</f>
        <v>1</v>
      </c>
      <c r="U83" s="216">
        <f>'2'!I83</f>
        <v>1</v>
      </c>
      <c r="V83" s="216">
        <f>'2'!J83</f>
        <v>4</v>
      </c>
      <c r="W83" s="216">
        <f>'2'!K83</f>
        <v>2</v>
      </c>
      <c r="X83" s="216">
        <f>'2'!L83</f>
        <v>3</v>
      </c>
      <c r="Y83" s="216">
        <f>'2'!M83</f>
        <v>2</v>
      </c>
      <c r="Z83" s="216" t="str">
        <f>'2'!N83</f>
        <v>NA</v>
      </c>
      <c r="AA83" s="216" t="str">
        <f>'2'!O83</f>
        <v>NA</v>
      </c>
      <c r="AB83" s="87">
        <f t="shared" si="1"/>
        <v>32</v>
      </c>
      <c r="AC83" s="87">
        <v>7</v>
      </c>
      <c r="AD83" s="87">
        <v>1.5</v>
      </c>
      <c r="AE83" s="87">
        <v>1</v>
      </c>
      <c r="AF83" s="87">
        <v>6</v>
      </c>
      <c r="AG83" s="87">
        <v>0.5</v>
      </c>
      <c r="AH83" s="87">
        <f t="shared" si="2"/>
        <v>16</v>
      </c>
      <c r="AI83" s="87">
        <v>13</v>
      </c>
      <c r="AJ83" s="87">
        <v>7</v>
      </c>
      <c r="AK83" s="87">
        <v>9</v>
      </c>
      <c r="AL83" s="87">
        <v>9</v>
      </c>
      <c r="AM83" s="87">
        <v>2</v>
      </c>
      <c r="AN83" s="7"/>
      <c r="AO83" s="96">
        <f t="shared" si="3"/>
        <v>53.846153846153847</v>
      </c>
      <c r="AP83" s="96">
        <f t="shared" si="3"/>
        <v>21.428571428571427</v>
      </c>
      <c r="AQ83" s="96">
        <f t="shared" si="3"/>
        <v>11.111111111111111</v>
      </c>
      <c r="AR83" s="96">
        <f t="shared" si="3"/>
        <v>66.666666666666657</v>
      </c>
      <c r="AS83" s="96">
        <f t="shared" si="11"/>
        <v>25</v>
      </c>
      <c r="AT83" s="7"/>
      <c r="AU83" s="7"/>
      <c r="AV83" s="8" t="b">
        <f t="shared" si="4"/>
        <v>0</v>
      </c>
      <c r="AW83" s="8" t="b">
        <f t="shared" si="5"/>
        <v>0</v>
      </c>
      <c r="AX83" s="8" t="b">
        <f t="shared" si="6"/>
        <v>1</v>
      </c>
      <c r="AY83" s="8" t="b">
        <f t="shared" si="7"/>
        <v>1</v>
      </c>
      <c r="AZ83" s="8" t="b">
        <f t="shared" si="8"/>
        <v>0</v>
      </c>
      <c r="BA83" s="8" t="b">
        <f t="shared" si="9"/>
        <v>0</v>
      </c>
      <c r="BB83" s="8">
        <f t="shared" si="10"/>
        <v>2</v>
      </c>
    </row>
    <row r="84" spans="1:54" ht="18" customHeight="1">
      <c r="A84" s="65">
        <v>65</v>
      </c>
      <c r="B84" s="43">
        <f>IF('1'!B84=0,"",'1'!B84)</f>
        <v>65</v>
      </c>
      <c r="C84" s="43" t="str">
        <f>IF('1'!C84=0,"",'1'!C84)</f>
        <v>1602-16-733-305</v>
      </c>
      <c r="D84" s="43">
        <f>'1'!D84</f>
        <v>0</v>
      </c>
      <c r="E84" s="43">
        <f>'1'!E84</f>
        <v>1</v>
      </c>
      <c r="F84" s="43">
        <f>'1'!F84</f>
        <v>0</v>
      </c>
      <c r="G84" s="43">
        <f>'1'!G84</f>
        <v>0</v>
      </c>
      <c r="H84" s="43">
        <f>'1'!H84</f>
        <v>0</v>
      </c>
      <c r="I84" s="43">
        <f>'1'!I84</f>
        <v>1</v>
      </c>
      <c r="J84" s="43">
        <f>'1'!J84</f>
        <v>4</v>
      </c>
      <c r="K84" s="43">
        <f>'1'!K84</f>
        <v>1</v>
      </c>
      <c r="L84" s="43">
        <f>'1'!L84</f>
        <v>2</v>
      </c>
      <c r="M84" s="43">
        <f>'1'!M84</f>
        <v>3</v>
      </c>
      <c r="N84" s="43" t="str">
        <f>'1'!N84</f>
        <v>NA</v>
      </c>
      <c r="O84" s="43" t="str">
        <f>'1'!O84</f>
        <v>NA</v>
      </c>
      <c r="P84" s="216">
        <f>'2'!D84</f>
        <v>0</v>
      </c>
      <c r="Q84" s="216">
        <f>'2'!E84</f>
        <v>1</v>
      </c>
      <c r="R84" s="216">
        <f>'2'!F84</f>
        <v>1</v>
      </c>
      <c r="S84" s="216">
        <f>'2'!G84</f>
        <v>1</v>
      </c>
      <c r="T84" s="216">
        <f>'2'!H84</f>
        <v>0</v>
      </c>
      <c r="U84" s="216">
        <f>'2'!I84</f>
        <v>1</v>
      </c>
      <c r="V84" s="216">
        <f>'2'!J84</f>
        <v>4</v>
      </c>
      <c r="W84" s="216">
        <f>'2'!K84</f>
        <v>1</v>
      </c>
      <c r="X84" s="216" t="str">
        <f>'2'!L84</f>
        <v>NA</v>
      </c>
      <c r="Y84" s="216" t="str">
        <f>'2'!M84</f>
        <v>NA</v>
      </c>
      <c r="Z84" s="216">
        <f>'2'!N84</f>
        <v>0</v>
      </c>
      <c r="AA84" s="216">
        <f>'2'!O84</f>
        <v>3</v>
      </c>
      <c r="AB84" s="87">
        <f t="shared" si="1"/>
        <v>24</v>
      </c>
      <c r="AC84" s="87">
        <v>3.5</v>
      </c>
      <c r="AD84" s="87">
        <v>6</v>
      </c>
      <c r="AE84" s="87">
        <v>4</v>
      </c>
      <c r="AF84" s="87">
        <v>7.5</v>
      </c>
      <c r="AG84" s="87">
        <v>1</v>
      </c>
      <c r="AH84" s="87">
        <f t="shared" si="2"/>
        <v>22</v>
      </c>
      <c r="AI84" s="87">
        <v>6</v>
      </c>
      <c r="AJ84" s="87">
        <v>14</v>
      </c>
      <c r="AK84" s="87">
        <v>9</v>
      </c>
      <c r="AL84" s="87">
        <v>9</v>
      </c>
      <c r="AM84" s="87">
        <v>2</v>
      </c>
      <c r="AN84" s="7"/>
      <c r="AO84" s="96">
        <f t="shared" si="3"/>
        <v>58.333333333333336</v>
      </c>
      <c r="AP84" s="96">
        <f t="shared" si="3"/>
        <v>42.857142857142854</v>
      </c>
      <c r="AQ84" s="96">
        <f t="shared" si="3"/>
        <v>44.444444444444443</v>
      </c>
      <c r="AR84" s="96">
        <f t="shared" si="3"/>
        <v>83.333333333333343</v>
      </c>
      <c r="AS84" s="96">
        <f t="shared" si="11"/>
        <v>50</v>
      </c>
      <c r="AT84" s="7"/>
      <c r="AU84" s="7"/>
      <c r="AV84" s="8" t="b">
        <f t="shared" si="4"/>
        <v>0</v>
      </c>
      <c r="AW84" s="8" t="b">
        <f t="shared" si="5"/>
        <v>0</v>
      </c>
      <c r="AX84" s="8" t="b">
        <f t="shared" si="6"/>
        <v>0</v>
      </c>
      <c r="AY84" s="8" t="b">
        <f t="shared" si="7"/>
        <v>0</v>
      </c>
      <c r="AZ84" s="8" t="b">
        <f t="shared" si="8"/>
        <v>1</v>
      </c>
      <c r="BA84" s="8" t="b">
        <f t="shared" si="9"/>
        <v>1</v>
      </c>
      <c r="BB84" s="8">
        <f t="shared" si="10"/>
        <v>2</v>
      </c>
    </row>
    <row r="85" spans="1:54" ht="18" customHeight="1">
      <c r="A85" s="65">
        <v>66</v>
      </c>
      <c r="B85" s="43">
        <f>IF('1'!B85=0,"",'1'!B85)</f>
        <v>66</v>
      </c>
      <c r="C85" s="43" t="str">
        <f>IF('1'!C85=0,"",'1'!C85)</f>
        <v>1602-16-733-306</v>
      </c>
      <c r="D85" s="43">
        <f>'1'!D85</f>
        <v>0</v>
      </c>
      <c r="E85" s="43">
        <f>'1'!E85</f>
        <v>1</v>
      </c>
      <c r="F85" s="43">
        <f>'1'!F85</f>
        <v>0</v>
      </c>
      <c r="G85" s="43">
        <f>'1'!G85</f>
        <v>0</v>
      </c>
      <c r="H85" s="43">
        <f>'1'!H85</f>
        <v>1</v>
      </c>
      <c r="I85" s="43">
        <f>'1'!I85</f>
        <v>1</v>
      </c>
      <c r="J85" s="43">
        <f>'1'!J85</f>
        <v>4</v>
      </c>
      <c r="K85" s="43">
        <f>'1'!K85</f>
        <v>1</v>
      </c>
      <c r="L85" s="43">
        <f>'1'!L85</f>
        <v>3</v>
      </c>
      <c r="M85" s="43">
        <f>'1'!M85</f>
        <v>3</v>
      </c>
      <c r="N85" s="43" t="str">
        <f>'1'!N85</f>
        <v>NA</v>
      </c>
      <c r="O85" s="43" t="str">
        <f>'1'!O85</f>
        <v>NA</v>
      </c>
      <c r="P85" s="216">
        <f>'2'!D85</f>
        <v>0</v>
      </c>
      <c r="Q85" s="216">
        <f>'2'!E85</f>
        <v>1</v>
      </c>
      <c r="R85" s="216">
        <f>'2'!F85</f>
        <v>0</v>
      </c>
      <c r="S85" s="216">
        <f>'2'!G85</f>
        <v>1</v>
      </c>
      <c r="T85" s="216">
        <f>'2'!H85</f>
        <v>0</v>
      </c>
      <c r="U85" s="216">
        <f>'2'!I85</f>
        <v>1</v>
      </c>
      <c r="V85" s="216">
        <f>'2'!J85</f>
        <v>3</v>
      </c>
      <c r="W85" s="216">
        <f>'2'!K85</f>
        <v>3</v>
      </c>
      <c r="X85" s="216">
        <f>'2'!L85</f>
        <v>2</v>
      </c>
      <c r="Y85" s="216">
        <f>'2'!M85</f>
        <v>3</v>
      </c>
      <c r="Z85" s="216" t="str">
        <f>'2'!N85</f>
        <v>NA</v>
      </c>
      <c r="AA85" s="216" t="str">
        <f>'2'!O85</f>
        <v>NA</v>
      </c>
      <c r="AB85" s="87">
        <f t="shared" ref="AB85:AB148" si="12">IF(A85=B85,SUM(D85:AA85),"")</f>
        <v>28</v>
      </c>
      <c r="AC85" s="87">
        <v>3.5</v>
      </c>
      <c r="AD85" s="87">
        <v>4</v>
      </c>
      <c r="AE85" s="87">
        <v>2.5</v>
      </c>
      <c r="AF85" s="87">
        <v>2</v>
      </c>
      <c r="AG85" s="87">
        <v>3.5</v>
      </c>
      <c r="AH85" s="87">
        <f t="shared" ref="AH85:AH139" si="13">SUM(AC85:AG85)</f>
        <v>15.5</v>
      </c>
      <c r="AI85" s="87">
        <v>6</v>
      </c>
      <c r="AJ85" s="87">
        <v>14</v>
      </c>
      <c r="AK85" s="87">
        <v>9</v>
      </c>
      <c r="AL85" s="87">
        <v>2</v>
      </c>
      <c r="AM85" s="87">
        <v>9</v>
      </c>
      <c r="AN85" s="7"/>
      <c r="AO85" s="96">
        <f t="shared" ref="AO85:AR139" si="14">AC85/AI85*100</f>
        <v>58.333333333333336</v>
      </c>
      <c r="AP85" s="96">
        <f t="shared" si="14"/>
        <v>28.571428571428569</v>
      </c>
      <c r="AQ85" s="96">
        <f t="shared" si="14"/>
        <v>27.777777777777779</v>
      </c>
      <c r="AR85" s="96">
        <f t="shared" si="14"/>
        <v>100</v>
      </c>
      <c r="AS85" s="96">
        <f t="shared" si="11"/>
        <v>38.888888888888893</v>
      </c>
      <c r="AT85" s="7"/>
      <c r="AU85" s="7"/>
      <c r="AV85" s="8" t="b">
        <f t="shared" ref="AV85:AV148" si="15">IF(A85=B85,ISTEXT(J85),"")</f>
        <v>0</v>
      </c>
      <c r="AW85" s="8" t="b">
        <f t="shared" ref="AW85:AW148" si="16">IF(A85=B85,ISTEXT(K85),"")</f>
        <v>0</v>
      </c>
      <c r="AX85" s="8" t="b">
        <f t="shared" ref="AX85:AX148" si="17">IF(A85=B85,ISTEXT(L85),"")</f>
        <v>0</v>
      </c>
      <c r="AY85" s="8" t="b">
        <f t="shared" ref="AY85:AY148" si="18">IF(A85=B85,ISTEXT(M85),"")</f>
        <v>0</v>
      </c>
      <c r="AZ85" s="8" t="b">
        <f t="shared" ref="AZ85:AZ148" si="19">IF(A85=B85,ISTEXT(N85),"")</f>
        <v>1</v>
      </c>
      <c r="BA85" s="8" t="b">
        <f t="shared" ref="BA85:BA148" si="20">IF(A85=B85,ISTEXT(O85),"")</f>
        <v>1</v>
      </c>
      <c r="BB85" s="8">
        <f t="shared" ref="BB85:BB148" si="21">COUNTIF(AV85:BA85,"TRUE")</f>
        <v>2</v>
      </c>
    </row>
    <row r="86" spans="1:54" ht="18" customHeight="1">
      <c r="A86" s="65">
        <v>67</v>
      </c>
      <c r="B86" s="43">
        <f>IF('1'!B86=0,"",'1'!B86)</f>
        <v>67</v>
      </c>
      <c r="C86" s="43" t="str">
        <f>IF('1'!C86=0,"",'1'!C86)</f>
        <v>1602-16-733-307</v>
      </c>
      <c r="D86" s="43">
        <f>'1'!D86</f>
        <v>1</v>
      </c>
      <c r="E86" s="43">
        <f>'1'!E86</f>
        <v>1</v>
      </c>
      <c r="F86" s="43">
        <f>'1'!F86</f>
        <v>1</v>
      </c>
      <c r="G86" s="43">
        <f>'1'!G86</f>
        <v>1</v>
      </c>
      <c r="H86" s="43">
        <f>'1'!H86</f>
        <v>1</v>
      </c>
      <c r="I86" s="43">
        <f>'1'!I86</f>
        <v>1</v>
      </c>
      <c r="J86" s="43">
        <f>'1'!J86</f>
        <v>4</v>
      </c>
      <c r="K86" s="43">
        <f>'1'!K86</f>
        <v>2</v>
      </c>
      <c r="L86" s="43">
        <f>'1'!L86</f>
        <v>3</v>
      </c>
      <c r="M86" s="43">
        <f>'1'!M86</f>
        <v>3</v>
      </c>
      <c r="N86" s="43" t="str">
        <f>'1'!N86</f>
        <v>NA</v>
      </c>
      <c r="O86" s="43" t="str">
        <f>'1'!O86</f>
        <v>NA</v>
      </c>
      <c r="P86" s="216">
        <f>'2'!D86</f>
        <v>0</v>
      </c>
      <c r="Q86" s="216">
        <f>'2'!E86</f>
        <v>1</v>
      </c>
      <c r="R86" s="216">
        <f>'2'!F86</f>
        <v>1</v>
      </c>
      <c r="S86" s="216">
        <f>'2'!G86</f>
        <v>0</v>
      </c>
      <c r="T86" s="216">
        <f>'2'!H86</f>
        <v>1</v>
      </c>
      <c r="U86" s="216">
        <f>'2'!I86</f>
        <v>1</v>
      </c>
      <c r="V86" s="216">
        <f>'2'!J86</f>
        <v>4</v>
      </c>
      <c r="W86" s="216">
        <f>'2'!K86</f>
        <v>2</v>
      </c>
      <c r="X86" s="216">
        <f>'2'!L86</f>
        <v>3</v>
      </c>
      <c r="Y86" s="216">
        <f>'2'!M86</f>
        <v>3</v>
      </c>
      <c r="Z86" s="216" t="str">
        <f>'2'!N86</f>
        <v>NA</v>
      </c>
      <c r="AA86" s="216" t="str">
        <f>'2'!O86</f>
        <v>NA</v>
      </c>
      <c r="AB86" s="87">
        <f t="shared" si="12"/>
        <v>34</v>
      </c>
      <c r="AC86" s="87">
        <v>9</v>
      </c>
      <c r="AD86" s="87">
        <v>2</v>
      </c>
      <c r="AE86" s="87">
        <v>2</v>
      </c>
      <c r="AF86" s="87">
        <v>5.5</v>
      </c>
      <c r="AG86" s="87">
        <v>1</v>
      </c>
      <c r="AH86" s="87">
        <f t="shared" si="13"/>
        <v>19.5</v>
      </c>
      <c r="AI86" s="87">
        <v>13</v>
      </c>
      <c r="AJ86" s="87">
        <v>7</v>
      </c>
      <c r="AK86" s="87">
        <v>9</v>
      </c>
      <c r="AL86" s="87">
        <v>9</v>
      </c>
      <c r="AM86" s="87">
        <v>2</v>
      </c>
      <c r="AN86" s="7"/>
      <c r="AO86" s="96">
        <f t="shared" si="14"/>
        <v>69.230769230769226</v>
      </c>
      <c r="AP86" s="96">
        <f t="shared" si="14"/>
        <v>28.571428571428569</v>
      </c>
      <c r="AQ86" s="96">
        <f t="shared" si="14"/>
        <v>22.222222222222221</v>
      </c>
      <c r="AR86" s="96">
        <f t="shared" si="14"/>
        <v>61.111111111111114</v>
      </c>
      <c r="AS86" s="96">
        <f t="shared" si="11"/>
        <v>50</v>
      </c>
      <c r="AT86" s="7"/>
      <c r="AU86" s="7"/>
      <c r="AV86" s="8" t="b">
        <f t="shared" si="15"/>
        <v>0</v>
      </c>
      <c r="AW86" s="8" t="b">
        <f t="shared" si="16"/>
        <v>0</v>
      </c>
      <c r="AX86" s="8" t="b">
        <f t="shared" si="17"/>
        <v>0</v>
      </c>
      <c r="AY86" s="8" t="b">
        <f t="shared" si="18"/>
        <v>0</v>
      </c>
      <c r="AZ86" s="8" t="b">
        <f t="shared" si="19"/>
        <v>1</v>
      </c>
      <c r="BA86" s="8" t="b">
        <f t="shared" si="20"/>
        <v>1</v>
      </c>
      <c r="BB86" s="8">
        <f t="shared" si="21"/>
        <v>2</v>
      </c>
    </row>
    <row r="87" spans="1:54" ht="18" customHeight="1">
      <c r="A87" s="65">
        <v>68</v>
      </c>
      <c r="B87" s="43">
        <f>IF('1'!B87=0,"",'1'!B87)</f>
        <v>68</v>
      </c>
      <c r="C87" s="43" t="str">
        <f>IF('1'!C87=0,"",'1'!C87)</f>
        <v>1602-16-733-308</v>
      </c>
      <c r="D87" s="43">
        <f>'1'!D87</f>
        <v>0</v>
      </c>
      <c r="E87" s="43">
        <f>'1'!E87</f>
        <v>1</v>
      </c>
      <c r="F87" s="43">
        <f>'1'!F87</f>
        <v>0</v>
      </c>
      <c r="G87" s="43">
        <f>'1'!G87</f>
        <v>0</v>
      </c>
      <c r="H87" s="43">
        <f>'1'!H87</f>
        <v>0</v>
      </c>
      <c r="I87" s="43">
        <f>'1'!I87</f>
        <v>0</v>
      </c>
      <c r="J87" s="43">
        <f>'1'!J87</f>
        <v>4</v>
      </c>
      <c r="K87" s="43">
        <f>'1'!K87</f>
        <v>2</v>
      </c>
      <c r="L87" s="43">
        <f>'1'!L87</f>
        <v>3</v>
      </c>
      <c r="M87" s="43">
        <f>'1'!M87</f>
        <v>3</v>
      </c>
      <c r="N87" s="43" t="str">
        <f>'1'!N87</f>
        <v>NA</v>
      </c>
      <c r="O87" s="43" t="str">
        <f>'1'!O87</f>
        <v>NA</v>
      </c>
      <c r="P87" s="216">
        <f>'2'!D87</f>
        <v>1</v>
      </c>
      <c r="Q87" s="216">
        <f>'2'!E87</f>
        <v>1</v>
      </c>
      <c r="R87" s="216">
        <f>'2'!F87</f>
        <v>0</v>
      </c>
      <c r="S87" s="216">
        <f>'2'!G87</f>
        <v>0</v>
      </c>
      <c r="T87" s="216">
        <f>'2'!H87</f>
        <v>0</v>
      </c>
      <c r="U87" s="216">
        <f>'2'!I87</f>
        <v>1</v>
      </c>
      <c r="V87" s="216">
        <f>'2'!J87</f>
        <v>3</v>
      </c>
      <c r="W87" s="216">
        <f>'2'!K87</f>
        <v>3</v>
      </c>
      <c r="X87" s="216">
        <f>'2'!L87</f>
        <v>3</v>
      </c>
      <c r="Y87" s="216">
        <f>'2'!M87</f>
        <v>3</v>
      </c>
      <c r="Z87" s="216" t="str">
        <f>'2'!N87</f>
        <v>NA</v>
      </c>
      <c r="AA87" s="216" t="str">
        <f>'2'!O87</f>
        <v>NA</v>
      </c>
      <c r="AB87" s="87">
        <f t="shared" si="12"/>
        <v>28</v>
      </c>
      <c r="AC87" s="87">
        <v>6.5</v>
      </c>
      <c r="AD87" s="87">
        <v>2</v>
      </c>
      <c r="AE87" s="87">
        <v>3</v>
      </c>
      <c r="AF87" s="87">
        <v>4</v>
      </c>
      <c r="AG87" s="87">
        <v>1</v>
      </c>
      <c r="AH87" s="87">
        <f t="shared" si="13"/>
        <v>16.5</v>
      </c>
      <c r="AI87" s="87">
        <v>13</v>
      </c>
      <c r="AJ87" s="87">
        <v>7</v>
      </c>
      <c r="AK87" s="87">
        <v>9</v>
      </c>
      <c r="AL87" s="87">
        <v>9</v>
      </c>
      <c r="AM87" s="87">
        <v>2</v>
      </c>
      <c r="AN87" s="7"/>
      <c r="AO87" s="96">
        <f t="shared" si="14"/>
        <v>50</v>
      </c>
      <c r="AP87" s="96">
        <f t="shared" si="14"/>
        <v>28.571428571428569</v>
      </c>
      <c r="AQ87" s="96">
        <f t="shared" si="14"/>
        <v>33.333333333333329</v>
      </c>
      <c r="AR87" s="96">
        <f t="shared" si="14"/>
        <v>44.444444444444443</v>
      </c>
      <c r="AS87" s="96">
        <f t="shared" si="11"/>
        <v>50</v>
      </c>
      <c r="AT87" s="7"/>
      <c r="AU87" s="7"/>
      <c r="AV87" s="8" t="b">
        <f t="shared" si="15"/>
        <v>0</v>
      </c>
      <c r="AW87" s="8" t="b">
        <f t="shared" si="16"/>
        <v>0</v>
      </c>
      <c r="AX87" s="8" t="b">
        <f t="shared" si="17"/>
        <v>0</v>
      </c>
      <c r="AY87" s="8" t="b">
        <f t="shared" si="18"/>
        <v>0</v>
      </c>
      <c r="AZ87" s="8" t="b">
        <f t="shared" si="19"/>
        <v>1</v>
      </c>
      <c r="BA87" s="8" t="b">
        <f t="shared" si="20"/>
        <v>1</v>
      </c>
      <c r="BB87" s="8">
        <f t="shared" si="21"/>
        <v>2</v>
      </c>
    </row>
    <row r="88" spans="1:54" ht="18" customHeight="1">
      <c r="A88" s="65">
        <v>69</v>
      </c>
      <c r="B88" s="43">
        <f>IF('1'!B88=0,"",'1'!B88)</f>
        <v>69</v>
      </c>
      <c r="C88" s="43" t="str">
        <f>IF('1'!C88=0,"",'1'!C88)</f>
        <v>1602-16-733-309</v>
      </c>
      <c r="D88" s="43">
        <f>'1'!D88</f>
        <v>0</v>
      </c>
      <c r="E88" s="43">
        <f>'1'!E88</f>
        <v>0</v>
      </c>
      <c r="F88" s="43">
        <f>'1'!F88</f>
        <v>1</v>
      </c>
      <c r="G88" s="43">
        <f>'1'!G88</f>
        <v>1</v>
      </c>
      <c r="H88" s="43">
        <f>'1'!H88</f>
        <v>1</v>
      </c>
      <c r="I88" s="43">
        <f>'1'!I88</f>
        <v>1</v>
      </c>
      <c r="J88" s="43" t="str">
        <f>'1'!J88</f>
        <v>NA</v>
      </c>
      <c r="K88" s="43" t="str">
        <f>'1'!K88</f>
        <v>NA</v>
      </c>
      <c r="L88" s="43">
        <f>'1'!L88</f>
        <v>1</v>
      </c>
      <c r="M88" s="43">
        <f>'1'!M88</f>
        <v>3</v>
      </c>
      <c r="N88" s="43">
        <f>'1'!N88</f>
        <v>4</v>
      </c>
      <c r="O88" s="43">
        <f>'1'!O88</f>
        <v>1</v>
      </c>
      <c r="P88" s="216">
        <f>'2'!D88</f>
        <v>0</v>
      </c>
      <c r="Q88" s="216">
        <f>'2'!E88</f>
        <v>1</v>
      </c>
      <c r="R88" s="216">
        <f>'2'!F88</f>
        <v>1</v>
      </c>
      <c r="S88" s="216">
        <f>'2'!G88</f>
        <v>0</v>
      </c>
      <c r="T88" s="216">
        <f>'2'!H88</f>
        <v>1</v>
      </c>
      <c r="U88" s="216">
        <f>'2'!I88</f>
        <v>1</v>
      </c>
      <c r="V88" s="216">
        <f>'2'!J88</f>
        <v>4</v>
      </c>
      <c r="W88" s="216">
        <f>'2'!K88</f>
        <v>3</v>
      </c>
      <c r="X88" s="216">
        <f>'2'!L88</f>
        <v>2</v>
      </c>
      <c r="Y88" s="216">
        <f>'2'!M88</f>
        <v>2</v>
      </c>
      <c r="Z88" s="216" t="str">
        <f>'2'!N88</f>
        <v>NA</v>
      </c>
      <c r="AA88" s="216" t="str">
        <f>'2'!O88</f>
        <v>NA</v>
      </c>
      <c r="AB88" s="87">
        <f t="shared" si="12"/>
        <v>28</v>
      </c>
      <c r="AC88" s="87">
        <v>3.5</v>
      </c>
      <c r="AD88" s="87">
        <v>1</v>
      </c>
      <c r="AE88" s="87">
        <v>2</v>
      </c>
      <c r="AF88" s="87">
        <v>2</v>
      </c>
      <c r="AG88" s="87">
        <v>2</v>
      </c>
      <c r="AH88" s="87">
        <f t="shared" si="13"/>
        <v>10.5</v>
      </c>
      <c r="AI88" s="87">
        <v>10</v>
      </c>
      <c r="AJ88" s="87">
        <v>10</v>
      </c>
      <c r="AK88" s="87">
        <v>9</v>
      </c>
      <c r="AL88" s="87">
        <v>2</v>
      </c>
      <c r="AM88" s="87">
        <v>9</v>
      </c>
      <c r="AN88" s="7"/>
      <c r="AO88" s="96">
        <f t="shared" si="14"/>
        <v>35</v>
      </c>
      <c r="AP88" s="96">
        <f t="shared" si="14"/>
        <v>10</v>
      </c>
      <c r="AQ88" s="96">
        <f t="shared" si="14"/>
        <v>22.222222222222221</v>
      </c>
      <c r="AR88" s="96">
        <f t="shared" si="14"/>
        <v>100</v>
      </c>
      <c r="AS88" s="96">
        <f t="shared" si="11"/>
        <v>22.222222222222221</v>
      </c>
      <c r="AT88" s="7"/>
      <c r="AU88" s="7"/>
      <c r="AV88" s="8" t="b">
        <f t="shared" si="15"/>
        <v>1</v>
      </c>
      <c r="AW88" s="8" t="b">
        <f t="shared" si="16"/>
        <v>1</v>
      </c>
      <c r="AX88" s="8" t="b">
        <f t="shared" si="17"/>
        <v>0</v>
      </c>
      <c r="AY88" s="8" t="b">
        <f t="shared" si="18"/>
        <v>0</v>
      </c>
      <c r="AZ88" s="8" t="b">
        <f t="shared" si="19"/>
        <v>0</v>
      </c>
      <c r="BA88" s="8" t="b">
        <f t="shared" si="20"/>
        <v>0</v>
      </c>
      <c r="BB88" s="8">
        <f t="shared" si="21"/>
        <v>2</v>
      </c>
    </row>
    <row r="89" spans="1:54" ht="18" customHeight="1">
      <c r="A89" s="65">
        <v>70</v>
      </c>
      <c r="B89" s="43">
        <f>IF('1'!B89=0,"",'1'!B89)</f>
        <v>70</v>
      </c>
      <c r="C89" s="43" t="str">
        <f>IF('1'!C89=0,"",'1'!C89)</f>
        <v>1602-16-733-310</v>
      </c>
      <c r="D89" s="43">
        <f>'1'!D89</f>
        <v>0</v>
      </c>
      <c r="E89" s="43">
        <f>'1'!E89</f>
        <v>0</v>
      </c>
      <c r="F89" s="43">
        <f>'1'!F89</f>
        <v>0</v>
      </c>
      <c r="G89" s="43">
        <f>'1'!G89</f>
        <v>0</v>
      </c>
      <c r="H89" s="43">
        <f>'1'!H89</f>
        <v>0</v>
      </c>
      <c r="I89" s="43">
        <f>'1'!I89</f>
        <v>0</v>
      </c>
      <c r="J89" s="43">
        <f>'1'!J89</f>
        <v>4</v>
      </c>
      <c r="K89" s="43">
        <f>'1'!K89</f>
        <v>0</v>
      </c>
      <c r="L89" s="43">
        <f>'1'!L89</f>
        <v>1</v>
      </c>
      <c r="M89" s="43">
        <f>'1'!M89</f>
        <v>3</v>
      </c>
      <c r="N89" s="43" t="str">
        <f>'1'!N89</f>
        <v>NA</v>
      </c>
      <c r="O89" s="43" t="str">
        <f>'1'!O89</f>
        <v>NA</v>
      </c>
      <c r="P89" s="216">
        <f>'2'!D89</f>
        <v>0</v>
      </c>
      <c r="Q89" s="216">
        <f>'2'!E89</f>
        <v>1</v>
      </c>
      <c r="R89" s="216">
        <f>'2'!F89</f>
        <v>0</v>
      </c>
      <c r="S89" s="216">
        <f>'2'!G89</f>
        <v>0</v>
      </c>
      <c r="T89" s="216">
        <f>'2'!H89</f>
        <v>0</v>
      </c>
      <c r="U89" s="216">
        <f>'2'!I89</f>
        <v>1</v>
      </c>
      <c r="V89" s="216">
        <f>'2'!J89</f>
        <v>3</v>
      </c>
      <c r="W89" s="216">
        <f>'2'!K89</f>
        <v>2</v>
      </c>
      <c r="X89" s="216" t="str">
        <f>'2'!L89</f>
        <v>NA</v>
      </c>
      <c r="Y89" s="216" t="str">
        <f>'2'!M89</f>
        <v>NA</v>
      </c>
      <c r="Z89" s="216">
        <f>'2'!N89</f>
        <v>2</v>
      </c>
      <c r="AA89" s="216">
        <f>'2'!O89</f>
        <v>2</v>
      </c>
      <c r="AB89" s="87">
        <f t="shared" si="12"/>
        <v>19</v>
      </c>
      <c r="AC89" s="87">
        <v>8</v>
      </c>
      <c r="AD89" s="87">
        <v>1.5</v>
      </c>
      <c r="AE89" s="87">
        <v>1</v>
      </c>
      <c r="AF89" s="87">
        <v>7</v>
      </c>
      <c r="AG89" s="87">
        <v>2</v>
      </c>
      <c r="AH89" s="87">
        <f t="shared" si="13"/>
        <v>19.5</v>
      </c>
      <c r="AI89" s="87">
        <v>13</v>
      </c>
      <c r="AJ89" s="87">
        <v>7</v>
      </c>
      <c r="AK89" s="87">
        <v>2</v>
      </c>
      <c r="AL89" s="87">
        <v>9</v>
      </c>
      <c r="AM89" s="87">
        <v>9</v>
      </c>
      <c r="AN89" s="7"/>
      <c r="AO89" s="96">
        <f t="shared" si="14"/>
        <v>61.53846153846154</v>
      </c>
      <c r="AP89" s="96">
        <f t="shared" si="14"/>
        <v>21.428571428571427</v>
      </c>
      <c r="AQ89" s="96">
        <f t="shared" si="14"/>
        <v>50</v>
      </c>
      <c r="AR89" s="96">
        <f t="shared" si="14"/>
        <v>77.777777777777786</v>
      </c>
      <c r="AS89" s="96">
        <f t="shared" si="11"/>
        <v>22.222222222222221</v>
      </c>
      <c r="AT89" s="7"/>
      <c r="AU89" s="7"/>
      <c r="AV89" s="8" t="b">
        <f t="shared" si="15"/>
        <v>0</v>
      </c>
      <c r="AW89" s="8" t="b">
        <f t="shared" si="16"/>
        <v>0</v>
      </c>
      <c r="AX89" s="8" t="b">
        <f t="shared" si="17"/>
        <v>0</v>
      </c>
      <c r="AY89" s="8" t="b">
        <f t="shared" si="18"/>
        <v>0</v>
      </c>
      <c r="AZ89" s="8" t="b">
        <f t="shared" si="19"/>
        <v>1</v>
      </c>
      <c r="BA89" s="8" t="b">
        <f t="shared" si="20"/>
        <v>1</v>
      </c>
      <c r="BB89" s="8">
        <f t="shared" si="21"/>
        <v>2</v>
      </c>
    </row>
    <row r="90" spans="1:54" ht="18" customHeight="1">
      <c r="A90" s="65">
        <v>71</v>
      </c>
      <c r="B90" s="43">
        <f>IF('1'!B90=0,"",'1'!B90)</f>
        <v>71</v>
      </c>
      <c r="C90" s="43" t="str">
        <f>IF('1'!C90=0,"",'1'!C90)</f>
        <v>1602-16-733-311</v>
      </c>
      <c r="D90" s="43">
        <f>'1'!D90</f>
        <v>0</v>
      </c>
      <c r="E90" s="43">
        <f>'1'!E90</f>
        <v>1</v>
      </c>
      <c r="F90" s="43">
        <f>'1'!F90</f>
        <v>1</v>
      </c>
      <c r="G90" s="43">
        <f>'1'!G90</f>
        <v>1</v>
      </c>
      <c r="H90" s="43">
        <f>'1'!H90</f>
        <v>0</v>
      </c>
      <c r="I90" s="43">
        <f>'1'!I90</f>
        <v>1</v>
      </c>
      <c r="J90" s="43">
        <f>'1'!J90</f>
        <v>2</v>
      </c>
      <c r="K90" s="43">
        <f>'1'!K90</f>
        <v>1</v>
      </c>
      <c r="L90" s="43" t="str">
        <f>'1'!L90</f>
        <v>NA</v>
      </c>
      <c r="M90" s="43" t="str">
        <f>'1'!M90</f>
        <v>NA</v>
      </c>
      <c r="N90" s="43">
        <f>'1'!N90</f>
        <v>3</v>
      </c>
      <c r="O90" s="43">
        <f>'1'!O90</f>
        <v>2</v>
      </c>
      <c r="P90" s="216">
        <f>'2'!D90</f>
        <v>0</v>
      </c>
      <c r="Q90" s="216">
        <f>'2'!E90</f>
        <v>1</v>
      </c>
      <c r="R90" s="216">
        <f>'2'!F90</f>
        <v>0</v>
      </c>
      <c r="S90" s="216">
        <f>'2'!G90</f>
        <v>1</v>
      </c>
      <c r="T90" s="216">
        <f>'2'!H90</f>
        <v>0</v>
      </c>
      <c r="U90" s="216">
        <f>'2'!I90</f>
        <v>1</v>
      </c>
      <c r="V90" s="216">
        <f>'2'!J90</f>
        <v>4</v>
      </c>
      <c r="W90" s="216">
        <f>'2'!K90</f>
        <v>1</v>
      </c>
      <c r="X90" s="216" t="str">
        <f>'2'!L90</f>
        <v>NA</v>
      </c>
      <c r="Y90" s="216" t="str">
        <f>'2'!M90</f>
        <v>NA</v>
      </c>
      <c r="Z90" s="216">
        <f>'2'!N90</f>
        <v>3</v>
      </c>
      <c r="AA90" s="216">
        <f>'2'!O90</f>
        <v>1</v>
      </c>
      <c r="AB90" s="87">
        <f t="shared" si="12"/>
        <v>24</v>
      </c>
      <c r="AC90" s="87">
        <v>5.5</v>
      </c>
      <c r="AD90" s="87">
        <v>2</v>
      </c>
      <c r="AE90" s="87">
        <v>2.5</v>
      </c>
      <c r="AF90" s="87">
        <v>6</v>
      </c>
      <c r="AG90" s="87">
        <v>0</v>
      </c>
      <c r="AH90" s="87">
        <f t="shared" si="13"/>
        <v>16</v>
      </c>
      <c r="AI90" s="87">
        <v>13</v>
      </c>
      <c r="AJ90" s="87">
        <v>7</v>
      </c>
      <c r="AK90" s="87">
        <v>9</v>
      </c>
      <c r="AL90" s="87">
        <v>9</v>
      </c>
      <c r="AM90" s="87">
        <v>2</v>
      </c>
      <c r="AN90" s="7"/>
      <c r="AO90" s="96">
        <f t="shared" si="14"/>
        <v>42.307692307692307</v>
      </c>
      <c r="AP90" s="96">
        <f t="shared" si="14"/>
        <v>28.571428571428569</v>
      </c>
      <c r="AQ90" s="96">
        <f t="shared" si="14"/>
        <v>27.777777777777779</v>
      </c>
      <c r="AR90" s="96">
        <f t="shared" si="14"/>
        <v>66.666666666666657</v>
      </c>
      <c r="AS90" s="96">
        <f t="shared" si="11"/>
        <v>0</v>
      </c>
      <c r="AT90" s="7"/>
      <c r="AU90" s="7"/>
      <c r="AV90" s="8" t="b">
        <f t="shared" si="15"/>
        <v>0</v>
      </c>
      <c r="AW90" s="8" t="b">
        <f t="shared" si="16"/>
        <v>0</v>
      </c>
      <c r="AX90" s="8" t="b">
        <f t="shared" si="17"/>
        <v>1</v>
      </c>
      <c r="AY90" s="8" t="b">
        <f t="shared" si="18"/>
        <v>1</v>
      </c>
      <c r="AZ90" s="8" t="b">
        <f t="shared" si="19"/>
        <v>0</v>
      </c>
      <c r="BA90" s="8" t="b">
        <f t="shared" si="20"/>
        <v>0</v>
      </c>
      <c r="BB90" s="8">
        <f t="shared" si="21"/>
        <v>2</v>
      </c>
    </row>
    <row r="91" spans="1:54" ht="18" customHeight="1">
      <c r="A91" s="65">
        <v>72</v>
      </c>
      <c r="B91" s="43">
        <f>IF('1'!B91=0,"",'1'!B91)</f>
        <v>72</v>
      </c>
      <c r="C91" s="43" t="str">
        <f>IF('1'!C91=0,"",'1'!C91)</f>
        <v>1602-16-733-312</v>
      </c>
      <c r="D91" s="43">
        <f>'1'!D91</f>
        <v>0</v>
      </c>
      <c r="E91" s="43">
        <f>'1'!E91</f>
        <v>1</v>
      </c>
      <c r="F91" s="43">
        <f>'1'!F91</f>
        <v>0</v>
      </c>
      <c r="G91" s="43">
        <f>'1'!G91</f>
        <v>1</v>
      </c>
      <c r="H91" s="43">
        <f>'1'!H91</f>
        <v>0</v>
      </c>
      <c r="I91" s="43">
        <f>'1'!I91</f>
        <v>1</v>
      </c>
      <c r="J91" s="43">
        <f>'1'!J91</f>
        <v>3</v>
      </c>
      <c r="K91" s="43">
        <f>'1'!K91</f>
        <v>1</v>
      </c>
      <c r="L91" s="43" t="str">
        <f>'1'!L91</f>
        <v>NA</v>
      </c>
      <c r="M91" s="43" t="str">
        <f>'1'!M91</f>
        <v>NA</v>
      </c>
      <c r="N91" s="43">
        <f>'1'!N91</f>
        <v>3</v>
      </c>
      <c r="O91" s="43">
        <f>'1'!O91</f>
        <v>2</v>
      </c>
      <c r="P91" s="216">
        <f>'2'!D91</f>
        <v>1</v>
      </c>
      <c r="Q91" s="216">
        <f>'2'!E91</f>
        <v>1</v>
      </c>
      <c r="R91" s="216">
        <f>'2'!F91</f>
        <v>1</v>
      </c>
      <c r="S91" s="216">
        <f>'2'!G91</f>
        <v>0</v>
      </c>
      <c r="T91" s="216">
        <f>'2'!H91</f>
        <v>1</v>
      </c>
      <c r="U91" s="216">
        <f>'2'!I91</f>
        <v>0</v>
      </c>
      <c r="V91" s="216">
        <f>'2'!J91</f>
        <v>3</v>
      </c>
      <c r="W91" s="216">
        <f>'2'!K91</f>
        <v>3</v>
      </c>
      <c r="X91" s="216" t="str">
        <f>'2'!L91</f>
        <v>NA</v>
      </c>
      <c r="Y91" s="216" t="str">
        <f>'2'!M91</f>
        <v>NA</v>
      </c>
      <c r="Z91" s="216">
        <f>'2'!N91</f>
        <v>1</v>
      </c>
      <c r="AA91" s="216">
        <f>'2'!O91</f>
        <v>0</v>
      </c>
      <c r="AB91" s="87">
        <f t="shared" si="12"/>
        <v>23</v>
      </c>
      <c r="AC91" s="87">
        <v>7.5</v>
      </c>
      <c r="AD91" s="87">
        <v>5</v>
      </c>
      <c r="AE91" s="87">
        <v>1</v>
      </c>
      <c r="AF91" s="87">
        <v>7</v>
      </c>
      <c r="AG91" s="87">
        <v>7</v>
      </c>
      <c r="AH91" s="87">
        <f t="shared" si="13"/>
        <v>27.5</v>
      </c>
      <c r="AI91" s="87">
        <v>10</v>
      </c>
      <c r="AJ91" s="87">
        <v>10</v>
      </c>
      <c r="AK91" s="87">
        <v>2</v>
      </c>
      <c r="AL91" s="87">
        <v>9</v>
      </c>
      <c r="AM91" s="87">
        <v>9</v>
      </c>
      <c r="AN91" s="7"/>
      <c r="AO91" s="96">
        <f t="shared" si="14"/>
        <v>75</v>
      </c>
      <c r="AP91" s="96">
        <f t="shared" si="14"/>
        <v>50</v>
      </c>
      <c r="AQ91" s="96">
        <f t="shared" si="14"/>
        <v>50</v>
      </c>
      <c r="AR91" s="96">
        <f t="shared" si="14"/>
        <v>77.777777777777786</v>
      </c>
      <c r="AS91" s="96">
        <f t="shared" si="11"/>
        <v>77.777777777777786</v>
      </c>
      <c r="AT91" s="7"/>
      <c r="AU91" s="7"/>
      <c r="AV91" s="8" t="b">
        <f t="shared" si="15"/>
        <v>0</v>
      </c>
      <c r="AW91" s="8" t="b">
        <f t="shared" si="16"/>
        <v>0</v>
      </c>
      <c r="AX91" s="8" t="b">
        <f t="shared" si="17"/>
        <v>1</v>
      </c>
      <c r="AY91" s="8" t="b">
        <f t="shared" si="18"/>
        <v>1</v>
      </c>
      <c r="AZ91" s="8" t="b">
        <f t="shared" si="19"/>
        <v>0</v>
      </c>
      <c r="BA91" s="8" t="b">
        <f t="shared" si="20"/>
        <v>0</v>
      </c>
      <c r="BB91" s="8">
        <f t="shared" si="21"/>
        <v>2</v>
      </c>
    </row>
    <row r="92" spans="1:54" ht="18" customHeight="1">
      <c r="A92" s="65">
        <v>73</v>
      </c>
      <c r="B92" s="43">
        <f>IF('1'!B92=0,"",'1'!B92)</f>
        <v>73</v>
      </c>
      <c r="C92" s="43" t="str">
        <f>IF('1'!C92=0,"",'1'!C92)</f>
        <v>1602-14-733-018</v>
      </c>
      <c r="D92" s="43">
        <f>'1'!D92</f>
        <v>1</v>
      </c>
      <c r="E92" s="43">
        <f>'1'!E92</f>
        <v>1</v>
      </c>
      <c r="F92" s="43">
        <f>'1'!F92</f>
        <v>0</v>
      </c>
      <c r="G92" s="43">
        <f>'1'!G92</f>
        <v>0</v>
      </c>
      <c r="H92" s="43">
        <f>'1'!H92</f>
        <v>0</v>
      </c>
      <c r="I92" s="43">
        <f>'1'!I92</f>
        <v>1</v>
      </c>
      <c r="J92" s="43">
        <f>'1'!J92</f>
        <v>1</v>
      </c>
      <c r="K92" s="43">
        <f>'1'!K92</f>
        <v>1</v>
      </c>
      <c r="L92" s="43" t="str">
        <f>'1'!L92</f>
        <v>NA</v>
      </c>
      <c r="M92" s="43" t="str">
        <f>'1'!M92</f>
        <v>NA</v>
      </c>
      <c r="N92" s="43">
        <f>'1'!N92</f>
        <v>1</v>
      </c>
      <c r="O92" s="43">
        <f>'1'!O92</f>
        <v>2</v>
      </c>
      <c r="P92" s="216">
        <f>'2'!D92</f>
        <v>0</v>
      </c>
      <c r="Q92" s="216">
        <f>'2'!E92</f>
        <v>1</v>
      </c>
      <c r="R92" s="216">
        <f>'2'!F92</f>
        <v>1</v>
      </c>
      <c r="S92" s="216">
        <f>'2'!G92</f>
        <v>0</v>
      </c>
      <c r="T92" s="216">
        <f>'2'!H92</f>
        <v>1</v>
      </c>
      <c r="U92" s="216">
        <f>'2'!I92</f>
        <v>1</v>
      </c>
      <c r="V92" s="216">
        <f>'2'!J92</f>
        <v>1</v>
      </c>
      <c r="W92" s="216">
        <f>'2'!K92</f>
        <v>2</v>
      </c>
      <c r="X92" s="216">
        <f>'2'!L92</f>
        <v>2</v>
      </c>
      <c r="Y92" s="216">
        <f>'2'!M92</f>
        <v>2</v>
      </c>
      <c r="Z92" s="216" t="str">
        <f>'2'!N92</f>
        <v>NA</v>
      </c>
      <c r="AA92" s="216" t="str">
        <f>'2'!O92</f>
        <v>NA</v>
      </c>
      <c r="AB92" s="87">
        <f t="shared" si="12"/>
        <v>19</v>
      </c>
      <c r="AC92" s="87">
        <v>4.5</v>
      </c>
      <c r="AD92" s="87">
        <v>9</v>
      </c>
      <c r="AE92" s="87">
        <v>4</v>
      </c>
      <c r="AF92" s="87">
        <v>1.5</v>
      </c>
      <c r="AG92" s="87">
        <v>8.5</v>
      </c>
      <c r="AH92" s="87">
        <f t="shared" si="13"/>
        <v>27.5</v>
      </c>
      <c r="AI92" s="87">
        <v>6</v>
      </c>
      <c r="AJ92" s="87">
        <v>14</v>
      </c>
      <c r="AK92" s="87">
        <v>9</v>
      </c>
      <c r="AL92" s="87">
        <v>2</v>
      </c>
      <c r="AM92" s="87">
        <v>9</v>
      </c>
      <c r="AN92" s="7"/>
      <c r="AO92" s="96">
        <f t="shared" si="14"/>
        <v>75</v>
      </c>
      <c r="AP92" s="96">
        <f t="shared" si="14"/>
        <v>64.285714285714292</v>
      </c>
      <c r="AQ92" s="96">
        <f t="shared" si="14"/>
        <v>44.444444444444443</v>
      </c>
      <c r="AR92" s="96">
        <f t="shared" si="14"/>
        <v>75</v>
      </c>
      <c r="AS92" s="96">
        <f t="shared" si="11"/>
        <v>94.444444444444443</v>
      </c>
      <c r="AT92" s="7"/>
      <c r="AU92" s="7"/>
      <c r="AV92" s="8" t="b">
        <f t="shared" si="15"/>
        <v>0</v>
      </c>
      <c r="AW92" s="8" t="b">
        <f t="shared" si="16"/>
        <v>0</v>
      </c>
      <c r="AX92" s="8" t="b">
        <f t="shared" si="17"/>
        <v>1</v>
      </c>
      <c r="AY92" s="8" t="b">
        <f t="shared" si="18"/>
        <v>1</v>
      </c>
      <c r="AZ92" s="8" t="b">
        <f t="shared" si="19"/>
        <v>0</v>
      </c>
      <c r="BA92" s="8" t="b">
        <f t="shared" si="20"/>
        <v>0</v>
      </c>
      <c r="BB92" s="8">
        <f t="shared" si="21"/>
        <v>2</v>
      </c>
    </row>
    <row r="93" spans="1:54" ht="18" customHeight="1">
      <c r="A93" s="65">
        <v>74</v>
      </c>
      <c r="B93" s="43" t="str">
        <f>IF('1'!B93=0,"",'1'!B93)</f>
        <v/>
      </c>
      <c r="C93" s="43" t="str">
        <f>IF('1'!C93=0,"",'1'!C93)</f>
        <v/>
      </c>
      <c r="D93" s="43">
        <f>'1'!D93</f>
        <v>0</v>
      </c>
      <c r="E93" s="43">
        <f>'1'!E93</f>
        <v>0</v>
      </c>
      <c r="F93" s="43">
        <f>'1'!F93</f>
        <v>0</v>
      </c>
      <c r="G93" s="43">
        <f>'1'!G93</f>
        <v>0</v>
      </c>
      <c r="H93" s="43">
        <f>'1'!H93</f>
        <v>0</v>
      </c>
      <c r="I93" s="43">
        <f>'1'!I93</f>
        <v>0</v>
      </c>
      <c r="J93" s="43">
        <f>'1'!J93</f>
        <v>0</v>
      </c>
      <c r="K93" s="43">
        <f>'1'!K93</f>
        <v>0</v>
      </c>
      <c r="L93" s="43">
        <f>'1'!L93</f>
        <v>0</v>
      </c>
      <c r="M93" s="43">
        <f>'1'!M93</f>
        <v>0</v>
      </c>
      <c r="N93" s="43">
        <f>'1'!N93</f>
        <v>0</v>
      </c>
      <c r="O93" s="43">
        <f>'1'!O93</f>
        <v>0</v>
      </c>
      <c r="P93" s="216">
        <f>'2'!D93</f>
        <v>0</v>
      </c>
      <c r="Q93" s="216">
        <f>'2'!E93</f>
        <v>0</v>
      </c>
      <c r="R93" s="216">
        <f>'2'!F93</f>
        <v>0</v>
      </c>
      <c r="S93" s="216">
        <f>'2'!G93</f>
        <v>0</v>
      </c>
      <c r="T93" s="216">
        <f>'2'!H93</f>
        <v>0</v>
      </c>
      <c r="U93" s="216">
        <f>'2'!I93</f>
        <v>0</v>
      </c>
      <c r="V93" s="216">
        <f>'2'!J93</f>
        <v>0</v>
      </c>
      <c r="W93" s="216">
        <f>'2'!K93</f>
        <v>0</v>
      </c>
      <c r="X93" s="216">
        <f>'2'!L93</f>
        <v>0</v>
      </c>
      <c r="Y93" s="216">
        <f>'2'!M93</f>
        <v>0</v>
      </c>
      <c r="Z93" s="216">
        <f>'2'!N93</f>
        <v>0</v>
      </c>
      <c r="AA93" s="216">
        <f>'2'!O93</f>
        <v>0</v>
      </c>
      <c r="AB93" s="87" t="str">
        <f t="shared" si="12"/>
        <v/>
      </c>
      <c r="AC93" s="87">
        <v>8</v>
      </c>
      <c r="AD93" s="87">
        <v>3</v>
      </c>
      <c r="AE93" s="87">
        <v>3.5</v>
      </c>
      <c r="AF93" s="87">
        <v>2</v>
      </c>
      <c r="AG93" s="87">
        <v>5.5</v>
      </c>
      <c r="AH93" s="87">
        <f t="shared" si="13"/>
        <v>22</v>
      </c>
      <c r="AI93" s="87">
        <v>13</v>
      </c>
      <c r="AJ93" s="87">
        <v>7</v>
      </c>
      <c r="AK93" s="87">
        <v>9</v>
      </c>
      <c r="AL93" s="87">
        <v>2</v>
      </c>
      <c r="AM93" s="87">
        <v>9</v>
      </c>
      <c r="AN93" s="7"/>
      <c r="AO93" s="96">
        <f t="shared" si="14"/>
        <v>61.53846153846154</v>
      </c>
      <c r="AP93" s="96">
        <f t="shared" si="14"/>
        <v>42.857142857142854</v>
      </c>
      <c r="AQ93" s="96">
        <f t="shared" si="14"/>
        <v>38.888888888888893</v>
      </c>
      <c r="AR93" s="96">
        <f t="shared" si="14"/>
        <v>100</v>
      </c>
      <c r="AS93" s="96">
        <f t="shared" si="11"/>
        <v>61.111111111111114</v>
      </c>
      <c r="AT93" s="7"/>
      <c r="AU93" s="7"/>
      <c r="AV93" s="8" t="str">
        <f t="shared" si="15"/>
        <v/>
      </c>
      <c r="AW93" s="8" t="str">
        <f t="shared" si="16"/>
        <v/>
      </c>
      <c r="AX93" s="8" t="str">
        <f t="shared" si="17"/>
        <v/>
      </c>
      <c r="AY93" s="8" t="str">
        <f t="shared" si="18"/>
        <v/>
      </c>
      <c r="AZ93" s="8" t="str">
        <f t="shared" si="19"/>
        <v/>
      </c>
      <c r="BA93" s="8" t="str">
        <f t="shared" si="20"/>
        <v/>
      </c>
      <c r="BB93" s="8">
        <f t="shared" si="21"/>
        <v>0</v>
      </c>
    </row>
    <row r="94" spans="1:54">
      <c r="A94" s="65">
        <v>75</v>
      </c>
      <c r="B94" s="43" t="str">
        <f>IF('1'!B94=0,"",'1'!B94)</f>
        <v/>
      </c>
      <c r="C94" s="43" t="str">
        <f>IF('1'!C94=0,"",'1'!C94)</f>
        <v/>
      </c>
      <c r="D94" s="43">
        <f>'1'!D94</f>
        <v>0</v>
      </c>
      <c r="E94" s="43">
        <f>'1'!E94</f>
        <v>0</v>
      </c>
      <c r="F94" s="43">
        <f>'1'!F94</f>
        <v>0</v>
      </c>
      <c r="G94" s="43">
        <f>'1'!G94</f>
        <v>0</v>
      </c>
      <c r="H94" s="43">
        <f>'1'!H94</f>
        <v>0</v>
      </c>
      <c r="I94" s="43">
        <f>'1'!I94</f>
        <v>0</v>
      </c>
      <c r="J94" s="43">
        <f>'1'!J94</f>
        <v>0</v>
      </c>
      <c r="K94" s="43">
        <f>'1'!K94</f>
        <v>0</v>
      </c>
      <c r="L94" s="43">
        <f>'1'!L94</f>
        <v>0</v>
      </c>
      <c r="M94" s="43">
        <f>'1'!M94</f>
        <v>0</v>
      </c>
      <c r="N94" s="43">
        <f>'1'!N94</f>
        <v>0</v>
      </c>
      <c r="O94" s="43">
        <f>'1'!O94</f>
        <v>0</v>
      </c>
      <c r="P94" s="216">
        <f>'2'!D94</f>
        <v>0</v>
      </c>
      <c r="Q94" s="216">
        <f>'2'!E94</f>
        <v>0</v>
      </c>
      <c r="R94" s="216">
        <f>'2'!F94</f>
        <v>0</v>
      </c>
      <c r="S94" s="216">
        <f>'2'!G94</f>
        <v>0</v>
      </c>
      <c r="T94" s="216">
        <f>'2'!H94</f>
        <v>0</v>
      </c>
      <c r="U94" s="216">
        <f>'2'!I94</f>
        <v>0</v>
      </c>
      <c r="V94" s="216">
        <f>'2'!J94</f>
        <v>0</v>
      </c>
      <c r="W94" s="216">
        <f>'2'!K94</f>
        <v>0</v>
      </c>
      <c r="X94" s="216">
        <f>'2'!L94</f>
        <v>0</v>
      </c>
      <c r="Y94" s="216">
        <f>'2'!M94</f>
        <v>0</v>
      </c>
      <c r="Z94" s="216">
        <f>'2'!N94</f>
        <v>0</v>
      </c>
      <c r="AA94" s="216">
        <f>'2'!O94</f>
        <v>0</v>
      </c>
      <c r="AB94" s="87" t="str">
        <f t="shared" si="12"/>
        <v/>
      </c>
      <c r="AC94" s="87">
        <v>8.5</v>
      </c>
      <c r="AD94" s="87">
        <v>9</v>
      </c>
      <c r="AE94" s="87">
        <v>2</v>
      </c>
      <c r="AF94" s="87">
        <v>8</v>
      </c>
      <c r="AG94" s="87">
        <v>7</v>
      </c>
      <c r="AH94" s="87">
        <f t="shared" si="13"/>
        <v>34.5</v>
      </c>
      <c r="AI94" s="87">
        <v>10</v>
      </c>
      <c r="AJ94" s="87">
        <v>10</v>
      </c>
      <c r="AK94" s="87">
        <v>2</v>
      </c>
      <c r="AL94" s="87">
        <v>9</v>
      </c>
      <c r="AM94" s="87">
        <v>9</v>
      </c>
      <c r="AN94" s="7"/>
      <c r="AO94" s="96">
        <f t="shared" si="14"/>
        <v>85</v>
      </c>
      <c r="AP94" s="96">
        <f t="shared" si="14"/>
        <v>90</v>
      </c>
      <c r="AQ94" s="96">
        <f t="shared" si="14"/>
        <v>100</v>
      </c>
      <c r="AR94" s="96">
        <f t="shared" si="14"/>
        <v>88.888888888888886</v>
      </c>
      <c r="AS94" s="96">
        <f t="shared" si="11"/>
        <v>77.777777777777786</v>
      </c>
      <c r="AT94" s="7"/>
      <c r="AU94" s="7"/>
      <c r="AV94" s="8" t="str">
        <f t="shared" si="15"/>
        <v/>
      </c>
      <c r="AW94" s="8" t="str">
        <f t="shared" si="16"/>
        <v/>
      </c>
      <c r="AX94" s="8" t="str">
        <f t="shared" si="17"/>
        <v/>
      </c>
      <c r="AY94" s="8" t="str">
        <f t="shared" si="18"/>
        <v/>
      </c>
      <c r="AZ94" s="8" t="str">
        <f t="shared" si="19"/>
        <v/>
      </c>
      <c r="BA94" s="8" t="str">
        <f t="shared" si="20"/>
        <v/>
      </c>
      <c r="BB94" s="8">
        <f t="shared" si="21"/>
        <v>0</v>
      </c>
    </row>
    <row r="95" spans="1:54" ht="18" customHeight="1">
      <c r="A95" s="65">
        <v>76</v>
      </c>
      <c r="B95" s="43" t="str">
        <f>IF('1'!B95=0,"",'1'!B95)</f>
        <v/>
      </c>
      <c r="C95" s="43" t="str">
        <f>IF('1'!C95=0,"",'1'!C95)</f>
        <v/>
      </c>
      <c r="D95" s="43">
        <f>'1'!D95</f>
        <v>0</v>
      </c>
      <c r="E95" s="43">
        <f>'1'!E95</f>
        <v>0</v>
      </c>
      <c r="F95" s="43">
        <f>'1'!F95</f>
        <v>0</v>
      </c>
      <c r="G95" s="43">
        <f>'1'!G95</f>
        <v>0</v>
      </c>
      <c r="H95" s="43">
        <f>'1'!H95</f>
        <v>0</v>
      </c>
      <c r="I95" s="43">
        <f>'1'!I95</f>
        <v>0</v>
      </c>
      <c r="J95" s="43">
        <f>'1'!J95</f>
        <v>0</v>
      </c>
      <c r="K95" s="43">
        <f>'1'!K95</f>
        <v>0</v>
      </c>
      <c r="L95" s="43">
        <f>'1'!L95</f>
        <v>0</v>
      </c>
      <c r="M95" s="43">
        <f>'1'!M95</f>
        <v>0</v>
      </c>
      <c r="N95" s="43">
        <f>'1'!N95</f>
        <v>0</v>
      </c>
      <c r="O95" s="43">
        <f>'1'!O95</f>
        <v>0</v>
      </c>
      <c r="P95" s="216">
        <f>'2'!D95</f>
        <v>0</v>
      </c>
      <c r="Q95" s="216">
        <f>'2'!E95</f>
        <v>0</v>
      </c>
      <c r="R95" s="216">
        <f>'2'!F95</f>
        <v>0</v>
      </c>
      <c r="S95" s="216">
        <f>'2'!G95</f>
        <v>0</v>
      </c>
      <c r="T95" s="216">
        <f>'2'!H95</f>
        <v>0</v>
      </c>
      <c r="U95" s="216">
        <f>'2'!I95</f>
        <v>0</v>
      </c>
      <c r="V95" s="216">
        <f>'2'!J95</f>
        <v>0</v>
      </c>
      <c r="W95" s="216">
        <f>'2'!K95</f>
        <v>0</v>
      </c>
      <c r="X95" s="216">
        <f>'2'!L95</f>
        <v>0</v>
      </c>
      <c r="Y95" s="216">
        <f>'2'!M95</f>
        <v>0</v>
      </c>
      <c r="Z95" s="216">
        <f>'2'!N95</f>
        <v>0</v>
      </c>
      <c r="AA95" s="216">
        <f>'2'!O95</f>
        <v>0</v>
      </c>
      <c r="AB95" s="87" t="str">
        <f t="shared" si="12"/>
        <v/>
      </c>
      <c r="AC95" s="87">
        <v>9</v>
      </c>
      <c r="AD95" s="87">
        <v>5</v>
      </c>
      <c r="AE95" s="87">
        <v>4</v>
      </c>
      <c r="AF95" s="87">
        <v>9</v>
      </c>
      <c r="AG95" s="87">
        <v>1</v>
      </c>
      <c r="AH95" s="87">
        <f t="shared" si="13"/>
        <v>28</v>
      </c>
      <c r="AI95" s="87">
        <v>13</v>
      </c>
      <c r="AJ95" s="87">
        <v>7</v>
      </c>
      <c r="AK95" s="87">
        <v>9</v>
      </c>
      <c r="AL95" s="87">
        <v>9</v>
      </c>
      <c r="AM95" s="87">
        <v>2</v>
      </c>
      <c r="AN95" s="7"/>
      <c r="AO95" s="96">
        <f t="shared" si="14"/>
        <v>69.230769230769226</v>
      </c>
      <c r="AP95" s="96">
        <f t="shared" si="14"/>
        <v>71.428571428571431</v>
      </c>
      <c r="AQ95" s="96">
        <f t="shared" si="14"/>
        <v>44.444444444444443</v>
      </c>
      <c r="AR95" s="96">
        <f t="shared" si="14"/>
        <v>100</v>
      </c>
      <c r="AS95" s="96">
        <f t="shared" si="11"/>
        <v>50</v>
      </c>
      <c r="AT95" s="7"/>
      <c r="AU95" s="7"/>
      <c r="AV95" s="8" t="str">
        <f t="shared" si="15"/>
        <v/>
      </c>
      <c r="AW95" s="8" t="str">
        <f t="shared" si="16"/>
        <v/>
      </c>
      <c r="AX95" s="8" t="str">
        <f t="shared" si="17"/>
        <v/>
      </c>
      <c r="AY95" s="8" t="str">
        <f t="shared" si="18"/>
        <v/>
      </c>
      <c r="AZ95" s="8" t="str">
        <f t="shared" si="19"/>
        <v/>
      </c>
      <c r="BA95" s="8" t="str">
        <f t="shared" si="20"/>
        <v/>
      </c>
      <c r="BB95" s="8">
        <f t="shared" si="21"/>
        <v>0</v>
      </c>
    </row>
    <row r="96" spans="1:54" ht="18" customHeight="1">
      <c r="A96" s="65">
        <v>77</v>
      </c>
      <c r="B96" s="43" t="str">
        <f>IF('1'!B96=0,"",'1'!B96)</f>
        <v/>
      </c>
      <c r="C96" s="43" t="str">
        <f>IF('1'!C96=0,"",'1'!C96)</f>
        <v/>
      </c>
      <c r="D96" s="43">
        <f>'1'!D96</f>
        <v>0</v>
      </c>
      <c r="E96" s="43">
        <f>'1'!E96</f>
        <v>0</v>
      </c>
      <c r="F96" s="43">
        <f>'1'!F96</f>
        <v>0</v>
      </c>
      <c r="G96" s="43">
        <f>'1'!G96</f>
        <v>0</v>
      </c>
      <c r="H96" s="43">
        <f>'1'!H96</f>
        <v>0</v>
      </c>
      <c r="I96" s="43">
        <f>'1'!I96</f>
        <v>0</v>
      </c>
      <c r="J96" s="43">
        <f>'1'!J96</f>
        <v>0</v>
      </c>
      <c r="K96" s="43">
        <f>'1'!K96</f>
        <v>0</v>
      </c>
      <c r="L96" s="43">
        <f>'1'!L96</f>
        <v>0</v>
      </c>
      <c r="M96" s="43">
        <f>'1'!M96</f>
        <v>0</v>
      </c>
      <c r="N96" s="43">
        <f>'1'!N96</f>
        <v>0</v>
      </c>
      <c r="O96" s="43">
        <f>'1'!O96</f>
        <v>0</v>
      </c>
      <c r="P96" s="216">
        <f>'2'!D96</f>
        <v>0</v>
      </c>
      <c r="Q96" s="216">
        <f>'2'!E96</f>
        <v>0</v>
      </c>
      <c r="R96" s="216">
        <f>'2'!F96</f>
        <v>0</v>
      </c>
      <c r="S96" s="216">
        <f>'2'!G96</f>
        <v>0</v>
      </c>
      <c r="T96" s="216">
        <f>'2'!H96</f>
        <v>0</v>
      </c>
      <c r="U96" s="216">
        <f>'2'!I96</f>
        <v>0</v>
      </c>
      <c r="V96" s="216">
        <f>'2'!J96</f>
        <v>0</v>
      </c>
      <c r="W96" s="216">
        <f>'2'!K96</f>
        <v>0</v>
      </c>
      <c r="X96" s="216">
        <f>'2'!L96</f>
        <v>0</v>
      </c>
      <c r="Y96" s="216">
        <f>'2'!M96</f>
        <v>0</v>
      </c>
      <c r="Z96" s="216">
        <f>'2'!N96</f>
        <v>0</v>
      </c>
      <c r="AA96" s="216">
        <f>'2'!O96</f>
        <v>0</v>
      </c>
      <c r="AB96" s="87" t="str">
        <f t="shared" si="12"/>
        <v/>
      </c>
      <c r="AC96" s="87">
        <v>8</v>
      </c>
      <c r="AD96" s="87">
        <v>9</v>
      </c>
      <c r="AE96" s="87">
        <v>8</v>
      </c>
      <c r="AF96" s="87">
        <v>8.5</v>
      </c>
      <c r="AG96" s="87">
        <v>1</v>
      </c>
      <c r="AH96" s="87">
        <f t="shared" si="13"/>
        <v>34.5</v>
      </c>
      <c r="AI96" s="87">
        <v>10</v>
      </c>
      <c r="AJ96" s="87">
        <v>10</v>
      </c>
      <c r="AK96" s="87">
        <v>9</v>
      </c>
      <c r="AL96" s="87">
        <v>9</v>
      </c>
      <c r="AM96" s="87">
        <v>2</v>
      </c>
      <c r="AN96" s="7"/>
      <c r="AO96" s="96">
        <f t="shared" si="14"/>
        <v>80</v>
      </c>
      <c r="AP96" s="96">
        <f t="shared" si="14"/>
        <v>90</v>
      </c>
      <c r="AQ96" s="96">
        <f t="shared" si="14"/>
        <v>88.888888888888886</v>
      </c>
      <c r="AR96" s="96">
        <f t="shared" si="14"/>
        <v>94.444444444444443</v>
      </c>
      <c r="AS96" s="96">
        <f t="shared" si="11"/>
        <v>50</v>
      </c>
      <c r="AT96" s="7"/>
      <c r="AU96" s="7"/>
      <c r="AV96" s="8" t="str">
        <f t="shared" si="15"/>
        <v/>
      </c>
      <c r="AW96" s="8" t="str">
        <f t="shared" si="16"/>
        <v/>
      </c>
      <c r="AX96" s="8" t="str">
        <f t="shared" si="17"/>
        <v/>
      </c>
      <c r="AY96" s="8" t="str">
        <f t="shared" si="18"/>
        <v/>
      </c>
      <c r="AZ96" s="8" t="str">
        <f t="shared" si="19"/>
        <v/>
      </c>
      <c r="BA96" s="8" t="str">
        <f t="shared" si="20"/>
        <v/>
      </c>
      <c r="BB96" s="8">
        <f t="shared" si="21"/>
        <v>0</v>
      </c>
    </row>
    <row r="97" spans="1:54" ht="18" customHeight="1">
      <c r="A97" s="65">
        <v>78</v>
      </c>
      <c r="B97" s="43" t="str">
        <f>IF('1'!B97=0,"",'1'!B97)</f>
        <v/>
      </c>
      <c r="C97" s="43" t="str">
        <f>IF('1'!C97=0,"",'1'!C97)</f>
        <v/>
      </c>
      <c r="D97" s="43">
        <f>'1'!D97</f>
        <v>0</v>
      </c>
      <c r="E97" s="43">
        <f>'1'!E97</f>
        <v>0</v>
      </c>
      <c r="F97" s="43">
        <f>'1'!F97</f>
        <v>0</v>
      </c>
      <c r="G97" s="43">
        <f>'1'!G97</f>
        <v>0</v>
      </c>
      <c r="H97" s="43">
        <f>'1'!H97</f>
        <v>0</v>
      </c>
      <c r="I97" s="43">
        <f>'1'!I97</f>
        <v>0</v>
      </c>
      <c r="J97" s="43">
        <f>'1'!J97</f>
        <v>0</v>
      </c>
      <c r="K97" s="43">
        <f>'1'!K97</f>
        <v>0</v>
      </c>
      <c r="L97" s="43">
        <f>'1'!L97</f>
        <v>0</v>
      </c>
      <c r="M97" s="43">
        <f>'1'!M97</f>
        <v>0</v>
      </c>
      <c r="N97" s="43">
        <f>'1'!N97</f>
        <v>0</v>
      </c>
      <c r="O97" s="43">
        <f>'1'!O97</f>
        <v>0</v>
      </c>
      <c r="P97" s="216">
        <f>'2'!D97</f>
        <v>0</v>
      </c>
      <c r="Q97" s="216">
        <f>'2'!E97</f>
        <v>0</v>
      </c>
      <c r="R97" s="216">
        <f>'2'!F97</f>
        <v>0</v>
      </c>
      <c r="S97" s="216">
        <f>'2'!G97</f>
        <v>0</v>
      </c>
      <c r="T97" s="216">
        <f>'2'!H97</f>
        <v>0</v>
      </c>
      <c r="U97" s="216">
        <f>'2'!I97</f>
        <v>0</v>
      </c>
      <c r="V97" s="216">
        <f>'2'!J97</f>
        <v>0</v>
      </c>
      <c r="W97" s="216">
        <f>'2'!K97</f>
        <v>0</v>
      </c>
      <c r="X97" s="216">
        <f>'2'!L97</f>
        <v>0</v>
      </c>
      <c r="Y97" s="216">
        <f>'2'!M97</f>
        <v>0</v>
      </c>
      <c r="Z97" s="216">
        <f>'2'!N97</f>
        <v>0</v>
      </c>
      <c r="AA97" s="216">
        <f>'2'!O97</f>
        <v>0</v>
      </c>
      <c r="AB97" s="87" t="str">
        <f t="shared" si="12"/>
        <v/>
      </c>
      <c r="AC97" s="87">
        <v>10</v>
      </c>
      <c r="AD97" s="87">
        <v>8</v>
      </c>
      <c r="AE97" s="87">
        <v>8</v>
      </c>
      <c r="AF97" s="87">
        <v>8</v>
      </c>
      <c r="AG97" s="87">
        <v>2</v>
      </c>
      <c r="AH97" s="87">
        <f t="shared" si="13"/>
        <v>36</v>
      </c>
      <c r="AI97" s="87">
        <v>10</v>
      </c>
      <c r="AJ97" s="87">
        <v>10</v>
      </c>
      <c r="AK97" s="87">
        <v>9</v>
      </c>
      <c r="AL97" s="87">
        <v>9</v>
      </c>
      <c r="AM97" s="87">
        <v>2</v>
      </c>
      <c r="AN97" s="7"/>
      <c r="AO97" s="96">
        <f t="shared" si="14"/>
        <v>100</v>
      </c>
      <c r="AP97" s="96">
        <f t="shared" si="14"/>
        <v>80</v>
      </c>
      <c r="AQ97" s="96">
        <f t="shared" si="14"/>
        <v>88.888888888888886</v>
      </c>
      <c r="AR97" s="96">
        <f t="shared" si="14"/>
        <v>88.888888888888886</v>
      </c>
      <c r="AS97" s="96">
        <f t="shared" si="11"/>
        <v>100</v>
      </c>
      <c r="AT97" s="7"/>
      <c r="AU97" s="7"/>
      <c r="AV97" s="8" t="str">
        <f t="shared" si="15"/>
        <v/>
      </c>
      <c r="AW97" s="8" t="str">
        <f t="shared" si="16"/>
        <v/>
      </c>
      <c r="AX97" s="8" t="str">
        <f t="shared" si="17"/>
        <v/>
      </c>
      <c r="AY97" s="8" t="str">
        <f t="shared" si="18"/>
        <v/>
      </c>
      <c r="AZ97" s="8" t="str">
        <f t="shared" si="19"/>
        <v/>
      </c>
      <c r="BA97" s="8" t="str">
        <f t="shared" si="20"/>
        <v/>
      </c>
      <c r="BB97" s="8">
        <f t="shared" si="21"/>
        <v>0</v>
      </c>
    </row>
    <row r="98" spans="1:54" ht="18" customHeight="1">
      <c r="A98" s="65">
        <v>79</v>
      </c>
      <c r="B98" s="43" t="str">
        <f>IF('1'!B98=0,"",'1'!B98)</f>
        <v/>
      </c>
      <c r="C98" s="43" t="str">
        <f>IF('1'!C98=0,"",'1'!C98)</f>
        <v/>
      </c>
      <c r="D98" s="43">
        <f>'1'!D98</f>
        <v>0</v>
      </c>
      <c r="E98" s="43">
        <f>'1'!E98</f>
        <v>0</v>
      </c>
      <c r="F98" s="43">
        <f>'1'!F98</f>
        <v>0</v>
      </c>
      <c r="G98" s="43">
        <f>'1'!G98</f>
        <v>0</v>
      </c>
      <c r="H98" s="43">
        <f>'1'!H98</f>
        <v>0</v>
      </c>
      <c r="I98" s="43">
        <f>'1'!I98</f>
        <v>0</v>
      </c>
      <c r="J98" s="43">
        <f>'1'!J98</f>
        <v>0</v>
      </c>
      <c r="K98" s="43">
        <f>'1'!K98</f>
        <v>0</v>
      </c>
      <c r="L98" s="43">
        <f>'1'!L98</f>
        <v>0</v>
      </c>
      <c r="M98" s="43">
        <f>'1'!M98</f>
        <v>0</v>
      </c>
      <c r="N98" s="43">
        <f>'1'!N98</f>
        <v>0</v>
      </c>
      <c r="O98" s="43">
        <f>'1'!O98</f>
        <v>0</v>
      </c>
      <c r="P98" s="216">
        <f>'2'!D98</f>
        <v>0</v>
      </c>
      <c r="Q98" s="216">
        <f>'2'!E98</f>
        <v>0</v>
      </c>
      <c r="R98" s="216">
        <f>'2'!F98</f>
        <v>0</v>
      </c>
      <c r="S98" s="216">
        <f>'2'!G98</f>
        <v>0</v>
      </c>
      <c r="T98" s="216">
        <f>'2'!H98</f>
        <v>0</v>
      </c>
      <c r="U98" s="216">
        <f>'2'!I98</f>
        <v>0</v>
      </c>
      <c r="V98" s="216">
        <f>'2'!J98</f>
        <v>0</v>
      </c>
      <c r="W98" s="216">
        <f>'2'!K98</f>
        <v>0</v>
      </c>
      <c r="X98" s="216">
        <f>'2'!L98</f>
        <v>0</v>
      </c>
      <c r="Y98" s="216">
        <f>'2'!M98</f>
        <v>0</v>
      </c>
      <c r="Z98" s="216">
        <f>'2'!N98</f>
        <v>0</v>
      </c>
      <c r="AA98" s="216">
        <f>'2'!O98</f>
        <v>0</v>
      </c>
      <c r="AB98" s="87" t="str">
        <f t="shared" si="12"/>
        <v/>
      </c>
      <c r="AC98" s="87">
        <v>8.5</v>
      </c>
      <c r="AD98" s="87">
        <v>1</v>
      </c>
      <c r="AE98" s="87">
        <v>4</v>
      </c>
      <c r="AF98" s="87">
        <v>0.5</v>
      </c>
      <c r="AG98" s="87">
        <v>6</v>
      </c>
      <c r="AH98" s="87">
        <f t="shared" si="13"/>
        <v>20</v>
      </c>
      <c r="AI98" s="87">
        <v>13</v>
      </c>
      <c r="AJ98" s="87">
        <v>7</v>
      </c>
      <c r="AK98" s="87">
        <v>9</v>
      </c>
      <c r="AL98" s="87">
        <v>2</v>
      </c>
      <c r="AM98" s="87">
        <v>9</v>
      </c>
      <c r="AN98" s="7"/>
      <c r="AO98" s="96">
        <f t="shared" si="14"/>
        <v>65.384615384615387</v>
      </c>
      <c r="AP98" s="96">
        <f t="shared" si="14"/>
        <v>14.285714285714285</v>
      </c>
      <c r="AQ98" s="96">
        <f t="shared" si="14"/>
        <v>44.444444444444443</v>
      </c>
      <c r="AR98" s="96">
        <f t="shared" si="14"/>
        <v>25</v>
      </c>
      <c r="AS98" s="96">
        <f t="shared" si="11"/>
        <v>66.666666666666657</v>
      </c>
      <c r="AT98" s="7"/>
      <c r="AU98" s="7"/>
      <c r="AV98" s="8" t="str">
        <f t="shared" si="15"/>
        <v/>
      </c>
      <c r="AW98" s="8" t="str">
        <f t="shared" si="16"/>
        <v/>
      </c>
      <c r="AX98" s="8" t="str">
        <f t="shared" si="17"/>
        <v/>
      </c>
      <c r="AY98" s="8" t="str">
        <f t="shared" si="18"/>
        <v/>
      </c>
      <c r="AZ98" s="8" t="str">
        <f t="shared" si="19"/>
        <v/>
      </c>
      <c r="BA98" s="8" t="str">
        <f t="shared" si="20"/>
        <v/>
      </c>
      <c r="BB98" s="8">
        <f t="shared" si="21"/>
        <v>0</v>
      </c>
    </row>
    <row r="99" spans="1:54" ht="18" customHeight="1">
      <c r="A99" s="65">
        <v>80</v>
      </c>
      <c r="B99" s="43" t="str">
        <f>IF('1'!B99=0,"",'1'!B99)</f>
        <v/>
      </c>
      <c r="C99" s="43" t="str">
        <f>IF('1'!C99=0,"",'1'!C99)</f>
        <v/>
      </c>
      <c r="D99" s="43">
        <f>'1'!D99</f>
        <v>0</v>
      </c>
      <c r="E99" s="43">
        <f>'1'!E99</f>
        <v>0</v>
      </c>
      <c r="F99" s="43">
        <f>'1'!F99</f>
        <v>0</v>
      </c>
      <c r="G99" s="43">
        <f>'1'!G99</f>
        <v>0</v>
      </c>
      <c r="H99" s="43">
        <f>'1'!H99</f>
        <v>0</v>
      </c>
      <c r="I99" s="43">
        <f>'1'!I99</f>
        <v>0</v>
      </c>
      <c r="J99" s="43">
        <f>'1'!J99</f>
        <v>0</v>
      </c>
      <c r="K99" s="43">
        <f>'1'!K99</f>
        <v>0</v>
      </c>
      <c r="L99" s="43">
        <f>'1'!L99</f>
        <v>0</v>
      </c>
      <c r="M99" s="43">
        <f>'1'!M99</f>
        <v>0</v>
      </c>
      <c r="N99" s="43">
        <f>'1'!N99</f>
        <v>0</v>
      </c>
      <c r="O99" s="43">
        <f>'1'!O99</f>
        <v>0</v>
      </c>
      <c r="P99" s="216">
        <f>'2'!D99</f>
        <v>0</v>
      </c>
      <c r="Q99" s="216">
        <f>'2'!E99</f>
        <v>0</v>
      </c>
      <c r="R99" s="216">
        <f>'2'!F99</f>
        <v>0</v>
      </c>
      <c r="S99" s="216">
        <f>'2'!G99</f>
        <v>0</v>
      </c>
      <c r="T99" s="216">
        <f>'2'!H99</f>
        <v>0</v>
      </c>
      <c r="U99" s="216">
        <f>'2'!I99</f>
        <v>0</v>
      </c>
      <c r="V99" s="216">
        <f>'2'!J99</f>
        <v>0</v>
      </c>
      <c r="W99" s="216">
        <f>'2'!K99</f>
        <v>0</v>
      </c>
      <c r="X99" s="216">
        <f>'2'!L99</f>
        <v>0</v>
      </c>
      <c r="Y99" s="216">
        <f>'2'!M99</f>
        <v>0</v>
      </c>
      <c r="Z99" s="216">
        <f>'2'!N99</f>
        <v>0</v>
      </c>
      <c r="AA99" s="216">
        <f>'2'!O99</f>
        <v>0</v>
      </c>
      <c r="AB99" s="87" t="str">
        <f t="shared" si="12"/>
        <v/>
      </c>
      <c r="AC99" s="87">
        <v>9</v>
      </c>
      <c r="AD99" s="87">
        <v>2</v>
      </c>
      <c r="AE99" s="87">
        <v>8</v>
      </c>
      <c r="AF99" s="87">
        <v>4</v>
      </c>
      <c r="AG99" s="87">
        <v>0.5</v>
      </c>
      <c r="AH99" s="87">
        <f t="shared" si="13"/>
        <v>23.5</v>
      </c>
      <c r="AI99" s="87">
        <v>13</v>
      </c>
      <c r="AJ99" s="87">
        <v>7</v>
      </c>
      <c r="AK99" s="87">
        <v>9</v>
      </c>
      <c r="AL99" s="87">
        <v>9</v>
      </c>
      <c r="AM99" s="87">
        <v>2</v>
      </c>
      <c r="AN99" s="7"/>
      <c r="AO99" s="96">
        <f t="shared" si="14"/>
        <v>69.230769230769226</v>
      </c>
      <c r="AP99" s="96">
        <f t="shared" si="14"/>
        <v>28.571428571428569</v>
      </c>
      <c r="AQ99" s="96">
        <f t="shared" si="14"/>
        <v>88.888888888888886</v>
      </c>
      <c r="AR99" s="96">
        <f t="shared" si="14"/>
        <v>44.444444444444443</v>
      </c>
      <c r="AS99" s="96">
        <f t="shared" si="11"/>
        <v>25</v>
      </c>
      <c r="AT99" s="7"/>
      <c r="AU99" s="7"/>
      <c r="AV99" s="8" t="str">
        <f t="shared" si="15"/>
        <v/>
      </c>
      <c r="AW99" s="8" t="str">
        <f t="shared" si="16"/>
        <v/>
      </c>
      <c r="AX99" s="8" t="str">
        <f t="shared" si="17"/>
        <v/>
      </c>
      <c r="AY99" s="8" t="str">
        <f t="shared" si="18"/>
        <v/>
      </c>
      <c r="AZ99" s="8" t="str">
        <f t="shared" si="19"/>
        <v/>
      </c>
      <c r="BA99" s="8" t="str">
        <f t="shared" si="20"/>
        <v/>
      </c>
      <c r="BB99" s="8">
        <f t="shared" si="21"/>
        <v>0</v>
      </c>
    </row>
    <row r="100" spans="1:54" ht="18" customHeight="1">
      <c r="A100" s="65">
        <v>81</v>
      </c>
      <c r="B100" s="43" t="str">
        <f>IF('1'!B100=0,"",'1'!B100)</f>
        <v/>
      </c>
      <c r="C100" s="43" t="str">
        <f>IF('1'!C100=0,"",'1'!C100)</f>
        <v/>
      </c>
      <c r="D100" s="43">
        <f>'1'!D100</f>
        <v>0</v>
      </c>
      <c r="E100" s="43">
        <f>'1'!E100</f>
        <v>0</v>
      </c>
      <c r="F100" s="43">
        <f>'1'!F100</f>
        <v>0</v>
      </c>
      <c r="G100" s="43">
        <f>'1'!G100</f>
        <v>0</v>
      </c>
      <c r="H100" s="43">
        <f>'1'!H100</f>
        <v>0</v>
      </c>
      <c r="I100" s="43">
        <f>'1'!I100</f>
        <v>0</v>
      </c>
      <c r="J100" s="43">
        <f>'1'!J100</f>
        <v>0</v>
      </c>
      <c r="K100" s="43">
        <f>'1'!K100</f>
        <v>0</v>
      </c>
      <c r="L100" s="43">
        <f>'1'!L100</f>
        <v>0</v>
      </c>
      <c r="M100" s="43">
        <f>'1'!M100</f>
        <v>0</v>
      </c>
      <c r="N100" s="43">
        <f>'1'!N100</f>
        <v>0</v>
      </c>
      <c r="O100" s="43">
        <f>'1'!O100</f>
        <v>0</v>
      </c>
      <c r="P100" s="216">
        <f>'2'!D100</f>
        <v>0</v>
      </c>
      <c r="Q100" s="216">
        <f>'2'!E100</f>
        <v>0</v>
      </c>
      <c r="R100" s="216">
        <f>'2'!F100</f>
        <v>0</v>
      </c>
      <c r="S100" s="216">
        <f>'2'!G100</f>
        <v>0</v>
      </c>
      <c r="T100" s="216">
        <f>'2'!H100</f>
        <v>0</v>
      </c>
      <c r="U100" s="216">
        <f>'2'!I100</f>
        <v>0</v>
      </c>
      <c r="V100" s="216">
        <f>'2'!J100</f>
        <v>0</v>
      </c>
      <c r="W100" s="216">
        <f>'2'!K100</f>
        <v>0</v>
      </c>
      <c r="X100" s="216">
        <f>'2'!L100</f>
        <v>0</v>
      </c>
      <c r="Y100" s="216">
        <f>'2'!M100</f>
        <v>0</v>
      </c>
      <c r="Z100" s="216">
        <f>'2'!N100</f>
        <v>0</v>
      </c>
      <c r="AA100" s="216">
        <f>'2'!O100</f>
        <v>0</v>
      </c>
      <c r="AB100" s="87" t="str">
        <f t="shared" si="12"/>
        <v/>
      </c>
      <c r="AC100" s="87">
        <v>5</v>
      </c>
      <c r="AD100" s="87">
        <v>5.5</v>
      </c>
      <c r="AE100" s="87">
        <v>6</v>
      </c>
      <c r="AF100" s="87">
        <v>0.5</v>
      </c>
      <c r="AG100" s="87">
        <v>7</v>
      </c>
      <c r="AH100" s="87">
        <f t="shared" si="13"/>
        <v>24</v>
      </c>
      <c r="AI100" s="87">
        <v>10</v>
      </c>
      <c r="AJ100" s="87">
        <v>10</v>
      </c>
      <c r="AK100" s="87">
        <v>9</v>
      </c>
      <c r="AL100" s="87">
        <v>2</v>
      </c>
      <c r="AM100" s="87">
        <v>9</v>
      </c>
      <c r="AN100" s="7"/>
      <c r="AO100" s="96">
        <f t="shared" si="14"/>
        <v>50</v>
      </c>
      <c r="AP100" s="96">
        <f t="shared" si="14"/>
        <v>55.000000000000007</v>
      </c>
      <c r="AQ100" s="96">
        <f t="shared" si="14"/>
        <v>66.666666666666657</v>
      </c>
      <c r="AR100" s="96">
        <f t="shared" si="14"/>
        <v>25</v>
      </c>
      <c r="AS100" s="96">
        <f t="shared" si="11"/>
        <v>77.777777777777786</v>
      </c>
      <c r="AT100" s="7"/>
      <c r="AU100" s="7"/>
      <c r="AV100" s="8" t="str">
        <f t="shared" si="15"/>
        <v/>
      </c>
      <c r="AW100" s="8" t="str">
        <f t="shared" si="16"/>
        <v/>
      </c>
      <c r="AX100" s="8" t="str">
        <f t="shared" si="17"/>
        <v/>
      </c>
      <c r="AY100" s="8" t="str">
        <f t="shared" si="18"/>
        <v/>
      </c>
      <c r="AZ100" s="8" t="str">
        <f t="shared" si="19"/>
        <v/>
      </c>
      <c r="BA100" s="8" t="str">
        <f t="shared" si="20"/>
        <v/>
      </c>
      <c r="BB100" s="8">
        <f t="shared" si="21"/>
        <v>0</v>
      </c>
    </row>
    <row r="101" spans="1:54" ht="18" customHeight="1">
      <c r="A101" s="65">
        <v>82</v>
      </c>
      <c r="B101" s="43" t="str">
        <f>IF('1'!B101=0,"",'1'!B101)</f>
        <v/>
      </c>
      <c r="C101" s="43" t="str">
        <f>IF('1'!C101=0,"",'1'!C101)</f>
        <v/>
      </c>
      <c r="D101" s="43">
        <f>'1'!D101</f>
        <v>0</v>
      </c>
      <c r="E101" s="43">
        <f>'1'!E101</f>
        <v>0</v>
      </c>
      <c r="F101" s="43">
        <f>'1'!F101</f>
        <v>0</v>
      </c>
      <c r="G101" s="43">
        <f>'1'!G101</f>
        <v>0</v>
      </c>
      <c r="H101" s="43">
        <f>'1'!H101</f>
        <v>0</v>
      </c>
      <c r="I101" s="43">
        <f>'1'!I101</f>
        <v>0</v>
      </c>
      <c r="J101" s="43">
        <f>'1'!J101</f>
        <v>0</v>
      </c>
      <c r="K101" s="43">
        <f>'1'!K101</f>
        <v>0</v>
      </c>
      <c r="L101" s="43">
        <f>'1'!L101</f>
        <v>0</v>
      </c>
      <c r="M101" s="43">
        <f>'1'!M101</f>
        <v>0</v>
      </c>
      <c r="N101" s="43">
        <f>'1'!N101</f>
        <v>0</v>
      </c>
      <c r="O101" s="43">
        <f>'1'!O101</f>
        <v>0</v>
      </c>
      <c r="P101" s="216">
        <f>'2'!D101</f>
        <v>0</v>
      </c>
      <c r="Q101" s="216">
        <f>'2'!E101</f>
        <v>0</v>
      </c>
      <c r="R101" s="216">
        <f>'2'!F101</f>
        <v>0</v>
      </c>
      <c r="S101" s="216">
        <f>'2'!G101</f>
        <v>0</v>
      </c>
      <c r="T101" s="216">
        <f>'2'!H101</f>
        <v>0</v>
      </c>
      <c r="U101" s="216">
        <f>'2'!I101</f>
        <v>0</v>
      </c>
      <c r="V101" s="216">
        <f>'2'!J101</f>
        <v>0</v>
      </c>
      <c r="W101" s="216">
        <f>'2'!K101</f>
        <v>0</v>
      </c>
      <c r="X101" s="216">
        <f>'2'!L101</f>
        <v>0</v>
      </c>
      <c r="Y101" s="216">
        <f>'2'!M101</f>
        <v>0</v>
      </c>
      <c r="Z101" s="216">
        <f>'2'!N101</f>
        <v>0</v>
      </c>
      <c r="AA101" s="216">
        <f>'2'!O101</f>
        <v>0</v>
      </c>
      <c r="AB101" s="87" t="str">
        <f t="shared" si="12"/>
        <v/>
      </c>
      <c r="AC101" s="87">
        <v>6</v>
      </c>
      <c r="AD101" s="87">
        <v>6.5</v>
      </c>
      <c r="AE101" s="87">
        <v>3</v>
      </c>
      <c r="AF101" s="87">
        <v>5.5</v>
      </c>
      <c r="AG101" s="87">
        <v>1</v>
      </c>
      <c r="AH101" s="87">
        <f t="shared" si="13"/>
        <v>22</v>
      </c>
      <c r="AI101" s="87">
        <v>10</v>
      </c>
      <c r="AJ101" s="87">
        <v>10</v>
      </c>
      <c r="AK101" s="87">
        <v>9</v>
      </c>
      <c r="AL101" s="87">
        <v>9</v>
      </c>
      <c r="AM101" s="87">
        <v>2</v>
      </c>
      <c r="AN101" s="7"/>
      <c r="AO101" s="96">
        <f t="shared" si="14"/>
        <v>60</v>
      </c>
      <c r="AP101" s="96">
        <f t="shared" si="14"/>
        <v>65</v>
      </c>
      <c r="AQ101" s="96">
        <f t="shared" si="14"/>
        <v>33.333333333333329</v>
      </c>
      <c r="AR101" s="96">
        <f t="shared" si="14"/>
        <v>61.111111111111114</v>
      </c>
      <c r="AS101" s="96">
        <f t="shared" si="11"/>
        <v>50</v>
      </c>
      <c r="AT101" s="7"/>
      <c r="AU101" s="223"/>
      <c r="AV101" s="8" t="str">
        <f t="shared" si="15"/>
        <v/>
      </c>
      <c r="AW101" s="8" t="str">
        <f t="shared" si="16"/>
        <v/>
      </c>
      <c r="AX101" s="8" t="str">
        <f t="shared" si="17"/>
        <v/>
      </c>
      <c r="AY101" s="8" t="str">
        <f t="shared" si="18"/>
        <v/>
      </c>
      <c r="AZ101" s="8" t="str">
        <f t="shared" si="19"/>
        <v/>
      </c>
      <c r="BA101" s="8" t="str">
        <f t="shared" si="20"/>
        <v/>
      </c>
      <c r="BB101" s="8">
        <f t="shared" si="21"/>
        <v>0</v>
      </c>
    </row>
    <row r="102" spans="1:54" ht="18" customHeight="1">
      <c r="A102" s="65">
        <v>83</v>
      </c>
      <c r="B102" s="43" t="str">
        <f>IF('1'!B102=0,"",'1'!B102)</f>
        <v/>
      </c>
      <c r="C102" s="43" t="str">
        <f>IF('1'!C102=0,"",'1'!C102)</f>
        <v/>
      </c>
      <c r="D102" s="43">
        <f>'1'!D102</f>
        <v>0</v>
      </c>
      <c r="E102" s="43">
        <f>'1'!E102</f>
        <v>0</v>
      </c>
      <c r="F102" s="43">
        <f>'1'!F102</f>
        <v>0</v>
      </c>
      <c r="G102" s="43">
        <f>'1'!G102</f>
        <v>0</v>
      </c>
      <c r="H102" s="43">
        <f>'1'!H102</f>
        <v>0</v>
      </c>
      <c r="I102" s="43">
        <f>'1'!I102</f>
        <v>0</v>
      </c>
      <c r="J102" s="43">
        <f>'1'!J102</f>
        <v>0</v>
      </c>
      <c r="K102" s="43">
        <f>'1'!K102</f>
        <v>0</v>
      </c>
      <c r="L102" s="43">
        <f>'1'!L102</f>
        <v>0</v>
      </c>
      <c r="M102" s="43">
        <f>'1'!M102</f>
        <v>0</v>
      </c>
      <c r="N102" s="43">
        <f>'1'!N102</f>
        <v>0</v>
      </c>
      <c r="O102" s="43">
        <f>'1'!O102</f>
        <v>0</v>
      </c>
      <c r="P102" s="216">
        <f>'2'!D102</f>
        <v>0</v>
      </c>
      <c r="Q102" s="216">
        <f>'2'!E102</f>
        <v>0</v>
      </c>
      <c r="R102" s="216">
        <f>'2'!F102</f>
        <v>0</v>
      </c>
      <c r="S102" s="216">
        <f>'2'!G102</f>
        <v>0</v>
      </c>
      <c r="T102" s="216">
        <f>'2'!H102</f>
        <v>0</v>
      </c>
      <c r="U102" s="216">
        <f>'2'!I102</f>
        <v>0</v>
      </c>
      <c r="V102" s="216">
        <f>'2'!J102</f>
        <v>0</v>
      </c>
      <c r="W102" s="216">
        <f>'2'!K102</f>
        <v>0</v>
      </c>
      <c r="X102" s="216">
        <f>'2'!L102</f>
        <v>0</v>
      </c>
      <c r="Y102" s="216">
        <f>'2'!M102</f>
        <v>0</v>
      </c>
      <c r="Z102" s="216">
        <f>'2'!N102</f>
        <v>0</v>
      </c>
      <c r="AA102" s="216">
        <f>'2'!O102</f>
        <v>0</v>
      </c>
      <c r="AB102" s="87" t="str">
        <f t="shared" si="12"/>
        <v/>
      </c>
      <c r="AC102" s="87">
        <v>5</v>
      </c>
      <c r="AD102" s="87">
        <v>8</v>
      </c>
      <c r="AE102" s="87">
        <v>3</v>
      </c>
      <c r="AF102" s="87">
        <v>0.5</v>
      </c>
      <c r="AG102" s="87">
        <v>4</v>
      </c>
      <c r="AH102" s="87">
        <f t="shared" si="13"/>
        <v>20.5</v>
      </c>
      <c r="AI102" s="87">
        <v>10</v>
      </c>
      <c r="AJ102" s="87">
        <v>10</v>
      </c>
      <c r="AK102" s="87">
        <v>9</v>
      </c>
      <c r="AL102" s="87">
        <v>2</v>
      </c>
      <c r="AM102" s="87">
        <v>9</v>
      </c>
      <c r="AN102" s="7"/>
      <c r="AO102" s="96">
        <f t="shared" si="14"/>
        <v>50</v>
      </c>
      <c r="AP102" s="96">
        <f t="shared" si="14"/>
        <v>80</v>
      </c>
      <c r="AQ102" s="96">
        <f t="shared" si="14"/>
        <v>33.333333333333329</v>
      </c>
      <c r="AR102" s="96">
        <f t="shared" si="14"/>
        <v>25</v>
      </c>
      <c r="AS102" s="96">
        <f t="shared" si="11"/>
        <v>44.444444444444443</v>
      </c>
      <c r="AT102" s="7"/>
      <c r="AU102" s="223"/>
      <c r="AV102" s="8" t="str">
        <f t="shared" si="15"/>
        <v/>
      </c>
      <c r="AW102" s="8" t="str">
        <f t="shared" si="16"/>
        <v/>
      </c>
      <c r="AX102" s="8" t="str">
        <f t="shared" si="17"/>
        <v/>
      </c>
      <c r="AY102" s="8" t="str">
        <f t="shared" si="18"/>
        <v/>
      </c>
      <c r="AZ102" s="8" t="str">
        <f t="shared" si="19"/>
        <v/>
      </c>
      <c r="BA102" s="8" t="str">
        <f t="shared" si="20"/>
        <v/>
      </c>
      <c r="BB102" s="8">
        <f t="shared" si="21"/>
        <v>0</v>
      </c>
    </row>
    <row r="103" spans="1:54" ht="18" customHeight="1">
      <c r="A103" s="65">
        <v>84</v>
      </c>
      <c r="B103" s="43" t="str">
        <f>IF('1'!B103=0,"",'1'!B103)</f>
        <v/>
      </c>
      <c r="C103" s="43" t="str">
        <f>IF('1'!C103=0,"",'1'!C103)</f>
        <v/>
      </c>
      <c r="D103" s="43">
        <f>'1'!D103</f>
        <v>0</v>
      </c>
      <c r="E103" s="43">
        <f>'1'!E103</f>
        <v>0</v>
      </c>
      <c r="F103" s="43">
        <f>'1'!F103</f>
        <v>0</v>
      </c>
      <c r="G103" s="43">
        <f>'1'!G103</f>
        <v>0</v>
      </c>
      <c r="H103" s="43">
        <f>'1'!H103</f>
        <v>0</v>
      </c>
      <c r="I103" s="43">
        <f>'1'!I103</f>
        <v>0</v>
      </c>
      <c r="J103" s="43">
        <f>'1'!J103</f>
        <v>0</v>
      </c>
      <c r="K103" s="43">
        <f>'1'!K103</f>
        <v>0</v>
      </c>
      <c r="L103" s="43">
        <f>'1'!L103</f>
        <v>0</v>
      </c>
      <c r="M103" s="43">
        <f>'1'!M103</f>
        <v>0</v>
      </c>
      <c r="N103" s="43">
        <f>'1'!N103</f>
        <v>0</v>
      </c>
      <c r="O103" s="43">
        <f>'1'!O103</f>
        <v>0</v>
      </c>
      <c r="P103" s="216">
        <f>'2'!D103</f>
        <v>0</v>
      </c>
      <c r="Q103" s="216">
        <f>'2'!E103</f>
        <v>0</v>
      </c>
      <c r="R103" s="216">
        <f>'2'!F103</f>
        <v>0</v>
      </c>
      <c r="S103" s="216">
        <f>'2'!G103</f>
        <v>0</v>
      </c>
      <c r="T103" s="216">
        <f>'2'!H103</f>
        <v>0</v>
      </c>
      <c r="U103" s="216">
        <f>'2'!I103</f>
        <v>0</v>
      </c>
      <c r="V103" s="216">
        <f>'2'!J103</f>
        <v>0</v>
      </c>
      <c r="W103" s="216">
        <f>'2'!K103</f>
        <v>0</v>
      </c>
      <c r="X103" s="216">
        <f>'2'!L103</f>
        <v>0</v>
      </c>
      <c r="Y103" s="216">
        <f>'2'!M103</f>
        <v>0</v>
      </c>
      <c r="Z103" s="216">
        <f>'2'!N103</f>
        <v>0</v>
      </c>
      <c r="AA103" s="216">
        <f>'2'!O103</f>
        <v>0</v>
      </c>
      <c r="AB103" s="87" t="str">
        <f t="shared" si="12"/>
        <v/>
      </c>
      <c r="AC103" s="87">
        <v>6.5</v>
      </c>
      <c r="AD103" s="87">
        <v>4</v>
      </c>
      <c r="AE103" s="87">
        <v>1.5</v>
      </c>
      <c r="AF103" s="87">
        <v>3.5</v>
      </c>
      <c r="AG103" s="87">
        <v>3</v>
      </c>
      <c r="AH103" s="87">
        <f t="shared" si="13"/>
        <v>18.5</v>
      </c>
      <c r="AI103" s="87">
        <v>10</v>
      </c>
      <c r="AJ103" s="87">
        <v>10</v>
      </c>
      <c r="AK103" s="87">
        <v>2</v>
      </c>
      <c r="AL103" s="87">
        <v>9</v>
      </c>
      <c r="AM103" s="87">
        <v>9</v>
      </c>
      <c r="AN103" s="7"/>
      <c r="AO103" s="96">
        <f t="shared" si="14"/>
        <v>65</v>
      </c>
      <c r="AP103" s="96">
        <f t="shared" si="14"/>
        <v>40</v>
      </c>
      <c r="AQ103" s="96">
        <f t="shared" si="14"/>
        <v>75</v>
      </c>
      <c r="AR103" s="96">
        <f t="shared" si="14"/>
        <v>38.888888888888893</v>
      </c>
      <c r="AS103" s="96">
        <f t="shared" si="11"/>
        <v>33.333333333333329</v>
      </c>
      <c r="AT103" s="7"/>
      <c r="AU103" s="223"/>
      <c r="AV103" s="8" t="str">
        <f t="shared" si="15"/>
        <v/>
      </c>
      <c r="AW103" s="8" t="str">
        <f t="shared" si="16"/>
        <v/>
      </c>
      <c r="AX103" s="8" t="str">
        <f t="shared" si="17"/>
        <v/>
      </c>
      <c r="AY103" s="8" t="str">
        <f t="shared" si="18"/>
        <v/>
      </c>
      <c r="AZ103" s="8" t="str">
        <f t="shared" si="19"/>
        <v/>
      </c>
      <c r="BA103" s="8" t="str">
        <f t="shared" si="20"/>
        <v/>
      </c>
      <c r="BB103" s="8">
        <f t="shared" si="21"/>
        <v>0</v>
      </c>
    </row>
    <row r="104" spans="1:54" ht="18" customHeight="1">
      <c r="A104" s="65">
        <v>85</v>
      </c>
      <c r="B104" s="43" t="str">
        <f>IF('1'!B104=0,"",'1'!B104)</f>
        <v/>
      </c>
      <c r="C104" s="43" t="str">
        <f>IF('1'!C104=0,"",'1'!C104)</f>
        <v/>
      </c>
      <c r="D104" s="43">
        <f>'1'!D104</f>
        <v>0</v>
      </c>
      <c r="E104" s="43">
        <f>'1'!E104</f>
        <v>0</v>
      </c>
      <c r="F104" s="43">
        <f>'1'!F104</f>
        <v>0</v>
      </c>
      <c r="G104" s="43">
        <f>'1'!G104</f>
        <v>0</v>
      </c>
      <c r="H104" s="43">
        <f>'1'!H104</f>
        <v>0</v>
      </c>
      <c r="I104" s="43">
        <f>'1'!I104</f>
        <v>0</v>
      </c>
      <c r="J104" s="43">
        <f>'1'!J104</f>
        <v>0</v>
      </c>
      <c r="K104" s="43">
        <f>'1'!K104</f>
        <v>0</v>
      </c>
      <c r="L104" s="43">
        <f>'1'!L104</f>
        <v>0</v>
      </c>
      <c r="M104" s="43">
        <f>'1'!M104</f>
        <v>0</v>
      </c>
      <c r="N104" s="43">
        <f>'1'!N104</f>
        <v>0</v>
      </c>
      <c r="O104" s="43">
        <f>'1'!O104</f>
        <v>0</v>
      </c>
      <c r="P104" s="216">
        <f>'2'!D104</f>
        <v>0</v>
      </c>
      <c r="Q104" s="216">
        <f>'2'!E104</f>
        <v>0</v>
      </c>
      <c r="R104" s="216">
        <f>'2'!F104</f>
        <v>0</v>
      </c>
      <c r="S104" s="216">
        <f>'2'!G104</f>
        <v>0</v>
      </c>
      <c r="T104" s="216">
        <f>'2'!H104</f>
        <v>0</v>
      </c>
      <c r="U104" s="216">
        <f>'2'!I104</f>
        <v>0</v>
      </c>
      <c r="V104" s="216">
        <f>'2'!J104</f>
        <v>0</v>
      </c>
      <c r="W104" s="216">
        <f>'2'!K104</f>
        <v>0</v>
      </c>
      <c r="X104" s="216">
        <f>'2'!L104</f>
        <v>0</v>
      </c>
      <c r="Y104" s="216">
        <f>'2'!M104</f>
        <v>0</v>
      </c>
      <c r="Z104" s="216">
        <f>'2'!N104</f>
        <v>0</v>
      </c>
      <c r="AA104" s="216">
        <f>'2'!O104</f>
        <v>0</v>
      </c>
      <c r="AB104" s="87" t="str">
        <f t="shared" si="12"/>
        <v/>
      </c>
      <c r="AC104" s="87">
        <v>4</v>
      </c>
      <c r="AD104" s="87">
        <v>1</v>
      </c>
      <c r="AE104" s="87">
        <v>5.5</v>
      </c>
      <c r="AF104" s="87">
        <v>2.5</v>
      </c>
      <c r="AG104" s="87">
        <v>0</v>
      </c>
      <c r="AH104" s="87">
        <f t="shared" si="13"/>
        <v>13</v>
      </c>
      <c r="AI104" s="87">
        <v>13</v>
      </c>
      <c r="AJ104" s="87">
        <v>7</v>
      </c>
      <c r="AK104" s="87">
        <v>9</v>
      </c>
      <c r="AL104" s="87">
        <v>9</v>
      </c>
      <c r="AM104" s="87">
        <v>2</v>
      </c>
      <c r="AN104" s="7"/>
      <c r="AO104" s="96">
        <f t="shared" si="14"/>
        <v>30.76923076923077</v>
      </c>
      <c r="AP104" s="96">
        <f t="shared" si="14"/>
        <v>14.285714285714285</v>
      </c>
      <c r="AQ104" s="96">
        <f t="shared" si="14"/>
        <v>61.111111111111114</v>
      </c>
      <c r="AR104" s="96">
        <f t="shared" si="14"/>
        <v>27.777777777777779</v>
      </c>
      <c r="AS104" s="96">
        <f t="shared" si="11"/>
        <v>0</v>
      </c>
      <c r="AT104" s="7"/>
      <c r="AU104" s="223"/>
      <c r="AV104" s="8" t="str">
        <f t="shared" si="15"/>
        <v/>
      </c>
      <c r="AW104" s="8" t="str">
        <f t="shared" si="16"/>
        <v/>
      </c>
      <c r="AX104" s="8" t="str">
        <f t="shared" si="17"/>
        <v/>
      </c>
      <c r="AY104" s="8" t="str">
        <f t="shared" si="18"/>
        <v/>
      </c>
      <c r="AZ104" s="8" t="str">
        <f t="shared" si="19"/>
        <v/>
      </c>
      <c r="BA104" s="8" t="str">
        <f t="shared" si="20"/>
        <v/>
      </c>
      <c r="BB104" s="8">
        <f t="shared" si="21"/>
        <v>0</v>
      </c>
    </row>
    <row r="105" spans="1:54" ht="18" customHeight="1">
      <c r="A105" s="65">
        <v>86</v>
      </c>
      <c r="B105" s="43" t="str">
        <f>IF('1'!B105=0,"",'1'!B105)</f>
        <v/>
      </c>
      <c r="C105" s="43" t="str">
        <f>IF('1'!C105=0,"",'1'!C105)</f>
        <v/>
      </c>
      <c r="D105" s="43">
        <f>'1'!D105</f>
        <v>0</v>
      </c>
      <c r="E105" s="43">
        <f>'1'!E105</f>
        <v>0</v>
      </c>
      <c r="F105" s="43">
        <f>'1'!F105</f>
        <v>0</v>
      </c>
      <c r="G105" s="43">
        <f>'1'!G105</f>
        <v>0</v>
      </c>
      <c r="H105" s="43">
        <f>'1'!H105</f>
        <v>0</v>
      </c>
      <c r="I105" s="43">
        <f>'1'!I105</f>
        <v>0</v>
      </c>
      <c r="J105" s="43">
        <f>'1'!J105</f>
        <v>0</v>
      </c>
      <c r="K105" s="43">
        <f>'1'!K105</f>
        <v>0</v>
      </c>
      <c r="L105" s="43">
        <f>'1'!L105</f>
        <v>0</v>
      </c>
      <c r="M105" s="43">
        <f>'1'!M105</f>
        <v>0</v>
      </c>
      <c r="N105" s="43">
        <f>'1'!N105</f>
        <v>0</v>
      </c>
      <c r="O105" s="43">
        <f>'1'!O105</f>
        <v>0</v>
      </c>
      <c r="P105" s="216">
        <f>'2'!D105</f>
        <v>0</v>
      </c>
      <c r="Q105" s="216">
        <f>'2'!E105</f>
        <v>0</v>
      </c>
      <c r="R105" s="216">
        <f>'2'!F105</f>
        <v>0</v>
      </c>
      <c r="S105" s="216">
        <f>'2'!G105</f>
        <v>0</v>
      </c>
      <c r="T105" s="216">
        <f>'2'!H105</f>
        <v>0</v>
      </c>
      <c r="U105" s="216">
        <f>'2'!I105</f>
        <v>0</v>
      </c>
      <c r="V105" s="216">
        <f>'2'!J105</f>
        <v>0</v>
      </c>
      <c r="W105" s="216">
        <f>'2'!K105</f>
        <v>0</v>
      </c>
      <c r="X105" s="216">
        <f>'2'!L105</f>
        <v>0</v>
      </c>
      <c r="Y105" s="216">
        <f>'2'!M105</f>
        <v>0</v>
      </c>
      <c r="Z105" s="216">
        <f>'2'!N105</f>
        <v>0</v>
      </c>
      <c r="AA105" s="216">
        <f>'2'!O105</f>
        <v>0</v>
      </c>
      <c r="AB105" s="87" t="str">
        <f t="shared" si="12"/>
        <v/>
      </c>
      <c r="AC105" s="87">
        <v>11</v>
      </c>
      <c r="AD105" s="87">
        <v>6</v>
      </c>
      <c r="AE105" s="87">
        <v>7</v>
      </c>
      <c r="AF105" s="87">
        <v>5</v>
      </c>
      <c r="AG105" s="87">
        <v>1</v>
      </c>
      <c r="AH105" s="87">
        <f t="shared" si="13"/>
        <v>30</v>
      </c>
      <c r="AI105" s="87">
        <v>13</v>
      </c>
      <c r="AJ105" s="87">
        <v>7</v>
      </c>
      <c r="AK105" s="87">
        <v>9</v>
      </c>
      <c r="AL105" s="87">
        <v>9</v>
      </c>
      <c r="AM105" s="87">
        <v>2</v>
      </c>
      <c r="AN105" s="7"/>
      <c r="AO105" s="96">
        <f t="shared" si="14"/>
        <v>84.615384615384613</v>
      </c>
      <c r="AP105" s="96">
        <f t="shared" si="14"/>
        <v>85.714285714285708</v>
      </c>
      <c r="AQ105" s="96">
        <f t="shared" si="14"/>
        <v>77.777777777777786</v>
      </c>
      <c r="AR105" s="96">
        <f t="shared" si="14"/>
        <v>55.555555555555557</v>
      </c>
      <c r="AS105" s="96">
        <f t="shared" si="11"/>
        <v>50</v>
      </c>
      <c r="AT105" s="7"/>
      <c r="AU105" s="223"/>
      <c r="AV105" s="8" t="str">
        <f t="shared" si="15"/>
        <v/>
      </c>
      <c r="AW105" s="8" t="str">
        <f t="shared" si="16"/>
        <v/>
      </c>
      <c r="AX105" s="8" t="str">
        <f t="shared" si="17"/>
        <v/>
      </c>
      <c r="AY105" s="8" t="str">
        <f t="shared" si="18"/>
        <v/>
      </c>
      <c r="AZ105" s="8" t="str">
        <f t="shared" si="19"/>
        <v/>
      </c>
      <c r="BA105" s="8" t="str">
        <f t="shared" si="20"/>
        <v/>
      </c>
      <c r="BB105" s="8">
        <f t="shared" si="21"/>
        <v>0</v>
      </c>
    </row>
    <row r="106" spans="1:54" ht="18" customHeight="1">
      <c r="A106" s="65">
        <v>87</v>
      </c>
      <c r="B106" s="43" t="str">
        <f>IF('1'!B106=0,"",'1'!B106)</f>
        <v/>
      </c>
      <c r="C106" s="43" t="str">
        <f>IF('1'!C106=0,"",'1'!C106)</f>
        <v/>
      </c>
      <c r="D106" s="43">
        <f>'1'!D106</f>
        <v>0</v>
      </c>
      <c r="E106" s="43">
        <f>'1'!E106</f>
        <v>0</v>
      </c>
      <c r="F106" s="43">
        <f>'1'!F106</f>
        <v>0</v>
      </c>
      <c r="G106" s="43">
        <f>'1'!G106</f>
        <v>0</v>
      </c>
      <c r="H106" s="43">
        <f>'1'!H106</f>
        <v>0</v>
      </c>
      <c r="I106" s="43">
        <f>'1'!I106</f>
        <v>0</v>
      </c>
      <c r="J106" s="43">
        <f>'1'!J106</f>
        <v>0</v>
      </c>
      <c r="K106" s="43">
        <f>'1'!K106</f>
        <v>0</v>
      </c>
      <c r="L106" s="43">
        <f>'1'!L106</f>
        <v>0</v>
      </c>
      <c r="M106" s="43">
        <f>'1'!M106</f>
        <v>0</v>
      </c>
      <c r="N106" s="43">
        <f>'1'!N106</f>
        <v>0</v>
      </c>
      <c r="O106" s="43">
        <f>'1'!O106</f>
        <v>0</v>
      </c>
      <c r="P106" s="216">
        <f>'2'!D106</f>
        <v>0</v>
      </c>
      <c r="Q106" s="216">
        <f>'2'!E106</f>
        <v>0</v>
      </c>
      <c r="R106" s="216">
        <f>'2'!F106</f>
        <v>0</v>
      </c>
      <c r="S106" s="216">
        <f>'2'!G106</f>
        <v>0</v>
      </c>
      <c r="T106" s="216">
        <f>'2'!H106</f>
        <v>0</v>
      </c>
      <c r="U106" s="216">
        <f>'2'!I106</f>
        <v>0</v>
      </c>
      <c r="V106" s="216">
        <f>'2'!J106</f>
        <v>0</v>
      </c>
      <c r="W106" s="216">
        <f>'2'!K106</f>
        <v>0</v>
      </c>
      <c r="X106" s="216">
        <f>'2'!L106</f>
        <v>0</v>
      </c>
      <c r="Y106" s="216">
        <f>'2'!M106</f>
        <v>0</v>
      </c>
      <c r="Z106" s="216">
        <f>'2'!N106</f>
        <v>0</v>
      </c>
      <c r="AA106" s="216">
        <f>'2'!O106</f>
        <v>0</v>
      </c>
      <c r="AB106" s="87" t="str">
        <f t="shared" si="12"/>
        <v/>
      </c>
      <c r="AC106" s="87">
        <v>6</v>
      </c>
      <c r="AD106" s="87">
        <v>6</v>
      </c>
      <c r="AE106" s="87">
        <v>4</v>
      </c>
      <c r="AF106" s="87">
        <v>2</v>
      </c>
      <c r="AG106" s="87">
        <v>7</v>
      </c>
      <c r="AH106" s="87">
        <f t="shared" si="13"/>
        <v>25</v>
      </c>
      <c r="AI106" s="87">
        <v>10</v>
      </c>
      <c r="AJ106" s="87">
        <v>10</v>
      </c>
      <c r="AK106" s="87">
        <v>9</v>
      </c>
      <c r="AL106" s="87">
        <v>2</v>
      </c>
      <c r="AM106" s="87">
        <v>9</v>
      </c>
      <c r="AN106" s="7"/>
      <c r="AO106" s="96">
        <f t="shared" si="14"/>
        <v>60</v>
      </c>
      <c r="AP106" s="96">
        <f t="shared" si="14"/>
        <v>60</v>
      </c>
      <c r="AQ106" s="96">
        <f t="shared" si="14"/>
        <v>44.444444444444443</v>
      </c>
      <c r="AR106" s="96">
        <f t="shared" si="14"/>
        <v>100</v>
      </c>
      <c r="AS106" s="96">
        <f t="shared" si="11"/>
        <v>77.777777777777786</v>
      </c>
      <c r="AT106" s="7"/>
      <c r="AU106" s="223"/>
      <c r="AV106" s="8" t="str">
        <f t="shared" si="15"/>
        <v/>
      </c>
      <c r="AW106" s="8" t="str">
        <f t="shared" si="16"/>
        <v/>
      </c>
      <c r="AX106" s="8" t="str">
        <f t="shared" si="17"/>
        <v/>
      </c>
      <c r="AY106" s="8" t="str">
        <f t="shared" si="18"/>
        <v/>
      </c>
      <c r="AZ106" s="8" t="str">
        <f t="shared" si="19"/>
        <v/>
      </c>
      <c r="BA106" s="8" t="str">
        <f t="shared" si="20"/>
        <v/>
      </c>
      <c r="BB106" s="8">
        <f t="shared" si="21"/>
        <v>0</v>
      </c>
    </row>
    <row r="107" spans="1:54" ht="18" customHeight="1">
      <c r="A107" s="65">
        <v>88</v>
      </c>
      <c r="B107" s="43" t="str">
        <f>IF('1'!B107=0,"",'1'!B107)</f>
        <v/>
      </c>
      <c r="C107" s="43" t="str">
        <f>IF('1'!C107=0,"",'1'!C107)</f>
        <v/>
      </c>
      <c r="D107" s="43">
        <f>'1'!D107</f>
        <v>0</v>
      </c>
      <c r="E107" s="43">
        <f>'1'!E107</f>
        <v>0</v>
      </c>
      <c r="F107" s="43">
        <f>'1'!F107</f>
        <v>0</v>
      </c>
      <c r="G107" s="43">
        <f>'1'!G107</f>
        <v>0</v>
      </c>
      <c r="H107" s="43">
        <f>'1'!H107</f>
        <v>0</v>
      </c>
      <c r="I107" s="43">
        <f>'1'!I107</f>
        <v>0</v>
      </c>
      <c r="J107" s="43">
        <f>'1'!J107</f>
        <v>0</v>
      </c>
      <c r="K107" s="43">
        <f>'1'!K107</f>
        <v>0</v>
      </c>
      <c r="L107" s="43">
        <f>'1'!L107</f>
        <v>0</v>
      </c>
      <c r="M107" s="43">
        <f>'1'!M107</f>
        <v>0</v>
      </c>
      <c r="N107" s="43">
        <f>'1'!N107</f>
        <v>0</v>
      </c>
      <c r="O107" s="43">
        <f>'1'!O107</f>
        <v>0</v>
      </c>
      <c r="P107" s="216">
        <f>'2'!D107</f>
        <v>0</v>
      </c>
      <c r="Q107" s="216">
        <f>'2'!E107</f>
        <v>0</v>
      </c>
      <c r="R107" s="216">
        <f>'2'!F107</f>
        <v>0</v>
      </c>
      <c r="S107" s="216">
        <f>'2'!G107</f>
        <v>0</v>
      </c>
      <c r="T107" s="216">
        <f>'2'!H107</f>
        <v>0</v>
      </c>
      <c r="U107" s="216">
        <f>'2'!I107</f>
        <v>0</v>
      </c>
      <c r="V107" s="216">
        <f>'2'!J107</f>
        <v>0</v>
      </c>
      <c r="W107" s="216">
        <f>'2'!K107</f>
        <v>0</v>
      </c>
      <c r="X107" s="216">
        <f>'2'!L107</f>
        <v>0</v>
      </c>
      <c r="Y107" s="216">
        <f>'2'!M107</f>
        <v>0</v>
      </c>
      <c r="Z107" s="216">
        <f>'2'!N107</f>
        <v>0</v>
      </c>
      <c r="AA107" s="216">
        <f>'2'!O107</f>
        <v>0</v>
      </c>
      <c r="AB107" s="87" t="str">
        <f t="shared" si="12"/>
        <v/>
      </c>
      <c r="AC107" s="87">
        <v>9</v>
      </c>
      <c r="AD107" s="87">
        <v>3</v>
      </c>
      <c r="AE107" s="87">
        <v>8</v>
      </c>
      <c r="AF107" s="87">
        <v>8.5</v>
      </c>
      <c r="AG107" s="87">
        <v>0</v>
      </c>
      <c r="AH107" s="87">
        <f t="shared" si="13"/>
        <v>28.5</v>
      </c>
      <c r="AI107" s="87">
        <v>13</v>
      </c>
      <c r="AJ107" s="87">
        <v>7</v>
      </c>
      <c r="AK107" s="87">
        <v>9</v>
      </c>
      <c r="AL107" s="87">
        <v>9</v>
      </c>
      <c r="AM107" s="87">
        <v>2</v>
      </c>
      <c r="AN107" s="7"/>
      <c r="AO107" s="96">
        <f t="shared" si="14"/>
        <v>69.230769230769226</v>
      </c>
      <c r="AP107" s="96">
        <f t="shared" si="14"/>
        <v>42.857142857142854</v>
      </c>
      <c r="AQ107" s="96">
        <f t="shared" si="14"/>
        <v>88.888888888888886</v>
      </c>
      <c r="AR107" s="96">
        <f t="shared" si="14"/>
        <v>94.444444444444443</v>
      </c>
      <c r="AS107" s="96">
        <f t="shared" si="11"/>
        <v>0</v>
      </c>
      <c r="AT107" s="7"/>
      <c r="AU107" s="223"/>
      <c r="AV107" s="8" t="str">
        <f t="shared" si="15"/>
        <v/>
      </c>
      <c r="AW107" s="8" t="str">
        <f t="shared" si="16"/>
        <v/>
      </c>
      <c r="AX107" s="8" t="str">
        <f t="shared" si="17"/>
        <v/>
      </c>
      <c r="AY107" s="8" t="str">
        <f t="shared" si="18"/>
        <v/>
      </c>
      <c r="AZ107" s="8" t="str">
        <f t="shared" si="19"/>
        <v/>
      </c>
      <c r="BA107" s="8" t="str">
        <f t="shared" si="20"/>
        <v/>
      </c>
      <c r="BB107" s="8">
        <f t="shared" si="21"/>
        <v>0</v>
      </c>
    </row>
    <row r="108" spans="1:54" ht="18" customHeight="1">
      <c r="A108" s="65">
        <v>89</v>
      </c>
      <c r="B108" s="43" t="str">
        <f>IF('1'!B108=0,"",'1'!B108)</f>
        <v/>
      </c>
      <c r="C108" s="43" t="str">
        <f>IF('1'!C108=0,"",'1'!C108)</f>
        <v/>
      </c>
      <c r="D108" s="43">
        <f>'1'!D108</f>
        <v>0</v>
      </c>
      <c r="E108" s="43">
        <f>'1'!E108</f>
        <v>0</v>
      </c>
      <c r="F108" s="43">
        <f>'1'!F108</f>
        <v>0</v>
      </c>
      <c r="G108" s="43">
        <f>'1'!G108</f>
        <v>0</v>
      </c>
      <c r="H108" s="43">
        <f>'1'!H108</f>
        <v>0</v>
      </c>
      <c r="I108" s="43">
        <f>'1'!I108</f>
        <v>0</v>
      </c>
      <c r="J108" s="43">
        <f>'1'!J108</f>
        <v>0</v>
      </c>
      <c r="K108" s="43">
        <f>'1'!K108</f>
        <v>0</v>
      </c>
      <c r="L108" s="43">
        <f>'1'!L108</f>
        <v>0</v>
      </c>
      <c r="M108" s="43">
        <f>'1'!M108</f>
        <v>0</v>
      </c>
      <c r="N108" s="43">
        <f>'1'!N108</f>
        <v>0</v>
      </c>
      <c r="O108" s="43">
        <f>'1'!O108</f>
        <v>0</v>
      </c>
      <c r="P108" s="216">
        <f>'2'!D108</f>
        <v>0</v>
      </c>
      <c r="Q108" s="216">
        <f>'2'!E108</f>
        <v>0</v>
      </c>
      <c r="R108" s="216">
        <f>'2'!F108</f>
        <v>0</v>
      </c>
      <c r="S108" s="216">
        <f>'2'!G108</f>
        <v>0</v>
      </c>
      <c r="T108" s="216">
        <f>'2'!H108</f>
        <v>0</v>
      </c>
      <c r="U108" s="216">
        <f>'2'!I108</f>
        <v>0</v>
      </c>
      <c r="V108" s="216">
        <f>'2'!J108</f>
        <v>0</v>
      </c>
      <c r="W108" s="216">
        <f>'2'!K108</f>
        <v>0</v>
      </c>
      <c r="X108" s="216">
        <f>'2'!L108</f>
        <v>0</v>
      </c>
      <c r="Y108" s="216">
        <f>'2'!M108</f>
        <v>0</v>
      </c>
      <c r="Z108" s="216">
        <f>'2'!N108</f>
        <v>0</v>
      </c>
      <c r="AA108" s="216">
        <f>'2'!O108</f>
        <v>0</v>
      </c>
      <c r="AB108" s="87" t="str">
        <f t="shared" si="12"/>
        <v/>
      </c>
      <c r="AC108" s="87">
        <v>7</v>
      </c>
      <c r="AD108" s="87">
        <v>3</v>
      </c>
      <c r="AE108" s="87">
        <v>3.5</v>
      </c>
      <c r="AF108" s="87">
        <v>8</v>
      </c>
      <c r="AG108" s="87">
        <v>0</v>
      </c>
      <c r="AH108" s="87">
        <f t="shared" si="13"/>
        <v>21.5</v>
      </c>
      <c r="AI108" s="87">
        <v>13</v>
      </c>
      <c r="AJ108" s="87">
        <v>7</v>
      </c>
      <c r="AK108" s="87">
        <v>9</v>
      </c>
      <c r="AL108" s="87">
        <v>9</v>
      </c>
      <c r="AM108" s="87">
        <v>2</v>
      </c>
      <c r="AN108" s="7"/>
      <c r="AO108" s="96">
        <f t="shared" si="14"/>
        <v>53.846153846153847</v>
      </c>
      <c r="AP108" s="96">
        <f t="shared" si="14"/>
        <v>42.857142857142854</v>
      </c>
      <c r="AQ108" s="96">
        <f t="shared" si="14"/>
        <v>38.888888888888893</v>
      </c>
      <c r="AR108" s="96">
        <f t="shared" si="14"/>
        <v>88.888888888888886</v>
      </c>
      <c r="AS108" s="96">
        <f t="shared" si="11"/>
        <v>0</v>
      </c>
      <c r="AT108" s="7"/>
      <c r="AU108" s="223"/>
      <c r="AV108" s="8" t="str">
        <f t="shared" si="15"/>
        <v/>
      </c>
      <c r="AW108" s="8" t="str">
        <f t="shared" si="16"/>
        <v/>
      </c>
      <c r="AX108" s="8" t="str">
        <f t="shared" si="17"/>
        <v/>
      </c>
      <c r="AY108" s="8" t="str">
        <f t="shared" si="18"/>
        <v/>
      </c>
      <c r="AZ108" s="8" t="str">
        <f t="shared" si="19"/>
        <v/>
      </c>
      <c r="BA108" s="8" t="str">
        <f t="shared" si="20"/>
        <v/>
      </c>
      <c r="BB108" s="8">
        <f t="shared" si="21"/>
        <v>0</v>
      </c>
    </row>
    <row r="109" spans="1:54">
      <c r="A109" s="65">
        <v>90</v>
      </c>
      <c r="B109" s="43" t="str">
        <f>IF('1'!B109=0,"",'1'!B109)</f>
        <v/>
      </c>
      <c r="C109" s="43" t="str">
        <f>IF('1'!C109=0,"",'1'!C109)</f>
        <v/>
      </c>
      <c r="D109" s="43">
        <f>'1'!D109</f>
        <v>0</v>
      </c>
      <c r="E109" s="43">
        <f>'1'!E109</f>
        <v>0</v>
      </c>
      <c r="F109" s="43">
        <f>'1'!F109</f>
        <v>0</v>
      </c>
      <c r="G109" s="43">
        <f>'1'!G109</f>
        <v>0</v>
      </c>
      <c r="H109" s="43">
        <f>'1'!H109</f>
        <v>0</v>
      </c>
      <c r="I109" s="43">
        <f>'1'!I109</f>
        <v>0</v>
      </c>
      <c r="J109" s="43">
        <f>'1'!J109</f>
        <v>0</v>
      </c>
      <c r="K109" s="43">
        <f>'1'!K109</f>
        <v>0</v>
      </c>
      <c r="L109" s="43">
        <f>'1'!L109</f>
        <v>0</v>
      </c>
      <c r="M109" s="43">
        <f>'1'!M109</f>
        <v>0</v>
      </c>
      <c r="N109" s="43">
        <f>'1'!N109</f>
        <v>0</v>
      </c>
      <c r="O109" s="43">
        <f>'1'!O109</f>
        <v>0</v>
      </c>
      <c r="P109" s="216">
        <f>'2'!D109</f>
        <v>0</v>
      </c>
      <c r="Q109" s="216">
        <f>'2'!E109</f>
        <v>0</v>
      </c>
      <c r="R109" s="216">
        <f>'2'!F109</f>
        <v>0</v>
      </c>
      <c r="S109" s="216">
        <f>'2'!G109</f>
        <v>0</v>
      </c>
      <c r="T109" s="216">
        <f>'2'!H109</f>
        <v>0</v>
      </c>
      <c r="U109" s="216">
        <f>'2'!I109</f>
        <v>0</v>
      </c>
      <c r="V109" s="216">
        <f>'2'!J109</f>
        <v>0</v>
      </c>
      <c r="W109" s="216">
        <f>'2'!K109</f>
        <v>0</v>
      </c>
      <c r="X109" s="216">
        <f>'2'!L109</f>
        <v>0</v>
      </c>
      <c r="Y109" s="216">
        <f>'2'!M109</f>
        <v>0</v>
      </c>
      <c r="Z109" s="216">
        <f>'2'!N109</f>
        <v>0</v>
      </c>
      <c r="AA109" s="216">
        <f>'2'!O109</f>
        <v>0</v>
      </c>
      <c r="AB109" s="87" t="str">
        <f t="shared" si="12"/>
        <v/>
      </c>
      <c r="AC109" s="87">
        <v>5</v>
      </c>
      <c r="AD109" s="87">
        <v>6</v>
      </c>
      <c r="AE109" s="87">
        <v>7.5</v>
      </c>
      <c r="AF109" s="87">
        <v>9</v>
      </c>
      <c r="AG109" s="87">
        <v>1</v>
      </c>
      <c r="AH109" s="87">
        <f t="shared" si="13"/>
        <v>28.5</v>
      </c>
      <c r="AI109" s="87">
        <v>10</v>
      </c>
      <c r="AJ109" s="87">
        <v>10</v>
      </c>
      <c r="AK109" s="87">
        <v>9</v>
      </c>
      <c r="AL109" s="87">
        <v>9</v>
      </c>
      <c r="AM109" s="87">
        <v>2</v>
      </c>
      <c r="AN109" s="7"/>
      <c r="AO109" s="96">
        <f t="shared" si="14"/>
        <v>50</v>
      </c>
      <c r="AP109" s="96">
        <f t="shared" si="14"/>
        <v>60</v>
      </c>
      <c r="AQ109" s="96">
        <f t="shared" si="14"/>
        <v>83.333333333333343</v>
      </c>
      <c r="AR109" s="96">
        <f t="shared" si="14"/>
        <v>100</v>
      </c>
      <c r="AS109" s="96">
        <f t="shared" si="11"/>
        <v>50</v>
      </c>
      <c r="AT109" s="7"/>
      <c r="AU109" s="223"/>
      <c r="AV109" s="8" t="str">
        <f t="shared" si="15"/>
        <v/>
      </c>
      <c r="AW109" s="8" t="str">
        <f t="shared" si="16"/>
        <v/>
      </c>
      <c r="AX109" s="8" t="str">
        <f t="shared" si="17"/>
        <v/>
      </c>
      <c r="AY109" s="8" t="str">
        <f t="shared" si="18"/>
        <v/>
      </c>
      <c r="AZ109" s="8" t="str">
        <f t="shared" si="19"/>
        <v/>
      </c>
      <c r="BA109" s="8" t="str">
        <f t="shared" si="20"/>
        <v/>
      </c>
      <c r="BB109" s="8">
        <f t="shared" si="21"/>
        <v>0</v>
      </c>
    </row>
    <row r="110" spans="1:54" ht="18" customHeight="1">
      <c r="A110" s="65">
        <v>91</v>
      </c>
      <c r="B110" s="43" t="str">
        <f>IF('1'!B110=0,"",'1'!B110)</f>
        <v/>
      </c>
      <c r="C110" s="43" t="str">
        <f>IF('1'!C110=0,"",'1'!C110)</f>
        <v/>
      </c>
      <c r="D110" s="43">
        <f>'1'!D110</f>
        <v>0</v>
      </c>
      <c r="E110" s="43">
        <f>'1'!E110</f>
        <v>0</v>
      </c>
      <c r="F110" s="43">
        <f>'1'!F110</f>
        <v>0</v>
      </c>
      <c r="G110" s="43">
        <f>'1'!G110</f>
        <v>0</v>
      </c>
      <c r="H110" s="43">
        <f>'1'!H110</f>
        <v>0</v>
      </c>
      <c r="I110" s="43">
        <f>'1'!I110</f>
        <v>0</v>
      </c>
      <c r="J110" s="43">
        <f>'1'!J110</f>
        <v>0</v>
      </c>
      <c r="K110" s="43">
        <f>'1'!K110</f>
        <v>0</v>
      </c>
      <c r="L110" s="43">
        <f>'1'!L110</f>
        <v>0</v>
      </c>
      <c r="M110" s="43">
        <f>'1'!M110</f>
        <v>0</v>
      </c>
      <c r="N110" s="43">
        <f>'1'!N110</f>
        <v>0</v>
      </c>
      <c r="O110" s="43">
        <f>'1'!O110</f>
        <v>0</v>
      </c>
      <c r="P110" s="216">
        <f>'2'!D110</f>
        <v>0</v>
      </c>
      <c r="Q110" s="216">
        <f>'2'!E110</f>
        <v>0</v>
      </c>
      <c r="R110" s="216">
        <f>'2'!F110</f>
        <v>0</v>
      </c>
      <c r="S110" s="216">
        <f>'2'!G110</f>
        <v>0</v>
      </c>
      <c r="T110" s="216">
        <f>'2'!H110</f>
        <v>0</v>
      </c>
      <c r="U110" s="216">
        <f>'2'!I110</f>
        <v>0</v>
      </c>
      <c r="V110" s="216">
        <f>'2'!J110</f>
        <v>0</v>
      </c>
      <c r="W110" s="216">
        <f>'2'!K110</f>
        <v>0</v>
      </c>
      <c r="X110" s="216">
        <f>'2'!L110</f>
        <v>0</v>
      </c>
      <c r="Y110" s="216">
        <f>'2'!M110</f>
        <v>0</v>
      </c>
      <c r="Z110" s="216">
        <f>'2'!N110</f>
        <v>0</v>
      </c>
      <c r="AA110" s="216">
        <f>'2'!O110</f>
        <v>0</v>
      </c>
      <c r="AB110" s="87" t="str">
        <f t="shared" si="12"/>
        <v/>
      </c>
      <c r="AC110" s="87">
        <v>8</v>
      </c>
      <c r="AD110" s="87">
        <v>3</v>
      </c>
      <c r="AE110" s="87">
        <v>0</v>
      </c>
      <c r="AF110" s="87">
        <v>8.5</v>
      </c>
      <c r="AG110" s="87">
        <v>6</v>
      </c>
      <c r="AH110" s="87">
        <f t="shared" si="13"/>
        <v>25.5</v>
      </c>
      <c r="AI110" s="87">
        <v>13</v>
      </c>
      <c r="AJ110" s="87">
        <v>7</v>
      </c>
      <c r="AK110" s="87">
        <v>2</v>
      </c>
      <c r="AL110" s="87">
        <v>9</v>
      </c>
      <c r="AM110" s="87">
        <v>9</v>
      </c>
      <c r="AN110" s="7"/>
      <c r="AO110" s="96">
        <f t="shared" si="14"/>
        <v>61.53846153846154</v>
      </c>
      <c r="AP110" s="96">
        <f t="shared" si="14"/>
        <v>42.857142857142854</v>
      </c>
      <c r="AQ110" s="96">
        <f t="shared" si="14"/>
        <v>0</v>
      </c>
      <c r="AR110" s="96">
        <f t="shared" si="14"/>
        <v>94.444444444444443</v>
      </c>
      <c r="AS110" s="96">
        <f t="shared" si="11"/>
        <v>66.666666666666657</v>
      </c>
      <c r="AT110" s="7"/>
      <c r="AU110" s="223"/>
      <c r="AV110" s="8" t="str">
        <f t="shared" si="15"/>
        <v/>
      </c>
      <c r="AW110" s="8" t="str">
        <f t="shared" si="16"/>
        <v/>
      </c>
      <c r="AX110" s="8" t="str">
        <f t="shared" si="17"/>
        <v/>
      </c>
      <c r="AY110" s="8" t="str">
        <f t="shared" si="18"/>
        <v/>
      </c>
      <c r="AZ110" s="8" t="str">
        <f t="shared" si="19"/>
        <v/>
      </c>
      <c r="BA110" s="8" t="str">
        <f t="shared" si="20"/>
        <v/>
      </c>
      <c r="BB110" s="8">
        <f t="shared" si="21"/>
        <v>0</v>
      </c>
    </row>
    <row r="111" spans="1:54" ht="18" customHeight="1">
      <c r="A111" s="65">
        <v>92</v>
      </c>
      <c r="B111" s="43" t="str">
        <f>IF('1'!B111=0,"",'1'!B111)</f>
        <v/>
      </c>
      <c r="C111" s="43" t="str">
        <f>IF('1'!C111=0,"",'1'!C111)</f>
        <v/>
      </c>
      <c r="D111" s="43">
        <f>'1'!D111</f>
        <v>0</v>
      </c>
      <c r="E111" s="43">
        <f>'1'!E111</f>
        <v>0</v>
      </c>
      <c r="F111" s="43">
        <f>'1'!F111</f>
        <v>0</v>
      </c>
      <c r="G111" s="43">
        <f>'1'!G111</f>
        <v>0</v>
      </c>
      <c r="H111" s="43">
        <f>'1'!H111</f>
        <v>0</v>
      </c>
      <c r="I111" s="43">
        <f>'1'!I111</f>
        <v>0</v>
      </c>
      <c r="J111" s="43">
        <f>'1'!J111</f>
        <v>0</v>
      </c>
      <c r="K111" s="43">
        <f>'1'!K111</f>
        <v>0</v>
      </c>
      <c r="L111" s="43">
        <f>'1'!L111</f>
        <v>0</v>
      </c>
      <c r="M111" s="43">
        <f>'1'!M111</f>
        <v>0</v>
      </c>
      <c r="N111" s="43">
        <f>'1'!N111</f>
        <v>0</v>
      </c>
      <c r="O111" s="43">
        <f>'1'!O111</f>
        <v>0</v>
      </c>
      <c r="P111" s="216">
        <f>'2'!D111</f>
        <v>0</v>
      </c>
      <c r="Q111" s="216">
        <f>'2'!E111</f>
        <v>0</v>
      </c>
      <c r="R111" s="216">
        <f>'2'!F111</f>
        <v>0</v>
      </c>
      <c r="S111" s="216">
        <f>'2'!G111</f>
        <v>0</v>
      </c>
      <c r="T111" s="216">
        <f>'2'!H111</f>
        <v>0</v>
      </c>
      <c r="U111" s="216">
        <f>'2'!I111</f>
        <v>0</v>
      </c>
      <c r="V111" s="216">
        <f>'2'!J111</f>
        <v>0</v>
      </c>
      <c r="W111" s="216">
        <f>'2'!K111</f>
        <v>0</v>
      </c>
      <c r="X111" s="216">
        <f>'2'!L111</f>
        <v>0</v>
      </c>
      <c r="Y111" s="216">
        <f>'2'!M111</f>
        <v>0</v>
      </c>
      <c r="Z111" s="216">
        <f>'2'!N111</f>
        <v>0</v>
      </c>
      <c r="AA111" s="216">
        <f>'2'!O111</f>
        <v>0</v>
      </c>
      <c r="AB111" s="87" t="str">
        <f t="shared" si="12"/>
        <v/>
      </c>
      <c r="AC111" s="87">
        <v>10</v>
      </c>
      <c r="AD111" s="87">
        <v>2.5</v>
      </c>
      <c r="AE111" s="87">
        <v>7</v>
      </c>
      <c r="AF111" s="87">
        <v>6</v>
      </c>
      <c r="AG111" s="87">
        <v>0</v>
      </c>
      <c r="AH111" s="87">
        <f t="shared" si="13"/>
        <v>25.5</v>
      </c>
      <c r="AI111" s="87">
        <v>13</v>
      </c>
      <c r="AJ111" s="87">
        <v>7</v>
      </c>
      <c r="AK111" s="87">
        <v>9</v>
      </c>
      <c r="AL111" s="87">
        <v>9</v>
      </c>
      <c r="AM111" s="87">
        <v>2</v>
      </c>
      <c r="AN111" s="7"/>
      <c r="AO111" s="96">
        <f t="shared" si="14"/>
        <v>76.923076923076934</v>
      </c>
      <c r="AP111" s="96">
        <f t="shared" si="14"/>
        <v>35.714285714285715</v>
      </c>
      <c r="AQ111" s="96">
        <f t="shared" si="14"/>
        <v>77.777777777777786</v>
      </c>
      <c r="AR111" s="96">
        <f t="shared" si="14"/>
        <v>66.666666666666657</v>
      </c>
      <c r="AS111" s="96">
        <f t="shared" si="11"/>
        <v>0</v>
      </c>
      <c r="AT111" s="7"/>
      <c r="AU111" s="223"/>
      <c r="AV111" s="8" t="str">
        <f t="shared" si="15"/>
        <v/>
      </c>
      <c r="AW111" s="8" t="str">
        <f t="shared" si="16"/>
        <v/>
      </c>
      <c r="AX111" s="8" t="str">
        <f t="shared" si="17"/>
        <v/>
      </c>
      <c r="AY111" s="8" t="str">
        <f t="shared" si="18"/>
        <v/>
      </c>
      <c r="AZ111" s="8" t="str">
        <f t="shared" si="19"/>
        <v/>
      </c>
      <c r="BA111" s="8" t="str">
        <f t="shared" si="20"/>
        <v/>
      </c>
      <c r="BB111" s="8">
        <f t="shared" si="21"/>
        <v>0</v>
      </c>
    </row>
    <row r="112" spans="1:54" ht="18" customHeight="1">
      <c r="A112" s="65">
        <v>93</v>
      </c>
      <c r="B112" s="43" t="str">
        <f>IF('1'!B112=0,"",'1'!B112)</f>
        <v/>
      </c>
      <c r="C112" s="43" t="str">
        <f>IF('1'!C112=0,"",'1'!C112)</f>
        <v/>
      </c>
      <c r="D112" s="43">
        <f>'1'!D112</f>
        <v>0</v>
      </c>
      <c r="E112" s="43">
        <f>'1'!E112</f>
        <v>0</v>
      </c>
      <c r="F112" s="43">
        <f>'1'!F112</f>
        <v>0</v>
      </c>
      <c r="G112" s="43">
        <f>'1'!G112</f>
        <v>0</v>
      </c>
      <c r="H112" s="43">
        <f>'1'!H112</f>
        <v>0</v>
      </c>
      <c r="I112" s="43">
        <f>'1'!I112</f>
        <v>0</v>
      </c>
      <c r="J112" s="43">
        <f>'1'!J112</f>
        <v>0</v>
      </c>
      <c r="K112" s="43">
        <f>'1'!K112</f>
        <v>0</v>
      </c>
      <c r="L112" s="43">
        <f>'1'!L112</f>
        <v>0</v>
      </c>
      <c r="M112" s="43">
        <f>'1'!M112</f>
        <v>0</v>
      </c>
      <c r="N112" s="43">
        <f>'1'!N112</f>
        <v>0</v>
      </c>
      <c r="O112" s="43">
        <f>'1'!O112</f>
        <v>0</v>
      </c>
      <c r="P112" s="216">
        <f>'2'!D112</f>
        <v>0</v>
      </c>
      <c r="Q112" s="216">
        <f>'2'!E112</f>
        <v>0</v>
      </c>
      <c r="R112" s="216">
        <f>'2'!F112</f>
        <v>0</v>
      </c>
      <c r="S112" s="216">
        <f>'2'!G112</f>
        <v>0</v>
      </c>
      <c r="T112" s="216">
        <f>'2'!H112</f>
        <v>0</v>
      </c>
      <c r="U112" s="216">
        <f>'2'!I112</f>
        <v>0</v>
      </c>
      <c r="V112" s="216">
        <f>'2'!J112</f>
        <v>0</v>
      </c>
      <c r="W112" s="216">
        <f>'2'!K112</f>
        <v>0</v>
      </c>
      <c r="X112" s="216">
        <f>'2'!L112</f>
        <v>0</v>
      </c>
      <c r="Y112" s="216">
        <f>'2'!M112</f>
        <v>0</v>
      </c>
      <c r="Z112" s="216">
        <f>'2'!N112</f>
        <v>0</v>
      </c>
      <c r="AA112" s="216">
        <f>'2'!O112</f>
        <v>0</v>
      </c>
      <c r="AB112" s="87" t="str">
        <f t="shared" si="12"/>
        <v/>
      </c>
      <c r="AC112" s="87">
        <v>7</v>
      </c>
      <c r="AD112" s="87">
        <v>5.5</v>
      </c>
      <c r="AE112" s="87">
        <v>6</v>
      </c>
      <c r="AF112" s="87">
        <v>7.5</v>
      </c>
      <c r="AG112" s="87">
        <v>0</v>
      </c>
      <c r="AH112" s="87">
        <f t="shared" si="13"/>
        <v>26</v>
      </c>
      <c r="AI112" s="87">
        <v>10</v>
      </c>
      <c r="AJ112" s="87">
        <v>10</v>
      </c>
      <c r="AK112" s="87">
        <v>9</v>
      </c>
      <c r="AL112" s="87">
        <v>9</v>
      </c>
      <c r="AM112" s="87">
        <v>2</v>
      </c>
      <c r="AN112" s="7"/>
      <c r="AO112" s="96">
        <f t="shared" si="14"/>
        <v>70</v>
      </c>
      <c r="AP112" s="96">
        <f t="shared" si="14"/>
        <v>55.000000000000007</v>
      </c>
      <c r="AQ112" s="96">
        <f t="shared" si="14"/>
        <v>66.666666666666657</v>
      </c>
      <c r="AR112" s="96">
        <f t="shared" si="14"/>
        <v>83.333333333333343</v>
      </c>
      <c r="AS112" s="96">
        <f t="shared" si="11"/>
        <v>0</v>
      </c>
      <c r="AT112" s="7"/>
      <c r="AU112" s="223"/>
      <c r="AV112" s="8" t="str">
        <f t="shared" si="15"/>
        <v/>
      </c>
      <c r="AW112" s="8" t="str">
        <f t="shared" si="16"/>
        <v/>
      </c>
      <c r="AX112" s="8" t="str">
        <f t="shared" si="17"/>
        <v/>
      </c>
      <c r="AY112" s="8" t="str">
        <f t="shared" si="18"/>
        <v/>
      </c>
      <c r="AZ112" s="8" t="str">
        <f t="shared" si="19"/>
        <v/>
      </c>
      <c r="BA112" s="8" t="str">
        <f t="shared" si="20"/>
        <v/>
      </c>
      <c r="BB112" s="8">
        <f t="shared" si="21"/>
        <v>0</v>
      </c>
    </row>
    <row r="113" spans="1:54" ht="18" customHeight="1">
      <c r="A113" s="65">
        <v>94</v>
      </c>
      <c r="B113" s="43" t="str">
        <f>IF('1'!B113=0,"",'1'!B113)</f>
        <v/>
      </c>
      <c r="C113" s="43" t="str">
        <f>IF('1'!C113=0,"",'1'!C113)</f>
        <v/>
      </c>
      <c r="D113" s="43">
        <f>'1'!D113</f>
        <v>0</v>
      </c>
      <c r="E113" s="43">
        <f>'1'!E113</f>
        <v>0</v>
      </c>
      <c r="F113" s="43">
        <f>'1'!F113</f>
        <v>0</v>
      </c>
      <c r="G113" s="43">
        <f>'1'!G113</f>
        <v>0</v>
      </c>
      <c r="H113" s="43">
        <f>'1'!H113</f>
        <v>0</v>
      </c>
      <c r="I113" s="43">
        <f>'1'!I113</f>
        <v>0</v>
      </c>
      <c r="J113" s="43">
        <f>'1'!J113</f>
        <v>0</v>
      </c>
      <c r="K113" s="43">
        <f>'1'!K113</f>
        <v>0</v>
      </c>
      <c r="L113" s="43">
        <f>'1'!L113</f>
        <v>0</v>
      </c>
      <c r="M113" s="43">
        <f>'1'!M113</f>
        <v>0</v>
      </c>
      <c r="N113" s="43">
        <f>'1'!N113</f>
        <v>0</v>
      </c>
      <c r="O113" s="43">
        <f>'1'!O113</f>
        <v>0</v>
      </c>
      <c r="P113" s="216">
        <f>'2'!D113</f>
        <v>0</v>
      </c>
      <c r="Q113" s="216">
        <f>'2'!E113</f>
        <v>0</v>
      </c>
      <c r="R113" s="216">
        <f>'2'!F113</f>
        <v>0</v>
      </c>
      <c r="S113" s="216">
        <f>'2'!G113</f>
        <v>0</v>
      </c>
      <c r="T113" s="216">
        <f>'2'!H113</f>
        <v>0</v>
      </c>
      <c r="U113" s="216">
        <f>'2'!I113</f>
        <v>0</v>
      </c>
      <c r="V113" s="216">
        <f>'2'!J113</f>
        <v>0</v>
      </c>
      <c r="W113" s="216">
        <f>'2'!K113</f>
        <v>0</v>
      </c>
      <c r="X113" s="216">
        <f>'2'!L113</f>
        <v>0</v>
      </c>
      <c r="Y113" s="216">
        <f>'2'!M113</f>
        <v>0</v>
      </c>
      <c r="Z113" s="216">
        <f>'2'!N113</f>
        <v>0</v>
      </c>
      <c r="AA113" s="216">
        <f>'2'!O113</f>
        <v>0</v>
      </c>
      <c r="AB113" s="87" t="str">
        <f t="shared" si="12"/>
        <v/>
      </c>
      <c r="AC113" s="87">
        <v>8</v>
      </c>
      <c r="AD113" s="87">
        <v>9.5</v>
      </c>
      <c r="AE113" s="87">
        <v>1</v>
      </c>
      <c r="AF113" s="87">
        <v>8</v>
      </c>
      <c r="AG113" s="87">
        <v>7</v>
      </c>
      <c r="AH113" s="87">
        <f t="shared" si="13"/>
        <v>33.5</v>
      </c>
      <c r="AI113" s="87">
        <v>10</v>
      </c>
      <c r="AJ113" s="87">
        <v>10</v>
      </c>
      <c r="AK113" s="87">
        <v>2</v>
      </c>
      <c r="AL113" s="87">
        <v>9</v>
      </c>
      <c r="AM113" s="87">
        <v>9</v>
      </c>
      <c r="AN113" s="7"/>
      <c r="AO113" s="96">
        <f t="shared" si="14"/>
        <v>80</v>
      </c>
      <c r="AP113" s="96">
        <f t="shared" si="14"/>
        <v>95</v>
      </c>
      <c r="AQ113" s="96">
        <f t="shared" si="14"/>
        <v>50</v>
      </c>
      <c r="AR113" s="96">
        <f t="shared" si="14"/>
        <v>88.888888888888886</v>
      </c>
      <c r="AS113" s="96">
        <f t="shared" si="11"/>
        <v>77.777777777777786</v>
      </c>
      <c r="AT113" s="7"/>
      <c r="AU113" s="223"/>
      <c r="AV113" s="8" t="str">
        <f t="shared" si="15"/>
        <v/>
      </c>
      <c r="AW113" s="8" t="str">
        <f t="shared" si="16"/>
        <v/>
      </c>
      <c r="AX113" s="8" t="str">
        <f t="shared" si="17"/>
        <v/>
      </c>
      <c r="AY113" s="8" t="str">
        <f t="shared" si="18"/>
        <v/>
      </c>
      <c r="AZ113" s="8" t="str">
        <f t="shared" si="19"/>
        <v/>
      </c>
      <c r="BA113" s="8" t="str">
        <f t="shared" si="20"/>
        <v/>
      </c>
      <c r="BB113" s="8">
        <f t="shared" si="21"/>
        <v>0</v>
      </c>
    </row>
    <row r="114" spans="1:54" ht="18" customHeight="1">
      <c r="A114" s="65">
        <v>95</v>
      </c>
      <c r="B114" s="43" t="str">
        <f>IF('1'!B114=0,"",'1'!B114)</f>
        <v/>
      </c>
      <c r="C114" s="43" t="str">
        <f>IF('1'!C114=0,"",'1'!C114)</f>
        <v/>
      </c>
      <c r="D114" s="43">
        <f>'1'!D114</f>
        <v>0</v>
      </c>
      <c r="E114" s="43">
        <f>'1'!E114</f>
        <v>0</v>
      </c>
      <c r="F114" s="43">
        <f>'1'!F114</f>
        <v>0</v>
      </c>
      <c r="G114" s="43">
        <f>'1'!G114</f>
        <v>0</v>
      </c>
      <c r="H114" s="43">
        <f>'1'!H114</f>
        <v>0</v>
      </c>
      <c r="I114" s="43">
        <f>'1'!I114</f>
        <v>0</v>
      </c>
      <c r="J114" s="43">
        <f>'1'!J114</f>
        <v>0</v>
      </c>
      <c r="K114" s="43">
        <f>'1'!K114</f>
        <v>0</v>
      </c>
      <c r="L114" s="43">
        <f>'1'!L114</f>
        <v>0</v>
      </c>
      <c r="M114" s="43">
        <f>'1'!M114</f>
        <v>0</v>
      </c>
      <c r="N114" s="43">
        <f>'1'!N114</f>
        <v>0</v>
      </c>
      <c r="O114" s="43">
        <f>'1'!O114</f>
        <v>0</v>
      </c>
      <c r="P114" s="216">
        <f>'2'!D114</f>
        <v>0</v>
      </c>
      <c r="Q114" s="216">
        <f>'2'!E114</f>
        <v>0</v>
      </c>
      <c r="R114" s="216">
        <f>'2'!F114</f>
        <v>0</v>
      </c>
      <c r="S114" s="216">
        <f>'2'!G114</f>
        <v>0</v>
      </c>
      <c r="T114" s="216">
        <f>'2'!H114</f>
        <v>0</v>
      </c>
      <c r="U114" s="216">
        <f>'2'!I114</f>
        <v>0</v>
      </c>
      <c r="V114" s="216">
        <f>'2'!J114</f>
        <v>0</v>
      </c>
      <c r="W114" s="216">
        <f>'2'!K114</f>
        <v>0</v>
      </c>
      <c r="X114" s="216">
        <f>'2'!L114</f>
        <v>0</v>
      </c>
      <c r="Y114" s="216">
        <f>'2'!M114</f>
        <v>0</v>
      </c>
      <c r="Z114" s="216">
        <f>'2'!N114</f>
        <v>0</v>
      </c>
      <c r="AA114" s="216">
        <f>'2'!O114</f>
        <v>0</v>
      </c>
      <c r="AB114" s="87" t="str">
        <f t="shared" si="12"/>
        <v/>
      </c>
      <c r="AC114" s="87">
        <v>9</v>
      </c>
      <c r="AD114" s="87">
        <v>10</v>
      </c>
      <c r="AE114" s="87">
        <v>8</v>
      </c>
      <c r="AF114" s="87">
        <v>9</v>
      </c>
      <c r="AG114" s="87">
        <v>2</v>
      </c>
      <c r="AH114" s="87">
        <f t="shared" si="13"/>
        <v>38</v>
      </c>
      <c r="AI114" s="87">
        <v>10</v>
      </c>
      <c r="AJ114" s="87">
        <v>10</v>
      </c>
      <c r="AK114" s="87">
        <v>9</v>
      </c>
      <c r="AL114" s="87">
        <v>9</v>
      </c>
      <c r="AM114" s="87">
        <v>2</v>
      </c>
      <c r="AN114" s="7"/>
      <c r="AO114" s="96">
        <f t="shared" si="14"/>
        <v>90</v>
      </c>
      <c r="AP114" s="96">
        <f t="shared" si="14"/>
        <v>100</v>
      </c>
      <c r="AQ114" s="96">
        <f t="shared" si="14"/>
        <v>88.888888888888886</v>
      </c>
      <c r="AR114" s="96">
        <f t="shared" si="14"/>
        <v>100</v>
      </c>
      <c r="AS114" s="96">
        <f t="shared" si="11"/>
        <v>100</v>
      </c>
      <c r="AT114" s="7"/>
      <c r="AU114" s="223"/>
      <c r="AV114" s="8" t="str">
        <f t="shared" si="15"/>
        <v/>
      </c>
      <c r="AW114" s="8" t="str">
        <f t="shared" si="16"/>
        <v/>
      </c>
      <c r="AX114" s="8" t="str">
        <f t="shared" si="17"/>
        <v/>
      </c>
      <c r="AY114" s="8" t="str">
        <f t="shared" si="18"/>
        <v/>
      </c>
      <c r="AZ114" s="8" t="str">
        <f t="shared" si="19"/>
        <v/>
      </c>
      <c r="BA114" s="8" t="str">
        <f t="shared" si="20"/>
        <v/>
      </c>
      <c r="BB114" s="8">
        <f t="shared" si="21"/>
        <v>0</v>
      </c>
    </row>
    <row r="115" spans="1:54" ht="18" customHeight="1">
      <c r="A115" s="65">
        <v>96</v>
      </c>
      <c r="B115" s="43" t="str">
        <f>IF('1'!B115=0,"",'1'!B115)</f>
        <v/>
      </c>
      <c r="C115" s="43" t="str">
        <f>IF('1'!C115=0,"",'1'!C115)</f>
        <v/>
      </c>
      <c r="D115" s="43">
        <f>'1'!D115</f>
        <v>0</v>
      </c>
      <c r="E115" s="43">
        <f>'1'!E115</f>
        <v>0</v>
      </c>
      <c r="F115" s="43">
        <f>'1'!F115</f>
        <v>0</v>
      </c>
      <c r="G115" s="43">
        <f>'1'!G115</f>
        <v>0</v>
      </c>
      <c r="H115" s="43">
        <f>'1'!H115</f>
        <v>0</v>
      </c>
      <c r="I115" s="43">
        <f>'1'!I115</f>
        <v>0</v>
      </c>
      <c r="J115" s="43">
        <f>'1'!J115</f>
        <v>0</v>
      </c>
      <c r="K115" s="43">
        <f>'1'!K115</f>
        <v>0</v>
      </c>
      <c r="L115" s="43">
        <f>'1'!L115</f>
        <v>0</v>
      </c>
      <c r="M115" s="43">
        <f>'1'!M115</f>
        <v>0</v>
      </c>
      <c r="N115" s="43">
        <f>'1'!N115</f>
        <v>0</v>
      </c>
      <c r="O115" s="43">
        <f>'1'!O115</f>
        <v>0</v>
      </c>
      <c r="P115" s="216">
        <f>'2'!D115</f>
        <v>0</v>
      </c>
      <c r="Q115" s="216">
        <f>'2'!E115</f>
        <v>0</v>
      </c>
      <c r="R115" s="216">
        <f>'2'!F115</f>
        <v>0</v>
      </c>
      <c r="S115" s="216">
        <f>'2'!G115</f>
        <v>0</v>
      </c>
      <c r="T115" s="216">
        <f>'2'!H115</f>
        <v>0</v>
      </c>
      <c r="U115" s="216">
        <f>'2'!I115</f>
        <v>0</v>
      </c>
      <c r="V115" s="216">
        <f>'2'!J115</f>
        <v>0</v>
      </c>
      <c r="W115" s="216">
        <f>'2'!K115</f>
        <v>0</v>
      </c>
      <c r="X115" s="216">
        <f>'2'!L115</f>
        <v>0</v>
      </c>
      <c r="Y115" s="216">
        <f>'2'!M115</f>
        <v>0</v>
      </c>
      <c r="Z115" s="216">
        <f>'2'!N115</f>
        <v>0</v>
      </c>
      <c r="AA115" s="216">
        <f>'2'!O115</f>
        <v>0</v>
      </c>
      <c r="AB115" s="87" t="str">
        <f t="shared" si="12"/>
        <v/>
      </c>
      <c r="AC115" s="87">
        <v>4</v>
      </c>
      <c r="AD115" s="87">
        <v>1</v>
      </c>
      <c r="AE115" s="87">
        <v>4</v>
      </c>
      <c r="AF115" s="87">
        <v>8</v>
      </c>
      <c r="AG115" s="87">
        <v>0</v>
      </c>
      <c r="AH115" s="87">
        <f t="shared" si="13"/>
        <v>17</v>
      </c>
      <c r="AI115" s="87">
        <v>13</v>
      </c>
      <c r="AJ115" s="87">
        <v>7</v>
      </c>
      <c r="AK115" s="87">
        <v>9</v>
      </c>
      <c r="AL115" s="87">
        <v>9</v>
      </c>
      <c r="AM115" s="87">
        <v>2</v>
      </c>
      <c r="AN115" s="7"/>
      <c r="AO115" s="96">
        <f t="shared" si="14"/>
        <v>30.76923076923077</v>
      </c>
      <c r="AP115" s="96">
        <f t="shared" si="14"/>
        <v>14.285714285714285</v>
      </c>
      <c r="AQ115" s="96">
        <f t="shared" si="14"/>
        <v>44.444444444444443</v>
      </c>
      <c r="AR115" s="96">
        <f t="shared" si="14"/>
        <v>88.888888888888886</v>
      </c>
      <c r="AS115" s="96">
        <f t="shared" si="11"/>
        <v>0</v>
      </c>
      <c r="AT115" s="7"/>
      <c r="AU115" s="223"/>
      <c r="AV115" s="8" t="str">
        <f t="shared" si="15"/>
        <v/>
      </c>
      <c r="AW115" s="8" t="str">
        <f t="shared" si="16"/>
        <v/>
      </c>
      <c r="AX115" s="8" t="str">
        <f t="shared" si="17"/>
        <v/>
      </c>
      <c r="AY115" s="8" t="str">
        <f t="shared" si="18"/>
        <v/>
      </c>
      <c r="AZ115" s="8" t="str">
        <f t="shared" si="19"/>
        <v/>
      </c>
      <c r="BA115" s="8" t="str">
        <f t="shared" si="20"/>
        <v/>
      </c>
      <c r="BB115" s="8">
        <f t="shared" si="21"/>
        <v>0</v>
      </c>
    </row>
    <row r="116" spans="1:54" ht="18" customHeight="1">
      <c r="A116" s="65">
        <v>97</v>
      </c>
      <c r="B116" s="43" t="str">
        <f>IF('1'!B116=0,"",'1'!B116)</f>
        <v/>
      </c>
      <c r="C116" s="43" t="str">
        <f>IF('1'!C116=0,"",'1'!C116)</f>
        <v/>
      </c>
      <c r="D116" s="43">
        <f>'1'!D116</f>
        <v>0</v>
      </c>
      <c r="E116" s="43">
        <f>'1'!E116</f>
        <v>0</v>
      </c>
      <c r="F116" s="43">
        <f>'1'!F116</f>
        <v>0</v>
      </c>
      <c r="G116" s="43">
        <f>'1'!G116</f>
        <v>0</v>
      </c>
      <c r="H116" s="43">
        <f>'1'!H116</f>
        <v>0</v>
      </c>
      <c r="I116" s="43">
        <f>'1'!I116</f>
        <v>0</v>
      </c>
      <c r="J116" s="43">
        <f>'1'!J116</f>
        <v>0</v>
      </c>
      <c r="K116" s="43">
        <f>'1'!K116</f>
        <v>0</v>
      </c>
      <c r="L116" s="43">
        <f>'1'!L116</f>
        <v>0</v>
      </c>
      <c r="M116" s="43">
        <f>'1'!M116</f>
        <v>0</v>
      </c>
      <c r="N116" s="43">
        <f>'1'!N116</f>
        <v>0</v>
      </c>
      <c r="O116" s="43">
        <f>'1'!O116</f>
        <v>0</v>
      </c>
      <c r="P116" s="216">
        <f>'2'!D116</f>
        <v>0</v>
      </c>
      <c r="Q116" s="216">
        <f>'2'!E116</f>
        <v>0</v>
      </c>
      <c r="R116" s="216">
        <f>'2'!F116</f>
        <v>0</v>
      </c>
      <c r="S116" s="216">
        <f>'2'!G116</f>
        <v>0</v>
      </c>
      <c r="T116" s="216">
        <f>'2'!H116</f>
        <v>0</v>
      </c>
      <c r="U116" s="216">
        <f>'2'!I116</f>
        <v>0</v>
      </c>
      <c r="V116" s="216">
        <f>'2'!J116</f>
        <v>0</v>
      </c>
      <c r="W116" s="216">
        <f>'2'!K116</f>
        <v>0</v>
      </c>
      <c r="X116" s="216">
        <f>'2'!L116</f>
        <v>0</v>
      </c>
      <c r="Y116" s="216">
        <f>'2'!M116</f>
        <v>0</v>
      </c>
      <c r="Z116" s="216">
        <f>'2'!N116</f>
        <v>0</v>
      </c>
      <c r="AA116" s="216">
        <f>'2'!O116</f>
        <v>0</v>
      </c>
      <c r="AB116" s="87" t="str">
        <f t="shared" si="12"/>
        <v/>
      </c>
      <c r="AC116" s="87">
        <v>8</v>
      </c>
      <c r="AD116" s="87">
        <v>7</v>
      </c>
      <c r="AE116" s="87">
        <v>1</v>
      </c>
      <c r="AF116" s="87">
        <v>9</v>
      </c>
      <c r="AG116" s="87">
        <v>9</v>
      </c>
      <c r="AH116" s="87">
        <f t="shared" si="13"/>
        <v>34</v>
      </c>
      <c r="AI116" s="87">
        <v>10</v>
      </c>
      <c r="AJ116" s="87">
        <v>10</v>
      </c>
      <c r="AK116" s="87">
        <v>2</v>
      </c>
      <c r="AL116" s="87">
        <v>9</v>
      </c>
      <c r="AM116" s="87">
        <v>9</v>
      </c>
      <c r="AN116" s="7"/>
      <c r="AO116" s="96">
        <f t="shared" si="14"/>
        <v>80</v>
      </c>
      <c r="AP116" s="96">
        <f t="shared" si="14"/>
        <v>70</v>
      </c>
      <c r="AQ116" s="96">
        <f t="shared" si="14"/>
        <v>50</v>
      </c>
      <c r="AR116" s="96">
        <f t="shared" si="14"/>
        <v>100</v>
      </c>
      <c r="AS116" s="96">
        <f t="shared" si="11"/>
        <v>100</v>
      </c>
      <c r="AT116" s="7"/>
      <c r="AU116" s="223"/>
      <c r="AV116" s="8" t="str">
        <f t="shared" si="15"/>
        <v/>
      </c>
      <c r="AW116" s="8" t="str">
        <f t="shared" si="16"/>
        <v/>
      </c>
      <c r="AX116" s="8" t="str">
        <f t="shared" si="17"/>
        <v/>
      </c>
      <c r="AY116" s="8" t="str">
        <f t="shared" si="18"/>
        <v/>
      </c>
      <c r="AZ116" s="8" t="str">
        <f t="shared" si="19"/>
        <v/>
      </c>
      <c r="BA116" s="8" t="str">
        <f t="shared" si="20"/>
        <v/>
      </c>
      <c r="BB116" s="8">
        <f t="shared" si="21"/>
        <v>0</v>
      </c>
    </row>
    <row r="117" spans="1:54" ht="18" customHeight="1">
      <c r="A117" s="65">
        <v>98</v>
      </c>
      <c r="B117" s="43" t="str">
        <f>IF('1'!B117=0,"",'1'!B117)</f>
        <v/>
      </c>
      <c r="C117" s="43" t="str">
        <f>IF('1'!C117=0,"",'1'!C117)</f>
        <v/>
      </c>
      <c r="D117" s="43">
        <f>'1'!D117</f>
        <v>0</v>
      </c>
      <c r="E117" s="43">
        <f>'1'!E117</f>
        <v>0</v>
      </c>
      <c r="F117" s="43">
        <f>'1'!F117</f>
        <v>0</v>
      </c>
      <c r="G117" s="43">
        <f>'1'!G117</f>
        <v>0</v>
      </c>
      <c r="H117" s="43">
        <f>'1'!H117</f>
        <v>0</v>
      </c>
      <c r="I117" s="43">
        <f>'1'!I117</f>
        <v>0</v>
      </c>
      <c r="J117" s="43">
        <f>'1'!J117</f>
        <v>0</v>
      </c>
      <c r="K117" s="43">
        <f>'1'!K117</f>
        <v>0</v>
      </c>
      <c r="L117" s="43">
        <f>'1'!L117</f>
        <v>0</v>
      </c>
      <c r="M117" s="43">
        <f>'1'!M117</f>
        <v>0</v>
      </c>
      <c r="N117" s="43">
        <f>'1'!N117</f>
        <v>0</v>
      </c>
      <c r="O117" s="43">
        <f>'1'!O117</f>
        <v>0</v>
      </c>
      <c r="P117" s="216">
        <f>'2'!D117</f>
        <v>0</v>
      </c>
      <c r="Q117" s="216">
        <f>'2'!E117</f>
        <v>0</v>
      </c>
      <c r="R117" s="216">
        <f>'2'!F117</f>
        <v>0</v>
      </c>
      <c r="S117" s="216">
        <f>'2'!G117</f>
        <v>0</v>
      </c>
      <c r="T117" s="216">
        <f>'2'!H117</f>
        <v>0</v>
      </c>
      <c r="U117" s="216">
        <f>'2'!I117</f>
        <v>0</v>
      </c>
      <c r="V117" s="216">
        <f>'2'!J117</f>
        <v>0</v>
      </c>
      <c r="W117" s="216">
        <f>'2'!K117</f>
        <v>0</v>
      </c>
      <c r="X117" s="216">
        <f>'2'!L117</f>
        <v>0</v>
      </c>
      <c r="Y117" s="216">
        <f>'2'!M117</f>
        <v>0</v>
      </c>
      <c r="Z117" s="216">
        <f>'2'!N117</f>
        <v>0</v>
      </c>
      <c r="AA117" s="216">
        <f>'2'!O117</f>
        <v>0</v>
      </c>
      <c r="AB117" s="87" t="str">
        <f t="shared" si="12"/>
        <v/>
      </c>
      <c r="AC117" s="87">
        <v>8</v>
      </c>
      <c r="AD117" s="87">
        <v>7.5</v>
      </c>
      <c r="AE117" s="87">
        <v>5</v>
      </c>
      <c r="AF117" s="87">
        <v>8.5</v>
      </c>
      <c r="AG117" s="87">
        <v>1</v>
      </c>
      <c r="AH117" s="87">
        <f t="shared" si="13"/>
        <v>30</v>
      </c>
      <c r="AI117" s="87">
        <v>10</v>
      </c>
      <c r="AJ117" s="87">
        <v>10</v>
      </c>
      <c r="AK117" s="87">
        <v>9</v>
      </c>
      <c r="AL117" s="87">
        <v>9</v>
      </c>
      <c r="AM117" s="87">
        <v>2</v>
      </c>
      <c r="AN117" s="7"/>
      <c r="AO117" s="96">
        <f t="shared" si="14"/>
        <v>80</v>
      </c>
      <c r="AP117" s="96">
        <f t="shared" si="14"/>
        <v>75</v>
      </c>
      <c r="AQ117" s="96">
        <f t="shared" si="14"/>
        <v>55.555555555555557</v>
      </c>
      <c r="AR117" s="96">
        <f t="shared" si="14"/>
        <v>94.444444444444443</v>
      </c>
      <c r="AS117" s="96">
        <f t="shared" si="11"/>
        <v>50</v>
      </c>
      <c r="AT117" s="7"/>
      <c r="AU117" s="223"/>
      <c r="AV117" s="8" t="str">
        <f t="shared" si="15"/>
        <v/>
      </c>
      <c r="AW117" s="8" t="str">
        <f t="shared" si="16"/>
        <v/>
      </c>
      <c r="AX117" s="8" t="str">
        <f t="shared" si="17"/>
        <v/>
      </c>
      <c r="AY117" s="8" t="str">
        <f t="shared" si="18"/>
        <v/>
      </c>
      <c r="AZ117" s="8" t="str">
        <f t="shared" si="19"/>
        <v/>
      </c>
      <c r="BA117" s="8" t="str">
        <f t="shared" si="20"/>
        <v/>
      </c>
      <c r="BB117" s="8">
        <f t="shared" si="21"/>
        <v>0</v>
      </c>
    </row>
    <row r="118" spans="1:54" ht="18" customHeight="1">
      <c r="A118" s="65">
        <v>99</v>
      </c>
      <c r="B118" s="43" t="str">
        <f>IF('1'!B118=0,"",'1'!B118)</f>
        <v/>
      </c>
      <c r="C118" s="43" t="str">
        <f>IF('1'!C118=0,"",'1'!C118)</f>
        <v/>
      </c>
      <c r="D118" s="43">
        <f>'1'!D118</f>
        <v>0</v>
      </c>
      <c r="E118" s="43">
        <f>'1'!E118</f>
        <v>0</v>
      </c>
      <c r="F118" s="43">
        <f>'1'!F118</f>
        <v>0</v>
      </c>
      <c r="G118" s="43">
        <f>'1'!G118</f>
        <v>0</v>
      </c>
      <c r="H118" s="43">
        <f>'1'!H118</f>
        <v>0</v>
      </c>
      <c r="I118" s="43">
        <f>'1'!I118</f>
        <v>0</v>
      </c>
      <c r="J118" s="43">
        <f>'1'!J118</f>
        <v>0</v>
      </c>
      <c r="K118" s="43">
        <f>'1'!K118</f>
        <v>0</v>
      </c>
      <c r="L118" s="43">
        <f>'1'!L118</f>
        <v>0</v>
      </c>
      <c r="M118" s="43">
        <f>'1'!M118</f>
        <v>0</v>
      </c>
      <c r="N118" s="43">
        <f>'1'!N118</f>
        <v>0</v>
      </c>
      <c r="O118" s="43">
        <f>'1'!O118</f>
        <v>0</v>
      </c>
      <c r="P118" s="216">
        <f>'2'!D118</f>
        <v>0</v>
      </c>
      <c r="Q118" s="216">
        <f>'2'!E118</f>
        <v>0</v>
      </c>
      <c r="R118" s="216">
        <f>'2'!F118</f>
        <v>0</v>
      </c>
      <c r="S118" s="216">
        <f>'2'!G118</f>
        <v>0</v>
      </c>
      <c r="T118" s="216">
        <f>'2'!H118</f>
        <v>0</v>
      </c>
      <c r="U118" s="216">
        <f>'2'!I118</f>
        <v>0</v>
      </c>
      <c r="V118" s="216">
        <f>'2'!J118</f>
        <v>0</v>
      </c>
      <c r="W118" s="216">
        <f>'2'!K118</f>
        <v>0</v>
      </c>
      <c r="X118" s="216">
        <f>'2'!L118</f>
        <v>0</v>
      </c>
      <c r="Y118" s="216">
        <f>'2'!M118</f>
        <v>0</v>
      </c>
      <c r="Z118" s="216">
        <f>'2'!N118</f>
        <v>0</v>
      </c>
      <c r="AA118" s="216">
        <f>'2'!O118</f>
        <v>0</v>
      </c>
      <c r="AB118" s="87" t="str">
        <f t="shared" si="12"/>
        <v/>
      </c>
      <c r="AC118" s="87">
        <v>9</v>
      </c>
      <c r="AD118" s="87">
        <v>9</v>
      </c>
      <c r="AE118" s="87">
        <v>8</v>
      </c>
      <c r="AF118" s="87">
        <v>9</v>
      </c>
      <c r="AG118" s="87">
        <v>1.5</v>
      </c>
      <c r="AH118" s="87">
        <f t="shared" si="13"/>
        <v>36.5</v>
      </c>
      <c r="AI118" s="87">
        <v>10</v>
      </c>
      <c r="AJ118" s="87">
        <v>10</v>
      </c>
      <c r="AK118" s="87">
        <v>9</v>
      </c>
      <c r="AL118" s="87">
        <v>9</v>
      </c>
      <c r="AM118" s="87">
        <v>2</v>
      </c>
      <c r="AN118" s="7"/>
      <c r="AO118" s="96">
        <f t="shared" si="14"/>
        <v>90</v>
      </c>
      <c r="AP118" s="96">
        <f t="shared" si="14"/>
        <v>90</v>
      </c>
      <c r="AQ118" s="96">
        <f t="shared" si="14"/>
        <v>88.888888888888886</v>
      </c>
      <c r="AR118" s="96">
        <f t="shared" si="14"/>
        <v>100</v>
      </c>
      <c r="AS118" s="96">
        <f t="shared" si="11"/>
        <v>75</v>
      </c>
      <c r="AT118" s="7"/>
      <c r="AU118" s="223"/>
      <c r="AV118" s="8" t="str">
        <f t="shared" si="15"/>
        <v/>
      </c>
      <c r="AW118" s="8" t="str">
        <f t="shared" si="16"/>
        <v/>
      </c>
      <c r="AX118" s="8" t="str">
        <f t="shared" si="17"/>
        <v/>
      </c>
      <c r="AY118" s="8" t="str">
        <f t="shared" si="18"/>
        <v/>
      </c>
      <c r="AZ118" s="8" t="str">
        <f t="shared" si="19"/>
        <v/>
      </c>
      <c r="BA118" s="8" t="str">
        <f t="shared" si="20"/>
        <v/>
      </c>
      <c r="BB118" s="8">
        <f t="shared" si="21"/>
        <v>0</v>
      </c>
    </row>
    <row r="119" spans="1:54" ht="18" customHeight="1">
      <c r="A119" s="65">
        <v>100</v>
      </c>
      <c r="B119" s="43" t="str">
        <f>IF('1'!B119=0,"",'1'!B119)</f>
        <v/>
      </c>
      <c r="C119" s="43" t="str">
        <f>IF('1'!C119=0,"",'1'!C119)</f>
        <v/>
      </c>
      <c r="D119" s="43">
        <f>'1'!D119</f>
        <v>0</v>
      </c>
      <c r="E119" s="43">
        <f>'1'!E119</f>
        <v>0</v>
      </c>
      <c r="F119" s="43">
        <f>'1'!F119</f>
        <v>0</v>
      </c>
      <c r="G119" s="43">
        <f>'1'!G119</f>
        <v>0</v>
      </c>
      <c r="H119" s="43">
        <f>'1'!H119</f>
        <v>0</v>
      </c>
      <c r="I119" s="43">
        <f>'1'!I119</f>
        <v>0</v>
      </c>
      <c r="J119" s="43">
        <f>'1'!J119</f>
        <v>0</v>
      </c>
      <c r="K119" s="43">
        <f>'1'!K119</f>
        <v>0</v>
      </c>
      <c r="L119" s="43">
        <f>'1'!L119</f>
        <v>0</v>
      </c>
      <c r="M119" s="43">
        <f>'1'!M119</f>
        <v>0</v>
      </c>
      <c r="N119" s="43">
        <f>'1'!N119</f>
        <v>0</v>
      </c>
      <c r="O119" s="43">
        <f>'1'!O119</f>
        <v>0</v>
      </c>
      <c r="P119" s="216">
        <f>'2'!D119</f>
        <v>0</v>
      </c>
      <c r="Q119" s="216">
        <f>'2'!E119</f>
        <v>0</v>
      </c>
      <c r="R119" s="216">
        <f>'2'!F119</f>
        <v>0</v>
      </c>
      <c r="S119" s="216">
        <f>'2'!G119</f>
        <v>0</v>
      </c>
      <c r="T119" s="216">
        <f>'2'!H119</f>
        <v>0</v>
      </c>
      <c r="U119" s="216">
        <f>'2'!I119</f>
        <v>0</v>
      </c>
      <c r="V119" s="216">
        <f>'2'!J119</f>
        <v>0</v>
      </c>
      <c r="W119" s="216">
        <f>'2'!K119</f>
        <v>0</v>
      </c>
      <c r="X119" s="216">
        <f>'2'!L119</f>
        <v>0</v>
      </c>
      <c r="Y119" s="216">
        <f>'2'!M119</f>
        <v>0</v>
      </c>
      <c r="Z119" s="216">
        <f>'2'!N119</f>
        <v>0</v>
      </c>
      <c r="AA119" s="216">
        <f>'2'!O119</f>
        <v>0</v>
      </c>
      <c r="AB119" s="87" t="str">
        <f t="shared" si="12"/>
        <v/>
      </c>
      <c r="AC119" s="87">
        <v>8</v>
      </c>
      <c r="AD119" s="87">
        <v>1.5</v>
      </c>
      <c r="AE119" s="87">
        <v>4</v>
      </c>
      <c r="AF119" s="87">
        <v>9</v>
      </c>
      <c r="AG119" s="87">
        <v>1</v>
      </c>
      <c r="AH119" s="87">
        <f t="shared" si="13"/>
        <v>23.5</v>
      </c>
      <c r="AI119" s="87">
        <v>13</v>
      </c>
      <c r="AJ119" s="87">
        <v>7</v>
      </c>
      <c r="AK119" s="87">
        <v>9</v>
      </c>
      <c r="AL119" s="87">
        <v>9</v>
      </c>
      <c r="AM119" s="87">
        <v>2</v>
      </c>
      <c r="AN119" s="7"/>
      <c r="AO119" s="96">
        <f t="shared" si="14"/>
        <v>61.53846153846154</v>
      </c>
      <c r="AP119" s="96">
        <f t="shared" si="14"/>
        <v>21.428571428571427</v>
      </c>
      <c r="AQ119" s="96">
        <f t="shared" si="14"/>
        <v>44.444444444444443</v>
      </c>
      <c r="AR119" s="96">
        <f t="shared" si="14"/>
        <v>100</v>
      </c>
      <c r="AS119" s="96">
        <f t="shared" si="11"/>
        <v>50</v>
      </c>
      <c r="AT119" s="7"/>
      <c r="AU119" s="223"/>
      <c r="AV119" s="8" t="str">
        <f t="shared" si="15"/>
        <v/>
      </c>
      <c r="AW119" s="8" t="str">
        <f t="shared" si="16"/>
        <v/>
      </c>
      <c r="AX119" s="8" t="str">
        <f t="shared" si="17"/>
        <v/>
      </c>
      <c r="AY119" s="8" t="str">
        <f t="shared" si="18"/>
        <v/>
      </c>
      <c r="AZ119" s="8" t="str">
        <f t="shared" si="19"/>
        <v/>
      </c>
      <c r="BA119" s="8" t="str">
        <f t="shared" si="20"/>
        <v/>
      </c>
      <c r="BB119" s="8">
        <f t="shared" si="21"/>
        <v>0</v>
      </c>
    </row>
    <row r="120" spans="1:54" ht="18" customHeight="1">
      <c r="A120" s="65">
        <v>101</v>
      </c>
      <c r="B120" s="43" t="str">
        <f>IF('1'!B120=0,"",'1'!B120)</f>
        <v/>
      </c>
      <c r="C120" s="43" t="str">
        <f>IF('1'!C120=0,"",'1'!C120)</f>
        <v/>
      </c>
      <c r="D120" s="43">
        <f>'1'!D120</f>
        <v>0</v>
      </c>
      <c r="E120" s="43">
        <f>'1'!E120</f>
        <v>0</v>
      </c>
      <c r="F120" s="43">
        <f>'1'!F120</f>
        <v>0</v>
      </c>
      <c r="G120" s="43">
        <f>'1'!G120</f>
        <v>0</v>
      </c>
      <c r="H120" s="43">
        <f>'1'!H120</f>
        <v>0</v>
      </c>
      <c r="I120" s="43">
        <f>'1'!I120</f>
        <v>0</v>
      </c>
      <c r="J120" s="43">
        <f>'1'!J120</f>
        <v>0</v>
      </c>
      <c r="K120" s="43">
        <f>'1'!K120</f>
        <v>0</v>
      </c>
      <c r="L120" s="43">
        <f>'1'!L120</f>
        <v>0</v>
      </c>
      <c r="M120" s="43">
        <f>'1'!M120</f>
        <v>0</v>
      </c>
      <c r="N120" s="43">
        <f>'1'!N120</f>
        <v>0</v>
      </c>
      <c r="O120" s="43">
        <f>'1'!O120</f>
        <v>0</v>
      </c>
      <c r="P120" s="216">
        <f>'2'!D120</f>
        <v>0</v>
      </c>
      <c r="Q120" s="216">
        <f>'2'!E120</f>
        <v>0</v>
      </c>
      <c r="R120" s="216">
        <f>'2'!F120</f>
        <v>0</v>
      </c>
      <c r="S120" s="216">
        <f>'2'!G120</f>
        <v>0</v>
      </c>
      <c r="T120" s="216">
        <f>'2'!H120</f>
        <v>0</v>
      </c>
      <c r="U120" s="216">
        <f>'2'!I120</f>
        <v>0</v>
      </c>
      <c r="V120" s="216">
        <f>'2'!J120</f>
        <v>0</v>
      </c>
      <c r="W120" s="216">
        <f>'2'!K120</f>
        <v>0</v>
      </c>
      <c r="X120" s="216">
        <f>'2'!L120</f>
        <v>0</v>
      </c>
      <c r="Y120" s="216">
        <f>'2'!M120</f>
        <v>0</v>
      </c>
      <c r="Z120" s="216">
        <f>'2'!N120</f>
        <v>0</v>
      </c>
      <c r="AA120" s="216">
        <f>'2'!O120</f>
        <v>0</v>
      </c>
      <c r="AB120" s="87" t="str">
        <f t="shared" si="12"/>
        <v/>
      </c>
      <c r="AC120" s="87">
        <v>7</v>
      </c>
      <c r="AD120" s="87">
        <v>7</v>
      </c>
      <c r="AE120" s="87">
        <v>0</v>
      </c>
      <c r="AF120" s="87">
        <v>7.5</v>
      </c>
      <c r="AG120" s="87">
        <v>6</v>
      </c>
      <c r="AH120" s="87">
        <f t="shared" si="13"/>
        <v>27.5</v>
      </c>
      <c r="AI120" s="87">
        <v>10</v>
      </c>
      <c r="AJ120" s="87">
        <v>10</v>
      </c>
      <c r="AK120" s="87">
        <v>2</v>
      </c>
      <c r="AL120" s="87">
        <v>9</v>
      </c>
      <c r="AM120" s="87">
        <v>9</v>
      </c>
      <c r="AN120" s="7"/>
      <c r="AO120" s="96">
        <f t="shared" si="14"/>
        <v>70</v>
      </c>
      <c r="AP120" s="96">
        <f t="shared" si="14"/>
        <v>70</v>
      </c>
      <c r="AQ120" s="96">
        <f t="shared" si="14"/>
        <v>0</v>
      </c>
      <c r="AR120" s="96">
        <f t="shared" si="14"/>
        <v>83.333333333333343</v>
      </c>
      <c r="AS120" s="96">
        <f t="shared" si="11"/>
        <v>66.666666666666657</v>
      </c>
      <c r="AT120" s="7"/>
      <c r="AU120" s="223"/>
      <c r="AV120" s="8" t="str">
        <f t="shared" si="15"/>
        <v/>
      </c>
      <c r="AW120" s="8" t="str">
        <f t="shared" si="16"/>
        <v/>
      </c>
      <c r="AX120" s="8" t="str">
        <f t="shared" si="17"/>
        <v/>
      </c>
      <c r="AY120" s="8" t="str">
        <f t="shared" si="18"/>
        <v/>
      </c>
      <c r="AZ120" s="8" t="str">
        <f t="shared" si="19"/>
        <v/>
      </c>
      <c r="BA120" s="8" t="str">
        <f t="shared" si="20"/>
        <v/>
      </c>
      <c r="BB120" s="8">
        <f t="shared" si="21"/>
        <v>0</v>
      </c>
    </row>
    <row r="121" spans="1:54" ht="18" customHeight="1">
      <c r="A121" s="65">
        <v>102</v>
      </c>
      <c r="B121" s="43" t="str">
        <f>IF('1'!B121=0,"",'1'!B121)</f>
        <v/>
      </c>
      <c r="C121" s="43" t="str">
        <f>IF('1'!C121=0,"",'1'!C121)</f>
        <v/>
      </c>
      <c r="D121" s="43">
        <f>'1'!D121</f>
        <v>0</v>
      </c>
      <c r="E121" s="43">
        <f>'1'!E121</f>
        <v>0</v>
      </c>
      <c r="F121" s="43">
        <f>'1'!F121</f>
        <v>0</v>
      </c>
      <c r="G121" s="43">
        <f>'1'!G121</f>
        <v>0</v>
      </c>
      <c r="H121" s="43">
        <f>'1'!H121</f>
        <v>0</v>
      </c>
      <c r="I121" s="43">
        <f>'1'!I121</f>
        <v>0</v>
      </c>
      <c r="J121" s="43">
        <f>'1'!J121</f>
        <v>0</v>
      </c>
      <c r="K121" s="43">
        <f>'1'!K121</f>
        <v>0</v>
      </c>
      <c r="L121" s="43">
        <f>'1'!L121</f>
        <v>0</v>
      </c>
      <c r="M121" s="43">
        <f>'1'!M121</f>
        <v>0</v>
      </c>
      <c r="N121" s="43">
        <f>'1'!N121</f>
        <v>0</v>
      </c>
      <c r="O121" s="43">
        <f>'1'!O121</f>
        <v>0</v>
      </c>
      <c r="P121" s="216">
        <f>'2'!D121</f>
        <v>0</v>
      </c>
      <c r="Q121" s="216">
        <f>'2'!E121</f>
        <v>0</v>
      </c>
      <c r="R121" s="216">
        <f>'2'!F121</f>
        <v>0</v>
      </c>
      <c r="S121" s="216">
        <f>'2'!G121</f>
        <v>0</v>
      </c>
      <c r="T121" s="216">
        <f>'2'!H121</f>
        <v>0</v>
      </c>
      <c r="U121" s="216">
        <f>'2'!I121</f>
        <v>0</v>
      </c>
      <c r="V121" s="216">
        <f>'2'!J121</f>
        <v>0</v>
      </c>
      <c r="W121" s="216">
        <f>'2'!K121</f>
        <v>0</v>
      </c>
      <c r="X121" s="216">
        <f>'2'!L121</f>
        <v>0</v>
      </c>
      <c r="Y121" s="216">
        <f>'2'!M121</f>
        <v>0</v>
      </c>
      <c r="Z121" s="216">
        <f>'2'!N121</f>
        <v>0</v>
      </c>
      <c r="AA121" s="216">
        <f>'2'!O121</f>
        <v>0</v>
      </c>
      <c r="AB121" s="87" t="str">
        <f t="shared" si="12"/>
        <v/>
      </c>
      <c r="AC121" s="87">
        <v>11</v>
      </c>
      <c r="AD121" s="87">
        <v>5.5</v>
      </c>
      <c r="AE121" s="87">
        <v>7.5</v>
      </c>
      <c r="AF121" s="87">
        <v>8.5</v>
      </c>
      <c r="AG121" s="87">
        <v>1</v>
      </c>
      <c r="AH121" s="87">
        <f t="shared" si="13"/>
        <v>33.5</v>
      </c>
      <c r="AI121" s="87">
        <v>13</v>
      </c>
      <c r="AJ121" s="87">
        <v>7</v>
      </c>
      <c r="AK121" s="87">
        <v>9</v>
      </c>
      <c r="AL121" s="87">
        <v>9</v>
      </c>
      <c r="AM121" s="87">
        <v>2</v>
      </c>
      <c r="AN121" s="7"/>
      <c r="AO121" s="96">
        <f t="shared" si="14"/>
        <v>84.615384615384613</v>
      </c>
      <c r="AP121" s="96">
        <f t="shared" si="14"/>
        <v>78.571428571428569</v>
      </c>
      <c r="AQ121" s="96">
        <f t="shared" si="14"/>
        <v>83.333333333333343</v>
      </c>
      <c r="AR121" s="96">
        <f t="shared" si="14"/>
        <v>94.444444444444443</v>
      </c>
      <c r="AS121" s="96">
        <f t="shared" si="11"/>
        <v>50</v>
      </c>
      <c r="AT121" s="7"/>
      <c r="AU121" s="223"/>
      <c r="AV121" s="8" t="str">
        <f t="shared" si="15"/>
        <v/>
      </c>
      <c r="AW121" s="8" t="str">
        <f t="shared" si="16"/>
        <v/>
      </c>
      <c r="AX121" s="8" t="str">
        <f t="shared" si="17"/>
        <v/>
      </c>
      <c r="AY121" s="8" t="str">
        <f t="shared" si="18"/>
        <v/>
      </c>
      <c r="AZ121" s="8" t="str">
        <f t="shared" si="19"/>
        <v/>
      </c>
      <c r="BA121" s="8" t="str">
        <f t="shared" si="20"/>
        <v/>
      </c>
      <c r="BB121" s="8">
        <f t="shared" si="21"/>
        <v>0</v>
      </c>
    </row>
    <row r="122" spans="1:54" ht="18" customHeight="1">
      <c r="A122" s="65">
        <v>103</v>
      </c>
      <c r="B122" s="43" t="str">
        <f>IF('1'!B122=0,"",'1'!B122)</f>
        <v/>
      </c>
      <c r="C122" s="43" t="str">
        <f>IF('1'!C122=0,"",'1'!C122)</f>
        <v/>
      </c>
      <c r="D122" s="43">
        <f>'1'!D122</f>
        <v>0</v>
      </c>
      <c r="E122" s="43">
        <f>'1'!E122</f>
        <v>0</v>
      </c>
      <c r="F122" s="43">
        <f>'1'!F122</f>
        <v>0</v>
      </c>
      <c r="G122" s="43">
        <f>'1'!G122</f>
        <v>0</v>
      </c>
      <c r="H122" s="43">
        <f>'1'!H122</f>
        <v>0</v>
      </c>
      <c r="I122" s="43">
        <f>'1'!I122</f>
        <v>0</v>
      </c>
      <c r="J122" s="43">
        <f>'1'!J122</f>
        <v>0</v>
      </c>
      <c r="K122" s="43">
        <f>'1'!K122</f>
        <v>0</v>
      </c>
      <c r="L122" s="43">
        <f>'1'!L122</f>
        <v>0</v>
      </c>
      <c r="M122" s="43">
        <f>'1'!M122</f>
        <v>0</v>
      </c>
      <c r="N122" s="43">
        <f>'1'!N122</f>
        <v>0</v>
      </c>
      <c r="O122" s="43">
        <f>'1'!O122</f>
        <v>0</v>
      </c>
      <c r="P122" s="216">
        <f>'2'!D122</f>
        <v>0</v>
      </c>
      <c r="Q122" s="216">
        <f>'2'!E122</f>
        <v>0</v>
      </c>
      <c r="R122" s="216">
        <f>'2'!F122</f>
        <v>0</v>
      </c>
      <c r="S122" s="216">
        <f>'2'!G122</f>
        <v>0</v>
      </c>
      <c r="T122" s="216">
        <f>'2'!H122</f>
        <v>0</v>
      </c>
      <c r="U122" s="216">
        <f>'2'!I122</f>
        <v>0</v>
      </c>
      <c r="V122" s="216">
        <f>'2'!J122</f>
        <v>0</v>
      </c>
      <c r="W122" s="216">
        <f>'2'!K122</f>
        <v>0</v>
      </c>
      <c r="X122" s="216">
        <f>'2'!L122</f>
        <v>0</v>
      </c>
      <c r="Y122" s="216">
        <f>'2'!M122</f>
        <v>0</v>
      </c>
      <c r="Z122" s="216">
        <f>'2'!N122</f>
        <v>0</v>
      </c>
      <c r="AA122" s="216">
        <f>'2'!O122</f>
        <v>0</v>
      </c>
      <c r="AB122" s="87" t="str">
        <f t="shared" si="12"/>
        <v/>
      </c>
      <c r="AC122" s="87">
        <v>8</v>
      </c>
      <c r="AD122" s="87">
        <v>5</v>
      </c>
      <c r="AE122" s="87">
        <v>7</v>
      </c>
      <c r="AF122" s="87">
        <v>7</v>
      </c>
      <c r="AG122" s="87">
        <v>0</v>
      </c>
      <c r="AH122" s="87">
        <f t="shared" si="13"/>
        <v>27</v>
      </c>
      <c r="AI122" s="87">
        <v>10</v>
      </c>
      <c r="AJ122" s="87">
        <v>10</v>
      </c>
      <c r="AK122" s="87">
        <v>9</v>
      </c>
      <c r="AL122" s="87">
        <v>9</v>
      </c>
      <c r="AM122" s="87">
        <v>2</v>
      </c>
      <c r="AN122" s="7"/>
      <c r="AO122" s="96">
        <f t="shared" si="14"/>
        <v>80</v>
      </c>
      <c r="AP122" s="96">
        <f t="shared" si="14"/>
        <v>50</v>
      </c>
      <c r="AQ122" s="96">
        <f t="shared" si="14"/>
        <v>77.777777777777786</v>
      </c>
      <c r="AR122" s="96">
        <f t="shared" si="14"/>
        <v>77.777777777777786</v>
      </c>
      <c r="AS122" s="96">
        <f t="shared" si="11"/>
        <v>0</v>
      </c>
      <c r="AT122" s="7"/>
      <c r="AU122" s="223"/>
      <c r="AV122" s="8" t="str">
        <f t="shared" si="15"/>
        <v/>
      </c>
      <c r="AW122" s="8" t="str">
        <f t="shared" si="16"/>
        <v/>
      </c>
      <c r="AX122" s="8" t="str">
        <f t="shared" si="17"/>
        <v/>
      </c>
      <c r="AY122" s="8" t="str">
        <f t="shared" si="18"/>
        <v/>
      </c>
      <c r="AZ122" s="8" t="str">
        <f t="shared" si="19"/>
        <v/>
      </c>
      <c r="BA122" s="8" t="str">
        <f t="shared" si="20"/>
        <v/>
      </c>
      <c r="BB122" s="8">
        <f t="shared" si="21"/>
        <v>0</v>
      </c>
    </row>
    <row r="123" spans="1:54" ht="18" customHeight="1">
      <c r="A123" s="65">
        <v>104</v>
      </c>
      <c r="B123" s="43" t="str">
        <f>IF('1'!B123=0,"",'1'!B123)</f>
        <v/>
      </c>
      <c r="C123" s="43" t="str">
        <f>IF('1'!C123=0,"",'1'!C123)</f>
        <v/>
      </c>
      <c r="D123" s="43">
        <f>'1'!D123</f>
        <v>0</v>
      </c>
      <c r="E123" s="43">
        <f>'1'!E123</f>
        <v>0</v>
      </c>
      <c r="F123" s="43">
        <f>'1'!F123</f>
        <v>0</v>
      </c>
      <c r="G123" s="43">
        <f>'1'!G123</f>
        <v>0</v>
      </c>
      <c r="H123" s="43">
        <f>'1'!H123</f>
        <v>0</v>
      </c>
      <c r="I123" s="43">
        <f>'1'!I123</f>
        <v>0</v>
      </c>
      <c r="J123" s="43">
        <f>'1'!J123</f>
        <v>0</v>
      </c>
      <c r="K123" s="43">
        <f>'1'!K123</f>
        <v>0</v>
      </c>
      <c r="L123" s="43">
        <f>'1'!L123</f>
        <v>0</v>
      </c>
      <c r="M123" s="43">
        <f>'1'!M123</f>
        <v>0</v>
      </c>
      <c r="N123" s="43">
        <f>'1'!N123</f>
        <v>0</v>
      </c>
      <c r="O123" s="43">
        <f>'1'!O123</f>
        <v>0</v>
      </c>
      <c r="P123" s="216">
        <f>'2'!D123</f>
        <v>0</v>
      </c>
      <c r="Q123" s="216">
        <f>'2'!E123</f>
        <v>0</v>
      </c>
      <c r="R123" s="216">
        <f>'2'!F123</f>
        <v>0</v>
      </c>
      <c r="S123" s="216">
        <f>'2'!G123</f>
        <v>0</v>
      </c>
      <c r="T123" s="216">
        <f>'2'!H123</f>
        <v>0</v>
      </c>
      <c r="U123" s="216">
        <f>'2'!I123</f>
        <v>0</v>
      </c>
      <c r="V123" s="216">
        <f>'2'!J123</f>
        <v>0</v>
      </c>
      <c r="W123" s="216">
        <f>'2'!K123</f>
        <v>0</v>
      </c>
      <c r="X123" s="216">
        <f>'2'!L123</f>
        <v>0</v>
      </c>
      <c r="Y123" s="216">
        <f>'2'!M123</f>
        <v>0</v>
      </c>
      <c r="Z123" s="216">
        <f>'2'!N123</f>
        <v>0</v>
      </c>
      <c r="AA123" s="216">
        <f>'2'!O123</f>
        <v>0</v>
      </c>
      <c r="AB123" s="87" t="str">
        <f t="shared" si="12"/>
        <v/>
      </c>
      <c r="AC123" s="87">
        <v>9</v>
      </c>
      <c r="AD123" s="87">
        <v>6.5</v>
      </c>
      <c r="AE123" s="87">
        <v>7</v>
      </c>
      <c r="AF123" s="87">
        <v>8.5</v>
      </c>
      <c r="AG123" s="87">
        <v>1</v>
      </c>
      <c r="AH123" s="87">
        <f t="shared" si="13"/>
        <v>32</v>
      </c>
      <c r="AI123" s="87">
        <v>10</v>
      </c>
      <c r="AJ123" s="87">
        <v>10</v>
      </c>
      <c r="AK123" s="87">
        <v>9</v>
      </c>
      <c r="AL123" s="87">
        <v>9</v>
      </c>
      <c r="AM123" s="87">
        <v>2</v>
      </c>
      <c r="AN123" s="7"/>
      <c r="AO123" s="96">
        <f t="shared" si="14"/>
        <v>90</v>
      </c>
      <c r="AP123" s="96">
        <f t="shared" si="14"/>
        <v>65</v>
      </c>
      <c r="AQ123" s="96">
        <f t="shared" si="14"/>
        <v>77.777777777777786</v>
      </c>
      <c r="AR123" s="96">
        <f t="shared" si="14"/>
        <v>94.444444444444443</v>
      </c>
      <c r="AS123" s="96">
        <f t="shared" si="11"/>
        <v>50</v>
      </c>
      <c r="AT123" s="7"/>
      <c r="AU123" s="223"/>
      <c r="AV123" s="8" t="str">
        <f t="shared" si="15"/>
        <v/>
      </c>
      <c r="AW123" s="8" t="str">
        <f t="shared" si="16"/>
        <v/>
      </c>
      <c r="AX123" s="8" t="str">
        <f t="shared" si="17"/>
        <v/>
      </c>
      <c r="AY123" s="8" t="str">
        <f t="shared" si="18"/>
        <v/>
      </c>
      <c r="AZ123" s="8" t="str">
        <f t="shared" si="19"/>
        <v/>
      </c>
      <c r="BA123" s="8" t="str">
        <f t="shared" si="20"/>
        <v/>
      </c>
      <c r="BB123" s="8">
        <f t="shared" si="21"/>
        <v>0</v>
      </c>
    </row>
    <row r="124" spans="1:54">
      <c r="A124" s="65">
        <v>105</v>
      </c>
      <c r="B124" s="43" t="str">
        <f>IF('1'!B124=0,"",'1'!B124)</f>
        <v/>
      </c>
      <c r="C124" s="43" t="str">
        <f>IF('1'!C124=0,"",'1'!C124)</f>
        <v/>
      </c>
      <c r="D124" s="43">
        <f>'1'!D124</f>
        <v>0</v>
      </c>
      <c r="E124" s="43">
        <f>'1'!E124</f>
        <v>0</v>
      </c>
      <c r="F124" s="43">
        <f>'1'!F124</f>
        <v>0</v>
      </c>
      <c r="G124" s="43">
        <f>'1'!G124</f>
        <v>0</v>
      </c>
      <c r="H124" s="43">
        <f>'1'!H124</f>
        <v>0</v>
      </c>
      <c r="I124" s="43">
        <f>'1'!I124</f>
        <v>0</v>
      </c>
      <c r="J124" s="43">
        <f>'1'!J124</f>
        <v>0</v>
      </c>
      <c r="K124" s="43">
        <f>'1'!K124</f>
        <v>0</v>
      </c>
      <c r="L124" s="43">
        <f>'1'!L124</f>
        <v>0</v>
      </c>
      <c r="M124" s="43">
        <f>'1'!M124</f>
        <v>0</v>
      </c>
      <c r="N124" s="43">
        <f>'1'!N124</f>
        <v>0</v>
      </c>
      <c r="O124" s="43">
        <f>'1'!O124</f>
        <v>0</v>
      </c>
      <c r="P124" s="216">
        <f>'2'!D124</f>
        <v>0</v>
      </c>
      <c r="Q124" s="216">
        <f>'2'!E124</f>
        <v>0</v>
      </c>
      <c r="R124" s="216">
        <f>'2'!F124</f>
        <v>0</v>
      </c>
      <c r="S124" s="216">
        <f>'2'!G124</f>
        <v>0</v>
      </c>
      <c r="T124" s="216">
        <f>'2'!H124</f>
        <v>0</v>
      </c>
      <c r="U124" s="216">
        <f>'2'!I124</f>
        <v>0</v>
      </c>
      <c r="V124" s="216">
        <f>'2'!J124</f>
        <v>0</v>
      </c>
      <c r="W124" s="216">
        <f>'2'!K124</f>
        <v>0</v>
      </c>
      <c r="X124" s="216">
        <f>'2'!L124</f>
        <v>0</v>
      </c>
      <c r="Y124" s="216">
        <f>'2'!M124</f>
        <v>0</v>
      </c>
      <c r="Z124" s="216">
        <f>'2'!N124</f>
        <v>0</v>
      </c>
      <c r="AA124" s="216">
        <f>'2'!O124</f>
        <v>0</v>
      </c>
      <c r="AB124" s="87" t="str">
        <f t="shared" si="12"/>
        <v/>
      </c>
      <c r="AC124" s="87">
        <v>9</v>
      </c>
      <c r="AD124" s="87">
        <v>1</v>
      </c>
      <c r="AE124" s="87">
        <v>3</v>
      </c>
      <c r="AF124" s="87">
        <v>5.5</v>
      </c>
      <c r="AG124" s="87">
        <v>1</v>
      </c>
      <c r="AH124" s="87">
        <f t="shared" si="13"/>
        <v>19.5</v>
      </c>
      <c r="AI124" s="87">
        <v>13</v>
      </c>
      <c r="AJ124" s="87">
        <v>7</v>
      </c>
      <c r="AK124" s="87">
        <v>9</v>
      </c>
      <c r="AL124" s="87">
        <v>9</v>
      </c>
      <c r="AM124" s="87">
        <v>2</v>
      </c>
      <c r="AN124" s="7"/>
      <c r="AO124" s="96">
        <f t="shared" si="14"/>
        <v>69.230769230769226</v>
      </c>
      <c r="AP124" s="96">
        <f t="shared" si="14"/>
        <v>14.285714285714285</v>
      </c>
      <c r="AQ124" s="96">
        <f t="shared" si="14"/>
        <v>33.333333333333329</v>
      </c>
      <c r="AR124" s="96">
        <f t="shared" si="14"/>
        <v>61.111111111111114</v>
      </c>
      <c r="AS124" s="96">
        <f t="shared" si="11"/>
        <v>50</v>
      </c>
      <c r="AT124" s="7"/>
      <c r="AU124" s="223"/>
      <c r="AV124" s="8" t="str">
        <f t="shared" si="15"/>
        <v/>
      </c>
      <c r="AW124" s="8" t="str">
        <f t="shared" si="16"/>
        <v/>
      </c>
      <c r="AX124" s="8" t="str">
        <f t="shared" si="17"/>
        <v/>
      </c>
      <c r="AY124" s="8" t="str">
        <f t="shared" si="18"/>
        <v/>
      </c>
      <c r="AZ124" s="8" t="str">
        <f t="shared" si="19"/>
        <v/>
      </c>
      <c r="BA124" s="8" t="str">
        <f t="shared" si="20"/>
        <v/>
      </c>
      <c r="BB124" s="8">
        <f t="shared" si="21"/>
        <v>0</v>
      </c>
    </row>
    <row r="125" spans="1:54" ht="18" customHeight="1">
      <c r="A125" s="65">
        <v>106</v>
      </c>
      <c r="B125" s="43" t="str">
        <f>IF('1'!B125=0,"",'1'!B125)</f>
        <v/>
      </c>
      <c r="C125" s="43" t="str">
        <f>IF('1'!C125=0,"",'1'!C125)</f>
        <v/>
      </c>
      <c r="D125" s="43">
        <f>'1'!D125</f>
        <v>0</v>
      </c>
      <c r="E125" s="43">
        <f>'1'!E125</f>
        <v>0</v>
      </c>
      <c r="F125" s="43">
        <f>'1'!F125</f>
        <v>0</v>
      </c>
      <c r="G125" s="43">
        <f>'1'!G125</f>
        <v>0</v>
      </c>
      <c r="H125" s="43">
        <f>'1'!H125</f>
        <v>0</v>
      </c>
      <c r="I125" s="43">
        <f>'1'!I125</f>
        <v>0</v>
      </c>
      <c r="J125" s="43">
        <f>'1'!J125</f>
        <v>0</v>
      </c>
      <c r="K125" s="43">
        <f>'1'!K125</f>
        <v>0</v>
      </c>
      <c r="L125" s="43">
        <f>'1'!L125</f>
        <v>0</v>
      </c>
      <c r="M125" s="43">
        <f>'1'!M125</f>
        <v>0</v>
      </c>
      <c r="N125" s="43">
        <f>'1'!N125</f>
        <v>0</v>
      </c>
      <c r="O125" s="43">
        <f>'1'!O125</f>
        <v>0</v>
      </c>
      <c r="P125" s="216">
        <f>'2'!D125</f>
        <v>0</v>
      </c>
      <c r="Q125" s="216">
        <f>'2'!E125</f>
        <v>0</v>
      </c>
      <c r="R125" s="216">
        <f>'2'!F125</f>
        <v>0</v>
      </c>
      <c r="S125" s="216">
        <f>'2'!G125</f>
        <v>0</v>
      </c>
      <c r="T125" s="216">
        <f>'2'!H125</f>
        <v>0</v>
      </c>
      <c r="U125" s="216">
        <f>'2'!I125</f>
        <v>0</v>
      </c>
      <c r="V125" s="216">
        <f>'2'!J125</f>
        <v>0</v>
      </c>
      <c r="W125" s="216">
        <f>'2'!K125</f>
        <v>0</v>
      </c>
      <c r="X125" s="216">
        <f>'2'!L125</f>
        <v>0</v>
      </c>
      <c r="Y125" s="216">
        <f>'2'!M125</f>
        <v>0</v>
      </c>
      <c r="Z125" s="216">
        <f>'2'!N125</f>
        <v>0</v>
      </c>
      <c r="AA125" s="216">
        <f>'2'!O125</f>
        <v>0</v>
      </c>
      <c r="AB125" s="87" t="str">
        <f t="shared" si="12"/>
        <v/>
      </c>
      <c r="AC125" s="87">
        <v>10</v>
      </c>
      <c r="AD125" s="87">
        <v>9.5</v>
      </c>
      <c r="AE125" s="87">
        <v>8</v>
      </c>
      <c r="AF125" s="87">
        <v>9</v>
      </c>
      <c r="AG125" s="87">
        <v>2</v>
      </c>
      <c r="AH125" s="87">
        <f t="shared" si="13"/>
        <v>38.5</v>
      </c>
      <c r="AI125" s="87">
        <v>10</v>
      </c>
      <c r="AJ125" s="87">
        <v>10</v>
      </c>
      <c r="AK125" s="87">
        <v>9</v>
      </c>
      <c r="AL125" s="87">
        <v>9</v>
      </c>
      <c r="AM125" s="87">
        <v>2</v>
      </c>
      <c r="AN125" s="7"/>
      <c r="AO125" s="96">
        <f t="shared" si="14"/>
        <v>100</v>
      </c>
      <c r="AP125" s="96">
        <f t="shared" si="14"/>
        <v>95</v>
      </c>
      <c r="AQ125" s="96">
        <f t="shared" si="14"/>
        <v>88.888888888888886</v>
      </c>
      <c r="AR125" s="96">
        <f t="shared" si="14"/>
        <v>100</v>
      </c>
      <c r="AS125" s="96">
        <f t="shared" si="11"/>
        <v>100</v>
      </c>
      <c r="AT125" s="7"/>
      <c r="AU125" s="223"/>
      <c r="AV125" s="8" t="str">
        <f t="shared" si="15"/>
        <v/>
      </c>
      <c r="AW125" s="8" t="str">
        <f t="shared" si="16"/>
        <v/>
      </c>
      <c r="AX125" s="8" t="str">
        <f t="shared" si="17"/>
        <v/>
      </c>
      <c r="AY125" s="8" t="str">
        <f t="shared" si="18"/>
        <v/>
      </c>
      <c r="AZ125" s="8" t="str">
        <f t="shared" si="19"/>
        <v/>
      </c>
      <c r="BA125" s="8" t="str">
        <f t="shared" si="20"/>
        <v/>
      </c>
      <c r="BB125" s="8">
        <f t="shared" si="21"/>
        <v>0</v>
      </c>
    </row>
    <row r="126" spans="1:54" ht="18" customHeight="1">
      <c r="A126" s="65">
        <v>107</v>
      </c>
      <c r="B126" s="43" t="str">
        <f>IF('1'!B126=0,"",'1'!B126)</f>
        <v/>
      </c>
      <c r="C126" s="43" t="str">
        <f>IF('1'!C126=0,"",'1'!C126)</f>
        <v/>
      </c>
      <c r="D126" s="43">
        <f>'1'!D126</f>
        <v>0</v>
      </c>
      <c r="E126" s="43">
        <f>'1'!E126</f>
        <v>0</v>
      </c>
      <c r="F126" s="43">
        <f>'1'!F126</f>
        <v>0</v>
      </c>
      <c r="G126" s="43">
        <f>'1'!G126</f>
        <v>0</v>
      </c>
      <c r="H126" s="43">
        <f>'1'!H126</f>
        <v>0</v>
      </c>
      <c r="I126" s="43">
        <f>'1'!I126</f>
        <v>0</v>
      </c>
      <c r="J126" s="43">
        <f>'1'!J126</f>
        <v>0</v>
      </c>
      <c r="K126" s="43">
        <f>'1'!K126</f>
        <v>0</v>
      </c>
      <c r="L126" s="43">
        <f>'1'!L126</f>
        <v>0</v>
      </c>
      <c r="M126" s="43">
        <f>'1'!M126</f>
        <v>0</v>
      </c>
      <c r="N126" s="43">
        <f>'1'!N126</f>
        <v>0</v>
      </c>
      <c r="O126" s="43">
        <f>'1'!O126</f>
        <v>0</v>
      </c>
      <c r="P126" s="216">
        <f>'2'!D126</f>
        <v>0</v>
      </c>
      <c r="Q126" s="216">
        <f>'2'!E126</f>
        <v>0</v>
      </c>
      <c r="R126" s="216">
        <f>'2'!F126</f>
        <v>0</v>
      </c>
      <c r="S126" s="216">
        <f>'2'!G126</f>
        <v>0</v>
      </c>
      <c r="T126" s="216">
        <f>'2'!H126</f>
        <v>0</v>
      </c>
      <c r="U126" s="216">
        <f>'2'!I126</f>
        <v>0</v>
      </c>
      <c r="V126" s="216">
        <f>'2'!J126</f>
        <v>0</v>
      </c>
      <c r="W126" s="216">
        <f>'2'!K126</f>
        <v>0</v>
      </c>
      <c r="X126" s="216">
        <f>'2'!L126</f>
        <v>0</v>
      </c>
      <c r="Y126" s="216">
        <f>'2'!M126</f>
        <v>0</v>
      </c>
      <c r="Z126" s="216">
        <f>'2'!N126</f>
        <v>0</v>
      </c>
      <c r="AA126" s="216">
        <f>'2'!O126</f>
        <v>0</v>
      </c>
      <c r="AB126" s="87" t="str">
        <f t="shared" si="12"/>
        <v/>
      </c>
      <c r="AC126" s="87">
        <v>8</v>
      </c>
      <c r="AD126" s="87">
        <v>8.5</v>
      </c>
      <c r="AE126" s="87">
        <v>0</v>
      </c>
      <c r="AF126" s="87">
        <v>8</v>
      </c>
      <c r="AG126" s="87">
        <v>7</v>
      </c>
      <c r="AH126" s="87">
        <f t="shared" si="13"/>
        <v>31.5</v>
      </c>
      <c r="AI126" s="87">
        <v>10</v>
      </c>
      <c r="AJ126" s="87">
        <v>10</v>
      </c>
      <c r="AK126" s="87">
        <v>2</v>
      </c>
      <c r="AL126" s="87">
        <v>9</v>
      </c>
      <c r="AM126" s="87">
        <v>9</v>
      </c>
      <c r="AN126" s="7"/>
      <c r="AO126" s="96">
        <f t="shared" si="14"/>
        <v>80</v>
      </c>
      <c r="AP126" s="96">
        <f t="shared" si="14"/>
        <v>85</v>
      </c>
      <c r="AQ126" s="96">
        <f t="shared" si="14"/>
        <v>0</v>
      </c>
      <c r="AR126" s="96">
        <f t="shared" si="14"/>
        <v>88.888888888888886</v>
      </c>
      <c r="AS126" s="96">
        <f t="shared" si="11"/>
        <v>77.777777777777786</v>
      </c>
      <c r="AT126" s="7"/>
      <c r="AU126" s="223"/>
      <c r="AV126" s="8" t="str">
        <f t="shared" si="15"/>
        <v/>
      </c>
      <c r="AW126" s="8" t="str">
        <f t="shared" si="16"/>
        <v/>
      </c>
      <c r="AX126" s="8" t="str">
        <f t="shared" si="17"/>
        <v/>
      </c>
      <c r="AY126" s="8" t="str">
        <f t="shared" si="18"/>
        <v/>
      </c>
      <c r="AZ126" s="8" t="str">
        <f t="shared" si="19"/>
        <v/>
      </c>
      <c r="BA126" s="8" t="str">
        <f t="shared" si="20"/>
        <v/>
      </c>
      <c r="BB126" s="8">
        <f t="shared" si="21"/>
        <v>0</v>
      </c>
    </row>
    <row r="127" spans="1:54" ht="18" customHeight="1">
      <c r="A127" s="65">
        <v>108</v>
      </c>
      <c r="B127" s="43" t="str">
        <f>IF('1'!B127=0,"",'1'!B127)</f>
        <v/>
      </c>
      <c r="C127" s="43" t="str">
        <f>IF('1'!C127=0,"",'1'!C127)</f>
        <v/>
      </c>
      <c r="D127" s="43">
        <f>'1'!D127</f>
        <v>0</v>
      </c>
      <c r="E127" s="43">
        <f>'1'!E127</f>
        <v>0</v>
      </c>
      <c r="F127" s="43">
        <f>'1'!F127</f>
        <v>0</v>
      </c>
      <c r="G127" s="43">
        <f>'1'!G127</f>
        <v>0</v>
      </c>
      <c r="H127" s="43">
        <f>'1'!H127</f>
        <v>0</v>
      </c>
      <c r="I127" s="43">
        <f>'1'!I127</f>
        <v>0</v>
      </c>
      <c r="J127" s="43">
        <f>'1'!J127</f>
        <v>0</v>
      </c>
      <c r="K127" s="43">
        <f>'1'!K127</f>
        <v>0</v>
      </c>
      <c r="L127" s="43">
        <f>'1'!L127</f>
        <v>0</v>
      </c>
      <c r="M127" s="43">
        <f>'1'!M127</f>
        <v>0</v>
      </c>
      <c r="N127" s="43">
        <f>'1'!N127</f>
        <v>0</v>
      </c>
      <c r="O127" s="43">
        <f>'1'!O127</f>
        <v>0</v>
      </c>
      <c r="P127" s="216">
        <f>'2'!D127</f>
        <v>0</v>
      </c>
      <c r="Q127" s="216">
        <f>'2'!E127</f>
        <v>0</v>
      </c>
      <c r="R127" s="216">
        <f>'2'!F127</f>
        <v>0</v>
      </c>
      <c r="S127" s="216">
        <f>'2'!G127</f>
        <v>0</v>
      </c>
      <c r="T127" s="216">
        <f>'2'!H127</f>
        <v>0</v>
      </c>
      <c r="U127" s="216">
        <f>'2'!I127</f>
        <v>0</v>
      </c>
      <c r="V127" s="216">
        <f>'2'!J127</f>
        <v>0</v>
      </c>
      <c r="W127" s="216">
        <f>'2'!K127</f>
        <v>0</v>
      </c>
      <c r="X127" s="216">
        <f>'2'!L127</f>
        <v>0</v>
      </c>
      <c r="Y127" s="216">
        <f>'2'!M127</f>
        <v>0</v>
      </c>
      <c r="Z127" s="216">
        <f>'2'!N127</f>
        <v>0</v>
      </c>
      <c r="AA127" s="216">
        <f>'2'!O127</f>
        <v>0</v>
      </c>
      <c r="AB127" s="87" t="str">
        <f t="shared" si="12"/>
        <v/>
      </c>
      <c r="AC127" s="87">
        <v>12</v>
      </c>
      <c r="AD127" s="87">
        <v>6.5</v>
      </c>
      <c r="AE127" s="87">
        <v>7</v>
      </c>
      <c r="AF127" s="87">
        <v>9</v>
      </c>
      <c r="AG127" s="87">
        <v>1.5</v>
      </c>
      <c r="AH127" s="87">
        <f t="shared" si="13"/>
        <v>36</v>
      </c>
      <c r="AI127" s="87">
        <v>13</v>
      </c>
      <c r="AJ127" s="87">
        <v>7</v>
      </c>
      <c r="AK127" s="87">
        <v>9</v>
      </c>
      <c r="AL127" s="87">
        <v>9</v>
      </c>
      <c r="AM127" s="87">
        <v>2</v>
      </c>
      <c r="AN127" s="7"/>
      <c r="AO127" s="96">
        <f t="shared" si="14"/>
        <v>92.307692307692307</v>
      </c>
      <c r="AP127" s="96">
        <f t="shared" si="14"/>
        <v>92.857142857142861</v>
      </c>
      <c r="AQ127" s="96">
        <f t="shared" si="14"/>
        <v>77.777777777777786</v>
      </c>
      <c r="AR127" s="96">
        <f t="shared" si="14"/>
        <v>100</v>
      </c>
      <c r="AS127" s="96">
        <f t="shared" si="11"/>
        <v>75</v>
      </c>
      <c r="AT127" s="7"/>
      <c r="AU127" s="223"/>
      <c r="AV127" s="8" t="str">
        <f t="shared" si="15"/>
        <v/>
      </c>
      <c r="AW127" s="8" t="str">
        <f t="shared" si="16"/>
        <v/>
      </c>
      <c r="AX127" s="8" t="str">
        <f t="shared" si="17"/>
        <v/>
      </c>
      <c r="AY127" s="8" t="str">
        <f t="shared" si="18"/>
        <v/>
      </c>
      <c r="AZ127" s="8" t="str">
        <f t="shared" si="19"/>
        <v/>
      </c>
      <c r="BA127" s="8" t="str">
        <f t="shared" si="20"/>
        <v/>
      </c>
      <c r="BB127" s="8">
        <f t="shared" si="21"/>
        <v>0</v>
      </c>
    </row>
    <row r="128" spans="1:54" ht="18" customHeight="1">
      <c r="A128" s="65">
        <v>109</v>
      </c>
      <c r="B128" s="43" t="str">
        <f>IF('1'!B128=0,"",'1'!B128)</f>
        <v/>
      </c>
      <c r="C128" s="43" t="str">
        <f>IF('1'!C128=0,"",'1'!C128)</f>
        <v/>
      </c>
      <c r="D128" s="43">
        <f>'1'!D128</f>
        <v>0</v>
      </c>
      <c r="E128" s="43">
        <f>'1'!E128</f>
        <v>0</v>
      </c>
      <c r="F128" s="43">
        <f>'1'!F128</f>
        <v>0</v>
      </c>
      <c r="G128" s="43">
        <f>'1'!G128</f>
        <v>0</v>
      </c>
      <c r="H128" s="43">
        <f>'1'!H128</f>
        <v>0</v>
      </c>
      <c r="I128" s="43">
        <f>'1'!I128</f>
        <v>0</v>
      </c>
      <c r="J128" s="43">
        <f>'1'!J128</f>
        <v>0</v>
      </c>
      <c r="K128" s="43">
        <f>'1'!K128</f>
        <v>0</v>
      </c>
      <c r="L128" s="43">
        <f>'1'!L128</f>
        <v>0</v>
      </c>
      <c r="M128" s="43">
        <f>'1'!M128</f>
        <v>0</v>
      </c>
      <c r="N128" s="43">
        <f>'1'!N128</f>
        <v>0</v>
      </c>
      <c r="O128" s="43">
        <f>'1'!O128</f>
        <v>0</v>
      </c>
      <c r="P128" s="216">
        <f>'2'!D128</f>
        <v>0</v>
      </c>
      <c r="Q128" s="216">
        <f>'2'!E128</f>
        <v>0</v>
      </c>
      <c r="R128" s="216">
        <f>'2'!F128</f>
        <v>0</v>
      </c>
      <c r="S128" s="216">
        <f>'2'!G128</f>
        <v>0</v>
      </c>
      <c r="T128" s="216">
        <f>'2'!H128</f>
        <v>0</v>
      </c>
      <c r="U128" s="216">
        <f>'2'!I128</f>
        <v>0</v>
      </c>
      <c r="V128" s="216">
        <f>'2'!J128</f>
        <v>0</v>
      </c>
      <c r="W128" s="216">
        <f>'2'!K128</f>
        <v>0</v>
      </c>
      <c r="X128" s="216">
        <f>'2'!L128</f>
        <v>0</v>
      </c>
      <c r="Y128" s="216">
        <f>'2'!M128</f>
        <v>0</v>
      </c>
      <c r="Z128" s="216">
        <f>'2'!N128</f>
        <v>0</v>
      </c>
      <c r="AA128" s="216">
        <f>'2'!O128</f>
        <v>0</v>
      </c>
      <c r="AB128" s="87" t="str">
        <f t="shared" si="12"/>
        <v/>
      </c>
      <c r="AC128" s="87">
        <v>7</v>
      </c>
      <c r="AD128" s="87">
        <v>7</v>
      </c>
      <c r="AE128" s="87">
        <v>1</v>
      </c>
      <c r="AF128" s="87">
        <v>6.5</v>
      </c>
      <c r="AG128" s="87">
        <v>4</v>
      </c>
      <c r="AH128" s="87">
        <f t="shared" si="13"/>
        <v>25.5</v>
      </c>
      <c r="AI128" s="87">
        <v>10</v>
      </c>
      <c r="AJ128" s="87">
        <v>10</v>
      </c>
      <c r="AK128" s="87">
        <v>2</v>
      </c>
      <c r="AL128" s="87">
        <v>9</v>
      </c>
      <c r="AM128" s="87">
        <v>9</v>
      </c>
      <c r="AN128" s="7"/>
      <c r="AO128" s="96">
        <f t="shared" si="14"/>
        <v>70</v>
      </c>
      <c r="AP128" s="96">
        <f t="shared" si="14"/>
        <v>70</v>
      </c>
      <c r="AQ128" s="96">
        <f t="shared" si="14"/>
        <v>50</v>
      </c>
      <c r="AR128" s="96">
        <f t="shared" si="14"/>
        <v>72.222222222222214</v>
      </c>
      <c r="AS128" s="96">
        <f t="shared" si="11"/>
        <v>44.444444444444443</v>
      </c>
      <c r="AT128" s="7"/>
      <c r="AU128" s="223"/>
      <c r="AV128" s="8" t="str">
        <f t="shared" si="15"/>
        <v/>
      </c>
      <c r="AW128" s="8" t="str">
        <f t="shared" si="16"/>
        <v/>
      </c>
      <c r="AX128" s="8" t="str">
        <f t="shared" si="17"/>
        <v/>
      </c>
      <c r="AY128" s="8" t="str">
        <f t="shared" si="18"/>
        <v/>
      </c>
      <c r="AZ128" s="8" t="str">
        <f t="shared" si="19"/>
        <v/>
      </c>
      <c r="BA128" s="8" t="str">
        <f t="shared" si="20"/>
        <v/>
      </c>
      <c r="BB128" s="8">
        <f t="shared" si="21"/>
        <v>0</v>
      </c>
    </row>
    <row r="129" spans="1:54" ht="18" customHeight="1">
      <c r="A129" s="65">
        <v>110</v>
      </c>
      <c r="B129" s="43" t="str">
        <f>IF('1'!B129=0,"",'1'!B129)</f>
        <v/>
      </c>
      <c r="C129" s="43" t="str">
        <f>IF('1'!C129=0,"",'1'!C129)</f>
        <v/>
      </c>
      <c r="D129" s="43">
        <f>'1'!D129</f>
        <v>0</v>
      </c>
      <c r="E129" s="43">
        <f>'1'!E129</f>
        <v>0</v>
      </c>
      <c r="F129" s="43">
        <f>'1'!F129</f>
        <v>0</v>
      </c>
      <c r="G129" s="43">
        <f>'1'!G129</f>
        <v>0</v>
      </c>
      <c r="H129" s="43">
        <f>'1'!H129</f>
        <v>0</v>
      </c>
      <c r="I129" s="43">
        <f>'1'!I129</f>
        <v>0</v>
      </c>
      <c r="J129" s="43">
        <f>'1'!J129</f>
        <v>0</v>
      </c>
      <c r="K129" s="43">
        <f>'1'!K129</f>
        <v>0</v>
      </c>
      <c r="L129" s="43">
        <f>'1'!L129</f>
        <v>0</v>
      </c>
      <c r="M129" s="43">
        <f>'1'!M129</f>
        <v>0</v>
      </c>
      <c r="N129" s="43">
        <f>'1'!N129</f>
        <v>0</v>
      </c>
      <c r="O129" s="43">
        <f>'1'!O129</f>
        <v>0</v>
      </c>
      <c r="P129" s="216">
        <f>'2'!D129</f>
        <v>0</v>
      </c>
      <c r="Q129" s="216">
        <f>'2'!E129</f>
        <v>0</v>
      </c>
      <c r="R129" s="216">
        <f>'2'!F129</f>
        <v>0</v>
      </c>
      <c r="S129" s="216">
        <f>'2'!G129</f>
        <v>0</v>
      </c>
      <c r="T129" s="216">
        <f>'2'!H129</f>
        <v>0</v>
      </c>
      <c r="U129" s="216">
        <f>'2'!I129</f>
        <v>0</v>
      </c>
      <c r="V129" s="216">
        <f>'2'!J129</f>
        <v>0</v>
      </c>
      <c r="W129" s="216">
        <f>'2'!K129</f>
        <v>0</v>
      </c>
      <c r="X129" s="216">
        <f>'2'!L129</f>
        <v>0</v>
      </c>
      <c r="Y129" s="216">
        <f>'2'!M129</f>
        <v>0</v>
      </c>
      <c r="Z129" s="216">
        <f>'2'!N129</f>
        <v>0</v>
      </c>
      <c r="AA129" s="216">
        <f>'2'!O129</f>
        <v>0</v>
      </c>
      <c r="AB129" s="87" t="str">
        <f t="shared" si="12"/>
        <v/>
      </c>
      <c r="AC129" s="87">
        <v>8</v>
      </c>
      <c r="AD129" s="87">
        <v>3</v>
      </c>
      <c r="AE129" s="87">
        <v>8</v>
      </c>
      <c r="AF129" s="87">
        <v>6.5</v>
      </c>
      <c r="AG129" s="87">
        <v>1</v>
      </c>
      <c r="AH129" s="87">
        <f t="shared" si="13"/>
        <v>26.5</v>
      </c>
      <c r="AI129" s="87">
        <v>13</v>
      </c>
      <c r="AJ129" s="87">
        <v>7</v>
      </c>
      <c r="AK129" s="87">
        <v>9</v>
      </c>
      <c r="AL129" s="87">
        <v>9</v>
      </c>
      <c r="AM129" s="87">
        <v>2</v>
      </c>
      <c r="AN129" s="7"/>
      <c r="AO129" s="96">
        <f t="shared" si="14"/>
        <v>61.53846153846154</v>
      </c>
      <c r="AP129" s="96">
        <f t="shared" si="14"/>
        <v>42.857142857142854</v>
      </c>
      <c r="AQ129" s="96">
        <f t="shared" si="14"/>
        <v>88.888888888888886</v>
      </c>
      <c r="AR129" s="96">
        <f t="shared" si="14"/>
        <v>72.222222222222214</v>
      </c>
      <c r="AS129" s="96">
        <f t="shared" si="11"/>
        <v>50</v>
      </c>
      <c r="AT129" s="7"/>
      <c r="AU129" s="223"/>
      <c r="AV129" s="8" t="str">
        <f t="shared" si="15"/>
        <v/>
      </c>
      <c r="AW129" s="8" t="str">
        <f t="shared" si="16"/>
        <v/>
      </c>
      <c r="AX129" s="8" t="str">
        <f t="shared" si="17"/>
        <v/>
      </c>
      <c r="AY129" s="8" t="str">
        <f t="shared" si="18"/>
        <v/>
      </c>
      <c r="AZ129" s="8" t="str">
        <f t="shared" si="19"/>
        <v/>
      </c>
      <c r="BA129" s="8" t="str">
        <f t="shared" si="20"/>
        <v/>
      </c>
      <c r="BB129" s="8">
        <f t="shared" si="21"/>
        <v>0</v>
      </c>
    </row>
    <row r="130" spans="1:54" ht="18" customHeight="1">
      <c r="A130" s="65">
        <v>111</v>
      </c>
      <c r="B130" s="43" t="str">
        <f>IF('1'!B130=0,"",'1'!B130)</f>
        <v/>
      </c>
      <c r="C130" s="43" t="str">
        <f>IF('1'!C130=0,"",'1'!C130)</f>
        <v/>
      </c>
      <c r="D130" s="43">
        <f>'1'!D130</f>
        <v>0</v>
      </c>
      <c r="E130" s="43">
        <f>'1'!E130</f>
        <v>0</v>
      </c>
      <c r="F130" s="43">
        <f>'1'!F130</f>
        <v>0</v>
      </c>
      <c r="G130" s="43">
        <f>'1'!G130</f>
        <v>0</v>
      </c>
      <c r="H130" s="43">
        <f>'1'!H130</f>
        <v>0</v>
      </c>
      <c r="I130" s="43">
        <f>'1'!I130</f>
        <v>0</v>
      </c>
      <c r="J130" s="43">
        <f>'1'!J130</f>
        <v>0</v>
      </c>
      <c r="K130" s="43">
        <f>'1'!K130</f>
        <v>0</v>
      </c>
      <c r="L130" s="43">
        <f>'1'!L130</f>
        <v>0</v>
      </c>
      <c r="M130" s="43">
        <f>'1'!M130</f>
        <v>0</v>
      </c>
      <c r="N130" s="43">
        <f>'1'!N130</f>
        <v>0</v>
      </c>
      <c r="O130" s="43">
        <f>'1'!O130</f>
        <v>0</v>
      </c>
      <c r="P130" s="216">
        <f>'2'!D130</f>
        <v>0</v>
      </c>
      <c r="Q130" s="216">
        <f>'2'!E130</f>
        <v>0</v>
      </c>
      <c r="R130" s="216">
        <f>'2'!F130</f>
        <v>0</v>
      </c>
      <c r="S130" s="216">
        <f>'2'!G130</f>
        <v>0</v>
      </c>
      <c r="T130" s="216">
        <f>'2'!H130</f>
        <v>0</v>
      </c>
      <c r="U130" s="216">
        <f>'2'!I130</f>
        <v>0</v>
      </c>
      <c r="V130" s="216">
        <f>'2'!J130</f>
        <v>0</v>
      </c>
      <c r="W130" s="216">
        <f>'2'!K130</f>
        <v>0</v>
      </c>
      <c r="X130" s="216">
        <f>'2'!L130</f>
        <v>0</v>
      </c>
      <c r="Y130" s="216">
        <f>'2'!M130</f>
        <v>0</v>
      </c>
      <c r="Z130" s="216">
        <f>'2'!N130</f>
        <v>0</v>
      </c>
      <c r="AA130" s="216">
        <f>'2'!O130</f>
        <v>0</v>
      </c>
      <c r="AB130" s="87" t="str">
        <f t="shared" si="12"/>
        <v/>
      </c>
      <c r="AC130" s="87">
        <v>5</v>
      </c>
      <c r="AD130" s="87">
        <v>13</v>
      </c>
      <c r="AE130" s="87">
        <v>2</v>
      </c>
      <c r="AF130" s="87">
        <v>8.5</v>
      </c>
      <c r="AG130" s="87">
        <v>9</v>
      </c>
      <c r="AH130" s="87">
        <f t="shared" si="13"/>
        <v>37.5</v>
      </c>
      <c r="AI130" s="87">
        <v>6</v>
      </c>
      <c r="AJ130" s="87">
        <v>14</v>
      </c>
      <c r="AK130" s="87">
        <v>2</v>
      </c>
      <c r="AL130" s="87">
        <v>9</v>
      </c>
      <c r="AM130" s="87">
        <v>9</v>
      </c>
      <c r="AN130" s="7"/>
      <c r="AO130" s="96">
        <f t="shared" si="14"/>
        <v>83.333333333333343</v>
      </c>
      <c r="AP130" s="96">
        <f t="shared" si="14"/>
        <v>92.857142857142861</v>
      </c>
      <c r="AQ130" s="96">
        <f t="shared" si="14"/>
        <v>100</v>
      </c>
      <c r="AR130" s="96">
        <f t="shared" si="14"/>
        <v>94.444444444444443</v>
      </c>
      <c r="AS130" s="96">
        <f t="shared" si="11"/>
        <v>100</v>
      </c>
      <c r="AT130" s="7"/>
      <c r="AU130" s="223"/>
      <c r="AV130" s="8" t="str">
        <f t="shared" si="15"/>
        <v/>
      </c>
      <c r="AW130" s="8" t="str">
        <f t="shared" si="16"/>
        <v/>
      </c>
      <c r="AX130" s="8" t="str">
        <f t="shared" si="17"/>
        <v/>
      </c>
      <c r="AY130" s="8" t="str">
        <f t="shared" si="18"/>
        <v/>
      </c>
      <c r="AZ130" s="8" t="str">
        <f t="shared" si="19"/>
        <v/>
      </c>
      <c r="BA130" s="8" t="str">
        <f t="shared" si="20"/>
        <v/>
      </c>
      <c r="BB130" s="8">
        <f t="shared" si="21"/>
        <v>0</v>
      </c>
    </row>
    <row r="131" spans="1:54" ht="18" customHeight="1">
      <c r="A131" s="65">
        <v>112</v>
      </c>
      <c r="B131" s="43" t="str">
        <f>IF('1'!B131=0,"",'1'!B131)</f>
        <v/>
      </c>
      <c r="C131" s="43" t="str">
        <f>IF('1'!C131=0,"",'1'!C131)</f>
        <v/>
      </c>
      <c r="D131" s="43">
        <f>'1'!D131</f>
        <v>0</v>
      </c>
      <c r="E131" s="43">
        <f>'1'!E131</f>
        <v>0</v>
      </c>
      <c r="F131" s="43">
        <f>'1'!F131</f>
        <v>0</v>
      </c>
      <c r="G131" s="43">
        <f>'1'!G131</f>
        <v>0</v>
      </c>
      <c r="H131" s="43">
        <f>'1'!H131</f>
        <v>0</v>
      </c>
      <c r="I131" s="43">
        <f>'1'!I131</f>
        <v>0</v>
      </c>
      <c r="J131" s="43">
        <f>'1'!J131</f>
        <v>0</v>
      </c>
      <c r="K131" s="43">
        <f>'1'!K131</f>
        <v>0</v>
      </c>
      <c r="L131" s="43">
        <f>'1'!L131</f>
        <v>0</v>
      </c>
      <c r="M131" s="43">
        <f>'1'!M131</f>
        <v>0</v>
      </c>
      <c r="N131" s="43">
        <f>'1'!N131</f>
        <v>0</v>
      </c>
      <c r="O131" s="43">
        <f>'1'!O131</f>
        <v>0</v>
      </c>
      <c r="P131" s="216">
        <f>'2'!D131</f>
        <v>0</v>
      </c>
      <c r="Q131" s="216">
        <f>'2'!E131</f>
        <v>0</v>
      </c>
      <c r="R131" s="216">
        <f>'2'!F131</f>
        <v>0</v>
      </c>
      <c r="S131" s="216">
        <f>'2'!G131</f>
        <v>0</v>
      </c>
      <c r="T131" s="216">
        <f>'2'!H131</f>
        <v>0</v>
      </c>
      <c r="U131" s="216">
        <f>'2'!I131</f>
        <v>0</v>
      </c>
      <c r="V131" s="216">
        <f>'2'!J131</f>
        <v>0</v>
      </c>
      <c r="W131" s="216">
        <f>'2'!K131</f>
        <v>0</v>
      </c>
      <c r="X131" s="216">
        <f>'2'!L131</f>
        <v>0</v>
      </c>
      <c r="Y131" s="216">
        <f>'2'!M131</f>
        <v>0</v>
      </c>
      <c r="Z131" s="216">
        <f>'2'!N131</f>
        <v>0</v>
      </c>
      <c r="AA131" s="216">
        <f>'2'!O131</f>
        <v>0</v>
      </c>
      <c r="AB131" s="87" t="str">
        <f t="shared" si="12"/>
        <v/>
      </c>
      <c r="AC131" s="87">
        <v>8</v>
      </c>
      <c r="AD131" s="87">
        <v>9</v>
      </c>
      <c r="AE131" s="87">
        <v>8</v>
      </c>
      <c r="AF131" s="87">
        <v>2</v>
      </c>
      <c r="AG131" s="87">
        <v>8</v>
      </c>
      <c r="AH131" s="87">
        <f t="shared" si="13"/>
        <v>35</v>
      </c>
      <c r="AI131" s="87">
        <v>10</v>
      </c>
      <c r="AJ131" s="87">
        <v>10</v>
      </c>
      <c r="AK131" s="87">
        <v>9</v>
      </c>
      <c r="AL131" s="87">
        <v>2</v>
      </c>
      <c r="AM131" s="87">
        <v>9</v>
      </c>
      <c r="AN131" s="7"/>
      <c r="AO131" s="96">
        <f t="shared" si="14"/>
        <v>80</v>
      </c>
      <c r="AP131" s="96">
        <f t="shared" si="14"/>
        <v>90</v>
      </c>
      <c r="AQ131" s="96">
        <f t="shared" si="14"/>
        <v>88.888888888888886</v>
      </c>
      <c r="AR131" s="96">
        <f t="shared" si="14"/>
        <v>100</v>
      </c>
      <c r="AS131" s="96">
        <f t="shared" si="11"/>
        <v>88.888888888888886</v>
      </c>
      <c r="AT131" s="7"/>
      <c r="AU131" s="223"/>
      <c r="AV131" s="8" t="str">
        <f t="shared" si="15"/>
        <v/>
      </c>
      <c r="AW131" s="8" t="str">
        <f t="shared" si="16"/>
        <v/>
      </c>
      <c r="AX131" s="8" t="str">
        <f t="shared" si="17"/>
        <v/>
      </c>
      <c r="AY131" s="8" t="str">
        <f t="shared" si="18"/>
        <v/>
      </c>
      <c r="AZ131" s="8" t="str">
        <f t="shared" si="19"/>
        <v/>
      </c>
      <c r="BA131" s="8" t="str">
        <f t="shared" si="20"/>
        <v/>
      </c>
      <c r="BB131" s="8">
        <f t="shared" si="21"/>
        <v>0</v>
      </c>
    </row>
    <row r="132" spans="1:54" ht="18" customHeight="1">
      <c r="A132" s="65">
        <v>113</v>
      </c>
      <c r="B132" s="43" t="str">
        <f>IF('1'!B132=0,"",'1'!B132)</f>
        <v/>
      </c>
      <c r="C132" s="43" t="str">
        <f>IF('1'!C132=0,"",'1'!C132)</f>
        <v/>
      </c>
      <c r="D132" s="43">
        <f>'1'!D132</f>
        <v>0</v>
      </c>
      <c r="E132" s="43">
        <f>'1'!E132</f>
        <v>0</v>
      </c>
      <c r="F132" s="43">
        <f>'1'!F132</f>
        <v>0</v>
      </c>
      <c r="G132" s="43">
        <f>'1'!G132</f>
        <v>0</v>
      </c>
      <c r="H132" s="43">
        <f>'1'!H132</f>
        <v>0</v>
      </c>
      <c r="I132" s="43">
        <f>'1'!I132</f>
        <v>0</v>
      </c>
      <c r="J132" s="43">
        <f>'1'!J132</f>
        <v>0</v>
      </c>
      <c r="K132" s="43">
        <f>'1'!K132</f>
        <v>0</v>
      </c>
      <c r="L132" s="43">
        <f>'1'!L132</f>
        <v>0</v>
      </c>
      <c r="M132" s="43">
        <f>'1'!M132</f>
        <v>0</v>
      </c>
      <c r="N132" s="43">
        <f>'1'!N132</f>
        <v>0</v>
      </c>
      <c r="O132" s="43">
        <f>'1'!O132</f>
        <v>0</v>
      </c>
      <c r="P132" s="216">
        <f>'2'!D132</f>
        <v>0</v>
      </c>
      <c r="Q132" s="216">
        <f>'2'!E132</f>
        <v>0</v>
      </c>
      <c r="R132" s="216">
        <f>'2'!F132</f>
        <v>0</v>
      </c>
      <c r="S132" s="216">
        <f>'2'!G132</f>
        <v>0</v>
      </c>
      <c r="T132" s="216">
        <f>'2'!H132</f>
        <v>0</v>
      </c>
      <c r="U132" s="216">
        <f>'2'!I132</f>
        <v>0</v>
      </c>
      <c r="V132" s="216">
        <f>'2'!J132</f>
        <v>0</v>
      </c>
      <c r="W132" s="216">
        <f>'2'!K132</f>
        <v>0</v>
      </c>
      <c r="X132" s="216">
        <f>'2'!L132</f>
        <v>0</v>
      </c>
      <c r="Y132" s="216">
        <f>'2'!M132</f>
        <v>0</v>
      </c>
      <c r="Z132" s="216">
        <f>'2'!N132</f>
        <v>0</v>
      </c>
      <c r="AA132" s="216">
        <f>'2'!O132</f>
        <v>0</v>
      </c>
      <c r="AB132" s="87" t="str">
        <f t="shared" si="12"/>
        <v/>
      </c>
      <c r="AC132" s="87">
        <v>9</v>
      </c>
      <c r="AD132" s="87">
        <v>4.5</v>
      </c>
      <c r="AE132" s="87">
        <v>7</v>
      </c>
      <c r="AF132" s="87">
        <v>8</v>
      </c>
      <c r="AG132" s="87">
        <v>0</v>
      </c>
      <c r="AH132" s="87">
        <f t="shared" si="13"/>
        <v>28.5</v>
      </c>
      <c r="AI132" s="87">
        <v>13</v>
      </c>
      <c r="AJ132" s="87">
        <v>7</v>
      </c>
      <c r="AK132" s="87">
        <v>9</v>
      </c>
      <c r="AL132" s="87">
        <v>9</v>
      </c>
      <c r="AM132" s="87">
        <v>2</v>
      </c>
      <c r="AN132" s="7"/>
      <c r="AO132" s="96">
        <f t="shared" si="14"/>
        <v>69.230769230769226</v>
      </c>
      <c r="AP132" s="96">
        <f t="shared" si="14"/>
        <v>64.285714285714292</v>
      </c>
      <c r="AQ132" s="96">
        <f t="shared" si="14"/>
        <v>77.777777777777786</v>
      </c>
      <c r="AR132" s="96">
        <f t="shared" si="14"/>
        <v>88.888888888888886</v>
      </c>
      <c r="AS132" s="96">
        <f t="shared" si="11"/>
        <v>0</v>
      </c>
      <c r="AT132" s="7"/>
      <c r="AU132" s="223"/>
      <c r="AV132" s="8" t="str">
        <f t="shared" si="15"/>
        <v/>
      </c>
      <c r="AW132" s="8" t="str">
        <f t="shared" si="16"/>
        <v/>
      </c>
      <c r="AX132" s="8" t="str">
        <f t="shared" si="17"/>
        <v/>
      </c>
      <c r="AY132" s="8" t="str">
        <f t="shared" si="18"/>
        <v/>
      </c>
      <c r="AZ132" s="8" t="str">
        <f t="shared" si="19"/>
        <v/>
      </c>
      <c r="BA132" s="8" t="str">
        <f t="shared" si="20"/>
        <v/>
      </c>
      <c r="BB132" s="8">
        <f t="shared" si="21"/>
        <v>0</v>
      </c>
    </row>
    <row r="133" spans="1:54" ht="18" customHeight="1">
      <c r="A133" s="65">
        <v>114</v>
      </c>
      <c r="B133" s="43" t="str">
        <f>IF('1'!B133=0,"",'1'!B133)</f>
        <v/>
      </c>
      <c r="C133" s="43" t="str">
        <f>IF('1'!C133=0,"",'1'!C133)</f>
        <v/>
      </c>
      <c r="D133" s="43">
        <f>'1'!D133</f>
        <v>0</v>
      </c>
      <c r="E133" s="43">
        <f>'1'!E133</f>
        <v>0</v>
      </c>
      <c r="F133" s="43">
        <f>'1'!F133</f>
        <v>0</v>
      </c>
      <c r="G133" s="43">
        <f>'1'!G133</f>
        <v>0</v>
      </c>
      <c r="H133" s="43">
        <f>'1'!H133</f>
        <v>0</v>
      </c>
      <c r="I133" s="43">
        <f>'1'!I133</f>
        <v>0</v>
      </c>
      <c r="J133" s="43">
        <f>'1'!J133</f>
        <v>0</v>
      </c>
      <c r="K133" s="43">
        <f>'1'!K133</f>
        <v>0</v>
      </c>
      <c r="L133" s="43">
        <f>'1'!L133</f>
        <v>0</v>
      </c>
      <c r="M133" s="43">
        <f>'1'!M133</f>
        <v>0</v>
      </c>
      <c r="N133" s="43">
        <f>'1'!N133</f>
        <v>0</v>
      </c>
      <c r="O133" s="43">
        <f>'1'!O133</f>
        <v>0</v>
      </c>
      <c r="P133" s="216">
        <f>'2'!D133</f>
        <v>0</v>
      </c>
      <c r="Q133" s="216">
        <f>'2'!E133</f>
        <v>0</v>
      </c>
      <c r="R133" s="216">
        <f>'2'!F133</f>
        <v>0</v>
      </c>
      <c r="S133" s="216">
        <f>'2'!G133</f>
        <v>0</v>
      </c>
      <c r="T133" s="216">
        <f>'2'!H133</f>
        <v>0</v>
      </c>
      <c r="U133" s="216">
        <f>'2'!I133</f>
        <v>0</v>
      </c>
      <c r="V133" s="216">
        <f>'2'!J133</f>
        <v>0</v>
      </c>
      <c r="W133" s="216">
        <f>'2'!K133</f>
        <v>0</v>
      </c>
      <c r="X133" s="216">
        <f>'2'!L133</f>
        <v>0</v>
      </c>
      <c r="Y133" s="216">
        <f>'2'!M133</f>
        <v>0</v>
      </c>
      <c r="Z133" s="216">
        <f>'2'!N133</f>
        <v>0</v>
      </c>
      <c r="AA133" s="216">
        <f>'2'!O133</f>
        <v>0</v>
      </c>
      <c r="AB133" s="87" t="str">
        <f t="shared" si="12"/>
        <v/>
      </c>
      <c r="AC133" s="87">
        <v>9</v>
      </c>
      <c r="AD133" s="87">
        <v>6.5</v>
      </c>
      <c r="AE133" s="87">
        <v>7</v>
      </c>
      <c r="AF133" s="87">
        <v>8</v>
      </c>
      <c r="AG133" s="87">
        <v>0</v>
      </c>
      <c r="AH133" s="87">
        <f t="shared" si="13"/>
        <v>30.5</v>
      </c>
      <c r="AI133" s="87">
        <v>10</v>
      </c>
      <c r="AJ133" s="87">
        <v>10</v>
      </c>
      <c r="AK133" s="87">
        <v>9</v>
      </c>
      <c r="AL133" s="87">
        <v>9</v>
      </c>
      <c r="AM133" s="87">
        <v>2</v>
      </c>
      <c r="AN133" s="7"/>
      <c r="AO133" s="96">
        <f t="shared" si="14"/>
        <v>90</v>
      </c>
      <c r="AP133" s="96">
        <f t="shared" si="14"/>
        <v>65</v>
      </c>
      <c r="AQ133" s="96">
        <f t="shared" si="14"/>
        <v>77.777777777777786</v>
      </c>
      <c r="AR133" s="96">
        <f t="shared" si="14"/>
        <v>88.888888888888886</v>
      </c>
      <c r="AS133" s="96">
        <f t="shared" si="11"/>
        <v>0</v>
      </c>
      <c r="AT133" s="7"/>
      <c r="AU133" s="223"/>
      <c r="AV133" s="8" t="str">
        <f t="shared" si="15"/>
        <v/>
      </c>
      <c r="AW133" s="8" t="str">
        <f t="shared" si="16"/>
        <v/>
      </c>
      <c r="AX133" s="8" t="str">
        <f t="shared" si="17"/>
        <v/>
      </c>
      <c r="AY133" s="8" t="str">
        <f t="shared" si="18"/>
        <v/>
      </c>
      <c r="AZ133" s="8" t="str">
        <f t="shared" si="19"/>
        <v/>
      </c>
      <c r="BA133" s="8" t="str">
        <f t="shared" si="20"/>
        <v/>
      </c>
      <c r="BB133" s="8">
        <f t="shared" si="21"/>
        <v>0</v>
      </c>
    </row>
    <row r="134" spans="1:54" ht="18" customHeight="1">
      <c r="A134" s="65">
        <v>115</v>
      </c>
      <c r="B134" s="43" t="str">
        <f>IF('1'!B134=0,"",'1'!B134)</f>
        <v/>
      </c>
      <c r="C134" s="43" t="str">
        <f>IF('1'!C134=0,"",'1'!C134)</f>
        <v/>
      </c>
      <c r="D134" s="43">
        <f>'1'!D134</f>
        <v>0</v>
      </c>
      <c r="E134" s="43">
        <f>'1'!E134</f>
        <v>0</v>
      </c>
      <c r="F134" s="43">
        <f>'1'!F134</f>
        <v>0</v>
      </c>
      <c r="G134" s="43">
        <f>'1'!G134</f>
        <v>0</v>
      </c>
      <c r="H134" s="43">
        <f>'1'!H134</f>
        <v>0</v>
      </c>
      <c r="I134" s="43">
        <f>'1'!I134</f>
        <v>0</v>
      </c>
      <c r="J134" s="43">
        <f>'1'!J134</f>
        <v>0</v>
      </c>
      <c r="K134" s="43">
        <f>'1'!K134</f>
        <v>0</v>
      </c>
      <c r="L134" s="43">
        <f>'1'!L134</f>
        <v>0</v>
      </c>
      <c r="M134" s="43">
        <f>'1'!M134</f>
        <v>0</v>
      </c>
      <c r="N134" s="43">
        <f>'1'!N134</f>
        <v>0</v>
      </c>
      <c r="O134" s="43">
        <f>'1'!O134</f>
        <v>0</v>
      </c>
      <c r="P134" s="216">
        <f>'2'!D134</f>
        <v>0</v>
      </c>
      <c r="Q134" s="216">
        <f>'2'!E134</f>
        <v>0</v>
      </c>
      <c r="R134" s="216">
        <f>'2'!F134</f>
        <v>0</v>
      </c>
      <c r="S134" s="216">
        <f>'2'!G134</f>
        <v>0</v>
      </c>
      <c r="T134" s="216">
        <f>'2'!H134</f>
        <v>0</v>
      </c>
      <c r="U134" s="216">
        <f>'2'!I134</f>
        <v>0</v>
      </c>
      <c r="V134" s="216">
        <f>'2'!J134</f>
        <v>0</v>
      </c>
      <c r="W134" s="216">
        <f>'2'!K134</f>
        <v>0</v>
      </c>
      <c r="X134" s="216">
        <f>'2'!L134</f>
        <v>0</v>
      </c>
      <c r="Y134" s="216">
        <f>'2'!M134</f>
        <v>0</v>
      </c>
      <c r="Z134" s="216">
        <f>'2'!N134</f>
        <v>0</v>
      </c>
      <c r="AA134" s="216">
        <f>'2'!O134</f>
        <v>0</v>
      </c>
      <c r="AB134" s="87" t="str">
        <f t="shared" si="12"/>
        <v/>
      </c>
      <c r="AC134" s="87">
        <v>5</v>
      </c>
      <c r="AD134" s="87">
        <v>5.5</v>
      </c>
      <c r="AE134" s="87">
        <v>4</v>
      </c>
      <c r="AF134" s="87">
        <v>8.5</v>
      </c>
      <c r="AG134" s="87">
        <v>0</v>
      </c>
      <c r="AH134" s="87">
        <f t="shared" si="13"/>
        <v>23</v>
      </c>
      <c r="AI134" s="87">
        <v>6</v>
      </c>
      <c r="AJ134" s="87">
        <v>14</v>
      </c>
      <c r="AK134" s="87">
        <v>9</v>
      </c>
      <c r="AL134" s="87">
        <v>9</v>
      </c>
      <c r="AM134" s="87">
        <v>2</v>
      </c>
      <c r="AN134" s="7"/>
      <c r="AO134" s="96">
        <f t="shared" si="14"/>
        <v>83.333333333333343</v>
      </c>
      <c r="AP134" s="96">
        <f t="shared" si="14"/>
        <v>39.285714285714285</v>
      </c>
      <c r="AQ134" s="96">
        <f t="shared" si="14"/>
        <v>44.444444444444443</v>
      </c>
      <c r="AR134" s="96">
        <f t="shared" si="14"/>
        <v>94.444444444444443</v>
      </c>
      <c r="AS134" s="96">
        <f t="shared" si="11"/>
        <v>0</v>
      </c>
      <c r="AT134" s="7"/>
      <c r="AU134" s="223"/>
      <c r="AV134" s="8" t="str">
        <f t="shared" si="15"/>
        <v/>
      </c>
      <c r="AW134" s="8" t="str">
        <f t="shared" si="16"/>
        <v/>
      </c>
      <c r="AX134" s="8" t="str">
        <f t="shared" si="17"/>
        <v/>
      </c>
      <c r="AY134" s="8" t="str">
        <f t="shared" si="18"/>
        <v/>
      </c>
      <c r="AZ134" s="8" t="str">
        <f t="shared" si="19"/>
        <v/>
      </c>
      <c r="BA134" s="8" t="str">
        <f t="shared" si="20"/>
        <v/>
      </c>
      <c r="BB134" s="8">
        <f t="shared" si="21"/>
        <v>0</v>
      </c>
    </row>
    <row r="135" spans="1:54" ht="18" customHeight="1">
      <c r="A135" s="65">
        <v>116</v>
      </c>
      <c r="B135" s="43" t="str">
        <f>IF('1'!B135=0,"",'1'!B135)</f>
        <v/>
      </c>
      <c r="C135" s="43" t="str">
        <f>IF('1'!C135=0,"",'1'!C135)</f>
        <v/>
      </c>
      <c r="D135" s="43">
        <f>'1'!D135</f>
        <v>0</v>
      </c>
      <c r="E135" s="43">
        <f>'1'!E135</f>
        <v>0</v>
      </c>
      <c r="F135" s="43">
        <f>'1'!F135</f>
        <v>0</v>
      </c>
      <c r="G135" s="43">
        <f>'1'!G135</f>
        <v>0</v>
      </c>
      <c r="H135" s="43">
        <f>'1'!H135</f>
        <v>0</v>
      </c>
      <c r="I135" s="43">
        <f>'1'!I135</f>
        <v>0</v>
      </c>
      <c r="J135" s="43">
        <f>'1'!J135</f>
        <v>0</v>
      </c>
      <c r="K135" s="43">
        <f>'1'!K135</f>
        <v>0</v>
      </c>
      <c r="L135" s="43">
        <f>'1'!L135</f>
        <v>0</v>
      </c>
      <c r="M135" s="43">
        <f>'1'!M135</f>
        <v>0</v>
      </c>
      <c r="N135" s="43">
        <f>'1'!N135</f>
        <v>0</v>
      </c>
      <c r="O135" s="43">
        <f>'1'!O135</f>
        <v>0</v>
      </c>
      <c r="P135" s="216">
        <f>'2'!D135</f>
        <v>0</v>
      </c>
      <c r="Q135" s="216">
        <f>'2'!E135</f>
        <v>0</v>
      </c>
      <c r="R135" s="216">
        <f>'2'!F135</f>
        <v>0</v>
      </c>
      <c r="S135" s="216">
        <f>'2'!G135</f>
        <v>0</v>
      </c>
      <c r="T135" s="216">
        <f>'2'!H135</f>
        <v>0</v>
      </c>
      <c r="U135" s="216">
        <f>'2'!I135</f>
        <v>0</v>
      </c>
      <c r="V135" s="216">
        <f>'2'!J135</f>
        <v>0</v>
      </c>
      <c r="W135" s="216">
        <f>'2'!K135</f>
        <v>0</v>
      </c>
      <c r="X135" s="216">
        <f>'2'!L135</f>
        <v>0</v>
      </c>
      <c r="Y135" s="216">
        <f>'2'!M135</f>
        <v>0</v>
      </c>
      <c r="Z135" s="216">
        <f>'2'!N135</f>
        <v>0</v>
      </c>
      <c r="AA135" s="216">
        <f>'2'!O135</f>
        <v>0</v>
      </c>
      <c r="AB135" s="87" t="str">
        <f t="shared" si="12"/>
        <v/>
      </c>
      <c r="AC135" s="87">
        <v>10</v>
      </c>
      <c r="AD135" s="87">
        <v>2</v>
      </c>
      <c r="AE135" s="87">
        <v>0</v>
      </c>
      <c r="AF135" s="87">
        <v>8.5</v>
      </c>
      <c r="AG135" s="87">
        <v>7</v>
      </c>
      <c r="AH135" s="87">
        <f t="shared" si="13"/>
        <v>27.5</v>
      </c>
      <c r="AI135" s="87">
        <v>13</v>
      </c>
      <c r="AJ135" s="87">
        <v>7</v>
      </c>
      <c r="AK135" s="87">
        <v>2</v>
      </c>
      <c r="AL135" s="87">
        <v>9</v>
      </c>
      <c r="AM135" s="87">
        <v>9</v>
      </c>
      <c r="AN135" s="7"/>
      <c r="AO135" s="96">
        <f t="shared" si="14"/>
        <v>76.923076923076934</v>
      </c>
      <c r="AP135" s="96">
        <f t="shared" si="14"/>
        <v>28.571428571428569</v>
      </c>
      <c r="AQ135" s="96">
        <f t="shared" si="14"/>
        <v>0</v>
      </c>
      <c r="AR135" s="96">
        <f t="shared" si="14"/>
        <v>94.444444444444443</v>
      </c>
      <c r="AS135" s="96">
        <f t="shared" si="11"/>
        <v>77.777777777777786</v>
      </c>
      <c r="AT135" s="7"/>
      <c r="AU135" s="223"/>
      <c r="AV135" s="8" t="str">
        <f t="shared" si="15"/>
        <v/>
      </c>
      <c r="AW135" s="8" t="str">
        <f t="shared" si="16"/>
        <v/>
      </c>
      <c r="AX135" s="8" t="str">
        <f t="shared" si="17"/>
        <v/>
      </c>
      <c r="AY135" s="8" t="str">
        <f t="shared" si="18"/>
        <v/>
      </c>
      <c r="AZ135" s="8" t="str">
        <f t="shared" si="19"/>
        <v/>
      </c>
      <c r="BA135" s="8" t="str">
        <f t="shared" si="20"/>
        <v/>
      </c>
      <c r="BB135" s="8">
        <f t="shared" si="21"/>
        <v>0</v>
      </c>
    </row>
    <row r="136" spans="1:54" ht="18" customHeight="1">
      <c r="A136" s="65">
        <v>117</v>
      </c>
      <c r="B136" s="43" t="str">
        <f>IF('1'!B136=0,"",'1'!B136)</f>
        <v/>
      </c>
      <c r="C136" s="43" t="str">
        <f>IF('1'!C136=0,"",'1'!C136)</f>
        <v/>
      </c>
      <c r="D136" s="43">
        <f>'1'!D136</f>
        <v>0</v>
      </c>
      <c r="E136" s="43">
        <f>'1'!E136</f>
        <v>0</v>
      </c>
      <c r="F136" s="43">
        <f>'1'!F136</f>
        <v>0</v>
      </c>
      <c r="G136" s="43">
        <f>'1'!G136</f>
        <v>0</v>
      </c>
      <c r="H136" s="43">
        <f>'1'!H136</f>
        <v>0</v>
      </c>
      <c r="I136" s="43">
        <f>'1'!I136</f>
        <v>0</v>
      </c>
      <c r="J136" s="43">
        <f>'1'!J136</f>
        <v>0</v>
      </c>
      <c r="K136" s="43">
        <f>'1'!K136</f>
        <v>0</v>
      </c>
      <c r="L136" s="43">
        <f>'1'!L136</f>
        <v>0</v>
      </c>
      <c r="M136" s="43">
        <f>'1'!M136</f>
        <v>0</v>
      </c>
      <c r="N136" s="43">
        <f>'1'!N136</f>
        <v>0</v>
      </c>
      <c r="O136" s="43">
        <f>'1'!O136</f>
        <v>0</v>
      </c>
      <c r="P136" s="216">
        <f>'2'!D136</f>
        <v>0</v>
      </c>
      <c r="Q136" s="216">
        <f>'2'!E136</f>
        <v>0</v>
      </c>
      <c r="R136" s="216">
        <f>'2'!F136</f>
        <v>0</v>
      </c>
      <c r="S136" s="216">
        <f>'2'!G136</f>
        <v>0</v>
      </c>
      <c r="T136" s="216">
        <f>'2'!H136</f>
        <v>0</v>
      </c>
      <c r="U136" s="216">
        <f>'2'!I136</f>
        <v>0</v>
      </c>
      <c r="V136" s="216">
        <f>'2'!J136</f>
        <v>0</v>
      </c>
      <c r="W136" s="216">
        <f>'2'!K136</f>
        <v>0</v>
      </c>
      <c r="X136" s="216">
        <f>'2'!L136</f>
        <v>0</v>
      </c>
      <c r="Y136" s="216">
        <f>'2'!M136</f>
        <v>0</v>
      </c>
      <c r="Z136" s="216">
        <f>'2'!N136</f>
        <v>0</v>
      </c>
      <c r="AA136" s="216">
        <f>'2'!O136</f>
        <v>0</v>
      </c>
      <c r="AB136" s="87" t="str">
        <f t="shared" si="12"/>
        <v/>
      </c>
      <c r="AC136" s="87">
        <v>9</v>
      </c>
      <c r="AD136" s="87">
        <v>9</v>
      </c>
      <c r="AE136" s="87">
        <v>8</v>
      </c>
      <c r="AF136" s="87">
        <v>8.5</v>
      </c>
      <c r="AG136" s="87">
        <v>2</v>
      </c>
      <c r="AH136" s="87">
        <f t="shared" si="13"/>
        <v>36.5</v>
      </c>
      <c r="AI136" s="87">
        <v>10</v>
      </c>
      <c r="AJ136" s="87">
        <v>10</v>
      </c>
      <c r="AK136" s="87">
        <v>9</v>
      </c>
      <c r="AL136" s="87">
        <v>9</v>
      </c>
      <c r="AM136" s="87">
        <v>2</v>
      </c>
      <c r="AN136" s="7"/>
      <c r="AO136" s="96">
        <f t="shared" si="14"/>
        <v>90</v>
      </c>
      <c r="AP136" s="96">
        <f t="shared" si="14"/>
        <v>90</v>
      </c>
      <c r="AQ136" s="96">
        <f t="shared" si="14"/>
        <v>88.888888888888886</v>
      </c>
      <c r="AR136" s="96">
        <f t="shared" si="14"/>
        <v>94.444444444444443</v>
      </c>
      <c r="AS136" s="96">
        <f t="shared" si="11"/>
        <v>100</v>
      </c>
      <c r="AT136" s="7"/>
      <c r="AU136" s="223"/>
      <c r="AV136" s="8" t="str">
        <f t="shared" si="15"/>
        <v/>
      </c>
      <c r="AW136" s="8" t="str">
        <f t="shared" si="16"/>
        <v/>
      </c>
      <c r="AX136" s="8" t="str">
        <f t="shared" si="17"/>
        <v/>
      </c>
      <c r="AY136" s="8" t="str">
        <f t="shared" si="18"/>
        <v/>
      </c>
      <c r="AZ136" s="8" t="str">
        <f t="shared" si="19"/>
        <v/>
      </c>
      <c r="BA136" s="8" t="str">
        <f t="shared" si="20"/>
        <v/>
      </c>
      <c r="BB136" s="8">
        <f t="shared" si="21"/>
        <v>0</v>
      </c>
    </row>
    <row r="137" spans="1:54" ht="18" customHeight="1">
      <c r="A137" s="65">
        <v>118</v>
      </c>
      <c r="B137" s="43" t="str">
        <f>IF('1'!B137=0,"",'1'!B137)</f>
        <v/>
      </c>
      <c r="C137" s="43" t="str">
        <f>IF('1'!C137=0,"",'1'!C137)</f>
        <v/>
      </c>
      <c r="D137" s="43">
        <f>'1'!D137</f>
        <v>0</v>
      </c>
      <c r="E137" s="43">
        <f>'1'!E137</f>
        <v>0</v>
      </c>
      <c r="F137" s="43">
        <f>'1'!F137</f>
        <v>0</v>
      </c>
      <c r="G137" s="43">
        <f>'1'!G137</f>
        <v>0</v>
      </c>
      <c r="H137" s="43">
        <f>'1'!H137</f>
        <v>0</v>
      </c>
      <c r="I137" s="43">
        <f>'1'!I137</f>
        <v>0</v>
      </c>
      <c r="J137" s="43">
        <f>'1'!J137</f>
        <v>0</v>
      </c>
      <c r="K137" s="43">
        <f>'1'!K137</f>
        <v>0</v>
      </c>
      <c r="L137" s="43">
        <f>'1'!L137</f>
        <v>0</v>
      </c>
      <c r="M137" s="43">
        <f>'1'!M137</f>
        <v>0</v>
      </c>
      <c r="N137" s="43">
        <f>'1'!N137</f>
        <v>0</v>
      </c>
      <c r="O137" s="43">
        <f>'1'!O137</f>
        <v>0</v>
      </c>
      <c r="P137" s="216">
        <f>'2'!D137</f>
        <v>0</v>
      </c>
      <c r="Q137" s="216">
        <f>'2'!E137</f>
        <v>0</v>
      </c>
      <c r="R137" s="216">
        <f>'2'!F137</f>
        <v>0</v>
      </c>
      <c r="S137" s="216">
        <f>'2'!G137</f>
        <v>0</v>
      </c>
      <c r="T137" s="216">
        <f>'2'!H137</f>
        <v>0</v>
      </c>
      <c r="U137" s="216">
        <f>'2'!I137</f>
        <v>0</v>
      </c>
      <c r="V137" s="216">
        <f>'2'!J137</f>
        <v>0</v>
      </c>
      <c r="W137" s="216">
        <f>'2'!K137</f>
        <v>0</v>
      </c>
      <c r="X137" s="216">
        <f>'2'!L137</f>
        <v>0</v>
      </c>
      <c r="Y137" s="216">
        <f>'2'!M137</f>
        <v>0</v>
      </c>
      <c r="Z137" s="216">
        <f>'2'!N137</f>
        <v>0</v>
      </c>
      <c r="AA137" s="216">
        <f>'2'!O137</f>
        <v>0</v>
      </c>
      <c r="AB137" s="87" t="str">
        <f t="shared" si="12"/>
        <v/>
      </c>
      <c r="AC137" s="87">
        <v>12</v>
      </c>
      <c r="AD137" s="87">
        <v>2.5</v>
      </c>
      <c r="AE137" s="87">
        <v>8</v>
      </c>
      <c r="AF137" s="87">
        <v>8.5</v>
      </c>
      <c r="AG137" s="87">
        <v>1</v>
      </c>
      <c r="AH137" s="87">
        <f t="shared" si="13"/>
        <v>32</v>
      </c>
      <c r="AI137" s="87">
        <v>13</v>
      </c>
      <c r="AJ137" s="87">
        <v>7</v>
      </c>
      <c r="AK137" s="87">
        <v>9</v>
      </c>
      <c r="AL137" s="87">
        <v>9</v>
      </c>
      <c r="AM137" s="87">
        <v>2</v>
      </c>
      <c r="AN137" s="7"/>
      <c r="AO137" s="96">
        <f t="shared" si="14"/>
        <v>92.307692307692307</v>
      </c>
      <c r="AP137" s="96">
        <f t="shared" si="14"/>
        <v>35.714285714285715</v>
      </c>
      <c r="AQ137" s="96">
        <f t="shared" si="14"/>
        <v>88.888888888888886</v>
      </c>
      <c r="AR137" s="96">
        <f t="shared" si="14"/>
        <v>94.444444444444443</v>
      </c>
      <c r="AS137" s="96">
        <f t="shared" si="11"/>
        <v>50</v>
      </c>
      <c r="AT137" s="7"/>
      <c r="AU137" s="223"/>
      <c r="AV137" s="8" t="str">
        <f t="shared" si="15"/>
        <v/>
      </c>
      <c r="AW137" s="8" t="str">
        <f t="shared" si="16"/>
        <v/>
      </c>
      <c r="AX137" s="8" t="str">
        <f t="shared" si="17"/>
        <v/>
      </c>
      <c r="AY137" s="8" t="str">
        <f t="shared" si="18"/>
        <v/>
      </c>
      <c r="AZ137" s="8" t="str">
        <f t="shared" si="19"/>
        <v/>
      </c>
      <c r="BA137" s="8" t="str">
        <f t="shared" si="20"/>
        <v/>
      </c>
      <c r="BB137" s="8">
        <f t="shared" si="21"/>
        <v>0</v>
      </c>
    </row>
    <row r="138" spans="1:54" ht="18" customHeight="1">
      <c r="A138" s="65">
        <v>119</v>
      </c>
      <c r="B138" s="43" t="str">
        <f>IF('1'!B138=0,"",'1'!B138)</f>
        <v/>
      </c>
      <c r="C138" s="43" t="str">
        <f>IF('1'!C138=0,"",'1'!C138)</f>
        <v/>
      </c>
      <c r="D138" s="43">
        <f>'1'!D138</f>
        <v>0</v>
      </c>
      <c r="E138" s="43">
        <f>'1'!E138</f>
        <v>0</v>
      </c>
      <c r="F138" s="43">
        <f>'1'!F138</f>
        <v>0</v>
      </c>
      <c r="G138" s="43">
        <f>'1'!G138</f>
        <v>0</v>
      </c>
      <c r="H138" s="43">
        <f>'1'!H138</f>
        <v>0</v>
      </c>
      <c r="I138" s="43">
        <f>'1'!I138</f>
        <v>0</v>
      </c>
      <c r="J138" s="43">
        <f>'1'!J138</f>
        <v>0</v>
      </c>
      <c r="K138" s="43">
        <f>'1'!K138</f>
        <v>0</v>
      </c>
      <c r="L138" s="43">
        <f>'1'!L138</f>
        <v>0</v>
      </c>
      <c r="M138" s="43">
        <f>'1'!M138</f>
        <v>0</v>
      </c>
      <c r="N138" s="43">
        <f>'1'!N138</f>
        <v>0</v>
      </c>
      <c r="O138" s="43">
        <f>'1'!O138</f>
        <v>0</v>
      </c>
      <c r="P138" s="216">
        <f>'2'!D138</f>
        <v>0</v>
      </c>
      <c r="Q138" s="216">
        <f>'2'!E138</f>
        <v>0</v>
      </c>
      <c r="R138" s="216">
        <f>'2'!F138</f>
        <v>0</v>
      </c>
      <c r="S138" s="216">
        <f>'2'!G138</f>
        <v>0</v>
      </c>
      <c r="T138" s="216">
        <f>'2'!H138</f>
        <v>0</v>
      </c>
      <c r="U138" s="216">
        <f>'2'!I138</f>
        <v>0</v>
      </c>
      <c r="V138" s="216">
        <f>'2'!J138</f>
        <v>0</v>
      </c>
      <c r="W138" s="216">
        <f>'2'!K138</f>
        <v>0</v>
      </c>
      <c r="X138" s="216">
        <f>'2'!L138</f>
        <v>0</v>
      </c>
      <c r="Y138" s="216">
        <f>'2'!M138</f>
        <v>0</v>
      </c>
      <c r="Z138" s="216">
        <f>'2'!N138</f>
        <v>0</v>
      </c>
      <c r="AA138" s="216">
        <f>'2'!O138</f>
        <v>0</v>
      </c>
      <c r="AB138" s="87" t="str">
        <f t="shared" si="12"/>
        <v/>
      </c>
      <c r="AC138" s="87">
        <v>6</v>
      </c>
      <c r="AD138" s="87">
        <v>5</v>
      </c>
      <c r="AE138" s="87">
        <v>3.5</v>
      </c>
      <c r="AF138" s="87">
        <v>4</v>
      </c>
      <c r="AG138" s="87">
        <v>0</v>
      </c>
      <c r="AH138" s="87">
        <f t="shared" si="13"/>
        <v>18.5</v>
      </c>
      <c r="AI138" s="87">
        <v>10</v>
      </c>
      <c r="AJ138" s="87">
        <v>10</v>
      </c>
      <c r="AK138" s="87">
        <v>9</v>
      </c>
      <c r="AL138" s="87">
        <v>9</v>
      </c>
      <c r="AM138" s="87">
        <v>2</v>
      </c>
      <c r="AN138" s="7"/>
      <c r="AO138" s="96">
        <f t="shared" si="14"/>
        <v>60</v>
      </c>
      <c r="AP138" s="96">
        <f t="shared" si="14"/>
        <v>50</v>
      </c>
      <c r="AQ138" s="96">
        <f t="shared" si="14"/>
        <v>38.888888888888893</v>
      </c>
      <c r="AR138" s="96">
        <f t="shared" si="14"/>
        <v>44.444444444444443</v>
      </c>
      <c r="AS138" s="96">
        <f t="shared" si="11"/>
        <v>0</v>
      </c>
      <c r="AT138" s="7"/>
      <c r="AU138" s="223"/>
      <c r="AV138" s="8" t="str">
        <f t="shared" si="15"/>
        <v/>
      </c>
      <c r="AW138" s="8" t="str">
        <f t="shared" si="16"/>
        <v/>
      </c>
      <c r="AX138" s="8" t="str">
        <f t="shared" si="17"/>
        <v/>
      </c>
      <c r="AY138" s="8" t="str">
        <f t="shared" si="18"/>
        <v/>
      </c>
      <c r="AZ138" s="8" t="str">
        <f t="shared" si="19"/>
        <v/>
      </c>
      <c r="BA138" s="8" t="str">
        <f t="shared" si="20"/>
        <v/>
      </c>
      <c r="BB138" s="8">
        <f t="shared" si="21"/>
        <v>0</v>
      </c>
    </row>
    <row r="139" spans="1:54">
      <c r="A139" s="65">
        <v>120</v>
      </c>
      <c r="B139" s="43" t="str">
        <f>IF('1'!B139=0,"",'1'!B139)</f>
        <v/>
      </c>
      <c r="C139" s="43" t="str">
        <f>IF('1'!C139=0,"",'1'!C139)</f>
        <v/>
      </c>
      <c r="D139" s="43">
        <f>'1'!D139</f>
        <v>0</v>
      </c>
      <c r="E139" s="43">
        <f>'1'!E139</f>
        <v>0</v>
      </c>
      <c r="F139" s="43">
        <f>'1'!F139</f>
        <v>0</v>
      </c>
      <c r="G139" s="43">
        <f>'1'!G139</f>
        <v>0</v>
      </c>
      <c r="H139" s="43">
        <f>'1'!H139</f>
        <v>0</v>
      </c>
      <c r="I139" s="43">
        <f>'1'!I139</f>
        <v>0</v>
      </c>
      <c r="J139" s="43">
        <f>'1'!J139</f>
        <v>0</v>
      </c>
      <c r="K139" s="43">
        <f>'1'!K139</f>
        <v>0</v>
      </c>
      <c r="L139" s="43">
        <f>'1'!L139</f>
        <v>0</v>
      </c>
      <c r="M139" s="43">
        <f>'1'!M139</f>
        <v>0</v>
      </c>
      <c r="N139" s="43">
        <f>'1'!N139</f>
        <v>0</v>
      </c>
      <c r="O139" s="43">
        <f>'1'!O139</f>
        <v>0</v>
      </c>
      <c r="P139" s="216">
        <f>'2'!D139</f>
        <v>0</v>
      </c>
      <c r="Q139" s="216">
        <f>'2'!E139</f>
        <v>0</v>
      </c>
      <c r="R139" s="216">
        <f>'2'!F139</f>
        <v>0</v>
      </c>
      <c r="S139" s="216">
        <f>'2'!G139</f>
        <v>0</v>
      </c>
      <c r="T139" s="216">
        <f>'2'!H139</f>
        <v>0</v>
      </c>
      <c r="U139" s="216">
        <f>'2'!I139</f>
        <v>0</v>
      </c>
      <c r="V139" s="216">
        <f>'2'!J139</f>
        <v>0</v>
      </c>
      <c r="W139" s="216">
        <f>'2'!K139</f>
        <v>0</v>
      </c>
      <c r="X139" s="216">
        <f>'2'!L139</f>
        <v>0</v>
      </c>
      <c r="Y139" s="216">
        <f>'2'!M139</f>
        <v>0</v>
      </c>
      <c r="Z139" s="216">
        <f>'2'!N139</f>
        <v>0</v>
      </c>
      <c r="AA139" s="216">
        <f>'2'!O139</f>
        <v>0</v>
      </c>
      <c r="AB139" s="87" t="str">
        <f t="shared" si="12"/>
        <v/>
      </c>
      <c r="AC139" s="87">
        <v>8</v>
      </c>
      <c r="AD139" s="87">
        <v>7</v>
      </c>
      <c r="AE139" s="87">
        <v>6</v>
      </c>
      <c r="AF139" s="87">
        <v>2</v>
      </c>
      <c r="AG139" s="87">
        <v>5</v>
      </c>
      <c r="AH139" s="87">
        <f t="shared" si="13"/>
        <v>28</v>
      </c>
      <c r="AI139" s="87">
        <v>10</v>
      </c>
      <c r="AJ139" s="87">
        <v>10</v>
      </c>
      <c r="AK139" s="87">
        <v>9</v>
      </c>
      <c r="AL139" s="87">
        <v>2</v>
      </c>
      <c r="AM139" s="87">
        <v>9</v>
      </c>
      <c r="AN139" s="7"/>
      <c r="AO139" s="96">
        <f t="shared" si="14"/>
        <v>80</v>
      </c>
      <c r="AP139" s="96">
        <f t="shared" si="14"/>
        <v>70</v>
      </c>
      <c r="AQ139" s="96">
        <f t="shared" si="14"/>
        <v>66.666666666666657</v>
      </c>
      <c r="AR139" s="96">
        <f t="shared" si="14"/>
        <v>100</v>
      </c>
      <c r="AS139" s="96">
        <f t="shared" si="11"/>
        <v>55.555555555555557</v>
      </c>
      <c r="AT139" s="7"/>
      <c r="AU139" s="223"/>
      <c r="AV139" s="8" t="str">
        <f t="shared" si="15"/>
        <v/>
      </c>
      <c r="AW139" s="8" t="str">
        <f t="shared" si="16"/>
        <v/>
      </c>
      <c r="AX139" s="8" t="str">
        <f t="shared" si="17"/>
        <v/>
      </c>
      <c r="AY139" s="8" t="str">
        <f t="shared" si="18"/>
        <v/>
      </c>
      <c r="AZ139" s="8" t="str">
        <f t="shared" si="19"/>
        <v/>
      </c>
      <c r="BA139" s="8" t="str">
        <f t="shared" si="20"/>
        <v/>
      </c>
      <c r="BB139" s="8">
        <f t="shared" si="21"/>
        <v>0</v>
      </c>
    </row>
    <row r="140" spans="1:54" ht="18" customHeight="1">
      <c r="A140" s="65">
        <v>121</v>
      </c>
      <c r="B140" s="43" t="str">
        <f>IF('1'!B140=0,"",'1'!B140)</f>
        <v/>
      </c>
      <c r="C140" s="43" t="str">
        <f>IF('1'!C140=0,"",'1'!C140)</f>
        <v/>
      </c>
      <c r="D140" s="43">
        <f>'1'!D140</f>
        <v>0</v>
      </c>
      <c r="E140" s="43">
        <f>'1'!E140</f>
        <v>0</v>
      </c>
      <c r="F140" s="43">
        <f>'1'!F140</f>
        <v>0</v>
      </c>
      <c r="G140" s="43">
        <f>'1'!G140</f>
        <v>0</v>
      </c>
      <c r="H140" s="43">
        <f>'1'!H140</f>
        <v>0</v>
      </c>
      <c r="I140" s="43">
        <f>'1'!I140</f>
        <v>0</v>
      </c>
      <c r="J140" s="43">
        <f>'1'!J140</f>
        <v>0</v>
      </c>
      <c r="K140" s="43">
        <f>'1'!K140</f>
        <v>0</v>
      </c>
      <c r="L140" s="43">
        <f>'1'!L140</f>
        <v>0</v>
      </c>
      <c r="M140" s="43">
        <f>'1'!M140</f>
        <v>0</v>
      </c>
      <c r="N140" s="43">
        <f>'1'!N140</f>
        <v>0</v>
      </c>
      <c r="O140" s="43">
        <f>'1'!O140</f>
        <v>0</v>
      </c>
      <c r="P140" s="216">
        <f>'2'!D140</f>
        <v>0</v>
      </c>
      <c r="Q140" s="216">
        <f>'2'!E140</f>
        <v>0</v>
      </c>
      <c r="R140" s="216">
        <f>'2'!F140</f>
        <v>0</v>
      </c>
      <c r="S140" s="216">
        <f>'2'!G140</f>
        <v>0</v>
      </c>
      <c r="T140" s="216">
        <f>'2'!H140</f>
        <v>0</v>
      </c>
      <c r="U140" s="216">
        <f>'2'!I140</f>
        <v>0</v>
      </c>
      <c r="V140" s="216">
        <f>'2'!J140</f>
        <v>0</v>
      </c>
      <c r="W140" s="216">
        <f>'2'!K140</f>
        <v>0</v>
      </c>
      <c r="X140" s="216">
        <f>'2'!L140</f>
        <v>0</v>
      </c>
      <c r="Y140" s="216">
        <f>'2'!M140</f>
        <v>0</v>
      </c>
      <c r="Z140" s="216">
        <f>'2'!N140</f>
        <v>0</v>
      </c>
      <c r="AA140" s="216">
        <f>'2'!O140</f>
        <v>0</v>
      </c>
      <c r="AB140" s="87" t="str">
        <f t="shared" si="12"/>
        <v/>
      </c>
      <c r="AC140" s="87">
        <v>7</v>
      </c>
      <c r="AD140" s="87">
        <v>3</v>
      </c>
      <c r="AE140" s="87">
        <v>6</v>
      </c>
      <c r="AF140" s="87">
        <v>5</v>
      </c>
      <c r="AG140" s="87">
        <v>0</v>
      </c>
      <c r="AH140" s="87">
        <f t="shared" ref="AH140:AH169" si="22">SUM(AC140:AG140)</f>
        <v>21</v>
      </c>
      <c r="AI140" s="87">
        <v>10</v>
      </c>
      <c r="AJ140" s="87">
        <v>10</v>
      </c>
      <c r="AK140" s="87">
        <v>9</v>
      </c>
      <c r="AL140" s="87">
        <v>9</v>
      </c>
      <c r="AM140" s="87">
        <v>2</v>
      </c>
      <c r="AN140" s="7"/>
      <c r="AO140" s="96">
        <f t="shared" ref="AO140:AO169" si="23">AC140/AI140*100</f>
        <v>70</v>
      </c>
      <c r="AP140" s="96">
        <f t="shared" ref="AP140:AP169" si="24">AD140/AJ140*100</f>
        <v>30</v>
      </c>
      <c r="AQ140" s="96">
        <f t="shared" ref="AQ140" si="25">AE140/AK140*100</f>
        <v>66.666666666666657</v>
      </c>
      <c r="AR140" s="96">
        <f t="shared" ref="AR140" si="26">AF140/AL140*100</f>
        <v>55.555555555555557</v>
      </c>
      <c r="AS140" s="96">
        <f t="shared" ref="AS140" si="27">AG140/AM140*100</f>
        <v>0</v>
      </c>
      <c r="AT140" s="7"/>
      <c r="AU140" s="223"/>
      <c r="AV140" s="8" t="str">
        <f t="shared" si="15"/>
        <v/>
      </c>
      <c r="AW140" s="8" t="str">
        <f t="shared" si="16"/>
        <v/>
      </c>
      <c r="AX140" s="8" t="str">
        <f t="shared" si="17"/>
        <v/>
      </c>
      <c r="AY140" s="8" t="str">
        <f t="shared" si="18"/>
        <v/>
      </c>
      <c r="AZ140" s="8" t="str">
        <f t="shared" si="19"/>
        <v/>
      </c>
      <c r="BA140" s="8" t="str">
        <f t="shared" si="20"/>
        <v/>
      </c>
      <c r="BB140" s="8">
        <f t="shared" si="21"/>
        <v>0</v>
      </c>
    </row>
    <row r="141" spans="1:54" ht="18" customHeight="1">
      <c r="A141" s="65">
        <v>122</v>
      </c>
      <c r="B141" s="43" t="str">
        <f>IF('1'!B141=0,"",'1'!B141)</f>
        <v/>
      </c>
      <c r="C141" s="43" t="str">
        <f>IF('1'!C141=0,"",'1'!C141)</f>
        <v/>
      </c>
      <c r="D141" s="43">
        <f>'1'!D141</f>
        <v>0</v>
      </c>
      <c r="E141" s="43">
        <f>'1'!E141</f>
        <v>0</v>
      </c>
      <c r="F141" s="43">
        <f>'1'!F141</f>
        <v>0</v>
      </c>
      <c r="G141" s="43">
        <f>'1'!G141</f>
        <v>0</v>
      </c>
      <c r="H141" s="43">
        <f>'1'!H141</f>
        <v>0</v>
      </c>
      <c r="I141" s="43">
        <f>'1'!I141</f>
        <v>0</v>
      </c>
      <c r="J141" s="43">
        <f>'1'!J141</f>
        <v>0</v>
      </c>
      <c r="K141" s="43">
        <f>'1'!K141</f>
        <v>0</v>
      </c>
      <c r="L141" s="43">
        <f>'1'!L141</f>
        <v>0</v>
      </c>
      <c r="M141" s="43">
        <f>'1'!M141</f>
        <v>0</v>
      </c>
      <c r="N141" s="43">
        <f>'1'!N141</f>
        <v>0</v>
      </c>
      <c r="O141" s="43">
        <f>'1'!O141</f>
        <v>0</v>
      </c>
      <c r="P141" s="216">
        <f>'2'!D141</f>
        <v>0</v>
      </c>
      <c r="Q141" s="216">
        <f>'2'!E141</f>
        <v>0</v>
      </c>
      <c r="R141" s="216">
        <f>'2'!F141</f>
        <v>0</v>
      </c>
      <c r="S141" s="216">
        <f>'2'!G141</f>
        <v>0</v>
      </c>
      <c r="T141" s="216">
        <f>'2'!H141</f>
        <v>0</v>
      </c>
      <c r="U141" s="216">
        <f>'2'!I141</f>
        <v>0</v>
      </c>
      <c r="V141" s="216">
        <f>'2'!J141</f>
        <v>0</v>
      </c>
      <c r="W141" s="216">
        <f>'2'!K141</f>
        <v>0</v>
      </c>
      <c r="X141" s="216">
        <f>'2'!L141</f>
        <v>0</v>
      </c>
      <c r="Y141" s="216">
        <f>'2'!M141</f>
        <v>0</v>
      </c>
      <c r="Z141" s="216">
        <f>'2'!N141</f>
        <v>0</v>
      </c>
      <c r="AA141" s="216">
        <f>'2'!O141</f>
        <v>0</v>
      </c>
      <c r="AB141" s="87" t="str">
        <f t="shared" si="12"/>
        <v/>
      </c>
      <c r="AC141" s="87">
        <v>5</v>
      </c>
      <c r="AD141" s="87">
        <v>4.5</v>
      </c>
      <c r="AE141" s="87">
        <v>6</v>
      </c>
      <c r="AF141" s="87">
        <v>8</v>
      </c>
      <c r="AG141" s="87">
        <v>1</v>
      </c>
      <c r="AH141" s="87">
        <f t="shared" si="22"/>
        <v>24.5</v>
      </c>
      <c r="AI141" s="87">
        <v>6</v>
      </c>
      <c r="AJ141" s="87">
        <v>14</v>
      </c>
      <c r="AK141" s="87">
        <v>9</v>
      </c>
      <c r="AL141" s="87">
        <v>9</v>
      </c>
      <c r="AM141" s="87">
        <v>2</v>
      </c>
      <c r="AO141" s="96">
        <f t="shared" si="23"/>
        <v>83.333333333333343</v>
      </c>
      <c r="AP141" s="96">
        <f t="shared" si="24"/>
        <v>32.142857142857146</v>
      </c>
      <c r="AQ141" s="96">
        <f t="shared" ref="AQ141:AQ169" si="28">AE141/AK141*100</f>
        <v>66.666666666666657</v>
      </c>
      <c r="AR141" s="96">
        <f t="shared" ref="AR141:AR169" si="29">AF141/AL141*100</f>
        <v>88.888888888888886</v>
      </c>
      <c r="AS141" s="96">
        <f t="shared" ref="AS141:AS169" si="30">AG141/AM141*100</f>
        <v>50</v>
      </c>
      <c r="AV141" s="8" t="str">
        <f t="shared" si="15"/>
        <v/>
      </c>
      <c r="AW141" s="8" t="str">
        <f t="shared" si="16"/>
        <v/>
      </c>
      <c r="AX141" s="8" t="str">
        <f t="shared" si="17"/>
        <v/>
      </c>
      <c r="AY141" s="8" t="str">
        <f t="shared" si="18"/>
        <v/>
      </c>
      <c r="AZ141" s="8" t="str">
        <f t="shared" si="19"/>
        <v/>
      </c>
      <c r="BA141" s="8" t="str">
        <f t="shared" si="20"/>
        <v/>
      </c>
      <c r="BB141" s="8">
        <f t="shared" si="21"/>
        <v>0</v>
      </c>
    </row>
    <row r="142" spans="1:54" ht="18" customHeight="1">
      <c r="A142" s="65">
        <v>123</v>
      </c>
      <c r="B142" s="43" t="str">
        <f>IF('1'!B142=0,"",'1'!B142)</f>
        <v/>
      </c>
      <c r="C142" s="43" t="str">
        <f>IF('1'!C142=0,"",'1'!C142)</f>
        <v/>
      </c>
      <c r="D142" s="43">
        <f>'1'!D142</f>
        <v>0</v>
      </c>
      <c r="E142" s="43">
        <f>'1'!E142</f>
        <v>0</v>
      </c>
      <c r="F142" s="43">
        <f>'1'!F142</f>
        <v>0</v>
      </c>
      <c r="G142" s="43">
        <f>'1'!G142</f>
        <v>0</v>
      </c>
      <c r="H142" s="43">
        <f>'1'!H142</f>
        <v>0</v>
      </c>
      <c r="I142" s="43">
        <f>'1'!I142</f>
        <v>0</v>
      </c>
      <c r="J142" s="43">
        <f>'1'!J142</f>
        <v>0</v>
      </c>
      <c r="K142" s="43">
        <f>'1'!K142</f>
        <v>0</v>
      </c>
      <c r="L142" s="43">
        <f>'1'!L142</f>
        <v>0</v>
      </c>
      <c r="M142" s="43">
        <f>'1'!M142</f>
        <v>0</v>
      </c>
      <c r="N142" s="43">
        <f>'1'!N142</f>
        <v>0</v>
      </c>
      <c r="O142" s="43">
        <f>'1'!O142</f>
        <v>0</v>
      </c>
      <c r="P142" s="216">
        <f>'2'!D142</f>
        <v>0</v>
      </c>
      <c r="Q142" s="216">
        <f>'2'!E142</f>
        <v>0</v>
      </c>
      <c r="R142" s="216">
        <f>'2'!F142</f>
        <v>0</v>
      </c>
      <c r="S142" s="216">
        <f>'2'!G142</f>
        <v>0</v>
      </c>
      <c r="T142" s="216">
        <f>'2'!H142</f>
        <v>0</v>
      </c>
      <c r="U142" s="216">
        <f>'2'!I142</f>
        <v>0</v>
      </c>
      <c r="V142" s="216">
        <f>'2'!J142</f>
        <v>0</v>
      </c>
      <c r="W142" s="216">
        <f>'2'!K142</f>
        <v>0</v>
      </c>
      <c r="X142" s="216">
        <f>'2'!L142</f>
        <v>0</v>
      </c>
      <c r="Y142" s="216">
        <f>'2'!M142</f>
        <v>0</v>
      </c>
      <c r="Z142" s="216">
        <f>'2'!N142</f>
        <v>0</v>
      </c>
      <c r="AA142" s="216">
        <f>'2'!O142</f>
        <v>0</v>
      </c>
      <c r="AB142" s="87" t="str">
        <f t="shared" si="12"/>
        <v/>
      </c>
      <c r="AC142" s="87">
        <v>7</v>
      </c>
      <c r="AD142" s="87">
        <v>9</v>
      </c>
      <c r="AE142" s="87">
        <v>7</v>
      </c>
      <c r="AF142" s="87">
        <v>8.5</v>
      </c>
      <c r="AG142" s="87">
        <v>1.5</v>
      </c>
      <c r="AH142" s="87">
        <f t="shared" si="22"/>
        <v>33</v>
      </c>
      <c r="AI142" s="87">
        <v>10</v>
      </c>
      <c r="AJ142" s="87">
        <v>10</v>
      </c>
      <c r="AK142" s="87">
        <v>9</v>
      </c>
      <c r="AL142" s="87">
        <v>9</v>
      </c>
      <c r="AM142" s="87">
        <v>2</v>
      </c>
      <c r="AO142" s="96">
        <f t="shared" si="23"/>
        <v>70</v>
      </c>
      <c r="AP142" s="96">
        <f t="shared" si="24"/>
        <v>90</v>
      </c>
      <c r="AQ142" s="96">
        <f t="shared" si="28"/>
        <v>77.777777777777786</v>
      </c>
      <c r="AR142" s="96">
        <f t="shared" si="29"/>
        <v>94.444444444444443</v>
      </c>
      <c r="AS142" s="96">
        <f t="shared" si="30"/>
        <v>75</v>
      </c>
      <c r="AV142" s="8" t="str">
        <f t="shared" si="15"/>
        <v/>
      </c>
      <c r="AW142" s="8" t="str">
        <f t="shared" si="16"/>
        <v/>
      </c>
      <c r="AX142" s="8" t="str">
        <f t="shared" si="17"/>
        <v/>
      </c>
      <c r="AY142" s="8" t="str">
        <f t="shared" si="18"/>
        <v/>
      </c>
      <c r="AZ142" s="8" t="str">
        <f t="shared" si="19"/>
        <v/>
      </c>
      <c r="BA142" s="8" t="str">
        <f t="shared" si="20"/>
        <v/>
      </c>
      <c r="BB142" s="8">
        <f t="shared" si="21"/>
        <v>0</v>
      </c>
    </row>
    <row r="143" spans="1:54" ht="18" customHeight="1">
      <c r="A143" s="65">
        <v>124</v>
      </c>
      <c r="B143" s="43" t="str">
        <f>IF('1'!B143=0,"",'1'!B143)</f>
        <v/>
      </c>
      <c r="C143" s="43" t="str">
        <f>IF('1'!C143=0,"",'1'!C143)</f>
        <v/>
      </c>
      <c r="D143" s="43">
        <f>'1'!D143</f>
        <v>0</v>
      </c>
      <c r="E143" s="43">
        <f>'1'!E143</f>
        <v>0</v>
      </c>
      <c r="F143" s="43">
        <f>'1'!F143</f>
        <v>0</v>
      </c>
      <c r="G143" s="43">
        <f>'1'!G143</f>
        <v>0</v>
      </c>
      <c r="H143" s="43">
        <f>'1'!H143</f>
        <v>0</v>
      </c>
      <c r="I143" s="43">
        <f>'1'!I143</f>
        <v>0</v>
      </c>
      <c r="J143" s="43">
        <f>'1'!J143</f>
        <v>0</v>
      </c>
      <c r="K143" s="43">
        <f>'1'!K143</f>
        <v>0</v>
      </c>
      <c r="L143" s="43">
        <f>'1'!L143</f>
        <v>0</v>
      </c>
      <c r="M143" s="43">
        <f>'1'!M143</f>
        <v>0</v>
      </c>
      <c r="N143" s="43">
        <f>'1'!N143</f>
        <v>0</v>
      </c>
      <c r="O143" s="43">
        <f>'1'!O143</f>
        <v>0</v>
      </c>
      <c r="P143" s="216">
        <f>'2'!D143</f>
        <v>0</v>
      </c>
      <c r="Q143" s="216">
        <f>'2'!E143</f>
        <v>0</v>
      </c>
      <c r="R143" s="216">
        <f>'2'!F143</f>
        <v>0</v>
      </c>
      <c r="S143" s="216">
        <f>'2'!G143</f>
        <v>0</v>
      </c>
      <c r="T143" s="216">
        <f>'2'!H143</f>
        <v>0</v>
      </c>
      <c r="U143" s="216">
        <f>'2'!I143</f>
        <v>0</v>
      </c>
      <c r="V143" s="216">
        <f>'2'!J143</f>
        <v>0</v>
      </c>
      <c r="W143" s="216">
        <f>'2'!K143</f>
        <v>0</v>
      </c>
      <c r="X143" s="216">
        <f>'2'!L143</f>
        <v>0</v>
      </c>
      <c r="Y143" s="216">
        <f>'2'!M143</f>
        <v>0</v>
      </c>
      <c r="Z143" s="216">
        <f>'2'!N143</f>
        <v>0</v>
      </c>
      <c r="AA143" s="216">
        <f>'2'!O143</f>
        <v>0</v>
      </c>
      <c r="AB143" s="87" t="str">
        <f t="shared" si="12"/>
        <v/>
      </c>
      <c r="AC143" s="87">
        <v>5</v>
      </c>
      <c r="AD143" s="87">
        <v>10</v>
      </c>
      <c r="AE143" s="87">
        <v>9</v>
      </c>
      <c r="AF143" s="87">
        <v>8</v>
      </c>
      <c r="AG143" s="87">
        <v>1</v>
      </c>
      <c r="AH143" s="87">
        <f t="shared" si="22"/>
        <v>33</v>
      </c>
      <c r="AI143" s="87">
        <v>6</v>
      </c>
      <c r="AJ143" s="87">
        <v>14</v>
      </c>
      <c r="AK143" s="87">
        <v>9</v>
      </c>
      <c r="AL143" s="87">
        <v>9</v>
      </c>
      <c r="AM143" s="87">
        <v>2</v>
      </c>
      <c r="AO143" s="96">
        <f t="shared" si="23"/>
        <v>83.333333333333343</v>
      </c>
      <c r="AP143" s="96">
        <f t="shared" si="24"/>
        <v>71.428571428571431</v>
      </c>
      <c r="AQ143" s="96">
        <f t="shared" si="28"/>
        <v>100</v>
      </c>
      <c r="AR143" s="96">
        <f t="shared" si="29"/>
        <v>88.888888888888886</v>
      </c>
      <c r="AS143" s="96">
        <f t="shared" si="30"/>
        <v>50</v>
      </c>
      <c r="AV143" s="8" t="str">
        <f t="shared" si="15"/>
        <v/>
      </c>
      <c r="AW143" s="8" t="str">
        <f t="shared" si="16"/>
        <v/>
      </c>
      <c r="AX143" s="8" t="str">
        <f t="shared" si="17"/>
        <v/>
      </c>
      <c r="AY143" s="8" t="str">
        <f t="shared" si="18"/>
        <v/>
      </c>
      <c r="AZ143" s="8" t="str">
        <f t="shared" si="19"/>
        <v/>
      </c>
      <c r="BA143" s="8" t="str">
        <f t="shared" si="20"/>
        <v/>
      </c>
      <c r="BB143" s="8">
        <f t="shared" si="21"/>
        <v>0</v>
      </c>
    </row>
    <row r="144" spans="1:54" ht="18" customHeight="1">
      <c r="A144" s="65">
        <v>125</v>
      </c>
      <c r="B144" s="43" t="str">
        <f>IF('1'!B144=0,"",'1'!B144)</f>
        <v/>
      </c>
      <c r="C144" s="43" t="str">
        <f>IF('1'!C144=0,"",'1'!C144)</f>
        <v/>
      </c>
      <c r="D144" s="43">
        <f>'1'!D144</f>
        <v>0</v>
      </c>
      <c r="E144" s="43">
        <f>'1'!E144</f>
        <v>0</v>
      </c>
      <c r="F144" s="43">
        <f>'1'!F144</f>
        <v>0</v>
      </c>
      <c r="G144" s="43">
        <f>'1'!G144</f>
        <v>0</v>
      </c>
      <c r="H144" s="43">
        <f>'1'!H144</f>
        <v>0</v>
      </c>
      <c r="I144" s="43">
        <f>'1'!I144</f>
        <v>0</v>
      </c>
      <c r="J144" s="43">
        <f>'1'!J144</f>
        <v>0</v>
      </c>
      <c r="K144" s="43">
        <f>'1'!K144</f>
        <v>0</v>
      </c>
      <c r="L144" s="43">
        <f>'1'!L144</f>
        <v>0</v>
      </c>
      <c r="M144" s="43">
        <f>'1'!M144</f>
        <v>0</v>
      </c>
      <c r="N144" s="43">
        <f>'1'!N144</f>
        <v>0</v>
      </c>
      <c r="O144" s="43">
        <f>'1'!O144</f>
        <v>0</v>
      </c>
      <c r="P144" s="216">
        <f>'2'!D144</f>
        <v>0</v>
      </c>
      <c r="Q144" s="216">
        <f>'2'!E144</f>
        <v>0</v>
      </c>
      <c r="R144" s="216">
        <f>'2'!F144</f>
        <v>0</v>
      </c>
      <c r="S144" s="216">
        <f>'2'!G144</f>
        <v>0</v>
      </c>
      <c r="T144" s="216">
        <f>'2'!H144</f>
        <v>0</v>
      </c>
      <c r="U144" s="216">
        <f>'2'!I144</f>
        <v>0</v>
      </c>
      <c r="V144" s="216">
        <f>'2'!J144</f>
        <v>0</v>
      </c>
      <c r="W144" s="216">
        <f>'2'!K144</f>
        <v>0</v>
      </c>
      <c r="X144" s="216">
        <f>'2'!L144</f>
        <v>0</v>
      </c>
      <c r="Y144" s="216">
        <f>'2'!M144</f>
        <v>0</v>
      </c>
      <c r="Z144" s="216">
        <f>'2'!N144</f>
        <v>0</v>
      </c>
      <c r="AA144" s="216">
        <f>'2'!O144</f>
        <v>0</v>
      </c>
      <c r="AB144" s="87" t="str">
        <f t="shared" si="12"/>
        <v/>
      </c>
      <c r="AC144" s="87">
        <v>5</v>
      </c>
      <c r="AD144" s="87">
        <v>13</v>
      </c>
      <c r="AE144" s="87">
        <v>1</v>
      </c>
      <c r="AF144" s="87">
        <v>8.5</v>
      </c>
      <c r="AG144" s="87">
        <v>8</v>
      </c>
      <c r="AH144" s="87">
        <f t="shared" si="22"/>
        <v>35.5</v>
      </c>
      <c r="AI144" s="87">
        <v>6</v>
      </c>
      <c r="AJ144" s="87">
        <v>14</v>
      </c>
      <c r="AK144" s="87">
        <v>2</v>
      </c>
      <c r="AL144" s="87">
        <v>9</v>
      </c>
      <c r="AM144" s="87">
        <v>9</v>
      </c>
      <c r="AO144" s="96">
        <f t="shared" si="23"/>
        <v>83.333333333333343</v>
      </c>
      <c r="AP144" s="96">
        <f t="shared" si="24"/>
        <v>92.857142857142861</v>
      </c>
      <c r="AQ144" s="96">
        <f t="shared" si="28"/>
        <v>50</v>
      </c>
      <c r="AR144" s="96">
        <f t="shared" si="29"/>
        <v>94.444444444444443</v>
      </c>
      <c r="AS144" s="96">
        <f t="shared" si="30"/>
        <v>88.888888888888886</v>
      </c>
      <c r="AV144" s="8" t="str">
        <f t="shared" si="15"/>
        <v/>
      </c>
      <c r="AW144" s="8" t="str">
        <f t="shared" si="16"/>
        <v/>
      </c>
      <c r="AX144" s="8" t="str">
        <f t="shared" si="17"/>
        <v/>
      </c>
      <c r="AY144" s="8" t="str">
        <f t="shared" si="18"/>
        <v/>
      </c>
      <c r="AZ144" s="8" t="str">
        <f t="shared" si="19"/>
        <v/>
      </c>
      <c r="BA144" s="8" t="str">
        <f t="shared" si="20"/>
        <v/>
      </c>
      <c r="BB144" s="8">
        <f t="shared" si="21"/>
        <v>0</v>
      </c>
    </row>
    <row r="145" spans="1:54" ht="18" customHeight="1">
      <c r="A145" s="65">
        <v>126</v>
      </c>
      <c r="B145" s="43" t="str">
        <f>IF('1'!B145=0,"",'1'!B145)</f>
        <v/>
      </c>
      <c r="C145" s="43" t="str">
        <f>IF('1'!C145=0,"",'1'!C145)</f>
        <v/>
      </c>
      <c r="D145" s="43">
        <f>'1'!D145</f>
        <v>0</v>
      </c>
      <c r="E145" s="43">
        <f>'1'!E145</f>
        <v>0</v>
      </c>
      <c r="F145" s="43">
        <f>'1'!F145</f>
        <v>0</v>
      </c>
      <c r="G145" s="43">
        <f>'1'!G145</f>
        <v>0</v>
      </c>
      <c r="H145" s="43">
        <f>'1'!H145</f>
        <v>0</v>
      </c>
      <c r="I145" s="43">
        <f>'1'!I145</f>
        <v>0</v>
      </c>
      <c r="J145" s="43">
        <f>'1'!J145</f>
        <v>0</v>
      </c>
      <c r="K145" s="43">
        <f>'1'!K145</f>
        <v>0</v>
      </c>
      <c r="L145" s="43">
        <f>'1'!L145</f>
        <v>0</v>
      </c>
      <c r="M145" s="43">
        <f>'1'!M145</f>
        <v>0</v>
      </c>
      <c r="N145" s="43">
        <f>'1'!N145</f>
        <v>0</v>
      </c>
      <c r="O145" s="43">
        <f>'1'!O145</f>
        <v>0</v>
      </c>
      <c r="P145" s="216">
        <f>'2'!D145</f>
        <v>0</v>
      </c>
      <c r="Q145" s="216">
        <f>'2'!E145</f>
        <v>0</v>
      </c>
      <c r="R145" s="216">
        <f>'2'!F145</f>
        <v>0</v>
      </c>
      <c r="S145" s="216">
        <f>'2'!G145</f>
        <v>0</v>
      </c>
      <c r="T145" s="216">
        <f>'2'!H145</f>
        <v>0</v>
      </c>
      <c r="U145" s="216">
        <f>'2'!I145</f>
        <v>0</v>
      </c>
      <c r="V145" s="216">
        <f>'2'!J145</f>
        <v>0</v>
      </c>
      <c r="W145" s="216">
        <f>'2'!K145</f>
        <v>0</v>
      </c>
      <c r="X145" s="216">
        <f>'2'!L145</f>
        <v>0</v>
      </c>
      <c r="Y145" s="216">
        <f>'2'!M145</f>
        <v>0</v>
      </c>
      <c r="Z145" s="216">
        <f>'2'!N145</f>
        <v>0</v>
      </c>
      <c r="AA145" s="216">
        <f>'2'!O145</f>
        <v>0</v>
      </c>
      <c r="AB145" s="87" t="str">
        <f t="shared" si="12"/>
        <v/>
      </c>
      <c r="AC145" s="87">
        <v>9</v>
      </c>
      <c r="AD145" s="87">
        <v>9.5</v>
      </c>
      <c r="AE145" s="87">
        <v>6</v>
      </c>
      <c r="AF145" s="87">
        <v>8.5</v>
      </c>
      <c r="AG145" s="87">
        <v>1.5</v>
      </c>
      <c r="AH145" s="87">
        <f t="shared" si="22"/>
        <v>34.5</v>
      </c>
      <c r="AI145" s="87">
        <v>10</v>
      </c>
      <c r="AJ145" s="87">
        <v>10</v>
      </c>
      <c r="AK145" s="87">
        <v>9</v>
      </c>
      <c r="AL145" s="87">
        <v>9</v>
      </c>
      <c r="AM145" s="87">
        <v>2</v>
      </c>
      <c r="AO145" s="96">
        <f t="shared" si="23"/>
        <v>90</v>
      </c>
      <c r="AP145" s="96">
        <f t="shared" si="24"/>
        <v>95</v>
      </c>
      <c r="AQ145" s="96">
        <f t="shared" si="28"/>
        <v>66.666666666666657</v>
      </c>
      <c r="AR145" s="96">
        <f t="shared" si="29"/>
        <v>94.444444444444443</v>
      </c>
      <c r="AS145" s="96">
        <f t="shared" si="30"/>
        <v>75</v>
      </c>
      <c r="AV145" s="8" t="str">
        <f t="shared" si="15"/>
        <v/>
      </c>
      <c r="AW145" s="8" t="str">
        <f t="shared" si="16"/>
        <v/>
      </c>
      <c r="AX145" s="8" t="str">
        <f t="shared" si="17"/>
        <v/>
      </c>
      <c r="AY145" s="8" t="str">
        <f t="shared" si="18"/>
        <v/>
      </c>
      <c r="AZ145" s="8" t="str">
        <f t="shared" si="19"/>
        <v/>
      </c>
      <c r="BA145" s="8" t="str">
        <f t="shared" si="20"/>
        <v/>
      </c>
      <c r="BB145" s="8">
        <f t="shared" si="21"/>
        <v>0</v>
      </c>
    </row>
    <row r="146" spans="1:54" ht="18" customHeight="1">
      <c r="A146" s="65">
        <v>127</v>
      </c>
      <c r="B146" s="43" t="str">
        <f>IF('1'!B146=0,"",'1'!B146)</f>
        <v/>
      </c>
      <c r="C146" s="43" t="str">
        <f>IF('1'!C146=0,"",'1'!C146)</f>
        <v/>
      </c>
      <c r="D146" s="43">
        <f>'1'!D146</f>
        <v>0</v>
      </c>
      <c r="E146" s="43">
        <f>'1'!E146</f>
        <v>0</v>
      </c>
      <c r="F146" s="43">
        <f>'1'!F146</f>
        <v>0</v>
      </c>
      <c r="G146" s="43">
        <f>'1'!G146</f>
        <v>0</v>
      </c>
      <c r="H146" s="43">
        <f>'1'!H146</f>
        <v>0</v>
      </c>
      <c r="I146" s="43">
        <f>'1'!I146</f>
        <v>0</v>
      </c>
      <c r="J146" s="43">
        <f>'1'!J146</f>
        <v>0</v>
      </c>
      <c r="K146" s="43">
        <f>'1'!K146</f>
        <v>0</v>
      </c>
      <c r="L146" s="43">
        <f>'1'!L146</f>
        <v>0</v>
      </c>
      <c r="M146" s="43">
        <f>'1'!M146</f>
        <v>0</v>
      </c>
      <c r="N146" s="43">
        <f>'1'!N146</f>
        <v>0</v>
      </c>
      <c r="O146" s="43">
        <f>'1'!O146</f>
        <v>0</v>
      </c>
      <c r="P146" s="216">
        <f>'2'!D146</f>
        <v>0</v>
      </c>
      <c r="Q146" s="216">
        <f>'2'!E146</f>
        <v>0</v>
      </c>
      <c r="R146" s="216">
        <f>'2'!F146</f>
        <v>0</v>
      </c>
      <c r="S146" s="216">
        <f>'2'!G146</f>
        <v>0</v>
      </c>
      <c r="T146" s="216">
        <f>'2'!H146</f>
        <v>0</v>
      </c>
      <c r="U146" s="216">
        <f>'2'!I146</f>
        <v>0</v>
      </c>
      <c r="V146" s="216">
        <f>'2'!J146</f>
        <v>0</v>
      </c>
      <c r="W146" s="216">
        <f>'2'!K146</f>
        <v>0</v>
      </c>
      <c r="X146" s="216">
        <f>'2'!L146</f>
        <v>0</v>
      </c>
      <c r="Y146" s="216">
        <f>'2'!M146</f>
        <v>0</v>
      </c>
      <c r="Z146" s="216">
        <f>'2'!N146</f>
        <v>0</v>
      </c>
      <c r="AA146" s="216">
        <f>'2'!O146</f>
        <v>0</v>
      </c>
      <c r="AB146" s="87" t="str">
        <f t="shared" si="12"/>
        <v/>
      </c>
      <c r="AC146" s="87">
        <v>5</v>
      </c>
      <c r="AD146" s="87">
        <v>9.5</v>
      </c>
      <c r="AE146" s="87">
        <v>8</v>
      </c>
      <c r="AF146" s="87">
        <v>8</v>
      </c>
      <c r="AG146" s="87">
        <v>1</v>
      </c>
      <c r="AH146" s="87">
        <f t="shared" si="22"/>
        <v>31.5</v>
      </c>
      <c r="AI146" s="87">
        <v>6</v>
      </c>
      <c r="AJ146" s="87">
        <v>14</v>
      </c>
      <c r="AK146" s="87">
        <v>9</v>
      </c>
      <c r="AL146" s="87">
        <v>9</v>
      </c>
      <c r="AM146" s="87">
        <v>2</v>
      </c>
      <c r="AN146" s="7"/>
      <c r="AO146" s="96">
        <f t="shared" si="23"/>
        <v>83.333333333333343</v>
      </c>
      <c r="AP146" s="96">
        <f t="shared" si="24"/>
        <v>67.857142857142861</v>
      </c>
      <c r="AQ146" s="96">
        <f t="shared" si="28"/>
        <v>88.888888888888886</v>
      </c>
      <c r="AR146" s="96">
        <f t="shared" si="29"/>
        <v>88.888888888888886</v>
      </c>
      <c r="AS146" s="96">
        <f t="shared" si="30"/>
        <v>50</v>
      </c>
      <c r="AT146" s="7"/>
      <c r="AU146" s="223"/>
      <c r="AV146" s="8" t="str">
        <f t="shared" si="15"/>
        <v/>
      </c>
      <c r="AW146" s="8" t="str">
        <f t="shared" si="16"/>
        <v/>
      </c>
      <c r="AX146" s="8" t="str">
        <f t="shared" si="17"/>
        <v/>
      </c>
      <c r="AY146" s="8" t="str">
        <f t="shared" si="18"/>
        <v/>
      </c>
      <c r="AZ146" s="8" t="str">
        <f t="shared" si="19"/>
        <v/>
      </c>
      <c r="BA146" s="8" t="str">
        <f t="shared" si="20"/>
        <v/>
      </c>
      <c r="BB146" s="8">
        <f t="shared" si="21"/>
        <v>0</v>
      </c>
    </row>
    <row r="147" spans="1:54" ht="18" customHeight="1">
      <c r="A147" s="65">
        <v>128</v>
      </c>
      <c r="B147" s="43" t="str">
        <f>IF('1'!B147=0,"",'1'!B147)</f>
        <v/>
      </c>
      <c r="C147" s="43" t="str">
        <f>IF('1'!C147=0,"",'1'!C147)</f>
        <v/>
      </c>
      <c r="D147" s="43">
        <f>'1'!D147</f>
        <v>0</v>
      </c>
      <c r="E147" s="43">
        <f>'1'!E147</f>
        <v>0</v>
      </c>
      <c r="F147" s="43">
        <f>'1'!F147</f>
        <v>0</v>
      </c>
      <c r="G147" s="43">
        <f>'1'!G147</f>
        <v>0</v>
      </c>
      <c r="H147" s="43">
        <f>'1'!H147</f>
        <v>0</v>
      </c>
      <c r="I147" s="43">
        <f>'1'!I147</f>
        <v>0</v>
      </c>
      <c r="J147" s="43">
        <f>'1'!J147</f>
        <v>0</v>
      </c>
      <c r="K147" s="43">
        <f>'1'!K147</f>
        <v>0</v>
      </c>
      <c r="L147" s="43">
        <f>'1'!L147</f>
        <v>0</v>
      </c>
      <c r="M147" s="43">
        <f>'1'!M147</f>
        <v>0</v>
      </c>
      <c r="N147" s="43">
        <f>'1'!N147</f>
        <v>0</v>
      </c>
      <c r="O147" s="43">
        <f>'1'!O147</f>
        <v>0</v>
      </c>
      <c r="P147" s="216">
        <f>'2'!D147</f>
        <v>0</v>
      </c>
      <c r="Q147" s="216">
        <f>'2'!E147</f>
        <v>0</v>
      </c>
      <c r="R147" s="216">
        <f>'2'!F147</f>
        <v>0</v>
      </c>
      <c r="S147" s="216">
        <f>'2'!G147</f>
        <v>0</v>
      </c>
      <c r="T147" s="216">
        <f>'2'!H147</f>
        <v>0</v>
      </c>
      <c r="U147" s="216">
        <f>'2'!I147</f>
        <v>0</v>
      </c>
      <c r="V147" s="216">
        <f>'2'!J147</f>
        <v>0</v>
      </c>
      <c r="W147" s="216">
        <f>'2'!K147</f>
        <v>0</v>
      </c>
      <c r="X147" s="216">
        <f>'2'!L147</f>
        <v>0</v>
      </c>
      <c r="Y147" s="216">
        <f>'2'!M147</f>
        <v>0</v>
      </c>
      <c r="Z147" s="216">
        <f>'2'!N147</f>
        <v>0</v>
      </c>
      <c r="AA147" s="216">
        <f>'2'!O147</f>
        <v>0</v>
      </c>
      <c r="AB147" s="87" t="str">
        <f t="shared" si="12"/>
        <v/>
      </c>
      <c r="AC147" s="87">
        <v>8.5</v>
      </c>
      <c r="AD147" s="87">
        <v>4</v>
      </c>
      <c r="AE147" s="87">
        <v>3</v>
      </c>
      <c r="AF147" s="87">
        <v>7</v>
      </c>
      <c r="AG147" s="87">
        <v>0</v>
      </c>
      <c r="AH147" s="87">
        <f t="shared" si="22"/>
        <v>22.5</v>
      </c>
      <c r="AI147" s="87">
        <v>13</v>
      </c>
      <c r="AJ147" s="87">
        <v>7</v>
      </c>
      <c r="AK147" s="87">
        <v>9</v>
      </c>
      <c r="AL147" s="87">
        <v>9</v>
      </c>
      <c r="AM147" s="87">
        <v>2</v>
      </c>
      <c r="AN147" s="7"/>
      <c r="AO147" s="96">
        <f t="shared" si="23"/>
        <v>65.384615384615387</v>
      </c>
      <c r="AP147" s="96">
        <f t="shared" si="24"/>
        <v>57.142857142857139</v>
      </c>
      <c r="AQ147" s="96">
        <f t="shared" si="28"/>
        <v>33.333333333333329</v>
      </c>
      <c r="AR147" s="96">
        <f t="shared" si="29"/>
        <v>77.777777777777786</v>
      </c>
      <c r="AS147" s="96">
        <f t="shared" si="30"/>
        <v>0</v>
      </c>
      <c r="AT147" s="7"/>
      <c r="AU147" s="223"/>
      <c r="AV147" s="8" t="str">
        <f t="shared" si="15"/>
        <v/>
      </c>
      <c r="AW147" s="8" t="str">
        <f t="shared" si="16"/>
        <v/>
      </c>
      <c r="AX147" s="8" t="str">
        <f t="shared" si="17"/>
        <v/>
      </c>
      <c r="AY147" s="8" t="str">
        <f t="shared" si="18"/>
        <v/>
      </c>
      <c r="AZ147" s="8" t="str">
        <f t="shared" si="19"/>
        <v/>
      </c>
      <c r="BA147" s="8" t="str">
        <f t="shared" si="20"/>
        <v/>
      </c>
      <c r="BB147" s="8">
        <f t="shared" si="21"/>
        <v>0</v>
      </c>
    </row>
    <row r="148" spans="1:54" ht="18" customHeight="1">
      <c r="A148" s="65">
        <v>129</v>
      </c>
      <c r="B148" s="43" t="str">
        <f>IF('1'!B148=0,"",'1'!B148)</f>
        <v/>
      </c>
      <c r="C148" s="43" t="str">
        <f>IF('1'!C148=0,"",'1'!C148)</f>
        <v/>
      </c>
      <c r="D148" s="43">
        <f>'1'!D148</f>
        <v>0</v>
      </c>
      <c r="E148" s="43">
        <f>'1'!E148</f>
        <v>0</v>
      </c>
      <c r="F148" s="43">
        <f>'1'!F148</f>
        <v>0</v>
      </c>
      <c r="G148" s="43">
        <f>'1'!G148</f>
        <v>0</v>
      </c>
      <c r="H148" s="43">
        <f>'1'!H148</f>
        <v>0</v>
      </c>
      <c r="I148" s="43">
        <f>'1'!I148</f>
        <v>0</v>
      </c>
      <c r="J148" s="43">
        <f>'1'!J148</f>
        <v>0</v>
      </c>
      <c r="K148" s="43">
        <f>'1'!K148</f>
        <v>0</v>
      </c>
      <c r="L148" s="43">
        <f>'1'!L148</f>
        <v>0</v>
      </c>
      <c r="M148" s="43">
        <f>'1'!M148</f>
        <v>0</v>
      </c>
      <c r="N148" s="43">
        <f>'1'!N148</f>
        <v>0</v>
      </c>
      <c r="O148" s="43">
        <f>'1'!O148</f>
        <v>0</v>
      </c>
      <c r="P148" s="216">
        <f>'2'!D148</f>
        <v>0</v>
      </c>
      <c r="Q148" s="216">
        <f>'2'!E148</f>
        <v>0</v>
      </c>
      <c r="R148" s="216">
        <f>'2'!F148</f>
        <v>0</v>
      </c>
      <c r="S148" s="216">
        <f>'2'!G148</f>
        <v>0</v>
      </c>
      <c r="T148" s="216">
        <f>'2'!H148</f>
        <v>0</v>
      </c>
      <c r="U148" s="216">
        <f>'2'!I148</f>
        <v>0</v>
      </c>
      <c r="V148" s="216">
        <f>'2'!J148</f>
        <v>0</v>
      </c>
      <c r="W148" s="216">
        <f>'2'!K148</f>
        <v>0</v>
      </c>
      <c r="X148" s="216">
        <f>'2'!L148</f>
        <v>0</v>
      </c>
      <c r="Y148" s="216">
        <f>'2'!M148</f>
        <v>0</v>
      </c>
      <c r="Z148" s="216">
        <f>'2'!N148</f>
        <v>0</v>
      </c>
      <c r="AA148" s="216">
        <f>'2'!O148</f>
        <v>0</v>
      </c>
      <c r="AB148" s="87" t="str">
        <f t="shared" si="12"/>
        <v/>
      </c>
      <c r="AC148" s="87">
        <v>9</v>
      </c>
      <c r="AD148" s="87">
        <v>5.5</v>
      </c>
      <c r="AE148" s="87">
        <v>3</v>
      </c>
      <c r="AF148" s="87">
        <v>7</v>
      </c>
      <c r="AG148" s="87">
        <v>0.5</v>
      </c>
      <c r="AH148" s="87">
        <f t="shared" si="22"/>
        <v>25</v>
      </c>
      <c r="AI148" s="87">
        <v>10</v>
      </c>
      <c r="AJ148" s="87">
        <v>10</v>
      </c>
      <c r="AK148" s="87">
        <v>9</v>
      </c>
      <c r="AL148" s="87">
        <v>9</v>
      </c>
      <c r="AM148" s="87">
        <v>2</v>
      </c>
      <c r="AN148" s="7"/>
      <c r="AO148" s="96">
        <f t="shared" si="23"/>
        <v>90</v>
      </c>
      <c r="AP148" s="96">
        <f t="shared" si="24"/>
        <v>55.000000000000007</v>
      </c>
      <c r="AQ148" s="96">
        <f t="shared" si="28"/>
        <v>33.333333333333329</v>
      </c>
      <c r="AR148" s="96">
        <f t="shared" si="29"/>
        <v>77.777777777777786</v>
      </c>
      <c r="AS148" s="96">
        <f t="shared" si="30"/>
        <v>25</v>
      </c>
      <c r="AT148" s="7"/>
      <c r="AU148" s="223"/>
      <c r="AV148" s="8" t="str">
        <f t="shared" si="15"/>
        <v/>
      </c>
      <c r="AW148" s="8" t="str">
        <f t="shared" si="16"/>
        <v/>
      </c>
      <c r="AX148" s="8" t="str">
        <f t="shared" si="17"/>
        <v/>
      </c>
      <c r="AY148" s="8" t="str">
        <f t="shared" si="18"/>
        <v/>
      </c>
      <c r="AZ148" s="8" t="str">
        <f t="shared" si="19"/>
        <v/>
      </c>
      <c r="BA148" s="8" t="str">
        <f t="shared" si="20"/>
        <v/>
      </c>
      <c r="BB148" s="8">
        <f t="shared" si="21"/>
        <v>0</v>
      </c>
    </row>
    <row r="149" spans="1:54" ht="18" customHeight="1">
      <c r="A149" s="65">
        <v>130</v>
      </c>
      <c r="B149" s="43" t="str">
        <f>IF('1'!B149=0,"",'1'!B149)</f>
        <v/>
      </c>
      <c r="C149" s="43" t="str">
        <f>IF('1'!C149=0,"",'1'!C149)</f>
        <v/>
      </c>
      <c r="D149" s="43">
        <f>'1'!D149</f>
        <v>0</v>
      </c>
      <c r="E149" s="43">
        <f>'1'!E149</f>
        <v>0</v>
      </c>
      <c r="F149" s="43">
        <f>'1'!F149</f>
        <v>0</v>
      </c>
      <c r="G149" s="43">
        <f>'1'!G149</f>
        <v>0</v>
      </c>
      <c r="H149" s="43">
        <f>'1'!H149</f>
        <v>0</v>
      </c>
      <c r="I149" s="43">
        <f>'1'!I149</f>
        <v>0</v>
      </c>
      <c r="J149" s="43">
        <f>'1'!J149</f>
        <v>0</v>
      </c>
      <c r="K149" s="43">
        <f>'1'!K149</f>
        <v>0</v>
      </c>
      <c r="L149" s="43">
        <f>'1'!L149</f>
        <v>0</v>
      </c>
      <c r="M149" s="43">
        <f>'1'!M149</f>
        <v>0</v>
      </c>
      <c r="N149" s="43">
        <f>'1'!N149</f>
        <v>0</v>
      </c>
      <c r="O149" s="43">
        <f>'1'!O149</f>
        <v>0</v>
      </c>
      <c r="P149" s="216">
        <f>'2'!D149</f>
        <v>0</v>
      </c>
      <c r="Q149" s="216">
        <f>'2'!E149</f>
        <v>0</v>
      </c>
      <c r="R149" s="216">
        <f>'2'!F149</f>
        <v>0</v>
      </c>
      <c r="S149" s="216">
        <f>'2'!G149</f>
        <v>0</v>
      </c>
      <c r="T149" s="216">
        <f>'2'!H149</f>
        <v>0</v>
      </c>
      <c r="U149" s="216">
        <f>'2'!I149</f>
        <v>0</v>
      </c>
      <c r="V149" s="216">
        <f>'2'!J149</f>
        <v>0</v>
      </c>
      <c r="W149" s="216">
        <f>'2'!K149</f>
        <v>0</v>
      </c>
      <c r="X149" s="216">
        <f>'2'!L149</f>
        <v>0</v>
      </c>
      <c r="Y149" s="216">
        <f>'2'!M149</f>
        <v>0</v>
      </c>
      <c r="Z149" s="216">
        <f>'2'!N149</f>
        <v>0</v>
      </c>
      <c r="AA149" s="216">
        <f>'2'!O149</f>
        <v>0</v>
      </c>
      <c r="AB149" s="87" t="str">
        <f t="shared" ref="AB149:AB169" si="31">IF(A149=B149,SUM(D149:AA149),"")</f>
        <v/>
      </c>
      <c r="AC149" s="87">
        <v>6</v>
      </c>
      <c r="AD149" s="87">
        <v>9.5</v>
      </c>
      <c r="AE149" s="87">
        <v>3</v>
      </c>
      <c r="AF149" s="87">
        <v>6.5</v>
      </c>
      <c r="AG149" s="87">
        <v>1</v>
      </c>
      <c r="AH149" s="87">
        <f t="shared" si="22"/>
        <v>26</v>
      </c>
      <c r="AI149" s="87">
        <v>6</v>
      </c>
      <c r="AJ149" s="87">
        <v>14</v>
      </c>
      <c r="AK149" s="87">
        <v>9</v>
      </c>
      <c r="AL149" s="87">
        <v>9</v>
      </c>
      <c r="AM149" s="87">
        <v>2</v>
      </c>
      <c r="AN149" s="7"/>
      <c r="AO149" s="96">
        <f t="shared" si="23"/>
        <v>100</v>
      </c>
      <c r="AP149" s="96">
        <f t="shared" si="24"/>
        <v>67.857142857142861</v>
      </c>
      <c r="AQ149" s="96">
        <f t="shared" si="28"/>
        <v>33.333333333333329</v>
      </c>
      <c r="AR149" s="96">
        <f t="shared" si="29"/>
        <v>72.222222222222214</v>
      </c>
      <c r="AS149" s="96">
        <f t="shared" si="30"/>
        <v>50</v>
      </c>
      <c r="AT149" s="7"/>
      <c r="AU149" s="223"/>
      <c r="AV149" s="8" t="str">
        <f t="shared" ref="AV149:AV169" si="32">IF(A149=B149,ISTEXT(J149),"")</f>
        <v/>
      </c>
      <c r="AW149" s="8" t="str">
        <f t="shared" ref="AW149:AW169" si="33">IF(A149=B149,ISTEXT(K149),"")</f>
        <v/>
      </c>
      <c r="AX149" s="8" t="str">
        <f t="shared" ref="AX149:AX169" si="34">IF(A149=B149,ISTEXT(L149),"")</f>
        <v/>
      </c>
      <c r="AY149" s="8" t="str">
        <f t="shared" ref="AY149:AY169" si="35">IF(A149=B149,ISTEXT(M149),"")</f>
        <v/>
      </c>
      <c r="AZ149" s="8" t="str">
        <f t="shared" ref="AZ149:AZ169" si="36">IF(A149=B149,ISTEXT(N149),"")</f>
        <v/>
      </c>
      <c r="BA149" s="8" t="str">
        <f t="shared" ref="BA149:BA169" si="37">IF(A149=B149,ISTEXT(O149),"")</f>
        <v/>
      </c>
      <c r="BB149" s="8">
        <f t="shared" ref="BB149:BB169" si="38">COUNTIF(AV149:BA149,"TRUE")</f>
        <v>0</v>
      </c>
    </row>
    <row r="150" spans="1:54" ht="18" customHeight="1">
      <c r="A150" s="65">
        <v>131</v>
      </c>
      <c r="B150" s="43" t="str">
        <f>IF('1'!B150=0,"",'1'!B150)</f>
        <v/>
      </c>
      <c r="C150" s="43" t="str">
        <f>IF('1'!C150=0,"",'1'!C150)</f>
        <v/>
      </c>
      <c r="D150" s="43">
        <f>'1'!D150</f>
        <v>0</v>
      </c>
      <c r="E150" s="43">
        <f>'1'!E150</f>
        <v>0</v>
      </c>
      <c r="F150" s="43">
        <f>'1'!F150</f>
        <v>0</v>
      </c>
      <c r="G150" s="43">
        <f>'1'!G150</f>
        <v>0</v>
      </c>
      <c r="H150" s="43">
        <f>'1'!H150</f>
        <v>0</v>
      </c>
      <c r="I150" s="43">
        <f>'1'!I150</f>
        <v>0</v>
      </c>
      <c r="J150" s="43">
        <f>'1'!J150</f>
        <v>0</v>
      </c>
      <c r="K150" s="43">
        <f>'1'!K150</f>
        <v>0</v>
      </c>
      <c r="L150" s="43">
        <f>'1'!L150</f>
        <v>0</v>
      </c>
      <c r="M150" s="43">
        <f>'1'!M150</f>
        <v>0</v>
      </c>
      <c r="N150" s="43">
        <f>'1'!N150</f>
        <v>0</v>
      </c>
      <c r="O150" s="43">
        <f>'1'!O150</f>
        <v>0</v>
      </c>
      <c r="P150" s="216">
        <f>'2'!D150</f>
        <v>0</v>
      </c>
      <c r="Q150" s="216">
        <f>'2'!E150</f>
        <v>0</v>
      </c>
      <c r="R150" s="216">
        <f>'2'!F150</f>
        <v>0</v>
      </c>
      <c r="S150" s="216">
        <f>'2'!G150</f>
        <v>0</v>
      </c>
      <c r="T150" s="216">
        <f>'2'!H150</f>
        <v>0</v>
      </c>
      <c r="U150" s="216">
        <f>'2'!I150</f>
        <v>0</v>
      </c>
      <c r="V150" s="216">
        <f>'2'!J150</f>
        <v>0</v>
      </c>
      <c r="W150" s="216">
        <f>'2'!K150</f>
        <v>0</v>
      </c>
      <c r="X150" s="216">
        <f>'2'!L150</f>
        <v>0</v>
      </c>
      <c r="Y150" s="216">
        <f>'2'!M150</f>
        <v>0</v>
      </c>
      <c r="Z150" s="216">
        <f>'2'!N150</f>
        <v>0</v>
      </c>
      <c r="AA150" s="216">
        <f>'2'!O150</f>
        <v>0</v>
      </c>
      <c r="AB150" s="87" t="str">
        <f t="shared" si="31"/>
        <v/>
      </c>
      <c r="AC150" s="87">
        <v>13</v>
      </c>
      <c r="AD150" s="87">
        <v>3</v>
      </c>
      <c r="AE150" s="87">
        <v>7</v>
      </c>
      <c r="AF150" s="87">
        <v>1.5</v>
      </c>
      <c r="AG150" s="87">
        <v>9</v>
      </c>
      <c r="AH150" s="87">
        <f t="shared" si="22"/>
        <v>33.5</v>
      </c>
      <c r="AI150" s="87">
        <v>13</v>
      </c>
      <c r="AJ150" s="87">
        <v>7</v>
      </c>
      <c r="AK150" s="87">
        <v>9</v>
      </c>
      <c r="AL150" s="87">
        <v>2</v>
      </c>
      <c r="AM150" s="87">
        <v>9</v>
      </c>
      <c r="AN150" s="7"/>
      <c r="AO150" s="96">
        <f t="shared" si="23"/>
        <v>100</v>
      </c>
      <c r="AP150" s="96">
        <f t="shared" si="24"/>
        <v>42.857142857142854</v>
      </c>
      <c r="AQ150" s="96">
        <f t="shared" si="28"/>
        <v>77.777777777777786</v>
      </c>
      <c r="AR150" s="96">
        <f t="shared" si="29"/>
        <v>75</v>
      </c>
      <c r="AS150" s="96">
        <f t="shared" si="30"/>
        <v>100</v>
      </c>
      <c r="AT150" s="7"/>
      <c r="AU150" s="223"/>
      <c r="AV150" s="8" t="str">
        <f t="shared" si="32"/>
        <v/>
      </c>
      <c r="AW150" s="8" t="str">
        <f t="shared" si="33"/>
        <v/>
      </c>
      <c r="AX150" s="8" t="str">
        <f t="shared" si="34"/>
        <v/>
      </c>
      <c r="AY150" s="8" t="str">
        <f t="shared" si="35"/>
        <v/>
      </c>
      <c r="AZ150" s="8" t="str">
        <f t="shared" si="36"/>
        <v/>
      </c>
      <c r="BA150" s="8" t="str">
        <f t="shared" si="37"/>
        <v/>
      </c>
      <c r="BB150" s="8">
        <f t="shared" si="38"/>
        <v>0</v>
      </c>
    </row>
    <row r="151" spans="1:54" ht="18" customHeight="1">
      <c r="A151" s="65">
        <v>132</v>
      </c>
      <c r="B151" s="43" t="str">
        <f>IF('1'!B151=0,"",'1'!B151)</f>
        <v/>
      </c>
      <c r="C151" s="43" t="str">
        <f>IF('1'!C151=0,"",'1'!C151)</f>
        <v/>
      </c>
      <c r="D151" s="43">
        <f>'1'!D151</f>
        <v>0</v>
      </c>
      <c r="E151" s="43">
        <f>'1'!E151</f>
        <v>0</v>
      </c>
      <c r="F151" s="43">
        <f>'1'!F151</f>
        <v>0</v>
      </c>
      <c r="G151" s="43">
        <f>'1'!G151</f>
        <v>0</v>
      </c>
      <c r="H151" s="43">
        <f>'1'!H151</f>
        <v>0</v>
      </c>
      <c r="I151" s="43">
        <f>'1'!I151</f>
        <v>0</v>
      </c>
      <c r="J151" s="43">
        <f>'1'!J151</f>
        <v>0</v>
      </c>
      <c r="K151" s="43">
        <f>'1'!K151</f>
        <v>0</v>
      </c>
      <c r="L151" s="43">
        <f>'1'!L151</f>
        <v>0</v>
      </c>
      <c r="M151" s="43">
        <f>'1'!M151</f>
        <v>0</v>
      </c>
      <c r="N151" s="43">
        <f>'1'!N151</f>
        <v>0</v>
      </c>
      <c r="O151" s="43">
        <f>'1'!O151</f>
        <v>0</v>
      </c>
      <c r="P151" s="216">
        <f>'2'!D151</f>
        <v>0</v>
      </c>
      <c r="Q151" s="216">
        <f>'2'!E151</f>
        <v>0</v>
      </c>
      <c r="R151" s="216">
        <f>'2'!F151</f>
        <v>0</v>
      </c>
      <c r="S151" s="216">
        <f>'2'!G151</f>
        <v>0</v>
      </c>
      <c r="T151" s="216">
        <f>'2'!H151</f>
        <v>0</v>
      </c>
      <c r="U151" s="216">
        <f>'2'!I151</f>
        <v>0</v>
      </c>
      <c r="V151" s="216">
        <f>'2'!J151</f>
        <v>0</v>
      </c>
      <c r="W151" s="216">
        <f>'2'!K151</f>
        <v>0</v>
      </c>
      <c r="X151" s="216">
        <f>'2'!L151</f>
        <v>0</v>
      </c>
      <c r="Y151" s="216">
        <f>'2'!M151</f>
        <v>0</v>
      </c>
      <c r="Z151" s="216">
        <f>'2'!N151</f>
        <v>0</v>
      </c>
      <c r="AA151" s="216">
        <f>'2'!O151</f>
        <v>0</v>
      </c>
      <c r="AB151" s="87" t="str">
        <f t="shared" si="31"/>
        <v/>
      </c>
      <c r="AC151" s="87">
        <v>8</v>
      </c>
      <c r="AD151" s="87">
        <v>4</v>
      </c>
      <c r="AE151" s="87">
        <v>0</v>
      </c>
      <c r="AF151" s="87">
        <v>8.5</v>
      </c>
      <c r="AG151" s="87">
        <v>7</v>
      </c>
      <c r="AH151" s="87">
        <f t="shared" si="22"/>
        <v>27.5</v>
      </c>
      <c r="AI151" s="87">
        <v>10</v>
      </c>
      <c r="AJ151" s="87">
        <v>10</v>
      </c>
      <c r="AK151" s="87">
        <v>2</v>
      </c>
      <c r="AL151" s="87">
        <v>9</v>
      </c>
      <c r="AM151" s="87">
        <v>9</v>
      </c>
      <c r="AN151" s="7"/>
      <c r="AO151" s="96">
        <f t="shared" si="23"/>
        <v>80</v>
      </c>
      <c r="AP151" s="96">
        <f t="shared" si="24"/>
        <v>40</v>
      </c>
      <c r="AQ151" s="96">
        <f t="shared" si="28"/>
        <v>0</v>
      </c>
      <c r="AR151" s="96">
        <f t="shared" si="29"/>
        <v>94.444444444444443</v>
      </c>
      <c r="AS151" s="96">
        <f t="shared" si="30"/>
        <v>77.777777777777786</v>
      </c>
      <c r="AT151" s="7"/>
      <c r="AU151" s="223"/>
      <c r="AV151" s="8" t="str">
        <f t="shared" si="32"/>
        <v/>
      </c>
      <c r="AW151" s="8" t="str">
        <f t="shared" si="33"/>
        <v/>
      </c>
      <c r="AX151" s="8" t="str">
        <f t="shared" si="34"/>
        <v/>
      </c>
      <c r="AY151" s="8" t="str">
        <f t="shared" si="35"/>
        <v/>
      </c>
      <c r="AZ151" s="8" t="str">
        <f t="shared" si="36"/>
        <v/>
      </c>
      <c r="BA151" s="8" t="str">
        <f t="shared" si="37"/>
        <v/>
      </c>
      <c r="BB151" s="8">
        <f t="shared" si="38"/>
        <v>0</v>
      </c>
    </row>
    <row r="152" spans="1:54" ht="18" customHeight="1">
      <c r="A152" s="65">
        <v>133</v>
      </c>
      <c r="B152" s="43" t="str">
        <f>IF('1'!B152=0,"",'1'!B152)</f>
        <v/>
      </c>
      <c r="C152" s="43" t="str">
        <f>IF('1'!C152=0,"",'1'!C152)</f>
        <v/>
      </c>
      <c r="D152" s="43">
        <f>'1'!D152</f>
        <v>0</v>
      </c>
      <c r="E152" s="43">
        <f>'1'!E152</f>
        <v>0</v>
      </c>
      <c r="F152" s="43">
        <f>'1'!F152</f>
        <v>0</v>
      </c>
      <c r="G152" s="43">
        <f>'1'!G152</f>
        <v>0</v>
      </c>
      <c r="H152" s="43">
        <f>'1'!H152</f>
        <v>0</v>
      </c>
      <c r="I152" s="43">
        <f>'1'!I152</f>
        <v>0</v>
      </c>
      <c r="J152" s="43">
        <f>'1'!J152</f>
        <v>0</v>
      </c>
      <c r="K152" s="43">
        <f>'1'!K152</f>
        <v>0</v>
      </c>
      <c r="L152" s="43">
        <f>'1'!L152</f>
        <v>0</v>
      </c>
      <c r="M152" s="43">
        <f>'1'!M152</f>
        <v>0</v>
      </c>
      <c r="N152" s="43">
        <f>'1'!N152</f>
        <v>0</v>
      </c>
      <c r="O152" s="43">
        <f>'1'!O152</f>
        <v>0</v>
      </c>
      <c r="P152" s="216">
        <f>'2'!D152</f>
        <v>0</v>
      </c>
      <c r="Q152" s="216">
        <f>'2'!E152</f>
        <v>0</v>
      </c>
      <c r="R152" s="216">
        <f>'2'!F152</f>
        <v>0</v>
      </c>
      <c r="S152" s="216">
        <f>'2'!G152</f>
        <v>0</v>
      </c>
      <c r="T152" s="216">
        <f>'2'!H152</f>
        <v>0</v>
      </c>
      <c r="U152" s="216">
        <f>'2'!I152</f>
        <v>0</v>
      </c>
      <c r="V152" s="216">
        <f>'2'!J152</f>
        <v>0</v>
      </c>
      <c r="W152" s="216">
        <f>'2'!K152</f>
        <v>0</v>
      </c>
      <c r="X152" s="216">
        <f>'2'!L152</f>
        <v>0</v>
      </c>
      <c r="Y152" s="216">
        <f>'2'!M152</f>
        <v>0</v>
      </c>
      <c r="Z152" s="216">
        <f>'2'!N152</f>
        <v>0</v>
      </c>
      <c r="AA152" s="216">
        <f>'2'!O152</f>
        <v>0</v>
      </c>
      <c r="AB152" s="87" t="str">
        <f t="shared" si="31"/>
        <v/>
      </c>
      <c r="AC152" s="87">
        <v>6</v>
      </c>
      <c r="AD152" s="87">
        <v>7</v>
      </c>
      <c r="AE152" s="87">
        <v>7</v>
      </c>
      <c r="AF152" s="87">
        <v>6.5</v>
      </c>
      <c r="AG152" s="87">
        <v>1</v>
      </c>
      <c r="AH152" s="87">
        <f t="shared" si="22"/>
        <v>27.5</v>
      </c>
      <c r="AI152" s="87">
        <v>10</v>
      </c>
      <c r="AJ152" s="87">
        <v>10</v>
      </c>
      <c r="AK152" s="87">
        <v>9</v>
      </c>
      <c r="AL152" s="87">
        <v>9</v>
      </c>
      <c r="AM152" s="87">
        <v>2</v>
      </c>
      <c r="AN152" s="7"/>
      <c r="AO152" s="96">
        <f t="shared" si="23"/>
        <v>60</v>
      </c>
      <c r="AP152" s="96">
        <f t="shared" si="24"/>
        <v>70</v>
      </c>
      <c r="AQ152" s="96">
        <f t="shared" si="28"/>
        <v>77.777777777777786</v>
      </c>
      <c r="AR152" s="96">
        <f t="shared" si="29"/>
        <v>72.222222222222214</v>
      </c>
      <c r="AS152" s="96">
        <f t="shared" si="30"/>
        <v>50</v>
      </c>
      <c r="AT152" s="7"/>
      <c r="AU152" s="223"/>
      <c r="AV152" s="8" t="str">
        <f t="shared" si="32"/>
        <v/>
      </c>
      <c r="AW152" s="8" t="str">
        <f t="shared" si="33"/>
        <v/>
      </c>
      <c r="AX152" s="8" t="str">
        <f t="shared" si="34"/>
        <v/>
      </c>
      <c r="AY152" s="8" t="str">
        <f t="shared" si="35"/>
        <v/>
      </c>
      <c r="AZ152" s="8" t="str">
        <f t="shared" si="36"/>
        <v/>
      </c>
      <c r="BA152" s="8" t="str">
        <f t="shared" si="37"/>
        <v/>
      </c>
      <c r="BB152" s="8">
        <f t="shared" si="38"/>
        <v>0</v>
      </c>
    </row>
    <row r="153" spans="1:54" ht="18" customHeight="1">
      <c r="A153" s="65">
        <v>134</v>
      </c>
      <c r="B153" s="43" t="str">
        <f>IF('1'!B153=0,"",'1'!B153)</f>
        <v/>
      </c>
      <c r="C153" s="43" t="str">
        <f>IF('1'!C153=0,"",'1'!C153)</f>
        <v/>
      </c>
      <c r="D153" s="43">
        <f>'1'!D153</f>
        <v>0</v>
      </c>
      <c r="E153" s="43">
        <f>'1'!E153</f>
        <v>0</v>
      </c>
      <c r="F153" s="43">
        <f>'1'!F153</f>
        <v>0</v>
      </c>
      <c r="G153" s="43">
        <f>'1'!G153</f>
        <v>0</v>
      </c>
      <c r="H153" s="43">
        <f>'1'!H153</f>
        <v>0</v>
      </c>
      <c r="I153" s="43">
        <f>'1'!I153</f>
        <v>0</v>
      </c>
      <c r="J153" s="43">
        <f>'1'!J153</f>
        <v>0</v>
      </c>
      <c r="K153" s="43">
        <f>'1'!K153</f>
        <v>0</v>
      </c>
      <c r="L153" s="43">
        <f>'1'!L153</f>
        <v>0</v>
      </c>
      <c r="M153" s="43">
        <f>'1'!M153</f>
        <v>0</v>
      </c>
      <c r="N153" s="43">
        <f>'1'!N153</f>
        <v>0</v>
      </c>
      <c r="O153" s="43">
        <f>'1'!O153</f>
        <v>0</v>
      </c>
      <c r="P153" s="216">
        <f>'2'!D153</f>
        <v>0</v>
      </c>
      <c r="Q153" s="216">
        <f>'2'!E153</f>
        <v>0</v>
      </c>
      <c r="R153" s="216">
        <f>'2'!F153</f>
        <v>0</v>
      </c>
      <c r="S153" s="216">
        <f>'2'!G153</f>
        <v>0</v>
      </c>
      <c r="T153" s="216">
        <f>'2'!H153</f>
        <v>0</v>
      </c>
      <c r="U153" s="216">
        <f>'2'!I153</f>
        <v>0</v>
      </c>
      <c r="V153" s="216">
        <f>'2'!J153</f>
        <v>0</v>
      </c>
      <c r="W153" s="216">
        <f>'2'!K153</f>
        <v>0</v>
      </c>
      <c r="X153" s="216">
        <f>'2'!L153</f>
        <v>0</v>
      </c>
      <c r="Y153" s="216">
        <f>'2'!M153</f>
        <v>0</v>
      </c>
      <c r="Z153" s="216">
        <f>'2'!N153</f>
        <v>0</v>
      </c>
      <c r="AA153" s="216">
        <f>'2'!O153</f>
        <v>0</v>
      </c>
      <c r="AB153" s="87" t="str">
        <f t="shared" si="31"/>
        <v/>
      </c>
      <c r="AC153" s="87">
        <v>7.5</v>
      </c>
      <c r="AD153" s="87">
        <v>2.5</v>
      </c>
      <c r="AE153" s="87">
        <v>6</v>
      </c>
      <c r="AF153" s="87">
        <v>4.5</v>
      </c>
      <c r="AG153" s="87">
        <v>2</v>
      </c>
      <c r="AH153" s="87">
        <f t="shared" si="22"/>
        <v>22.5</v>
      </c>
      <c r="AI153" s="87">
        <v>13</v>
      </c>
      <c r="AJ153" s="87">
        <v>7</v>
      </c>
      <c r="AK153" s="87">
        <v>9</v>
      </c>
      <c r="AL153" s="87">
        <v>9</v>
      </c>
      <c r="AM153" s="87">
        <v>2</v>
      </c>
      <c r="AN153" s="7"/>
      <c r="AO153" s="96">
        <f t="shared" si="23"/>
        <v>57.692307692307686</v>
      </c>
      <c r="AP153" s="96">
        <f t="shared" si="24"/>
        <v>35.714285714285715</v>
      </c>
      <c r="AQ153" s="96">
        <f t="shared" si="28"/>
        <v>66.666666666666657</v>
      </c>
      <c r="AR153" s="96">
        <f t="shared" si="29"/>
        <v>50</v>
      </c>
      <c r="AS153" s="96">
        <f t="shared" si="30"/>
        <v>100</v>
      </c>
      <c r="AT153" s="7"/>
      <c r="AU153" s="223"/>
      <c r="AV153" s="8" t="str">
        <f t="shared" si="32"/>
        <v/>
      </c>
      <c r="AW153" s="8" t="str">
        <f t="shared" si="33"/>
        <v/>
      </c>
      <c r="AX153" s="8" t="str">
        <f t="shared" si="34"/>
        <v/>
      </c>
      <c r="AY153" s="8" t="str">
        <f t="shared" si="35"/>
        <v/>
      </c>
      <c r="AZ153" s="8" t="str">
        <f t="shared" si="36"/>
        <v/>
      </c>
      <c r="BA153" s="8" t="str">
        <f t="shared" si="37"/>
        <v/>
      </c>
      <c r="BB153" s="8">
        <f t="shared" si="38"/>
        <v>0</v>
      </c>
    </row>
    <row r="154" spans="1:54">
      <c r="A154" s="65">
        <v>135</v>
      </c>
      <c r="B154" s="43" t="str">
        <f>IF('1'!B154=0,"",'1'!B154)</f>
        <v/>
      </c>
      <c r="C154" s="43" t="str">
        <f>IF('1'!C154=0,"",'1'!C154)</f>
        <v/>
      </c>
      <c r="D154" s="43">
        <f>'1'!D154</f>
        <v>0</v>
      </c>
      <c r="E154" s="43">
        <f>'1'!E154</f>
        <v>0</v>
      </c>
      <c r="F154" s="43">
        <f>'1'!F154</f>
        <v>0</v>
      </c>
      <c r="G154" s="43">
        <f>'1'!G154</f>
        <v>0</v>
      </c>
      <c r="H154" s="43">
        <f>'1'!H154</f>
        <v>0</v>
      </c>
      <c r="I154" s="43">
        <f>'1'!I154</f>
        <v>0</v>
      </c>
      <c r="J154" s="43">
        <f>'1'!J154</f>
        <v>0</v>
      </c>
      <c r="K154" s="43">
        <f>'1'!K154</f>
        <v>0</v>
      </c>
      <c r="L154" s="43">
        <f>'1'!L154</f>
        <v>0</v>
      </c>
      <c r="M154" s="43">
        <f>'1'!M154</f>
        <v>0</v>
      </c>
      <c r="N154" s="43">
        <f>'1'!N154</f>
        <v>0</v>
      </c>
      <c r="O154" s="43">
        <f>'1'!O154</f>
        <v>0</v>
      </c>
      <c r="P154" s="216">
        <f>'2'!D154</f>
        <v>0</v>
      </c>
      <c r="Q154" s="216">
        <f>'2'!E154</f>
        <v>0</v>
      </c>
      <c r="R154" s="216">
        <f>'2'!F154</f>
        <v>0</v>
      </c>
      <c r="S154" s="216">
        <f>'2'!G154</f>
        <v>0</v>
      </c>
      <c r="T154" s="216">
        <f>'2'!H154</f>
        <v>0</v>
      </c>
      <c r="U154" s="216">
        <f>'2'!I154</f>
        <v>0</v>
      </c>
      <c r="V154" s="216">
        <f>'2'!J154</f>
        <v>0</v>
      </c>
      <c r="W154" s="216">
        <f>'2'!K154</f>
        <v>0</v>
      </c>
      <c r="X154" s="216">
        <f>'2'!L154</f>
        <v>0</v>
      </c>
      <c r="Y154" s="216">
        <f>'2'!M154</f>
        <v>0</v>
      </c>
      <c r="Z154" s="216">
        <f>'2'!N154</f>
        <v>0</v>
      </c>
      <c r="AA154" s="216">
        <f>'2'!O154</f>
        <v>0</v>
      </c>
      <c r="AB154" s="87" t="str">
        <f t="shared" si="31"/>
        <v/>
      </c>
      <c r="AC154" s="87">
        <v>5</v>
      </c>
      <c r="AD154" s="87">
        <v>7.5</v>
      </c>
      <c r="AE154" s="87">
        <v>8</v>
      </c>
      <c r="AF154" s="87">
        <v>5</v>
      </c>
      <c r="AG154" s="87">
        <v>1</v>
      </c>
      <c r="AH154" s="87">
        <f t="shared" si="22"/>
        <v>26.5</v>
      </c>
      <c r="AI154" s="87">
        <v>6</v>
      </c>
      <c r="AJ154" s="87">
        <v>14</v>
      </c>
      <c r="AK154" s="87">
        <v>9</v>
      </c>
      <c r="AL154" s="87">
        <v>9</v>
      </c>
      <c r="AM154" s="87">
        <v>2</v>
      </c>
      <c r="AN154" s="7"/>
      <c r="AO154" s="96">
        <f t="shared" si="23"/>
        <v>83.333333333333343</v>
      </c>
      <c r="AP154" s="96">
        <f t="shared" si="24"/>
        <v>53.571428571428569</v>
      </c>
      <c r="AQ154" s="96">
        <f t="shared" si="28"/>
        <v>88.888888888888886</v>
      </c>
      <c r="AR154" s="96">
        <f t="shared" si="29"/>
        <v>55.555555555555557</v>
      </c>
      <c r="AS154" s="96">
        <f t="shared" si="30"/>
        <v>50</v>
      </c>
      <c r="AT154" s="7"/>
      <c r="AU154" s="223"/>
      <c r="AV154" s="8" t="str">
        <f t="shared" si="32"/>
        <v/>
      </c>
      <c r="AW154" s="8" t="str">
        <f t="shared" si="33"/>
        <v/>
      </c>
      <c r="AX154" s="8" t="str">
        <f t="shared" si="34"/>
        <v/>
      </c>
      <c r="AY154" s="8" t="str">
        <f t="shared" si="35"/>
        <v/>
      </c>
      <c r="AZ154" s="8" t="str">
        <f t="shared" si="36"/>
        <v/>
      </c>
      <c r="BA154" s="8" t="str">
        <f t="shared" si="37"/>
        <v/>
      </c>
      <c r="BB154" s="8">
        <f t="shared" si="38"/>
        <v>0</v>
      </c>
    </row>
    <row r="155" spans="1:54" ht="18" customHeight="1">
      <c r="A155" s="65">
        <v>136</v>
      </c>
      <c r="B155" s="43" t="str">
        <f>IF('1'!B155=0,"",'1'!B155)</f>
        <v/>
      </c>
      <c r="C155" s="43" t="str">
        <f>IF('1'!C155=0,"",'1'!C155)</f>
        <v/>
      </c>
      <c r="D155" s="43">
        <f>'1'!D155</f>
        <v>0</v>
      </c>
      <c r="E155" s="43">
        <f>'1'!E155</f>
        <v>0</v>
      </c>
      <c r="F155" s="43">
        <f>'1'!F155</f>
        <v>0</v>
      </c>
      <c r="G155" s="43">
        <f>'1'!G155</f>
        <v>0</v>
      </c>
      <c r="H155" s="43">
        <f>'1'!H155</f>
        <v>0</v>
      </c>
      <c r="I155" s="43">
        <f>'1'!I155</f>
        <v>0</v>
      </c>
      <c r="J155" s="43">
        <f>'1'!J155</f>
        <v>0</v>
      </c>
      <c r="K155" s="43">
        <f>'1'!K155</f>
        <v>0</v>
      </c>
      <c r="L155" s="43">
        <f>'1'!L155</f>
        <v>0</v>
      </c>
      <c r="M155" s="43">
        <f>'1'!M155</f>
        <v>0</v>
      </c>
      <c r="N155" s="43">
        <f>'1'!N155</f>
        <v>0</v>
      </c>
      <c r="O155" s="43">
        <f>'1'!O155</f>
        <v>0</v>
      </c>
      <c r="P155" s="216">
        <f>'2'!D155</f>
        <v>0</v>
      </c>
      <c r="Q155" s="216">
        <f>'2'!E155</f>
        <v>0</v>
      </c>
      <c r="R155" s="216">
        <f>'2'!F155</f>
        <v>0</v>
      </c>
      <c r="S155" s="216">
        <f>'2'!G155</f>
        <v>0</v>
      </c>
      <c r="T155" s="216">
        <f>'2'!H155</f>
        <v>0</v>
      </c>
      <c r="U155" s="216">
        <f>'2'!I155</f>
        <v>0</v>
      </c>
      <c r="V155" s="216">
        <f>'2'!J155</f>
        <v>0</v>
      </c>
      <c r="W155" s="216">
        <f>'2'!K155</f>
        <v>0</v>
      </c>
      <c r="X155" s="216">
        <f>'2'!L155</f>
        <v>0</v>
      </c>
      <c r="Y155" s="216">
        <f>'2'!M155</f>
        <v>0</v>
      </c>
      <c r="Z155" s="216">
        <f>'2'!N155</f>
        <v>0</v>
      </c>
      <c r="AA155" s="216">
        <f>'2'!O155</f>
        <v>0</v>
      </c>
      <c r="AB155" s="87" t="str">
        <f t="shared" si="31"/>
        <v/>
      </c>
      <c r="AC155" s="87">
        <v>8</v>
      </c>
      <c r="AD155" s="87">
        <v>6.5</v>
      </c>
      <c r="AE155" s="87">
        <v>9</v>
      </c>
      <c r="AF155" s="87">
        <v>2</v>
      </c>
      <c r="AG155" s="87">
        <v>7</v>
      </c>
      <c r="AH155" s="87">
        <f t="shared" si="22"/>
        <v>32.5</v>
      </c>
      <c r="AI155" s="87">
        <v>10</v>
      </c>
      <c r="AJ155" s="87">
        <v>10</v>
      </c>
      <c r="AK155" s="87">
        <v>9</v>
      </c>
      <c r="AL155" s="87">
        <v>2</v>
      </c>
      <c r="AM155" s="87">
        <v>9</v>
      </c>
      <c r="AN155" s="7"/>
      <c r="AO155" s="96">
        <f t="shared" si="23"/>
        <v>80</v>
      </c>
      <c r="AP155" s="96">
        <f t="shared" si="24"/>
        <v>65</v>
      </c>
      <c r="AQ155" s="96">
        <f t="shared" si="28"/>
        <v>100</v>
      </c>
      <c r="AR155" s="96">
        <f t="shared" si="29"/>
        <v>100</v>
      </c>
      <c r="AS155" s="96">
        <f t="shared" si="30"/>
        <v>77.777777777777786</v>
      </c>
      <c r="AT155" s="7"/>
      <c r="AU155" s="223"/>
      <c r="AV155" s="8" t="str">
        <f t="shared" si="32"/>
        <v/>
      </c>
      <c r="AW155" s="8" t="str">
        <f t="shared" si="33"/>
        <v/>
      </c>
      <c r="AX155" s="8" t="str">
        <f t="shared" si="34"/>
        <v/>
      </c>
      <c r="AY155" s="8" t="str">
        <f t="shared" si="35"/>
        <v/>
      </c>
      <c r="AZ155" s="8" t="str">
        <f t="shared" si="36"/>
        <v/>
      </c>
      <c r="BA155" s="8" t="str">
        <f t="shared" si="37"/>
        <v/>
      </c>
      <c r="BB155" s="8">
        <f t="shared" si="38"/>
        <v>0</v>
      </c>
    </row>
    <row r="156" spans="1:54" ht="18" customHeight="1">
      <c r="A156" s="65">
        <v>137</v>
      </c>
      <c r="B156" s="43" t="str">
        <f>IF('1'!B156=0,"",'1'!B156)</f>
        <v/>
      </c>
      <c r="C156" s="43" t="str">
        <f>IF('1'!C156=0,"",'1'!C156)</f>
        <v/>
      </c>
      <c r="D156" s="43">
        <f>'1'!D156</f>
        <v>0</v>
      </c>
      <c r="E156" s="43">
        <f>'1'!E156</f>
        <v>0</v>
      </c>
      <c r="F156" s="43">
        <f>'1'!F156</f>
        <v>0</v>
      </c>
      <c r="G156" s="43">
        <f>'1'!G156</f>
        <v>0</v>
      </c>
      <c r="H156" s="43">
        <f>'1'!H156</f>
        <v>0</v>
      </c>
      <c r="I156" s="43">
        <f>'1'!I156</f>
        <v>0</v>
      </c>
      <c r="J156" s="43">
        <f>'1'!J156</f>
        <v>0</v>
      </c>
      <c r="K156" s="43">
        <f>'1'!K156</f>
        <v>0</v>
      </c>
      <c r="L156" s="43">
        <f>'1'!L156</f>
        <v>0</v>
      </c>
      <c r="M156" s="43">
        <f>'1'!M156</f>
        <v>0</v>
      </c>
      <c r="N156" s="43">
        <f>'1'!N156</f>
        <v>0</v>
      </c>
      <c r="O156" s="43">
        <f>'1'!O156</f>
        <v>0</v>
      </c>
      <c r="P156" s="216">
        <f>'2'!D156</f>
        <v>0</v>
      </c>
      <c r="Q156" s="216">
        <f>'2'!E156</f>
        <v>0</v>
      </c>
      <c r="R156" s="216">
        <f>'2'!F156</f>
        <v>0</v>
      </c>
      <c r="S156" s="216">
        <f>'2'!G156</f>
        <v>0</v>
      </c>
      <c r="T156" s="216">
        <f>'2'!H156</f>
        <v>0</v>
      </c>
      <c r="U156" s="216">
        <f>'2'!I156</f>
        <v>0</v>
      </c>
      <c r="V156" s="216">
        <f>'2'!J156</f>
        <v>0</v>
      </c>
      <c r="W156" s="216">
        <f>'2'!K156</f>
        <v>0</v>
      </c>
      <c r="X156" s="216">
        <f>'2'!L156</f>
        <v>0</v>
      </c>
      <c r="Y156" s="216">
        <f>'2'!M156</f>
        <v>0</v>
      </c>
      <c r="Z156" s="216">
        <f>'2'!N156</f>
        <v>0</v>
      </c>
      <c r="AA156" s="216">
        <f>'2'!O156</f>
        <v>0</v>
      </c>
      <c r="AB156" s="87" t="str">
        <f t="shared" si="31"/>
        <v/>
      </c>
      <c r="AC156" s="87">
        <v>8</v>
      </c>
      <c r="AD156" s="87">
        <v>4.5</v>
      </c>
      <c r="AE156" s="87">
        <v>5</v>
      </c>
      <c r="AF156" s="87">
        <v>6.5</v>
      </c>
      <c r="AG156" s="87">
        <v>1</v>
      </c>
      <c r="AH156" s="87">
        <f t="shared" si="22"/>
        <v>25</v>
      </c>
      <c r="AI156" s="87">
        <v>10</v>
      </c>
      <c r="AJ156" s="87">
        <v>10</v>
      </c>
      <c r="AK156" s="87">
        <v>9</v>
      </c>
      <c r="AL156" s="87">
        <v>9</v>
      </c>
      <c r="AM156" s="87">
        <v>2</v>
      </c>
      <c r="AN156" s="7"/>
      <c r="AO156" s="96">
        <f t="shared" si="23"/>
        <v>80</v>
      </c>
      <c r="AP156" s="96">
        <f t="shared" si="24"/>
        <v>45</v>
      </c>
      <c r="AQ156" s="96">
        <f t="shared" si="28"/>
        <v>55.555555555555557</v>
      </c>
      <c r="AR156" s="96">
        <f t="shared" si="29"/>
        <v>72.222222222222214</v>
      </c>
      <c r="AS156" s="96">
        <f t="shared" si="30"/>
        <v>50</v>
      </c>
      <c r="AT156" s="7"/>
      <c r="AU156" s="223"/>
      <c r="AV156" s="8" t="str">
        <f t="shared" si="32"/>
        <v/>
      </c>
      <c r="AW156" s="8" t="str">
        <f t="shared" si="33"/>
        <v/>
      </c>
      <c r="AX156" s="8" t="str">
        <f t="shared" si="34"/>
        <v/>
      </c>
      <c r="AY156" s="8" t="str">
        <f t="shared" si="35"/>
        <v/>
      </c>
      <c r="AZ156" s="8" t="str">
        <f t="shared" si="36"/>
        <v/>
      </c>
      <c r="BA156" s="8" t="str">
        <f t="shared" si="37"/>
        <v/>
      </c>
      <c r="BB156" s="8">
        <f t="shared" si="38"/>
        <v>0</v>
      </c>
    </row>
    <row r="157" spans="1:54" ht="18" customHeight="1">
      <c r="A157" s="65">
        <v>138</v>
      </c>
      <c r="B157" s="43" t="str">
        <f>IF('1'!B157=0,"",'1'!B157)</f>
        <v/>
      </c>
      <c r="C157" s="43" t="str">
        <f>IF('1'!C157=0,"",'1'!C157)</f>
        <v/>
      </c>
      <c r="D157" s="43">
        <f>'1'!D157</f>
        <v>0</v>
      </c>
      <c r="E157" s="43">
        <f>'1'!E157</f>
        <v>0</v>
      </c>
      <c r="F157" s="43">
        <f>'1'!F157</f>
        <v>0</v>
      </c>
      <c r="G157" s="43">
        <f>'1'!G157</f>
        <v>0</v>
      </c>
      <c r="H157" s="43">
        <f>'1'!H157</f>
        <v>0</v>
      </c>
      <c r="I157" s="43">
        <f>'1'!I157</f>
        <v>0</v>
      </c>
      <c r="J157" s="43">
        <f>'1'!J157</f>
        <v>0</v>
      </c>
      <c r="K157" s="43">
        <f>'1'!K157</f>
        <v>0</v>
      </c>
      <c r="L157" s="43">
        <f>'1'!L157</f>
        <v>0</v>
      </c>
      <c r="M157" s="43">
        <f>'1'!M157</f>
        <v>0</v>
      </c>
      <c r="N157" s="43">
        <f>'1'!N157</f>
        <v>0</v>
      </c>
      <c r="O157" s="43">
        <f>'1'!O157</f>
        <v>0</v>
      </c>
      <c r="P157" s="216">
        <f>'2'!D157</f>
        <v>0</v>
      </c>
      <c r="Q157" s="216">
        <f>'2'!E157</f>
        <v>0</v>
      </c>
      <c r="R157" s="216">
        <f>'2'!F157</f>
        <v>0</v>
      </c>
      <c r="S157" s="216">
        <f>'2'!G157</f>
        <v>0</v>
      </c>
      <c r="T157" s="216">
        <f>'2'!H157</f>
        <v>0</v>
      </c>
      <c r="U157" s="216">
        <f>'2'!I157</f>
        <v>0</v>
      </c>
      <c r="V157" s="216">
        <f>'2'!J157</f>
        <v>0</v>
      </c>
      <c r="W157" s="216">
        <f>'2'!K157</f>
        <v>0</v>
      </c>
      <c r="X157" s="216">
        <f>'2'!L157</f>
        <v>0</v>
      </c>
      <c r="Y157" s="216">
        <f>'2'!M157</f>
        <v>0</v>
      </c>
      <c r="Z157" s="216">
        <f>'2'!N157</f>
        <v>0</v>
      </c>
      <c r="AA157" s="216">
        <f>'2'!O157</f>
        <v>0</v>
      </c>
      <c r="AB157" s="87" t="str">
        <f t="shared" si="31"/>
        <v/>
      </c>
      <c r="AC157" s="87">
        <v>4</v>
      </c>
      <c r="AD157" s="87">
        <v>6</v>
      </c>
      <c r="AE157" s="87">
        <v>1</v>
      </c>
      <c r="AF157" s="87">
        <v>6</v>
      </c>
      <c r="AG157" s="87">
        <v>4</v>
      </c>
      <c r="AH157" s="87">
        <f t="shared" si="22"/>
        <v>21</v>
      </c>
      <c r="AI157" s="87">
        <v>10</v>
      </c>
      <c r="AJ157" s="87">
        <v>10</v>
      </c>
      <c r="AK157" s="87">
        <v>2</v>
      </c>
      <c r="AL157" s="87">
        <v>9</v>
      </c>
      <c r="AM157" s="87">
        <v>9</v>
      </c>
      <c r="AN157" s="7"/>
      <c r="AO157" s="96">
        <f t="shared" si="23"/>
        <v>40</v>
      </c>
      <c r="AP157" s="96">
        <f t="shared" si="24"/>
        <v>60</v>
      </c>
      <c r="AQ157" s="96">
        <f t="shared" si="28"/>
        <v>50</v>
      </c>
      <c r="AR157" s="96">
        <f t="shared" si="29"/>
        <v>66.666666666666657</v>
      </c>
      <c r="AS157" s="96">
        <f t="shared" si="30"/>
        <v>44.444444444444443</v>
      </c>
      <c r="AT157" s="7"/>
      <c r="AU157" s="223"/>
      <c r="AV157" s="8" t="str">
        <f t="shared" si="32"/>
        <v/>
      </c>
      <c r="AW157" s="8" t="str">
        <f t="shared" si="33"/>
        <v/>
      </c>
      <c r="AX157" s="8" t="str">
        <f t="shared" si="34"/>
        <v/>
      </c>
      <c r="AY157" s="8" t="str">
        <f t="shared" si="35"/>
        <v/>
      </c>
      <c r="AZ157" s="8" t="str">
        <f t="shared" si="36"/>
        <v/>
      </c>
      <c r="BA157" s="8" t="str">
        <f t="shared" si="37"/>
        <v/>
      </c>
      <c r="BB157" s="8">
        <f t="shared" si="38"/>
        <v>0</v>
      </c>
    </row>
    <row r="158" spans="1:54" ht="18" customHeight="1">
      <c r="A158" s="65">
        <v>139</v>
      </c>
      <c r="B158" s="43" t="str">
        <f>IF('1'!B158=0,"",'1'!B158)</f>
        <v/>
      </c>
      <c r="C158" s="43" t="str">
        <f>IF('1'!C158=0,"",'1'!C158)</f>
        <v/>
      </c>
      <c r="D158" s="43">
        <f>'1'!D158</f>
        <v>0</v>
      </c>
      <c r="E158" s="43">
        <f>'1'!E158</f>
        <v>0</v>
      </c>
      <c r="F158" s="43">
        <f>'1'!F158</f>
        <v>0</v>
      </c>
      <c r="G158" s="43">
        <f>'1'!G158</f>
        <v>0</v>
      </c>
      <c r="H158" s="43">
        <f>'1'!H158</f>
        <v>0</v>
      </c>
      <c r="I158" s="43">
        <f>'1'!I158</f>
        <v>0</v>
      </c>
      <c r="J158" s="43">
        <f>'1'!J158</f>
        <v>0</v>
      </c>
      <c r="K158" s="43">
        <f>'1'!K158</f>
        <v>0</v>
      </c>
      <c r="L158" s="43">
        <f>'1'!L158</f>
        <v>0</v>
      </c>
      <c r="M158" s="43">
        <f>'1'!M158</f>
        <v>0</v>
      </c>
      <c r="N158" s="43">
        <f>'1'!N158</f>
        <v>0</v>
      </c>
      <c r="O158" s="43">
        <f>'1'!O158</f>
        <v>0</v>
      </c>
      <c r="P158" s="216">
        <f>'2'!D158</f>
        <v>0</v>
      </c>
      <c r="Q158" s="216">
        <f>'2'!E158</f>
        <v>0</v>
      </c>
      <c r="R158" s="216">
        <f>'2'!F158</f>
        <v>0</v>
      </c>
      <c r="S158" s="216">
        <f>'2'!G158</f>
        <v>0</v>
      </c>
      <c r="T158" s="216">
        <f>'2'!H158</f>
        <v>0</v>
      </c>
      <c r="U158" s="216">
        <f>'2'!I158</f>
        <v>0</v>
      </c>
      <c r="V158" s="216">
        <f>'2'!J158</f>
        <v>0</v>
      </c>
      <c r="W158" s="216">
        <f>'2'!K158</f>
        <v>0</v>
      </c>
      <c r="X158" s="216">
        <f>'2'!L158</f>
        <v>0</v>
      </c>
      <c r="Y158" s="216">
        <f>'2'!M158</f>
        <v>0</v>
      </c>
      <c r="Z158" s="216">
        <f>'2'!N158</f>
        <v>0</v>
      </c>
      <c r="AA158" s="216">
        <f>'2'!O158</f>
        <v>0</v>
      </c>
      <c r="AB158" s="87" t="str">
        <f t="shared" si="31"/>
        <v/>
      </c>
      <c r="AC158" s="87">
        <v>5</v>
      </c>
      <c r="AD158" s="87">
        <v>0</v>
      </c>
      <c r="AE158" s="87">
        <v>3</v>
      </c>
      <c r="AF158" s="87">
        <v>5</v>
      </c>
      <c r="AG158" s="87">
        <v>2</v>
      </c>
      <c r="AH158" s="87">
        <f t="shared" si="22"/>
        <v>15</v>
      </c>
      <c r="AI158" s="87">
        <v>13</v>
      </c>
      <c r="AJ158" s="87">
        <v>7</v>
      </c>
      <c r="AK158" s="87">
        <v>9</v>
      </c>
      <c r="AL158" s="87">
        <v>9</v>
      </c>
      <c r="AM158" s="87">
        <v>2</v>
      </c>
      <c r="AN158" s="7"/>
      <c r="AO158" s="96">
        <f t="shared" si="23"/>
        <v>38.461538461538467</v>
      </c>
      <c r="AP158" s="96">
        <f t="shared" si="24"/>
        <v>0</v>
      </c>
      <c r="AQ158" s="96">
        <f t="shared" si="28"/>
        <v>33.333333333333329</v>
      </c>
      <c r="AR158" s="96">
        <f t="shared" si="29"/>
        <v>55.555555555555557</v>
      </c>
      <c r="AS158" s="96">
        <f t="shared" si="30"/>
        <v>100</v>
      </c>
      <c r="AT158" s="7"/>
      <c r="AU158" s="223"/>
      <c r="AV158" s="8" t="str">
        <f t="shared" si="32"/>
        <v/>
      </c>
      <c r="AW158" s="8" t="str">
        <f t="shared" si="33"/>
        <v/>
      </c>
      <c r="AX158" s="8" t="str">
        <f t="shared" si="34"/>
        <v/>
      </c>
      <c r="AY158" s="8" t="str">
        <f t="shared" si="35"/>
        <v/>
      </c>
      <c r="AZ158" s="8" t="str">
        <f t="shared" si="36"/>
        <v/>
      </c>
      <c r="BA158" s="8" t="str">
        <f t="shared" si="37"/>
        <v/>
      </c>
      <c r="BB158" s="8">
        <f t="shared" si="38"/>
        <v>0</v>
      </c>
    </row>
    <row r="159" spans="1:54" ht="18" customHeight="1">
      <c r="A159" s="65">
        <v>140</v>
      </c>
      <c r="B159" s="43" t="str">
        <f>IF('1'!B159=0,"",'1'!B159)</f>
        <v/>
      </c>
      <c r="C159" s="43" t="str">
        <f>IF('1'!C159=0,"",'1'!C159)</f>
        <v/>
      </c>
      <c r="D159" s="43">
        <f>'1'!D159</f>
        <v>0</v>
      </c>
      <c r="E159" s="43">
        <f>'1'!E159</f>
        <v>0</v>
      </c>
      <c r="F159" s="43">
        <f>'1'!F159</f>
        <v>0</v>
      </c>
      <c r="G159" s="43">
        <f>'1'!G159</f>
        <v>0</v>
      </c>
      <c r="H159" s="43">
        <f>'1'!H159</f>
        <v>0</v>
      </c>
      <c r="I159" s="43">
        <f>'1'!I159</f>
        <v>0</v>
      </c>
      <c r="J159" s="43">
        <f>'1'!J159</f>
        <v>0</v>
      </c>
      <c r="K159" s="43">
        <f>'1'!K159</f>
        <v>0</v>
      </c>
      <c r="L159" s="43">
        <f>'1'!L159</f>
        <v>0</v>
      </c>
      <c r="M159" s="43">
        <f>'1'!M159</f>
        <v>0</v>
      </c>
      <c r="N159" s="43">
        <f>'1'!N159</f>
        <v>0</v>
      </c>
      <c r="O159" s="43">
        <f>'1'!O159</f>
        <v>0</v>
      </c>
      <c r="P159" s="216">
        <f>'2'!D159</f>
        <v>0</v>
      </c>
      <c r="Q159" s="216">
        <f>'2'!E159</f>
        <v>0</v>
      </c>
      <c r="R159" s="216">
        <f>'2'!F159</f>
        <v>0</v>
      </c>
      <c r="S159" s="216">
        <f>'2'!G159</f>
        <v>0</v>
      </c>
      <c r="T159" s="216">
        <f>'2'!H159</f>
        <v>0</v>
      </c>
      <c r="U159" s="216">
        <f>'2'!I159</f>
        <v>0</v>
      </c>
      <c r="V159" s="216">
        <f>'2'!J159</f>
        <v>0</v>
      </c>
      <c r="W159" s="216">
        <f>'2'!K159</f>
        <v>0</v>
      </c>
      <c r="X159" s="216">
        <f>'2'!L159</f>
        <v>0</v>
      </c>
      <c r="Y159" s="216">
        <f>'2'!M159</f>
        <v>0</v>
      </c>
      <c r="Z159" s="216">
        <f>'2'!N159</f>
        <v>0</v>
      </c>
      <c r="AA159" s="216">
        <f>'2'!O159</f>
        <v>0</v>
      </c>
      <c r="AB159" s="87" t="str">
        <f t="shared" si="31"/>
        <v/>
      </c>
      <c r="AC159" s="87">
        <v>3</v>
      </c>
      <c r="AD159" s="87">
        <v>5</v>
      </c>
      <c r="AE159" s="87">
        <v>7</v>
      </c>
      <c r="AF159" s="87">
        <v>6</v>
      </c>
      <c r="AG159" s="87">
        <v>0</v>
      </c>
      <c r="AH159" s="87">
        <f t="shared" si="22"/>
        <v>21</v>
      </c>
      <c r="AI159" s="87">
        <v>6</v>
      </c>
      <c r="AJ159" s="87">
        <v>14</v>
      </c>
      <c r="AK159" s="87">
        <v>9</v>
      </c>
      <c r="AL159" s="87">
        <v>9</v>
      </c>
      <c r="AM159" s="87">
        <v>2</v>
      </c>
      <c r="AN159" s="7"/>
      <c r="AO159" s="96">
        <f t="shared" si="23"/>
        <v>50</v>
      </c>
      <c r="AP159" s="96">
        <f t="shared" si="24"/>
        <v>35.714285714285715</v>
      </c>
      <c r="AQ159" s="96">
        <f t="shared" si="28"/>
        <v>77.777777777777786</v>
      </c>
      <c r="AR159" s="96">
        <f t="shared" si="29"/>
        <v>66.666666666666657</v>
      </c>
      <c r="AS159" s="96">
        <f t="shared" si="30"/>
        <v>0</v>
      </c>
      <c r="AT159" s="7"/>
      <c r="AU159" s="223"/>
      <c r="AV159" s="8" t="str">
        <f t="shared" si="32"/>
        <v/>
      </c>
      <c r="AW159" s="8" t="str">
        <f t="shared" si="33"/>
        <v/>
      </c>
      <c r="AX159" s="8" t="str">
        <f t="shared" si="34"/>
        <v/>
      </c>
      <c r="AY159" s="8" t="str">
        <f t="shared" si="35"/>
        <v/>
      </c>
      <c r="AZ159" s="8" t="str">
        <f t="shared" si="36"/>
        <v/>
      </c>
      <c r="BA159" s="8" t="str">
        <f t="shared" si="37"/>
        <v/>
      </c>
      <c r="BB159" s="8">
        <f t="shared" si="38"/>
        <v>0</v>
      </c>
    </row>
    <row r="160" spans="1:54" ht="18" customHeight="1">
      <c r="A160" s="65">
        <v>141</v>
      </c>
      <c r="B160" s="43" t="str">
        <f>IF('1'!B160=0,"",'1'!B160)</f>
        <v/>
      </c>
      <c r="C160" s="43" t="str">
        <f>IF('1'!C160=0,"",'1'!C160)</f>
        <v/>
      </c>
      <c r="D160" s="43">
        <f>'1'!D160</f>
        <v>0</v>
      </c>
      <c r="E160" s="43">
        <f>'1'!E160</f>
        <v>0</v>
      </c>
      <c r="F160" s="43">
        <f>'1'!F160</f>
        <v>0</v>
      </c>
      <c r="G160" s="43">
        <f>'1'!G160</f>
        <v>0</v>
      </c>
      <c r="H160" s="43">
        <f>'1'!H160</f>
        <v>0</v>
      </c>
      <c r="I160" s="43">
        <f>'1'!I160</f>
        <v>0</v>
      </c>
      <c r="J160" s="43">
        <f>'1'!J160</f>
        <v>0</v>
      </c>
      <c r="K160" s="43">
        <f>'1'!K160</f>
        <v>0</v>
      </c>
      <c r="L160" s="43">
        <f>'1'!L160</f>
        <v>0</v>
      </c>
      <c r="M160" s="43">
        <f>'1'!M160</f>
        <v>0</v>
      </c>
      <c r="N160" s="43">
        <f>'1'!N160</f>
        <v>0</v>
      </c>
      <c r="O160" s="43">
        <f>'1'!O160</f>
        <v>0</v>
      </c>
      <c r="P160" s="216">
        <f>'2'!D160</f>
        <v>0</v>
      </c>
      <c r="Q160" s="216">
        <f>'2'!E160</f>
        <v>0</v>
      </c>
      <c r="R160" s="216">
        <f>'2'!F160</f>
        <v>0</v>
      </c>
      <c r="S160" s="216">
        <f>'2'!G160</f>
        <v>0</v>
      </c>
      <c r="T160" s="216">
        <f>'2'!H160</f>
        <v>0</v>
      </c>
      <c r="U160" s="216">
        <f>'2'!I160</f>
        <v>0</v>
      </c>
      <c r="V160" s="216">
        <f>'2'!J160</f>
        <v>0</v>
      </c>
      <c r="W160" s="216">
        <f>'2'!K160</f>
        <v>0</v>
      </c>
      <c r="X160" s="216">
        <f>'2'!L160</f>
        <v>0</v>
      </c>
      <c r="Y160" s="216">
        <f>'2'!M160</f>
        <v>0</v>
      </c>
      <c r="Z160" s="216">
        <f>'2'!N160</f>
        <v>0</v>
      </c>
      <c r="AA160" s="216">
        <f>'2'!O160</f>
        <v>0</v>
      </c>
      <c r="AB160" s="87" t="str">
        <f t="shared" si="31"/>
        <v/>
      </c>
      <c r="AC160" s="87">
        <v>5</v>
      </c>
      <c r="AD160" s="87">
        <v>1</v>
      </c>
      <c r="AE160" s="87">
        <v>1</v>
      </c>
      <c r="AF160" s="87">
        <v>7.5</v>
      </c>
      <c r="AG160" s="87">
        <v>0</v>
      </c>
      <c r="AH160" s="87">
        <f t="shared" si="22"/>
        <v>14.5</v>
      </c>
      <c r="AI160" s="87">
        <v>13</v>
      </c>
      <c r="AJ160" s="87">
        <v>7</v>
      </c>
      <c r="AK160" s="87">
        <v>2</v>
      </c>
      <c r="AL160" s="87">
        <v>9</v>
      </c>
      <c r="AM160" s="87">
        <v>9</v>
      </c>
      <c r="AN160" s="7"/>
      <c r="AO160" s="96">
        <f t="shared" si="23"/>
        <v>38.461538461538467</v>
      </c>
      <c r="AP160" s="96">
        <f t="shared" si="24"/>
        <v>14.285714285714285</v>
      </c>
      <c r="AQ160" s="96">
        <f t="shared" si="28"/>
        <v>50</v>
      </c>
      <c r="AR160" s="96">
        <f t="shared" si="29"/>
        <v>83.333333333333343</v>
      </c>
      <c r="AS160" s="96">
        <f t="shared" si="30"/>
        <v>0</v>
      </c>
      <c r="AT160" s="7"/>
      <c r="AU160" s="223"/>
      <c r="AV160" s="8" t="str">
        <f t="shared" si="32"/>
        <v/>
      </c>
      <c r="AW160" s="8" t="str">
        <f t="shared" si="33"/>
        <v/>
      </c>
      <c r="AX160" s="8" t="str">
        <f t="shared" si="34"/>
        <v/>
      </c>
      <c r="AY160" s="8" t="str">
        <f t="shared" si="35"/>
        <v/>
      </c>
      <c r="AZ160" s="8" t="str">
        <f t="shared" si="36"/>
        <v/>
      </c>
      <c r="BA160" s="8" t="str">
        <f t="shared" si="37"/>
        <v/>
      </c>
      <c r="BB160" s="8">
        <f t="shared" si="38"/>
        <v>0</v>
      </c>
    </row>
    <row r="161" spans="1:54" ht="18" customHeight="1">
      <c r="A161" s="65">
        <v>142</v>
      </c>
      <c r="B161" s="43" t="str">
        <f>IF('1'!B161=0,"",'1'!B161)</f>
        <v/>
      </c>
      <c r="C161" s="43" t="str">
        <f>IF('1'!C161=0,"",'1'!C161)</f>
        <v/>
      </c>
      <c r="D161" s="43">
        <f>'1'!D161</f>
        <v>0</v>
      </c>
      <c r="E161" s="43">
        <f>'1'!E161</f>
        <v>0</v>
      </c>
      <c r="F161" s="43">
        <f>'1'!F161</f>
        <v>0</v>
      </c>
      <c r="G161" s="43">
        <f>'1'!G161</f>
        <v>0</v>
      </c>
      <c r="H161" s="43">
        <f>'1'!H161</f>
        <v>0</v>
      </c>
      <c r="I161" s="43">
        <f>'1'!I161</f>
        <v>0</v>
      </c>
      <c r="J161" s="43">
        <f>'1'!J161</f>
        <v>0</v>
      </c>
      <c r="K161" s="43">
        <f>'1'!K161</f>
        <v>0</v>
      </c>
      <c r="L161" s="43">
        <f>'1'!L161</f>
        <v>0</v>
      </c>
      <c r="M161" s="43">
        <f>'1'!M161</f>
        <v>0</v>
      </c>
      <c r="N161" s="43">
        <f>'1'!N161</f>
        <v>0</v>
      </c>
      <c r="O161" s="43">
        <f>'1'!O161</f>
        <v>0</v>
      </c>
      <c r="P161" s="216">
        <f>'2'!D161</f>
        <v>0</v>
      </c>
      <c r="Q161" s="216">
        <f>'2'!E161</f>
        <v>0</v>
      </c>
      <c r="R161" s="216">
        <f>'2'!F161</f>
        <v>0</v>
      </c>
      <c r="S161" s="216">
        <f>'2'!G161</f>
        <v>0</v>
      </c>
      <c r="T161" s="216">
        <f>'2'!H161</f>
        <v>0</v>
      </c>
      <c r="U161" s="216">
        <f>'2'!I161</f>
        <v>0</v>
      </c>
      <c r="V161" s="216">
        <f>'2'!J161</f>
        <v>0</v>
      </c>
      <c r="W161" s="216">
        <f>'2'!K161</f>
        <v>0</v>
      </c>
      <c r="X161" s="216">
        <f>'2'!L161</f>
        <v>0</v>
      </c>
      <c r="Y161" s="216">
        <f>'2'!M161</f>
        <v>0</v>
      </c>
      <c r="Z161" s="216">
        <f>'2'!N161</f>
        <v>0</v>
      </c>
      <c r="AA161" s="216">
        <f>'2'!O161</f>
        <v>0</v>
      </c>
      <c r="AB161" s="87" t="str">
        <f t="shared" si="31"/>
        <v/>
      </c>
      <c r="AC161" s="87">
        <v>4</v>
      </c>
      <c r="AD161" s="87">
        <v>1</v>
      </c>
      <c r="AE161" s="87">
        <v>4</v>
      </c>
      <c r="AF161" s="87">
        <v>5.5</v>
      </c>
      <c r="AG161" s="87">
        <v>0</v>
      </c>
      <c r="AH161" s="87">
        <f t="shared" si="22"/>
        <v>14.5</v>
      </c>
      <c r="AI161" s="87">
        <v>13</v>
      </c>
      <c r="AJ161" s="87">
        <v>7</v>
      </c>
      <c r="AK161" s="87">
        <v>9</v>
      </c>
      <c r="AL161" s="87">
        <v>9</v>
      </c>
      <c r="AM161" s="87">
        <v>2</v>
      </c>
      <c r="AN161" s="7"/>
      <c r="AO161" s="96">
        <f t="shared" si="23"/>
        <v>30.76923076923077</v>
      </c>
      <c r="AP161" s="96">
        <f t="shared" si="24"/>
        <v>14.285714285714285</v>
      </c>
      <c r="AQ161" s="96">
        <f t="shared" si="28"/>
        <v>44.444444444444443</v>
      </c>
      <c r="AR161" s="96">
        <f t="shared" si="29"/>
        <v>61.111111111111114</v>
      </c>
      <c r="AS161" s="96">
        <f t="shared" si="30"/>
        <v>0</v>
      </c>
      <c r="AT161" s="7"/>
      <c r="AU161" s="223"/>
      <c r="AV161" s="8" t="str">
        <f t="shared" si="32"/>
        <v/>
      </c>
      <c r="AW161" s="8" t="str">
        <f t="shared" si="33"/>
        <v/>
      </c>
      <c r="AX161" s="8" t="str">
        <f t="shared" si="34"/>
        <v/>
      </c>
      <c r="AY161" s="8" t="str">
        <f t="shared" si="35"/>
        <v/>
      </c>
      <c r="AZ161" s="8" t="str">
        <f t="shared" si="36"/>
        <v/>
      </c>
      <c r="BA161" s="8" t="str">
        <f t="shared" si="37"/>
        <v/>
      </c>
      <c r="BB161" s="8">
        <f t="shared" si="38"/>
        <v>0</v>
      </c>
    </row>
    <row r="162" spans="1:54" ht="18" customHeight="1">
      <c r="A162" s="65">
        <v>143</v>
      </c>
      <c r="B162" s="43" t="str">
        <f>IF('1'!B162=0,"",'1'!B162)</f>
        <v/>
      </c>
      <c r="C162" s="43" t="str">
        <f>IF('1'!C162=0,"",'1'!C162)</f>
        <v/>
      </c>
      <c r="D162" s="43">
        <f>'1'!D162</f>
        <v>0</v>
      </c>
      <c r="E162" s="43">
        <f>'1'!E162</f>
        <v>0</v>
      </c>
      <c r="F162" s="43">
        <f>'1'!F162</f>
        <v>0</v>
      </c>
      <c r="G162" s="43">
        <f>'1'!G162</f>
        <v>0</v>
      </c>
      <c r="H162" s="43">
        <f>'1'!H162</f>
        <v>0</v>
      </c>
      <c r="I162" s="43">
        <f>'1'!I162</f>
        <v>0</v>
      </c>
      <c r="J162" s="43">
        <f>'1'!J162</f>
        <v>0</v>
      </c>
      <c r="K162" s="43">
        <f>'1'!K162</f>
        <v>0</v>
      </c>
      <c r="L162" s="43">
        <f>'1'!L162</f>
        <v>0</v>
      </c>
      <c r="M162" s="43">
        <f>'1'!M162</f>
        <v>0</v>
      </c>
      <c r="N162" s="43">
        <f>'1'!N162</f>
        <v>0</v>
      </c>
      <c r="O162" s="43">
        <f>'1'!O162</f>
        <v>0</v>
      </c>
      <c r="P162" s="216">
        <f>'2'!D162</f>
        <v>0</v>
      </c>
      <c r="Q162" s="216">
        <f>'2'!E162</f>
        <v>0</v>
      </c>
      <c r="R162" s="216">
        <f>'2'!F162</f>
        <v>0</v>
      </c>
      <c r="S162" s="216">
        <f>'2'!G162</f>
        <v>0</v>
      </c>
      <c r="T162" s="216">
        <f>'2'!H162</f>
        <v>0</v>
      </c>
      <c r="U162" s="216">
        <f>'2'!I162</f>
        <v>0</v>
      </c>
      <c r="V162" s="216">
        <f>'2'!J162</f>
        <v>0</v>
      </c>
      <c r="W162" s="216">
        <f>'2'!K162</f>
        <v>0</v>
      </c>
      <c r="X162" s="216">
        <f>'2'!L162</f>
        <v>0</v>
      </c>
      <c r="Y162" s="216">
        <f>'2'!M162</f>
        <v>0</v>
      </c>
      <c r="Z162" s="216">
        <f>'2'!N162</f>
        <v>0</v>
      </c>
      <c r="AA162" s="216">
        <f>'2'!O162</f>
        <v>0</v>
      </c>
      <c r="AB162" s="87" t="str">
        <f t="shared" si="31"/>
        <v/>
      </c>
      <c r="AC162" s="87">
        <v>0</v>
      </c>
      <c r="AD162" s="87">
        <v>0</v>
      </c>
      <c r="AE162" s="87">
        <v>0</v>
      </c>
      <c r="AF162" s="87">
        <v>0</v>
      </c>
      <c r="AG162" s="87">
        <v>0</v>
      </c>
      <c r="AH162" s="87">
        <f t="shared" si="22"/>
        <v>0</v>
      </c>
      <c r="AI162" s="87">
        <v>13</v>
      </c>
      <c r="AJ162" s="87">
        <v>14</v>
      </c>
      <c r="AK162" s="87">
        <v>9</v>
      </c>
      <c r="AL162" s="87">
        <v>9</v>
      </c>
      <c r="AM162" s="87">
        <v>9</v>
      </c>
      <c r="AN162" s="7"/>
      <c r="AO162" s="96">
        <f t="shared" si="23"/>
        <v>0</v>
      </c>
      <c r="AP162" s="96">
        <f t="shared" si="24"/>
        <v>0</v>
      </c>
      <c r="AQ162" s="96">
        <f t="shared" si="28"/>
        <v>0</v>
      </c>
      <c r="AR162" s="96">
        <f t="shared" si="29"/>
        <v>0</v>
      </c>
      <c r="AS162" s="96">
        <f t="shared" si="30"/>
        <v>0</v>
      </c>
      <c r="AT162" s="7"/>
      <c r="AU162" s="223"/>
      <c r="AV162" s="8" t="str">
        <f t="shared" si="32"/>
        <v/>
      </c>
      <c r="AW162" s="8" t="str">
        <f t="shared" si="33"/>
        <v/>
      </c>
      <c r="AX162" s="8" t="str">
        <f t="shared" si="34"/>
        <v/>
      </c>
      <c r="AY162" s="8" t="str">
        <f t="shared" si="35"/>
        <v/>
      </c>
      <c r="AZ162" s="8" t="str">
        <f t="shared" si="36"/>
        <v/>
      </c>
      <c r="BA162" s="8" t="str">
        <f t="shared" si="37"/>
        <v/>
      </c>
      <c r="BB162" s="8">
        <f t="shared" si="38"/>
        <v>0</v>
      </c>
    </row>
    <row r="163" spans="1:54" ht="18" customHeight="1">
      <c r="A163" s="65">
        <v>144</v>
      </c>
      <c r="B163" s="43" t="str">
        <f>IF('1'!B163=0,"",'1'!B163)</f>
        <v/>
      </c>
      <c r="C163" s="43" t="str">
        <f>IF('1'!C163=0,"",'1'!C163)</f>
        <v/>
      </c>
      <c r="D163" s="43">
        <f>'1'!D163</f>
        <v>0</v>
      </c>
      <c r="E163" s="43">
        <f>'1'!E163</f>
        <v>0</v>
      </c>
      <c r="F163" s="43">
        <f>'1'!F163</f>
        <v>0</v>
      </c>
      <c r="G163" s="43">
        <f>'1'!G163</f>
        <v>0</v>
      </c>
      <c r="H163" s="43">
        <f>'1'!H163</f>
        <v>0</v>
      </c>
      <c r="I163" s="43">
        <f>'1'!I163</f>
        <v>0</v>
      </c>
      <c r="J163" s="43">
        <f>'1'!J163</f>
        <v>0</v>
      </c>
      <c r="K163" s="43">
        <f>'1'!K163</f>
        <v>0</v>
      </c>
      <c r="L163" s="43">
        <f>'1'!L163</f>
        <v>0</v>
      </c>
      <c r="M163" s="43">
        <f>'1'!M163</f>
        <v>0</v>
      </c>
      <c r="N163" s="43">
        <f>'1'!N163</f>
        <v>0</v>
      </c>
      <c r="O163" s="43">
        <f>'1'!O163</f>
        <v>0</v>
      </c>
      <c r="P163" s="216">
        <f>'2'!D163</f>
        <v>0</v>
      </c>
      <c r="Q163" s="216">
        <f>'2'!E163</f>
        <v>0</v>
      </c>
      <c r="R163" s="216">
        <f>'2'!F163</f>
        <v>0</v>
      </c>
      <c r="S163" s="216">
        <f>'2'!G163</f>
        <v>0</v>
      </c>
      <c r="T163" s="216">
        <f>'2'!H163</f>
        <v>0</v>
      </c>
      <c r="U163" s="216">
        <f>'2'!I163</f>
        <v>0</v>
      </c>
      <c r="V163" s="216">
        <f>'2'!J163</f>
        <v>0</v>
      </c>
      <c r="W163" s="216">
        <f>'2'!K163</f>
        <v>0</v>
      </c>
      <c r="X163" s="216">
        <f>'2'!L163</f>
        <v>0</v>
      </c>
      <c r="Y163" s="216">
        <f>'2'!M163</f>
        <v>0</v>
      </c>
      <c r="Z163" s="216">
        <f>'2'!N163</f>
        <v>0</v>
      </c>
      <c r="AA163" s="216">
        <f>'2'!O163</f>
        <v>0</v>
      </c>
      <c r="AB163" s="87" t="str">
        <f t="shared" si="31"/>
        <v/>
      </c>
      <c r="AC163" s="87">
        <v>0</v>
      </c>
      <c r="AD163" s="87">
        <v>0</v>
      </c>
      <c r="AE163" s="87">
        <v>0</v>
      </c>
      <c r="AF163" s="87">
        <v>0</v>
      </c>
      <c r="AG163" s="87">
        <v>0</v>
      </c>
      <c r="AH163" s="87">
        <f t="shared" si="22"/>
        <v>0</v>
      </c>
      <c r="AI163" s="87">
        <v>13</v>
      </c>
      <c r="AJ163" s="87">
        <v>14</v>
      </c>
      <c r="AK163" s="87">
        <v>9</v>
      </c>
      <c r="AL163" s="87">
        <v>9</v>
      </c>
      <c r="AM163" s="87">
        <v>9</v>
      </c>
      <c r="AN163" s="7"/>
      <c r="AO163" s="96">
        <f t="shared" si="23"/>
        <v>0</v>
      </c>
      <c r="AP163" s="96">
        <f t="shared" si="24"/>
        <v>0</v>
      </c>
      <c r="AQ163" s="96">
        <f t="shared" si="28"/>
        <v>0</v>
      </c>
      <c r="AR163" s="96">
        <f t="shared" si="29"/>
        <v>0</v>
      </c>
      <c r="AS163" s="96">
        <f t="shared" si="30"/>
        <v>0</v>
      </c>
      <c r="AT163" s="7"/>
      <c r="AU163" s="223"/>
      <c r="AV163" s="8" t="str">
        <f t="shared" si="32"/>
        <v/>
      </c>
      <c r="AW163" s="8" t="str">
        <f t="shared" si="33"/>
        <v/>
      </c>
      <c r="AX163" s="8" t="str">
        <f t="shared" si="34"/>
        <v/>
      </c>
      <c r="AY163" s="8" t="str">
        <f t="shared" si="35"/>
        <v/>
      </c>
      <c r="AZ163" s="8" t="str">
        <f t="shared" si="36"/>
        <v/>
      </c>
      <c r="BA163" s="8" t="str">
        <f t="shared" si="37"/>
        <v/>
      </c>
      <c r="BB163" s="8">
        <f t="shared" si="38"/>
        <v>0</v>
      </c>
    </row>
    <row r="164" spans="1:54" ht="18" customHeight="1">
      <c r="A164" s="65">
        <v>145</v>
      </c>
      <c r="B164" s="43" t="str">
        <f>IF('1'!B164=0,"",'1'!B164)</f>
        <v/>
      </c>
      <c r="C164" s="43" t="str">
        <f>IF('1'!C164=0,"",'1'!C164)</f>
        <v/>
      </c>
      <c r="D164" s="43">
        <f>'1'!D164</f>
        <v>0</v>
      </c>
      <c r="E164" s="43">
        <f>'1'!E164</f>
        <v>0</v>
      </c>
      <c r="F164" s="43">
        <f>'1'!F164</f>
        <v>0</v>
      </c>
      <c r="G164" s="43">
        <f>'1'!G164</f>
        <v>0</v>
      </c>
      <c r="H164" s="43">
        <f>'1'!H164</f>
        <v>0</v>
      </c>
      <c r="I164" s="43">
        <f>'1'!I164</f>
        <v>0</v>
      </c>
      <c r="J164" s="43">
        <f>'1'!J164</f>
        <v>0</v>
      </c>
      <c r="K164" s="43">
        <f>'1'!K164</f>
        <v>0</v>
      </c>
      <c r="L164" s="43">
        <f>'1'!L164</f>
        <v>0</v>
      </c>
      <c r="M164" s="43">
        <f>'1'!M164</f>
        <v>0</v>
      </c>
      <c r="N164" s="43">
        <f>'1'!N164</f>
        <v>0</v>
      </c>
      <c r="O164" s="43">
        <f>'1'!O164</f>
        <v>0</v>
      </c>
      <c r="P164" s="216">
        <f>'2'!D164</f>
        <v>0</v>
      </c>
      <c r="Q164" s="216">
        <f>'2'!E164</f>
        <v>0</v>
      </c>
      <c r="R164" s="216">
        <f>'2'!F164</f>
        <v>0</v>
      </c>
      <c r="S164" s="216">
        <f>'2'!G164</f>
        <v>0</v>
      </c>
      <c r="T164" s="216">
        <f>'2'!H164</f>
        <v>0</v>
      </c>
      <c r="U164" s="216">
        <f>'2'!I164</f>
        <v>0</v>
      </c>
      <c r="V164" s="216">
        <f>'2'!J164</f>
        <v>0</v>
      </c>
      <c r="W164" s="216">
        <f>'2'!K164</f>
        <v>0</v>
      </c>
      <c r="X164" s="216">
        <f>'2'!L164</f>
        <v>0</v>
      </c>
      <c r="Y164" s="216">
        <f>'2'!M164</f>
        <v>0</v>
      </c>
      <c r="Z164" s="216">
        <f>'2'!N164</f>
        <v>0</v>
      </c>
      <c r="AA164" s="216">
        <f>'2'!O164</f>
        <v>0</v>
      </c>
      <c r="AB164" s="87" t="str">
        <f t="shared" si="31"/>
        <v/>
      </c>
      <c r="AC164" s="87">
        <v>0</v>
      </c>
      <c r="AD164" s="87">
        <v>0</v>
      </c>
      <c r="AE164" s="87">
        <v>0</v>
      </c>
      <c r="AF164" s="87">
        <v>0</v>
      </c>
      <c r="AG164" s="87">
        <v>0</v>
      </c>
      <c r="AH164" s="87">
        <f t="shared" si="22"/>
        <v>0</v>
      </c>
      <c r="AI164" s="87">
        <v>13</v>
      </c>
      <c r="AJ164" s="87">
        <v>14</v>
      </c>
      <c r="AK164" s="87">
        <v>9</v>
      </c>
      <c r="AL164" s="87">
        <v>9</v>
      </c>
      <c r="AM164" s="87">
        <v>9</v>
      </c>
      <c r="AN164" s="7"/>
      <c r="AO164" s="96">
        <f t="shared" si="23"/>
        <v>0</v>
      </c>
      <c r="AP164" s="96">
        <f t="shared" si="24"/>
        <v>0</v>
      </c>
      <c r="AQ164" s="96">
        <f t="shared" si="28"/>
        <v>0</v>
      </c>
      <c r="AR164" s="96">
        <f t="shared" si="29"/>
        <v>0</v>
      </c>
      <c r="AS164" s="96">
        <f t="shared" si="30"/>
        <v>0</v>
      </c>
      <c r="AT164" s="7"/>
      <c r="AU164" s="223"/>
      <c r="AV164" s="8" t="str">
        <f t="shared" si="32"/>
        <v/>
      </c>
      <c r="AW164" s="8" t="str">
        <f t="shared" si="33"/>
        <v/>
      </c>
      <c r="AX164" s="8" t="str">
        <f t="shared" si="34"/>
        <v/>
      </c>
      <c r="AY164" s="8" t="str">
        <f t="shared" si="35"/>
        <v/>
      </c>
      <c r="AZ164" s="8" t="str">
        <f t="shared" si="36"/>
        <v/>
      </c>
      <c r="BA164" s="8" t="str">
        <f t="shared" si="37"/>
        <v/>
      </c>
      <c r="BB164" s="8">
        <f t="shared" si="38"/>
        <v>0</v>
      </c>
    </row>
    <row r="165" spans="1:54">
      <c r="A165" s="65">
        <v>146</v>
      </c>
      <c r="B165" s="43" t="str">
        <f>IF('1'!B165=0,"",'1'!B165)</f>
        <v/>
      </c>
      <c r="C165" s="43" t="str">
        <f>IF('1'!C165=0,"",'1'!C165)</f>
        <v/>
      </c>
      <c r="D165" s="43">
        <f>'1'!D165</f>
        <v>0</v>
      </c>
      <c r="E165" s="43">
        <f>'1'!E165</f>
        <v>0</v>
      </c>
      <c r="F165" s="43">
        <f>'1'!F165</f>
        <v>0</v>
      </c>
      <c r="G165" s="43">
        <f>'1'!G165</f>
        <v>0</v>
      </c>
      <c r="H165" s="43">
        <f>'1'!H165</f>
        <v>0</v>
      </c>
      <c r="I165" s="43">
        <f>'1'!I165</f>
        <v>0</v>
      </c>
      <c r="J165" s="43">
        <f>'1'!J165</f>
        <v>0</v>
      </c>
      <c r="K165" s="43">
        <f>'1'!K165</f>
        <v>0</v>
      </c>
      <c r="L165" s="43">
        <f>'1'!L165</f>
        <v>0</v>
      </c>
      <c r="M165" s="43">
        <f>'1'!M165</f>
        <v>0</v>
      </c>
      <c r="N165" s="43">
        <f>'1'!N165</f>
        <v>0</v>
      </c>
      <c r="O165" s="43">
        <f>'1'!O165</f>
        <v>0</v>
      </c>
      <c r="P165" s="216">
        <f>'2'!D165</f>
        <v>0</v>
      </c>
      <c r="Q165" s="216">
        <f>'2'!E165</f>
        <v>0</v>
      </c>
      <c r="R165" s="216">
        <f>'2'!F165</f>
        <v>0</v>
      </c>
      <c r="S165" s="216">
        <f>'2'!G165</f>
        <v>0</v>
      </c>
      <c r="T165" s="216">
        <f>'2'!H165</f>
        <v>0</v>
      </c>
      <c r="U165" s="216">
        <f>'2'!I165</f>
        <v>0</v>
      </c>
      <c r="V165" s="216">
        <f>'2'!J165</f>
        <v>0</v>
      </c>
      <c r="W165" s="216">
        <f>'2'!K165</f>
        <v>0</v>
      </c>
      <c r="X165" s="216">
        <f>'2'!L165</f>
        <v>0</v>
      </c>
      <c r="Y165" s="216">
        <f>'2'!M165</f>
        <v>0</v>
      </c>
      <c r="Z165" s="216">
        <f>'2'!N165</f>
        <v>0</v>
      </c>
      <c r="AA165" s="216">
        <f>'2'!O165</f>
        <v>0</v>
      </c>
      <c r="AB165" s="87" t="str">
        <f t="shared" si="31"/>
        <v/>
      </c>
      <c r="AC165" s="87">
        <v>0</v>
      </c>
      <c r="AD165" s="87">
        <v>0</v>
      </c>
      <c r="AE165" s="87">
        <v>0</v>
      </c>
      <c r="AF165" s="87">
        <v>0</v>
      </c>
      <c r="AG165" s="87">
        <v>0</v>
      </c>
      <c r="AH165" s="87">
        <f t="shared" si="22"/>
        <v>0</v>
      </c>
      <c r="AI165" s="87">
        <v>13</v>
      </c>
      <c r="AJ165" s="87">
        <v>14</v>
      </c>
      <c r="AK165" s="87">
        <v>9</v>
      </c>
      <c r="AL165" s="87">
        <v>9</v>
      </c>
      <c r="AM165" s="87">
        <v>9</v>
      </c>
      <c r="AN165" s="7"/>
      <c r="AO165" s="96">
        <f t="shared" si="23"/>
        <v>0</v>
      </c>
      <c r="AP165" s="96">
        <f t="shared" si="24"/>
        <v>0</v>
      </c>
      <c r="AQ165" s="96">
        <f t="shared" si="28"/>
        <v>0</v>
      </c>
      <c r="AR165" s="96">
        <f t="shared" si="29"/>
        <v>0</v>
      </c>
      <c r="AS165" s="96">
        <f t="shared" si="30"/>
        <v>0</v>
      </c>
      <c r="AT165" s="7"/>
      <c r="AU165" s="223"/>
      <c r="AV165" s="8" t="str">
        <f t="shared" si="32"/>
        <v/>
      </c>
      <c r="AW165" s="8" t="str">
        <f t="shared" si="33"/>
        <v/>
      </c>
      <c r="AX165" s="8" t="str">
        <f t="shared" si="34"/>
        <v/>
      </c>
      <c r="AY165" s="8" t="str">
        <f t="shared" si="35"/>
        <v/>
      </c>
      <c r="AZ165" s="8" t="str">
        <f t="shared" si="36"/>
        <v/>
      </c>
      <c r="BA165" s="8" t="str">
        <f t="shared" si="37"/>
        <v/>
      </c>
      <c r="BB165" s="8">
        <f t="shared" si="38"/>
        <v>0</v>
      </c>
    </row>
    <row r="166" spans="1:54" ht="18" customHeight="1">
      <c r="A166" s="65">
        <v>147</v>
      </c>
      <c r="B166" s="43" t="str">
        <f>IF('1'!B166=0,"",'1'!B166)</f>
        <v/>
      </c>
      <c r="C166" s="43" t="str">
        <f>IF('1'!C166=0,"",'1'!C166)</f>
        <v/>
      </c>
      <c r="D166" s="43">
        <f>'1'!D166</f>
        <v>0</v>
      </c>
      <c r="E166" s="43">
        <f>'1'!E166</f>
        <v>0</v>
      </c>
      <c r="F166" s="43">
        <f>'1'!F166</f>
        <v>0</v>
      </c>
      <c r="G166" s="43">
        <f>'1'!G166</f>
        <v>0</v>
      </c>
      <c r="H166" s="43">
        <f>'1'!H166</f>
        <v>0</v>
      </c>
      <c r="I166" s="43">
        <f>'1'!I166</f>
        <v>0</v>
      </c>
      <c r="J166" s="43">
        <f>'1'!J166</f>
        <v>0</v>
      </c>
      <c r="K166" s="43">
        <f>'1'!K166</f>
        <v>0</v>
      </c>
      <c r="L166" s="43">
        <f>'1'!L166</f>
        <v>0</v>
      </c>
      <c r="M166" s="43">
        <f>'1'!M166</f>
        <v>0</v>
      </c>
      <c r="N166" s="43">
        <f>'1'!N166</f>
        <v>0</v>
      </c>
      <c r="O166" s="43">
        <f>'1'!O166</f>
        <v>0</v>
      </c>
      <c r="P166" s="216">
        <f>'2'!D166</f>
        <v>0</v>
      </c>
      <c r="Q166" s="216">
        <f>'2'!E166</f>
        <v>0</v>
      </c>
      <c r="R166" s="216">
        <f>'2'!F166</f>
        <v>0</v>
      </c>
      <c r="S166" s="216">
        <f>'2'!G166</f>
        <v>0</v>
      </c>
      <c r="T166" s="216">
        <f>'2'!H166</f>
        <v>0</v>
      </c>
      <c r="U166" s="216">
        <f>'2'!I166</f>
        <v>0</v>
      </c>
      <c r="V166" s="216">
        <f>'2'!J166</f>
        <v>0</v>
      </c>
      <c r="W166" s="216">
        <f>'2'!K166</f>
        <v>0</v>
      </c>
      <c r="X166" s="216">
        <f>'2'!L166</f>
        <v>0</v>
      </c>
      <c r="Y166" s="216">
        <f>'2'!M166</f>
        <v>0</v>
      </c>
      <c r="Z166" s="216">
        <f>'2'!N166</f>
        <v>0</v>
      </c>
      <c r="AA166" s="216">
        <f>'2'!O166</f>
        <v>0</v>
      </c>
      <c r="AB166" s="87" t="str">
        <f t="shared" si="31"/>
        <v/>
      </c>
      <c r="AC166" s="87">
        <v>0</v>
      </c>
      <c r="AD166" s="87">
        <v>0</v>
      </c>
      <c r="AE166" s="87">
        <v>0</v>
      </c>
      <c r="AF166" s="87">
        <v>0</v>
      </c>
      <c r="AG166" s="87">
        <v>0</v>
      </c>
      <c r="AH166" s="87">
        <f t="shared" si="22"/>
        <v>0</v>
      </c>
      <c r="AI166" s="87">
        <v>13</v>
      </c>
      <c r="AJ166" s="87">
        <v>14</v>
      </c>
      <c r="AK166" s="87">
        <v>9</v>
      </c>
      <c r="AL166" s="87">
        <v>9</v>
      </c>
      <c r="AM166" s="87">
        <v>9</v>
      </c>
      <c r="AN166" s="7"/>
      <c r="AO166" s="96">
        <f t="shared" si="23"/>
        <v>0</v>
      </c>
      <c r="AP166" s="96">
        <f t="shared" si="24"/>
        <v>0</v>
      </c>
      <c r="AQ166" s="96">
        <f t="shared" si="28"/>
        <v>0</v>
      </c>
      <c r="AR166" s="96">
        <f t="shared" si="29"/>
        <v>0</v>
      </c>
      <c r="AS166" s="96">
        <f t="shared" si="30"/>
        <v>0</v>
      </c>
      <c r="AT166" s="7"/>
      <c r="AU166" s="223"/>
      <c r="AV166" s="8" t="str">
        <f t="shared" si="32"/>
        <v/>
      </c>
      <c r="AW166" s="8" t="str">
        <f t="shared" si="33"/>
        <v/>
      </c>
      <c r="AX166" s="8" t="str">
        <f t="shared" si="34"/>
        <v/>
      </c>
      <c r="AY166" s="8" t="str">
        <f t="shared" si="35"/>
        <v/>
      </c>
      <c r="AZ166" s="8" t="str">
        <f t="shared" si="36"/>
        <v/>
      </c>
      <c r="BA166" s="8" t="str">
        <f t="shared" si="37"/>
        <v/>
      </c>
      <c r="BB166" s="8">
        <f t="shared" si="38"/>
        <v>0</v>
      </c>
    </row>
    <row r="167" spans="1:54" ht="18" customHeight="1">
      <c r="A167" s="65">
        <v>148</v>
      </c>
      <c r="B167" s="43" t="str">
        <f>IF('1'!B167=0,"",'1'!B167)</f>
        <v/>
      </c>
      <c r="C167" s="43" t="str">
        <f>IF('1'!C167=0,"",'1'!C167)</f>
        <v/>
      </c>
      <c r="D167" s="43">
        <f>'1'!D167</f>
        <v>0</v>
      </c>
      <c r="E167" s="43">
        <f>'1'!E167</f>
        <v>0</v>
      </c>
      <c r="F167" s="43">
        <f>'1'!F167</f>
        <v>0</v>
      </c>
      <c r="G167" s="43">
        <f>'1'!G167</f>
        <v>0</v>
      </c>
      <c r="H167" s="43">
        <f>'1'!H167</f>
        <v>0</v>
      </c>
      <c r="I167" s="43">
        <f>'1'!I167</f>
        <v>0</v>
      </c>
      <c r="J167" s="43">
        <f>'1'!J167</f>
        <v>0</v>
      </c>
      <c r="K167" s="43">
        <f>'1'!K167</f>
        <v>0</v>
      </c>
      <c r="L167" s="43">
        <f>'1'!L167</f>
        <v>0</v>
      </c>
      <c r="M167" s="43">
        <f>'1'!M167</f>
        <v>0</v>
      </c>
      <c r="N167" s="43">
        <f>'1'!N167</f>
        <v>0</v>
      </c>
      <c r="O167" s="43">
        <f>'1'!O167</f>
        <v>0</v>
      </c>
      <c r="P167" s="216">
        <f>'2'!D167</f>
        <v>0</v>
      </c>
      <c r="Q167" s="216">
        <f>'2'!E167</f>
        <v>0</v>
      </c>
      <c r="R167" s="216">
        <f>'2'!F167</f>
        <v>0</v>
      </c>
      <c r="S167" s="216">
        <f>'2'!G167</f>
        <v>0</v>
      </c>
      <c r="T167" s="216">
        <f>'2'!H167</f>
        <v>0</v>
      </c>
      <c r="U167" s="216">
        <f>'2'!I167</f>
        <v>0</v>
      </c>
      <c r="V167" s="216">
        <f>'2'!J167</f>
        <v>0</v>
      </c>
      <c r="W167" s="216">
        <f>'2'!K167</f>
        <v>0</v>
      </c>
      <c r="X167" s="216">
        <f>'2'!L167</f>
        <v>0</v>
      </c>
      <c r="Y167" s="216">
        <f>'2'!M167</f>
        <v>0</v>
      </c>
      <c r="Z167" s="216">
        <f>'2'!N167</f>
        <v>0</v>
      </c>
      <c r="AA167" s="216">
        <f>'2'!O167</f>
        <v>0</v>
      </c>
      <c r="AB167" s="87" t="str">
        <f t="shared" si="31"/>
        <v/>
      </c>
      <c r="AC167" s="87">
        <v>0</v>
      </c>
      <c r="AD167" s="87">
        <v>0</v>
      </c>
      <c r="AE167" s="87">
        <v>0</v>
      </c>
      <c r="AF167" s="87">
        <v>0</v>
      </c>
      <c r="AG167" s="87">
        <v>0</v>
      </c>
      <c r="AH167" s="87">
        <f t="shared" si="22"/>
        <v>0</v>
      </c>
      <c r="AI167" s="87">
        <v>13</v>
      </c>
      <c r="AJ167" s="87">
        <v>14</v>
      </c>
      <c r="AK167" s="87">
        <v>9</v>
      </c>
      <c r="AL167" s="87">
        <v>9</v>
      </c>
      <c r="AM167" s="87">
        <v>9</v>
      </c>
      <c r="AN167" s="7"/>
      <c r="AO167" s="96">
        <f t="shared" si="23"/>
        <v>0</v>
      </c>
      <c r="AP167" s="96">
        <f t="shared" si="24"/>
        <v>0</v>
      </c>
      <c r="AQ167" s="96">
        <f t="shared" si="28"/>
        <v>0</v>
      </c>
      <c r="AR167" s="96">
        <f t="shared" si="29"/>
        <v>0</v>
      </c>
      <c r="AS167" s="96">
        <f t="shared" si="30"/>
        <v>0</v>
      </c>
      <c r="AT167" s="7"/>
      <c r="AU167" s="223"/>
      <c r="AV167" s="8" t="str">
        <f t="shared" si="32"/>
        <v/>
      </c>
      <c r="AW167" s="8" t="str">
        <f t="shared" si="33"/>
        <v/>
      </c>
      <c r="AX167" s="8" t="str">
        <f t="shared" si="34"/>
        <v/>
      </c>
      <c r="AY167" s="8" t="str">
        <f t="shared" si="35"/>
        <v/>
      </c>
      <c r="AZ167" s="8" t="str">
        <f t="shared" si="36"/>
        <v/>
      </c>
      <c r="BA167" s="8" t="str">
        <f t="shared" si="37"/>
        <v/>
      </c>
      <c r="BB167" s="8">
        <f t="shared" si="38"/>
        <v>0</v>
      </c>
    </row>
    <row r="168" spans="1:54" ht="18" customHeight="1">
      <c r="A168" s="65">
        <v>149</v>
      </c>
      <c r="B168" s="43" t="str">
        <f>IF('1'!B168=0,"",'1'!B168)</f>
        <v/>
      </c>
      <c r="C168" s="43" t="str">
        <f>IF('1'!C168=0,"",'1'!C168)</f>
        <v/>
      </c>
      <c r="D168" s="43">
        <f>'1'!D168</f>
        <v>0</v>
      </c>
      <c r="E168" s="43">
        <f>'1'!E168</f>
        <v>0</v>
      </c>
      <c r="F168" s="43">
        <f>'1'!F168</f>
        <v>0</v>
      </c>
      <c r="G168" s="43">
        <f>'1'!G168</f>
        <v>0</v>
      </c>
      <c r="H168" s="43">
        <f>'1'!H168</f>
        <v>0</v>
      </c>
      <c r="I168" s="43">
        <f>'1'!I168</f>
        <v>0</v>
      </c>
      <c r="J168" s="43">
        <f>'1'!J168</f>
        <v>0</v>
      </c>
      <c r="K168" s="43">
        <f>'1'!K168</f>
        <v>0</v>
      </c>
      <c r="L168" s="43">
        <f>'1'!L168</f>
        <v>0</v>
      </c>
      <c r="M168" s="43">
        <f>'1'!M168</f>
        <v>0</v>
      </c>
      <c r="N168" s="43">
        <f>'1'!N168</f>
        <v>0</v>
      </c>
      <c r="O168" s="43">
        <f>'1'!O168</f>
        <v>0</v>
      </c>
      <c r="P168" s="216">
        <f>'2'!D168</f>
        <v>0</v>
      </c>
      <c r="Q168" s="216">
        <f>'2'!E168</f>
        <v>0</v>
      </c>
      <c r="R168" s="216">
        <f>'2'!F168</f>
        <v>0</v>
      </c>
      <c r="S168" s="216">
        <f>'2'!G168</f>
        <v>0</v>
      </c>
      <c r="T168" s="216">
        <f>'2'!H168</f>
        <v>0</v>
      </c>
      <c r="U168" s="216">
        <f>'2'!I168</f>
        <v>0</v>
      </c>
      <c r="V168" s="216">
        <f>'2'!J168</f>
        <v>0</v>
      </c>
      <c r="W168" s="216">
        <f>'2'!K168</f>
        <v>0</v>
      </c>
      <c r="X168" s="216">
        <f>'2'!L168</f>
        <v>0</v>
      </c>
      <c r="Y168" s="216">
        <f>'2'!M168</f>
        <v>0</v>
      </c>
      <c r="Z168" s="216">
        <f>'2'!N168</f>
        <v>0</v>
      </c>
      <c r="AA168" s="216">
        <f>'2'!O168</f>
        <v>0</v>
      </c>
      <c r="AB168" s="87" t="str">
        <f t="shared" si="31"/>
        <v/>
      </c>
      <c r="AC168" s="87">
        <v>0</v>
      </c>
      <c r="AD168" s="87">
        <v>0</v>
      </c>
      <c r="AE168" s="87">
        <v>0</v>
      </c>
      <c r="AF168" s="87">
        <v>0</v>
      </c>
      <c r="AG168" s="87">
        <v>0</v>
      </c>
      <c r="AH168" s="87">
        <f t="shared" si="22"/>
        <v>0</v>
      </c>
      <c r="AI168" s="87">
        <v>13</v>
      </c>
      <c r="AJ168" s="87">
        <v>14</v>
      </c>
      <c r="AK168" s="87">
        <v>9</v>
      </c>
      <c r="AL168" s="87">
        <v>9</v>
      </c>
      <c r="AM168" s="87">
        <v>9</v>
      </c>
      <c r="AN168" s="7"/>
      <c r="AO168" s="96">
        <f t="shared" si="23"/>
        <v>0</v>
      </c>
      <c r="AP168" s="96">
        <f t="shared" si="24"/>
        <v>0</v>
      </c>
      <c r="AQ168" s="96">
        <f t="shared" si="28"/>
        <v>0</v>
      </c>
      <c r="AR168" s="96">
        <f t="shared" si="29"/>
        <v>0</v>
      </c>
      <c r="AS168" s="96">
        <f t="shared" si="30"/>
        <v>0</v>
      </c>
      <c r="AT168" s="7"/>
      <c r="AU168" s="223"/>
      <c r="AV168" s="8" t="str">
        <f t="shared" si="32"/>
        <v/>
      </c>
      <c r="AW168" s="8" t="str">
        <f t="shared" si="33"/>
        <v/>
      </c>
      <c r="AX168" s="8" t="str">
        <f t="shared" si="34"/>
        <v/>
      </c>
      <c r="AY168" s="8" t="str">
        <f t="shared" si="35"/>
        <v/>
      </c>
      <c r="AZ168" s="8" t="str">
        <f t="shared" si="36"/>
        <v/>
      </c>
      <c r="BA168" s="8" t="str">
        <f t="shared" si="37"/>
        <v/>
      </c>
      <c r="BB168" s="8">
        <f t="shared" si="38"/>
        <v>0</v>
      </c>
    </row>
    <row r="169" spans="1:54">
      <c r="A169" s="65">
        <v>150</v>
      </c>
      <c r="B169" s="43" t="str">
        <f>IF('1'!B169=0,"",'1'!B169)</f>
        <v/>
      </c>
      <c r="C169" s="43" t="str">
        <f>IF('1'!C169=0,"",'1'!C169)</f>
        <v/>
      </c>
      <c r="D169" s="43">
        <f>'1'!D169</f>
        <v>0</v>
      </c>
      <c r="E169" s="43">
        <f>'1'!E169</f>
        <v>0</v>
      </c>
      <c r="F169" s="43">
        <f>'1'!F169</f>
        <v>0</v>
      </c>
      <c r="G169" s="43">
        <f>'1'!G169</f>
        <v>0</v>
      </c>
      <c r="H169" s="43">
        <f>'1'!H169</f>
        <v>0</v>
      </c>
      <c r="I169" s="43">
        <f>'1'!I169</f>
        <v>0</v>
      </c>
      <c r="J169" s="43">
        <f>'1'!J169</f>
        <v>0</v>
      </c>
      <c r="K169" s="43">
        <f>'1'!K169</f>
        <v>0</v>
      </c>
      <c r="L169" s="43">
        <f>'1'!L169</f>
        <v>0</v>
      </c>
      <c r="M169" s="43">
        <f>'1'!M169</f>
        <v>0</v>
      </c>
      <c r="N169" s="43">
        <f>'1'!N169</f>
        <v>0</v>
      </c>
      <c r="O169" s="43">
        <f>'1'!O169</f>
        <v>0</v>
      </c>
      <c r="P169" s="216">
        <f>'2'!D169</f>
        <v>0</v>
      </c>
      <c r="Q169" s="216">
        <f>'2'!E169</f>
        <v>0</v>
      </c>
      <c r="R169" s="216">
        <f>'2'!F169</f>
        <v>0</v>
      </c>
      <c r="S169" s="216">
        <f>'2'!G169</f>
        <v>0</v>
      </c>
      <c r="T169" s="216">
        <f>'2'!H169</f>
        <v>0</v>
      </c>
      <c r="U169" s="216">
        <f>'2'!I169</f>
        <v>0</v>
      </c>
      <c r="V169" s="216">
        <f>'2'!J169</f>
        <v>0</v>
      </c>
      <c r="W169" s="216">
        <f>'2'!K169</f>
        <v>0</v>
      </c>
      <c r="X169" s="216">
        <f>'2'!L169</f>
        <v>0</v>
      </c>
      <c r="Y169" s="216">
        <f>'2'!M169</f>
        <v>0</v>
      </c>
      <c r="Z169" s="216">
        <f>'2'!N169</f>
        <v>0</v>
      </c>
      <c r="AA169" s="216">
        <f>'2'!O169</f>
        <v>0</v>
      </c>
      <c r="AB169" s="87" t="str">
        <f t="shared" si="31"/>
        <v/>
      </c>
      <c r="AC169" s="87">
        <v>0</v>
      </c>
      <c r="AD169" s="87">
        <v>0</v>
      </c>
      <c r="AE169" s="87">
        <v>0</v>
      </c>
      <c r="AF169" s="87">
        <v>0</v>
      </c>
      <c r="AG169" s="87">
        <v>0</v>
      </c>
      <c r="AH169" s="87">
        <f t="shared" si="22"/>
        <v>0</v>
      </c>
      <c r="AI169" s="87">
        <v>13</v>
      </c>
      <c r="AJ169" s="87">
        <v>14</v>
      </c>
      <c r="AK169" s="87">
        <v>9</v>
      </c>
      <c r="AL169" s="87">
        <v>9</v>
      </c>
      <c r="AM169" s="87">
        <v>9</v>
      </c>
      <c r="AN169" s="7"/>
      <c r="AO169" s="96">
        <f t="shared" si="23"/>
        <v>0</v>
      </c>
      <c r="AP169" s="96">
        <f t="shared" si="24"/>
        <v>0</v>
      </c>
      <c r="AQ169" s="96">
        <f t="shared" si="28"/>
        <v>0</v>
      </c>
      <c r="AR169" s="96">
        <f t="shared" si="29"/>
        <v>0</v>
      </c>
      <c r="AS169" s="96">
        <f t="shared" si="30"/>
        <v>0</v>
      </c>
      <c r="AT169" s="7"/>
      <c r="AU169" s="223"/>
      <c r="AV169" s="8" t="str">
        <f t="shared" si="32"/>
        <v/>
      </c>
      <c r="AW169" s="8" t="str">
        <f t="shared" si="33"/>
        <v/>
      </c>
      <c r="AX169" s="8" t="str">
        <f t="shared" si="34"/>
        <v/>
      </c>
      <c r="AY169" s="8" t="str">
        <f t="shared" si="35"/>
        <v/>
      </c>
      <c r="AZ169" s="8" t="str">
        <f t="shared" si="36"/>
        <v/>
      </c>
      <c r="BA169" s="8" t="str">
        <f t="shared" si="37"/>
        <v/>
      </c>
      <c r="BB169" s="8">
        <f t="shared" si="38"/>
        <v>0</v>
      </c>
    </row>
    <row r="170" spans="1:54">
      <c r="B170" s="11"/>
      <c r="C170" s="12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4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16">
        <f>COUNTIF(AO20:AO169,"&gt;=60")</f>
        <v>105</v>
      </c>
      <c r="AP170" s="16">
        <f t="shared" ref="AP170:AR170" si="39">COUNTIF(AP20:AP169,"&gt;=60")</f>
        <v>52</v>
      </c>
      <c r="AQ170" s="16">
        <f t="shared" si="39"/>
        <v>74</v>
      </c>
      <c r="AR170" s="16">
        <f t="shared" si="39"/>
        <v>118</v>
      </c>
      <c r="AS170" s="16">
        <f>COUNTIF(AS20:AS169,"&gt;=60")</f>
        <v>67</v>
      </c>
      <c r="AT170" s="7"/>
      <c r="AU170" s="223"/>
    </row>
    <row r="171" spans="1:54">
      <c r="B171" s="11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4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343"/>
      <c r="AM171" s="343"/>
      <c r="AN171" s="344"/>
      <c r="AO171" s="60">
        <f>AO170/SUM($E$4:$E$5)*100</f>
        <v>143.83561643835617</v>
      </c>
      <c r="AP171" s="60">
        <f t="shared" ref="AP171:AS171" si="40">AP170/SUM($E$4:$E$5)*100</f>
        <v>71.232876712328761</v>
      </c>
      <c r="AQ171" s="60">
        <f t="shared" si="40"/>
        <v>101.36986301369863</v>
      </c>
      <c r="AR171" s="60">
        <f t="shared" si="40"/>
        <v>161.64383561643837</v>
      </c>
      <c r="AS171" s="60">
        <f t="shared" si="40"/>
        <v>91.780821917808225</v>
      </c>
      <c r="AT171" s="7"/>
      <c r="AU171" s="223"/>
    </row>
    <row r="172" spans="1:54" ht="15" customHeight="1">
      <c r="B172" s="283" t="str">
        <f>"No of Students &gt;= " &amp;E6 &amp;"% marks"</f>
        <v>No of Students &gt;= 60% marks</v>
      </c>
      <c r="C172" s="284"/>
      <c r="D172" s="16">
        <f>IF(D19&gt;0, COUNTIF(D20:D171,"&gt;="&amp;D19), 0)</f>
        <v>41</v>
      </c>
      <c r="E172" s="16">
        <f t="shared" ref="E172:O172" si="41">IF(E19&gt;0, COUNTIF(E20:E171,"&gt;="&amp;E19), 0)</f>
        <v>61</v>
      </c>
      <c r="F172" s="16">
        <f t="shared" si="41"/>
        <v>56</v>
      </c>
      <c r="G172" s="16">
        <f t="shared" si="41"/>
        <v>36</v>
      </c>
      <c r="H172" s="16">
        <f t="shared" si="41"/>
        <v>46</v>
      </c>
      <c r="I172" s="16">
        <f t="shared" si="41"/>
        <v>60</v>
      </c>
      <c r="J172" s="58">
        <f t="shared" si="41"/>
        <v>64</v>
      </c>
      <c r="K172" s="16">
        <f t="shared" si="41"/>
        <v>51</v>
      </c>
      <c r="L172" s="16">
        <f t="shared" si="41"/>
        <v>22</v>
      </c>
      <c r="M172" s="16">
        <f t="shared" si="41"/>
        <v>30</v>
      </c>
      <c r="N172" s="16">
        <f t="shared" si="41"/>
        <v>42</v>
      </c>
      <c r="O172" s="88">
        <f t="shared" si="41"/>
        <v>21</v>
      </c>
      <c r="P172" s="223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343" t="s">
        <v>321</v>
      </c>
      <c r="AM172" s="343"/>
      <c r="AN172" s="344"/>
      <c r="AO172" s="223">
        <f>IF(AO171&gt;=$E$9,$D$9,IF(AND(AO171&gt;=$E$10,AO171&lt;$E$9),$D$10,IF(AND(AO171&gt;=$E$11,AO171&lt;$E$10),$D$11,IF(AND(AO171&gt;=$E$12,AO171&lt;$E$11),$D$12,IF(AND(AO171&gt;=$E$13,AO171&lt;$E$12),$D$13,0)))))</f>
        <v>3</v>
      </c>
      <c r="AP172" s="223">
        <f t="shared" ref="AP172:AS174" si="42">IF(AP171&gt;=$E$9,$D$9,IF(AND(AP171&gt;=$E$10,AP171&lt;$E$9),$D$10,IF(AND(AP171&gt;=$E$11,AP171&lt;$E$10),$D$11,IF(AND(AP171&gt;=$E$12,AP171&lt;$E$11),$D$12,IF(AND(AP171&gt;=$E$13,AP171&lt;$E$12),$D$13,0)))))</f>
        <v>3</v>
      </c>
      <c r="AQ172" s="223">
        <f t="shared" si="42"/>
        <v>3</v>
      </c>
      <c r="AR172" s="223">
        <f t="shared" si="42"/>
        <v>3</v>
      </c>
      <c r="AS172" s="223">
        <f t="shared" si="42"/>
        <v>3</v>
      </c>
      <c r="AT172" s="223">
        <f>AVERAGE(AO172:AS172)</f>
        <v>3</v>
      </c>
      <c r="AU172" s="223">
        <f>AVERAGE(AO172:AS172)</f>
        <v>3</v>
      </c>
    </row>
    <row r="173" spans="1:54" ht="15" customHeight="1">
      <c r="B173" s="283" t="str">
        <f>"% of students &gt;= "&amp;E6 &amp;"%"</f>
        <v>% of students &gt;= 60%</v>
      </c>
      <c r="C173" s="284"/>
      <c r="D173" s="60">
        <f>D172/K197*100</f>
        <v>56.164383561643838</v>
      </c>
      <c r="E173" s="60">
        <f>E172/K197*100</f>
        <v>83.561643835616437</v>
      </c>
      <c r="F173" s="60">
        <f>F172/K197*100</f>
        <v>76.712328767123282</v>
      </c>
      <c r="G173" s="60">
        <f>G172/K197*100</f>
        <v>49.315068493150683</v>
      </c>
      <c r="H173" s="60">
        <f>H172/K197*100</f>
        <v>63.013698630136986</v>
      </c>
      <c r="I173" s="61">
        <f>I172/K197*100</f>
        <v>82.191780821917803</v>
      </c>
      <c r="J173" s="59">
        <f t="shared" ref="J173:O173" si="43">J172/COUNT(J20:J171)*100</f>
        <v>44.137931034482762</v>
      </c>
      <c r="K173" s="53">
        <f t="shared" si="43"/>
        <v>35.172413793103445</v>
      </c>
      <c r="L173" s="54">
        <f t="shared" si="43"/>
        <v>20</v>
      </c>
      <c r="M173" s="54">
        <f t="shared" si="43"/>
        <v>27.27272727272727</v>
      </c>
      <c r="N173" s="54">
        <f t="shared" si="43"/>
        <v>34.42622950819672</v>
      </c>
      <c r="O173" s="89">
        <f t="shared" si="43"/>
        <v>17.21311475409836</v>
      </c>
      <c r="P173" s="223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82">
        <f>'1'!V184</f>
        <v>79.814889426090062</v>
      </c>
      <c r="AP173" s="82">
        <f>'1'!V185</f>
        <v>66.460495364604952</v>
      </c>
      <c r="AQ173" s="82">
        <f>'1'!V186</f>
        <v>82.81012176560121</v>
      </c>
      <c r="AR173" s="82">
        <f>'1'!V187</f>
        <v>75.425487754254874</v>
      </c>
      <c r="AS173" s="82">
        <f>'1'!V188</f>
        <v>67.851027397260282</v>
      </c>
      <c r="AT173" s="223"/>
      <c r="AU173" s="223"/>
    </row>
    <row r="174" spans="1:54">
      <c r="B174" s="7"/>
      <c r="C174" s="5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343" t="s">
        <v>322</v>
      </c>
      <c r="AM174" s="343"/>
      <c r="AN174" s="344"/>
      <c r="AO174" s="223">
        <f>IF(AO173&gt;=$E$9,$D$9,IF(AND(AO173&gt;=$E$10,AO173&lt;$E$9),$D$10,IF(AND(AO173&gt;=$E$11,AO173&lt;$E$10),$D$11,IF(AND(AO173&gt;=$E$12,AO173&lt;$E$11),$D$12,IF(AND(AO173&gt;=$E$13,AO173&lt;$E$12),$D$13,0)))))</f>
        <v>3</v>
      </c>
      <c r="AP174" s="223">
        <f>IF(AP173&gt;=$E$9,$D$9,IF(AND(AP173&gt;=$E$10,AP173&lt;$E$9),$D$10,IF(AND(AP173&gt;=$E$11,AP173&lt;$E$10),$D$11,IF(AND(AP173&gt;=$E$12,AP173&lt;$E$11),$D$12,IF(AND(AP173&gt;=$E$13,AP173&lt;$E$12),$D$13,0)))))</f>
        <v>3</v>
      </c>
      <c r="AQ174" s="223">
        <f>IF(AQ173&gt;=$E$9,$D$9,IF(AND(AQ173&gt;=$E$10,AQ173&lt;$E$9),$D$10,IF(AND(AQ173&gt;=$E$11,AQ173&lt;$E$10),$D$11,IF(AND(AQ173&gt;=$E$12,AQ173&lt;$E$11),$D$12,IF(AND(AQ173&gt;=$E$13,AQ173&lt;$E$12),$D$13,0)))))</f>
        <v>3</v>
      </c>
      <c r="AR174" s="223">
        <f>IF(AR173&gt;=$E$9,$D$9,IF(AND(AR173&gt;=$E$10,AR173&lt;$E$9),$D$10,IF(AND(AR173&gt;=$E$11,AR173&lt;$E$10),$D$11,IF(AND(AR173&gt;=$E$12,AR173&lt;$E$11),$D$12,IF(AND(AR173&gt;=$E$13,AR173&lt;$E$12),$D$13,0)))))</f>
        <v>3</v>
      </c>
      <c r="AS174" s="223">
        <f t="shared" si="42"/>
        <v>3</v>
      </c>
      <c r="AT174" s="223">
        <f>AVERAGE(AO174:AS174)</f>
        <v>3</v>
      </c>
      <c r="AU174" s="223">
        <f>AVERAGE(AO174:AS174)</f>
        <v>3</v>
      </c>
    </row>
    <row r="175" spans="1:54">
      <c r="B175" s="7"/>
      <c r="C175" s="6" t="s">
        <v>20</v>
      </c>
      <c r="D175" s="62">
        <f>IF(D16=C175,D173,"")</f>
        <v>56.164383561643838</v>
      </c>
      <c r="E175" s="62">
        <f>IF(E16=C175,E173,"")</f>
        <v>83.561643835616437</v>
      </c>
      <c r="F175" s="62">
        <f>IF(F16=C175,F173,"")</f>
        <v>76.712328767123282</v>
      </c>
      <c r="G175" s="62" t="str">
        <f>IF(G16=C175,G173,"")</f>
        <v/>
      </c>
      <c r="H175" s="62" t="str">
        <f>IF(H16=C175,H173,"")</f>
        <v/>
      </c>
      <c r="I175" s="62" t="str">
        <f>IF(I16=C175,I173,"")</f>
        <v/>
      </c>
      <c r="J175" s="62">
        <f>IF(J16=C175,J173,"")</f>
        <v>44.137931034482762</v>
      </c>
      <c r="K175" s="62">
        <f>IF(K16=C175,K173,"")</f>
        <v>35.172413793103445</v>
      </c>
      <c r="L175" s="62" t="str">
        <f>IF(L16=C175,L173,"")</f>
        <v/>
      </c>
      <c r="M175" s="62" t="str">
        <f>IF(M16=C175,M173,"")</f>
        <v/>
      </c>
      <c r="N175" s="62">
        <f>IF(N16=C175,N173,"")</f>
        <v>34.42622950819672</v>
      </c>
      <c r="O175" s="90" t="str">
        <f>IF(O16=C175,O173,"")</f>
        <v/>
      </c>
      <c r="P175" s="223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223"/>
    </row>
    <row r="176" spans="1:54">
      <c r="B176" s="7"/>
      <c r="C176" s="66" t="s">
        <v>28</v>
      </c>
      <c r="D176" s="67" t="str">
        <f>IF(D16=C176,D173,"")</f>
        <v/>
      </c>
      <c r="E176" s="67" t="str">
        <f>IF(E16=C176,E173,"")</f>
        <v/>
      </c>
      <c r="F176" s="67" t="str">
        <f>IF(F16=C176,F173,"")</f>
        <v/>
      </c>
      <c r="G176" s="67">
        <f>IF(G16=C176,G173,"")</f>
        <v>49.315068493150683</v>
      </c>
      <c r="H176" s="67">
        <f>IF(H16=C176,H173,"")</f>
        <v>63.013698630136986</v>
      </c>
      <c r="I176" s="67">
        <f>IF(I16=C176,I173,"")</f>
        <v>82.191780821917803</v>
      </c>
      <c r="J176" s="67" t="str">
        <f>IF(J16=C176,J173,"")</f>
        <v/>
      </c>
      <c r="K176" s="67" t="str">
        <f>IF(K16=C176,K173,"")</f>
        <v/>
      </c>
      <c r="L176" s="67">
        <f>IF(L16=C176,L173,"")</f>
        <v>20</v>
      </c>
      <c r="M176" s="67">
        <f>IF(M16=C176,M173,"")</f>
        <v>27.27272727272727</v>
      </c>
      <c r="N176" s="67" t="str">
        <f>IF(N16=C176,N173,"")</f>
        <v/>
      </c>
      <c r="O176" s="91">
        <f>IF(O16=C176,O173,"")</f>
        <v>17.21311475409836</v>
      </c>
      <c r="P176" s="223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223"/>
    </row>
    <row r="177" spans="2:47">
      <c r="B177" s="7"/>
      <c r="C177" s="17" t="s">
        <v>34</v>
      </c>
      <c r="D177" s="54" t="str">
        <f>IF(D16=C177,D173,"")</f>
        <v/>
      </c>
      <c r="E177" s="54" t="str">
        <f>IF(E16=C177,E173,"")</f>
        <v/>
      </c>
      <c r="F177" s="54" t="str">
        <f>IF(F16=C177,F173,"")</f>
        <v/>
      </c>
      <c r="G177" s="54" t="str">
        <f>IF(G16=C177,G173,"")</f>
        <v/>
      </c>
      <c r="H177" s="54" t="str">
        <f>IF(H16=C177,H173,"")</f>
        <v/>
      </c>
      <c r="I177" s="54" t="str">
        <f>IF(I16=C177,I173,"")</f>
        <v/>
      </c>
      <c r="J177" s="54" t="str">
        <f>IF(J16=C177,J173,"")</f>
        <v/>
      </c>
      <c r="K177" s="54" t="str">
        <f>IF(K16=C177,K173,"")</f>
        <v/>
      </c>
      <c r="L177" s="54" t="str">
        <f>IF(L16=C177,L173,"")</f>
        <v/>
      </c>
      <c r="M177" s="54" t="str">
        <f>IF(M16=C177,M173,"")</f>
        <v/>
      </c>
      <c r="N177" s="54" t="str">
        <f>IF(N16=C177,N173,"")</f>
        <v/>
      </c>
      <c r="O177" s="89" t="str">
        <f>IF(O16=C177,O173,"")</f>
        <v/>
      </c>
      <c r="P177" s="223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223"/>
    </row>
    <row r="178" spans="2:47">
      <c r="B178" s="7"/>
      <c r="C178" s="17" t="s">
        <v>41</v>
      </c>
      <c r="D178" s="54" t="str">
        <f>IF(D16=C178,D173,"")</f>
        <v/>
      </c>
      <c r="E178" s="54" t="str">
        <f>IF(E16=C178,E173,"")</f>
        <v/>
      </c>
      <c r="F178" s="54" t="str">
        <f>IF(F16=C178,F173,"")</f>
        <v/>
      </c>
      <c r="G178" s="54" t="str">
        <f>IF(G16=C178,G173,"")</f>
        <v/>
      </c>
      <c r="H178" s="54" t="str">
        <f>IF(H16=C178,H173,"")</f>
        <v/>
      </c>
      <c r="I178" s="54" t="str">
        <f>IF(I16=C1715,I173,"")</f>
        <v/>
      </c>
      <c r="J178" s="54" t="str">
        <f>IF(J16=C178,J173,"")</f>
        <v/>
      </c>
      <c r="K178" s="54" t="str">
        <f>IF(K16=C178,K173,"")</f>
        <v/>
      </c>
      <c r="L178" s="54" t="str">
        <f>IF(L16=C178,L173,"")</f>
        <v/>
      </c>
      <c r="M178" s="54" t="str">
        <f>IF(M16=C178,M173,"")</f>
        <v/>
      </c>
      <c r="N178" s="54" t="str">
        <f>IF(N16=C178,N173,"")</f>
        <v/>
      </c>
      <c r="O178" s="89" t="str">
        <f>IF(O16=C178,O173,"")</f>
        <v/>
      </c>
      <c r="P178" s="223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223"/>
    </row>
    <row r="179" spans="2:47">
      <c r="B179" s="7"/>
      <c r="C179" s="17" t="s">
        <v>50</v>
      </c>
      <c r="D179" s="54" t="str">
        <f>IF(D16=C179,D173,"")</f>
        <v/>
      </c>
      <c r="E179" s="54" t="str">
        <f>IF(E16=C179,E173,"")</f>
        <v/>
      </c>
      <c r="F179" s="54" t="str">
        <f>IF(F16=C179,F173,"")</f>
        <v/>
      </c>
      <c r="G179" s="54" t="str">
        <f>IF(G16=C179,G173,"")</f>
        <v/>
      </c>
      <c r="H179" s="54" t="str">
        <f>IF(H16=C179,H173,"")</f>
        <v/>
      </c>
      <c r="I179" s="54" t="str">
        <f>IF(I16=C179,I173,"")</f>
        <v/>
      </c>
      <c r="J179" s="54" t="str">
        <f>IF(J16=C179,J173,"")</f>
        <v/>
      </c>
      <c r="K179" s="54" t="str">
        <f>IF(K16=C179,K173,"")</f>
        <v/>
      </c>
      <c r="L179" s="54" t="str">
        <f>IF(L16=C179,L173,"")</f>
        <v/>
      </c>
      <c r="M179" s="54" t="str">
        <f>IF(M16=C179,M173,"")</f>
        <v/>
      </c>
      <c r="N179" s="54" t="str">
        <f>IF(N16=C179,N173,"")</f>
        <v/>
      </c>
      <c r="O179" s="89" t="str">
        <f>IF(O16=C179,O173,"")</f>
        <v/>
      </c>
      <c r="P179" s="223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223"/>
    </row>
    <row r="180" spans="2:47"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</row>
    <row r="181" spans="2:47" ht="15" customHeight="1">
      <c r="B181" s="285" t="s">
        <v>253</v>
      </c>
      <c r="C181" s="286"/>
      <c r="D181" s="274" t="str">
        <f>E9 &amp; "% of students scoring &gt;= "&amp;E6&amp; "% marks"</f>
        <v>60% of students scoring &gt;= 60% marks</v>
      </c>
      <c r="E181" s="275"/>
      <c r="F181" s="275"/>
      <c r="G181" s="275"/>
      <c r="H181" s="275"/>
      <c r="I181" s="276"/>
      <c r="J181" s="223"/>
      <c r="K181" s="289" t="s">
        <v>246</v>
      </c>
      <c r="L181" s="290"/>
      <c r="M181" s="289" t="str">
        <f>"% of Students scoring &gt;= " &amp;E6 &amp;"% marks"</f>
        <v>% of Students scoring &gt;= 60% marks</v>
      </c>
      <c r="N181" s="290"/>
      <c r="O181" s="288" t="s">
        <v>254</v>
      </c>
      <c r="P181" s="84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223"/>
    </row>
    <row r="182" spans="2:47" ht="15" customHeight="1">
      <c r="B182" s="285" t="s">
        <v>255</v>
      </c>
      <c r="C182" s="286"/>
      <c r="D182" s="274" t="str">
        <f>E10 &amp; "% of students scoring &gt;= "&amp;E6&amp; "% marks"</f>
        <v>59.9% of students scoring &gt;= 60% marks</v>
      </c>
      <c r="E182" s="275"/>
      <c r="F182" s="275"/>
      <c r="G182" s="275"/>
      <c r="H182" s="275"/>
      <c r="I182" s="276"/>
      <c r="J182" s="223"/>
      <c r="K182" s="291"/>
      <c r="L182" s="292"/>
      <c r="M182" s="291"/>
      <c r="N182" s="292"/>
      <c r="O182" s="288"/>
      <c r="P182" s="84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223"/>
    </row>
    <row r="183" spans="2:47" ht="15" customHeight="1">
      <c r="B183" s="285" t="s">
        <v>256</v>
      </c>
      <c r="C183" s="286"/>
      <c r="D183" s="274" t="str">
        <f>E11 &amp; "% of students scoring &gt;= "&amp;E6&amp; "% marks"</f>
        <v>50% of students scoring &gt;= 60% marks</v>
      </c>
      <c r="E183" s="275"/>
      <c r="F183" s="275"/>
      <c r="G183" s="275"/>
      <c r="H183" s="275"/>
      <c r="I183" s="276"/>
      <c r="J183" s="223"/>
      <c r="K183" s="277" t="str">
        <f>C175</f>
        <v>CO 1</v>
      </c>
      <c r="L183" s="278"/>
      <c r="M183" s="279">
        <f>SUM(D175:O175)/COUNTIF(D175:O175,"&gt;0")</f>
        <v>55.029155083361083</v>
      </c>
      <c r="N183" s="280"/>
      <c r="O183" s="212">
        <f>IF(M183&gt;=E9,D9,IF(AND(M183&gt;=E10,M183&lt;E9),D10,IF(AND(M183&gt;=E11,M183&lt;E10),D11,IF(AND(M183&gt;=E12,M183&lt;E11),D12,IF(AND(M183&gt;=E13,M183&lt;E12),D13,0)))))</f>
        <v>2</v>
      </c>
      <c r="P183" s="85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223"/>
    </row>
    <row r="184" spans="2:47" ht="15" customHeight="1">
      <c r="B184" s="285" t="s">
        <v>257</v>
      </c>
      <c r="C184" s="286"/>
      <c r="D184" s="274" t="str">
        <f>E12 &amp; "% of students scoring &gt;= "&amp;E6&amp; "% marks"</f>
        <v>49.9% of students scoring &gt;= 60% marks</v>
      </c>
      <c r="E184" s="275"/>
      <c r="F184" s="275"/>
      <c r="G184" s="275"/>
      <c r="H184" s="275"/>
      <c r="I184" s="276"/>
      <c r="J184" s="223"/>
      <c r="K184" s="277" t="str">
        <f>C176</f>
        <v>CO 2</v>
      </c>
      <c r="L184" s="278"/>
      <c r="M184" s="279">
        <f>SUM(D176:O176)/COUNTIF(D176:O176,"&gt;0")</f>
        <v>43.167731662005188</v>
      </c>
      <c r="N184" s="280"/>
      <c r="O184" s="212">
        <f>IF(M184&gt;=E9,D9,IF(AND(M184&gt;=E10,M184&lt;E9),D10,IF(AND(M184&gt;=E11,M184&lt;E10),D11,IF(AND(M184&gt;=E12,M184&lt;E11),D12,IF(AND(M184&gt;=E13,M184&lt;E12),D13,0)))))</f>
        <v>1</v>
      </c>
      <c r="P184" s="85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223"/>
    </row>
    <row r="185" spans="2:47" ht="15" customHeight="1">
      <c r="B185" s="285" t="s">
        <v>258</v>
      </c>
      <c r="C185" s="286"/>
      <c r="D185" s="274" t="str">
        <f>E13 &amp;"% of students scoring &gt;= "&amp;E6&amp; "% marks"</f>
        <v>0% of students scoring &gt;= 60% marks</v>
      </c>
      <c r="E185" s="275"/>
      <c r="F185" s="275"/>
      <c r="G185" s="275"/>
      <c r="H185" s="275"/>
      <c r="I185" s="276"/>
      <c r="J185" s="223"/>
      <c r="K185" s="277" t="str">
        <f t="shared" ref="K185:K187" si="44">C177</f>
        <v>CO 3</v>
      </c>
      <c r="L185" s="278"/>
      <c r="M185" s="279" t="e">
        <f>SUM(D177:O177)/COUNTIF(D177:O177,"&gt;0")</f>
        <v>#DIV/0!</v>
      </c>
      <c r="N185" s="280"/>
      <c r="O185" s="214" t="e">
        <f>IF(M185&gt;=E9,D9,IF(AND(M185&gt;=E10,M185&lt;E9),D10,IF(AND(M185&gt;=E11,M185&lt;E10),D11,IF(AND(M185&gt;=E12,M185&lt;E11),D12,IF(AND(M185&gt;=E13,M185&lt;E12),D13,0)))))</f>
        <v>#DIV/0!</v>
      </c>
      <c r="P185" s="86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223"/>
    </row>
    <row r="186" spans="2:47" ht="15" customHeight="1">
      <c r="K186" s="277" t="str">
        <f t="shared" si="44"/>
        <v>CO 4</v>
      </c>
      <c r="L186" s="278"/>
      <c r="M186" s="279" t="e">
        <f t="shared" ref="M186:M187" si="45">SUM(D178:O178)/COUNTIF(D178:O178,"&gt;0")</f>
        <v>#DIV/0!</v>
      </c>
      <c r="N186" s="280"/>
      <c r="O186" s="214" t="e">
        <f>IF(M186&gt;=E9,D9,IF(AND(M186&gt;=E10,M186&lt;E9),D10,IF(AND(M186&gt;=E11,M186&lt;E10),D11,IF(AND(M186&gt;=E12,M186&lt;E11),D12,IF(AND(M186&gt;=E13,M186&lt;E12),D13,0)))))</f>
        <v>#DIV/0!</v>
      </c>
      <c r="P186" s="86"/>
    </row>
    <row r="187" spans="2:47" ht="15" customHeight="1">
      <c r="K187" s="277" t="str">
        <f t="shared" si="44"/>
        <v>CO 5</v>
      </c>
      <c r="L187" s="278"/>
      <c r="M187" s="279" t="e">
        <f t="shared" si="45"/>
        <v>#DIV/0!</v>
      </c>
      <c r="N187" s="280"/>
      <c r="O187" s="214" t="e">
        <f>IF(M187&gt;=E9,D9,IF(AND(M187&gt;=E10,M187&lt;E9),D10,IF(AND(M187&gt;=E11,M187&lt;E10),D11,IF(AND(M187&gt;=E12,M187&lt;E11),D12,IF(AND(M187&gt;=E13,M187&lt;E12),D13,0)))))</f>
        <v>#DIV/0!</v>
      </c>
      <c r="P187" s="86"/>
    </row>
    <row r="190" spans="2:47">
      <c r="O190" s="68"/>
    </row>
    <row r="197" spans="11:11">
      <c r="K197" s="8">
        <f>E4+E5</f>
        <v>73</v>
      </c>
    </row>
  </sheetData>
  <sheetProtection selectLockedCells="1"/>
  <mergeCells count="46">
    <mergeCell ref="AL171:AN171"/>
    <mergeCell ref="AL172:AN172"/>
    <mergeCell ref="AL174:AN174"/>
    <mergeCell ref="B1:P1"/>
    <mergeCell ref="B2:P2"/>
    <mergeCell ref="N4:P4"/>
    <mergeCell ref="N5:P5"/>
    <mergeCell ref="B172:C172"/>
    <mergeCell ref="B173:C173"/>
    <mergeCell ref="E8:I8"/>
    <mergeCell ref="D14:O14"/>
    <mergeCell ref="P14:AA14"/>
    <mergeCell ref="F9:H9"/>
    <mergeCell ref="F10:H10"/>
    <mergeCell ref="F11:H11"/>
    <mergeCell ref="F12:H12"/>
    <mergeCell ref="K186:L186"/>
    <mergeCell ref="M186:N186"/>
    <mergeCell ref="K187:L187"/>
    <mergeCell ref="M187:N187"/>
    <mergeCell ref="B185:C185"/>
    <mergeCell ref="D185:I185"/>
    <mergeCell ref="K185:L185"/>
    <mergeCell ref="M185:N185"/>
    <mergeCell ref="B184:C184"/>
    <mergeCell ref="D184:I184"/>
    <mergeCell ref="K184:L184"/>
    <mergeCell ref="M184:N184"/>
    <mergeCell ref="O181:O182"/>
    <mergeCell ref="B182:C182"/>
    <mergeCell ref="D182:I182"/>
    <mergeCell ref="B183:C183"/>
    <mergeCell ref="D183:I183"/>
    <mergeCell ref="K183:L183"/>
    <mergeCell ref="M183:N183"/>
    <mergeCell ref="M181:N182"/>
    <mergeCell ref="B181:C181"/>
    <mergeCell ref="D181:I181"/>
    <mergeCell ref="K181:L182"/>
    <mergeCell ref="B4:D4"/>
    <mergeCell ref="L4:M4"/>
    <mergeCell ref="F13:H13"/>
    <mergeCell ref="B5:D5"/>
    <mergeCell ref="G5:K5"/>
    <mergeCell ref="L5:M5"/>
    <mergeCell ref="B6:D6"/>
  </mergeCells>
  <printOptions horizontalCentered="1"/>
  <pageMargins left="0.45" right="0.2" top="0.5" bottom="0.5" header="0.3" footer="0.3"/>
  <pageSetup paperSize="9" scale="81" orientation="landscape" r:id="rId1"/>
  <rowBreaks count="1" manualBreakCount="1">
    <brk id="169" max="16383" man="1"/>
  </rowBreaks>
  <colBreaks count="1" manualBreakCount="1">
    <brk id="16" max="184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INPUT</vt:lpstr>
      <vt:lpstr>1</vt:lpstr>
      <vt:lpstr>2</vt:lpstr>
      <vt:lpstr>AssgQuiz</vt:lpstr>
      <vt:lpstr>External</vt:lpstr>
      <vt:lpstr>Studentwise</vt:lpstr>
      <vt:lpstr>'1'!Print_Area</vt:lpstr>
      <vt:lpstr>'2'!Print_Area</vt:lpstr>
      <vt:lpstr>AssgQuiz!Print_Area</vt:lpstr>
      <vt:lpstr>External!Print_Area</vt:lpstr>
      <vt:lpstr>INPUT!Print_Area</vt:lpstr>
      <vt:lpstr>Studentwise!Print_Area</vt:lpstr>
      <vt:lpstr>AssgQuiz!Print_Titles</vt:lpstr>
      <vt:lpstr>External!Print_Titles</vt:lpstr>
    </vt:vector>
  </TitlesOfParts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KOP</dc:creator>
  <cp:lastModifiedBy>Mr. Vinay Kumar</cp:lastModifiedBy>
  <cp:revision/>
  <cp:lastPrinted>2019-12-06T11:50:07Z</cp:lastPrinted>
  <dcterms:created xsi:type="dcterms:W3CDTF">2017-02-21T07:18:22Z</dcterms:created>
  <dcterms:modified xsi:type="dcterms:W3CDTF">2019-12-12T08:19:02Z</dcterms:modified>
</cp:coreProperties>
</file>